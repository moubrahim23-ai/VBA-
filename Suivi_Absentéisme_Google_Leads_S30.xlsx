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date1904="1"/>
  <workbookProtection/>
  <bookViews>
    <workbookView visibility="visible" minimized="0" showHorizontalScroll="1" showVerticalScroll="1" showSheetTabs="1" xWindow="0" yWindow="0" windowWidth="16384" windowHeight="8192" tabRatio="500" firstSheet="0" activeTab="12" autoFilterDateGrouping="1"/>
  </bookViews>
  <sheets>
    <sheet xmlns:r="http://schemas.openxmlformats.org/officeDocument/2006/relationships" name="Google Leads " sheetId="1" state="visible" r:id="rId1"/>
    <sheet xmlns:r="http://schemas.openxmlformats.org/officeDocument/2006/relationships" name="log" sheetId="2" state="hidden" r:id="rId2"/>
    <sheet xmlns:r="http://schemas.openxmlformats.org/officeDocument/2006/relationships" name="trame" sheetId="3" state="visible" r:id="rId3"/>
    <sheet xmlns:r="http://schemas.openxmlformats.org/officeDocument/2006/relationships" name="Source CC pulse" sheetId="4" state="hidden" r:id="rId4"/>
    <sheet xmlns:r="http://schemas.openxmlformats.org/officeDocument/2006/relationships" name="Planning" sheetId="5" state="visible" r:id="rId5"/>
    <sheet xmlns:r="http://schemas.openxmlformats.org/officeDocument/2006/relationships" name="Annuaire_roster" sheetId="6" state="visible" r:id="rId6"/>
    <sheet xmlns:r="http://schemas.openxmlformats.org/officeDocument/2006/relationships" name="Contrôle des heures" sheetId="7" state="visible" r:id="rId7"/>
    <sheet xmlns:r="http://schemas.openxmlformats.org/officeDocument/2006/relationships" name="Contrôle des jours" sheetId="8" state="visible" r:id="rId8"/>
    <sheet xmlns:r="http://schemas.openxmlformats.org/officeDocument/2006/relationships" name="Feuil1" sheetId="9" state="visible" r:id="rId9"/>
    <sheet xmlns:r="http://schemas.openxmlformats.org/officeDocument/2006/relationships" name="Suivi des justificatifs" sheetId="10" state="visible" r:id="rId10"/>
    <sheet xmlns:r="http://schemas.openxmlformats.org/officeDocument/2006/relationships" name="Connexions" sheetId="11" state="visible" r:id="rId11"/>
    <sheet xmlns:r="http://schemas.openxmlformats.org/officeDocument/2006/relationships" name="Mapping_Noms" sheetId="12" state="visible" r:id="rId12"/>
    <sheet xmlns:r="http://schemas.openxmlformats.org/officeDocument/2006/relationships" name="Planning Pauses Dej" sheetId="13" state="visible" r:id="rId13"/>
  </sheets>
  <externalReferences>
    <externalReference xmlns:r="http://schemas.openxmlformats.org/officeDocument/2006/relationships" r:id="rId14"/>
  </externalReferences>
  <definedNames>
    <definedName name="Business" hidden="0" function="0" vbProcedure="0">" "</definedName>
    <definedName name="Data" hidden="0" function="0" vbProcedure="0">OFFSET('Google Leads '!$A$1,,,COUNTA('Google Leads '!$B:$B),COUNTA('Google Leads '!$1:$1))</definedName>
    <definedName name="Matricules" hidden="0" function="0" vbProcedure="0">" "</definedName>
    <definedName name="Nom_complet" hidden="0" function="0" vbProcedure="0">" "</definedName>
    <definedName name="Pausette" hidden="0" function="0" vbProcedure="0">annuaire_roster!#ref!</definedName>
    <definedName name="Pause_déjeuner" hidden="0" function="0" vbProcedure="0">annuaire_roster!#ref!</definedName>
    <definedName name="PL_Date" hidden="0" function="0" vbProcedure="0">Planning!$B:$B</definedName>
    <definedName name="PL_Entrée" hidden="0" function="0" vbProcedure="0">Planning!$C:$C</definedName>
    <definedName name="PL_Nom" hidden="0" function="0" vbProcedure="0">Planning!$A:$A</definedName>
    <definedName name="PL_Sortie" hidden="0" function="0" vbProcedure="0">Planning!$D:$D</definedName>
    <definedName name="Segment" hidden="0" function="0" vbProcedure="0">" "</definedName>
    <definedName name="Segment_Business12" hidden="0" function="0" vbProcedure="0">#N/A</definedName>
    <definedName name="Segment_Business141" hidden="0" function="0" vbProcedure="0">#N/A</definedName>
    <definedName name="Segment_Mois12" hidden="0" function="0" vbProcedure="0">#N/A</definedName>
    <definedName name="Segment_Mois141" hidden="0" function="0" vbProcedure="0">#N/A</definedName>
    <definedName name="Segment_Segment12" hidden="0" function="0" vbProcedure="0">#N/A</definedName>
    <definedName name="Segment_Segment141" hidden="0" function="0" vbProcedure="0">#N/A</definedName>
    <definedName name="Segment_Semaine12" hidden="0" function="0" vbProcedure="0">#N/A</definedName>
    <definedName name="Segment_Semaine141" hidden="0" function="0" vbProcedure="0">#N/A</definedName>
    <definedName name="Team" hidden="0" function="0" vbProcedure="0">" "</definedName>
    <definedName name="_xlnm._FilterDatabase" localSheetId="0" hidden="1">'Google Leads '!$A$1:$AG$225</definedName>
    <definedName name="_xlnm._FilterDatabase" localSheetId="5" hidden="1">'Annuaire_roster'!$A$1:$I$90</definedName>
    <definedName name="Data" localSheetId="10" hidden="0" function="0" vbProcedure="0">OFFSET('[1]Google Leads '!$A$1,,,COUNTA('[1]Google Leads '!$B$1:$B$1048576),COUNTA('[1]Google Leads '!$A$1:$XFD$1))</definedName>
    <definedName name="Pausette" localSheetId="10" hidden="0" function="0" vbProcedure="0">[1]annuaire_roster!#ref!</definedName>
    <definedName name="Pause_déjeuner" localSheetId="10" hidden="0" function="0" vbProcedure="0">[1]annuaire_roster!#ref!</definedName>
    <definedName name="Segment_Business12" localSheetId="10" hidden="0" function="0" vbProcedure="0">#N/A</definedName>
    <definedName name="Segment_Business141" localSheetId="10" hidden="0" function="0" vbProcedure="0">#N/A</definedName>
    <definedName name="Segment_Mois12" localSheetId="10" hidden="0" function="0" vbProcedure="0">#N/A</definedName>
    <definedName name="Segment_Mois141" localSheetId="10" hidden="0" function="0" vbProcedure="0">#N/A</definedName>
    <definedName name="Segment_Segment12" localSheetId="10" hidden="0" function="0" vbProcedure="0">#N/A</definedName>
    <definedName name="Segment_Segment141" localSheetId="10" hidden="0" function="0" vbProcedure="0">#N/A</definedName>
    <definedName name="Segment_Semaine12" localSheetId="10" hidden="0" function="0" vbProcedure="0">#N/A</definedName>
    <definedName name="Segment_Semaine141" localSheetId="10" hidden="0" function="0" vbProcedure="0">#N/A</definedName>
    <definedName name="Data" localSheetId="11" hidden="0" function="0" vbProcedure="0">OFFSET('[1]Google Leads '!$A$1,,,COUNTA('[1]Google Leads '!$B$1:$B$1048576),COUNTA('[1]Google Leads '!$A$1:$XFD$1))</definedName>
    <definedName name="Pausette" localSheetId="11" hidden="0" function="0" vbProcedure="0">[1]annuaire_roster!#ref!</definedName>
    <definedName name="Pause_déjeuner" localSheetId="11" hidden="0" function="0" vbProcedure="0">[1]annuaire_roster!#ref!</definedName>
    <definedName name="Segment_Business12" localSheetId="11" hidden="0" function="0" vbProcedure="0">#N/A</definedName>
    <definedName name="Segment_Business141" localSheetId="11" hidden="0" function="0" vbProcedure="0">#N/A</definedName>
    <definedName name="Segment_Mois12" localSheetId="11" hidden="0" function="0" vbProcedure="0">#N/A</definedName>
    <definedName name="Segment_Mois141" localSheetId="11" hidden="0" function="0" vbProcedure="0">#N/A</definedName>
    <definedName name="Segment_Segment12" localSheetId="11" hidden="0" function="0" vbProcedure="0">#N/A</definedName>
    <definedName name="Segment_Segment141" localSheetId="11" hidden="0" function="0" vbProcedure="0">#N/A</definedName>
    <definedName name="Segment_Semaine12" localSheetId="11" hidden="0" function="0" vbProcedure="0">#N/A</definedName>
    <definedName name="Segment_Semaine141" localSheetId="11" hidden="0" function="0" vbProcedure="0">#N/A</definedName>
    <definedName name="Data" localSheetId="12" hidden="0" function="0" vbProcedure="0">OFFSET('[1]Google Leads '!$A$1,,,COUNTA('[1]Google Leads '!$B$1:$B$1048576),COUNTA('[1]Google Leads '!$A$1:$XFD$1))</definedName>
    <definedName name="Pausette" localSheetId="12" hidden="0" function="0" vbProcedure="0">[1]annuaire_roster!#ref!</definedName>
    <definedName name="Pause_déjeuner" localSheetId="12" hidden="0" function="0" vbProcedure="0">[1]annuaire_roster!#ref!</definedName>
    <definedName name="Segment_Business12" localSheetId="12" hidden="0" function="0" vbProcedure="0">#N/A</definedName>
    <definedName name="Segment_Business141" localSheetId="12" hidden="0" function="0" vbProcedure="0">#N/A</definedName>
    <definedName name="Segment_Mois12" localSheetId="12" hidden="0" function="0" vbProcedure="0">#N/A</definedName>
    <definedName name="Segment_Mois141" localSheetId="12" hidden="0" function="0" vbProcedure="0">#N/A</definedName>
    <definedName name="Segment_Segment12" localSheetId="12" hidden="0" function="0" vbProcedure="0">#N/A</definedName>
    <definedName name="Segment_Segment141" localSheetId="12" hidden="0" function="0" vbProcedure="0">#N/A</definedName>
    <definedName name="Segment_Semaine12" localSheetId="12" hidden="0" function="0" vbProcedure="0">#N/A</definedName>
    <definedName name="Segment_Semaine141" localSheetId="12" hidden="0" function="0" vbProcedure="0">#N/A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1">
    <numFmt numFmtId="164" formatCode="[$-F400]h:mm:ss\ AM/PM"/>
    <numFmt numFmtId="165" formatCode="[h]:mm;@"/>
    <numFmt numFmtId="166" formatCode="[h]:mm:ss;@"/>
    <numFmt numFmtId="167" formatCode="00000"/>
    <numFmt numFmtId="168" formatCode="m/d/yyyy"/>
    <numFmt numFmtId="169" formatCode="h:mm;@"/>
    <numFmt numFmtId="170" formatCode="yyyy"/>
    <numFmt numFmtId="171" formatCode="_-* #,##0.00_-;\-* #,##0.00_-;_-* \-??_-;_-@_-"/>
    <numFmt numFmtId="172" formatCode="m/d/yyyy\ h:mm"/>
    <numFmt numFmtId="173" formatCode="hh:mm"/>
    <numFmt numFmtId="174" formatCode="hh:mm:ss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C00000"/>
      <sz val="10"/>
    </font>
    <font>
      <name val="Calibri"/>
      <charset val="1"/>
      <family val="2"/>
      <b val="1"/>
      <color rgb="FF002060"/>
      <sz val="10"/>
    </font>
    <font>
      <name val="Calibri"/>
      <charset val="1"/>
      <family val="2"/>
      <color theme="1" tint="0.0499"/>
      <sz val="10"/>
    </font>
    <font>
      <name val="Calibri"/>
      <charset val="1"/>
      <family val="2"/>
      <color rgb="FF002060"/>
      <sz val="10"/>
    </font>
    <font>
      <name val="Calibri"/>
      <charset val="1"/>
      <family val="2"/>
      <color rgb="FFFF0000"/>
      <sz val="10"/>
    </font>
    <font>
      <name val="Arial"/>
      <family val="2"/>
      <sz val="10"/>
    </font>
    <font>
      <name val="Tahoma"/>
      <charset val="1"/>
      <family val="2"/>
      <color rgb="FF000000"/>
      <sz val="9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00B050"/>
      <sz val="11"/>
    </font>
    <font>
      <name val="Times New Roman"/>
      <charset val="1"/>
      <family val="1"/>
      <color theme="1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D0D0D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color rgb="FF00B050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1"/>
    </font>
    <font>
      <name val="Calibri"/>
      <charset val="1"/>
      <family val="2"/>
      <b val="1"/>
      <color theme="1"/>
      <sz val="11"/>
      <u val="single"/>
    </font>
    <font>
      <name val="Times New Roman"/>
      <family val="0"/>
      <color rgb="FF000000"/>
      <sz val="11"/>
    </font>
    <font>
      <name val="Calibri"/>
      <charset val="1"/>
      <family val="2"/>
      <b val="1"/>
      <color theme="1"/>
      <sz val="14"/>
    </font>
    <font>
      <name val="Calibri"/>
      <charset val="1"/>
      <family val="2"/>
      <b val="1"/>
      <color theme="1"/>
      <sz val="12"/>
    </font>
    <font>
      <name val="Times New Roman"/>
      <charset val="1"/>
      <family val="1"/>
      <color theme="1"/>
      <sz val="12"/>
    </font>
    <font>
      <name val="Times New Roman"/>
      <charset val="1"/>
      <family val="1"/>
      <b val="1"/>
      <color theme="1"/>
      <sz val="12"/>
    </font>
    <font>
      <name val="Trebuchet MS"/>
      <charset val="1"/>
      <family val="2"/>
      <b val="1"/>
      <color rgb="FFFFFFFF"/>
      <sz val="10"/>
    </font>
    <font>
      <name val="Calibri"/>
      <charset val="1"/>
      <family val="2"/>
      <color theme="0"/>
      <sz val="11"/>
    </font>
    <font>
      <name val="Trebuchet MS"/>
      <charset val="1"/>
      <family val="2"/>
      <color rgb="FF000000"/>
      <sz val="10"/>
    </font>
    <font>
      <name val="Trebuchet MS"/>
      <charset val="1"/>
      <family val="2"/>
      <color rgb="FF000000"/>
      <sz val="11"/>
    </font>
    <font>
      <name val="Trebuchet MS"/>
      <charset val="1"/>
      <family val="2"/>
      <color rgb="FF000000"/>
      <sz val="12"/>
    </font>
    <font>
      <name val="Trebuchet MS"/>
      <charset val="1"/>
      <family val="2"/>
      <color theme="1"/>
      <sz val="11"/>
    </font>
    <font>
      <name val="Cambria"/>
      <charset val="1"/>
      <family val="1"/>
      <b val="1"/>
      <sz val="11"/>
    </font>
    <font>
      <name val="Arial"/>
      <charset val="1"/>
      <family val="2"/>
      <color rgb="FF333333"/>
      <sz val="9"/>
    </font>
    <font>
      <name val="Arial"/>
      <charset val="1"/>
      <family val="2"/>
      <color rgb="FF000000"/>
      <sz val="10"/>
    </font>
  </fonts>
  <fills count="19">
    <fill>
      <patternFill/>
    </fill>
    <fill>
      <patternFill patternType="gray125"/>
    </fill>
    <fill>
      <patternFill patternType="solid">
        <fgColor theme="0" tint="-0.05"/>
        <bgColor rgb="FFEDEDED"/>
      </patternFill>
    </fill>
    <fill>
      <patternFill patternType="solid">
        <fgColor theme="4" tint="0.7999000000000001"/>
        <bgColor rgb="FFDDEBF7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C000"/>
      </patternFill>
    </fill>
    <fill>
      <patternFill patternType="solid">
        <fgColor rgb="FFFFC000"/>
        <bgColor rgb="FFFFFF00"/>
      </patternFill>
    </fill>
    <fill>
      <patternFill patternType="solid">
        <fgColor theme="4" tint="0.3999"/>
        <bgColor rgb="FFADB9CA"/>
      </patternFill>
    </fill>
    <fill>
      <patternFill patternType="solid">
        <fgColor rgb="FF92D050"/>
        <bgColor rgb="FFAFABAB"/>
      </patternFill>
    </fill>
    <fill>
      <patternFill patternType="solid">
        <fgColor rgb="FF00B050"/>
        <bgColor rgb="FF008080"/>
      </patternFill>
    </fill>
    <fill>
      <patternFill patternType="solid">
        <fgColor theme="7" tint="0.5999"/>
        <bgColor rgb="FFFFF2CC"/>
      </patternFill>
    </fill>
    <fill>
      <patternFill patternType="solid">
        <fgColor theme="2" tint="-0.1"/>
        <bgColor rgb="FFD9D9D9"/>
      </patternFill>
    </fill>
    <fill>
      <patternFill patternType="solid">
        <fgColor theme="2" tint="-0.25"/>
        <bgColor rgb="FFADB9CA"/>
      </patternFill>
    </fill>
    <fill>
      <patternFill patternType="solid">
        <fgColor theme="3" tint="0.5999"/>
        <bgColor rgb="FFBFBFBF"/>
      </patternFill>
    </fill>
    <fill>
      <patternFill patternType="solid">
        <fgColor theme="7" tint="0.7999000000000001"/>
        <bgColor rgb="FFF2F2F2"/>
      </patternFill>
    </fill>
    <fill>
      <patternFill patternType="solid">
        <fgColor theme="3" tint="0.7999000000000001"/>
        <bgColor rgb="FFDDDDDD"/>
      </patternFill>
    </fill>
    <fill>
      <patternFill patternType="solid">
        <fgColor theme="6" tint="0.7999000000000001"/>
        <bgColor rgb="FFF2F2F2"/>
      </patternFill>
    </fill>
    <fill>
      <patternFill patternType="solid">
        <fgColor rgb="FF254061"/>
        <bgColor rgb="FF333333"/>
      </patternFill>
    </fill>
    <fill>
      <patternFill patternType="solid">
        <fgColor rgb="FFDDEBF7"/>
        <bgColor rgb="FFDEEBF7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medium"/>
      <bottom style="medium"/>
      <diagonal/>
    </border>
    <border>
      <left/>
      <right/>
      <top style="thick">
        <color theme="0" tint="-0.25"/>
      </top>
      <bottom style="thin">
        <color theme="0" tint="-0.25"/>
      </bottom>
      <diagonal/>
    </border>
    <border>
      <left/>
      <right/>
      <top style="thin">
        <color theme="0" tint="-0.25"/>
      </top>
      <bottom style="thin">
        <color theme="0" tint="-0.25"/>
      </bottom>
      <diagonal/>
    </border>
    <border>
      <left style="thick">
        <color theme="0" tint="-0.25"/>
      </left>
      <right/>
      <top/>
      <bottom style="thin">
        <color theme="0" tint="-0.25"/>
      </bottom>
      <diagonal/>
    </border>
    <border>
      <left/>
      <right/>
      <top/>
      <bottom style="thin">
        <color theme="0" tint="-0.25"/>
      </bottom>
      <diagonal/>
    </border>
    <border>
      <left/>
      <right style="thin">
        <color theme="0" tint="-0.25"/>
      </right>
      <top/>
      <bottom style="thin">
        <color theme="0" tint="-0.25"/>
      </bottom>
      <diagonal/>
    </border>
    <border>
      <left style="medium"/>
      <right style="medium"/>
      <top style="medium"/>
      <bottom style="medium"/>
      <diagonal/>
    </border>
    <border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>
      <left style="thin"/>
      <right style="thin"/>
      <top/>
      <bottom style="thin"/>
      <diagonal/>
    </border>
    <border>
      <left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thin"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74">
    <xf numFmtId="0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0" fillId="0" borderId="0" applyAlignment="1">
      <alignment horizontal="general" vertical="bottom"/>
    </xf>
  </cellStyleXfs>
  <cellXfs count="407"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20" fontId="6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right" vertical="bottom"/>
    </xf>
    <xf numFmtId="0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86">
      <alignment horizontal="center" vertical="center" wrapText="1"/>
    </xf>
    <xf numFmtId="164" fontId="7" fillId="2" borderId="1" applyAlignment="1" pivotButton="0" quotePrefix="0" xfId="86">
      <alignment horizontal="center" vertical="center" wrapText="1"/>
    </xf>
    <xf numFmtId="165" fontId="7" fillId="2" borderId="1" applyAlignment="1" pivotButton="0" quotePrefix="0" xfId="86">
      <alignment horizontal="center" vertical="center" wrapText="1"/>
    </xf>
    <xf numFmtId="20" fontId="7" fillId="2" borderId="1" applyAlignment="1" pivotButton="0" quotePrefix="0" xfId="86">
      <alignment horizontal="center" vertical="center" wrapText="1"/>
    </xf>
    <xf numFmtId="166" fontId="7" fillId="2" borderId="2" applyAlignment="1" pivotButton="0" quotePrefix="0" xfId="86">
      <alignment horizontal="center" vertical="center" wrapText="1"/>
    </xf>
    <xf numFmtId="166" fontId="7" fillId="2" borderId="1" applyAlignment="1" pivotButton="0" quotePrefix="0" xfId="86">
      <alignment horizontal="center" vertical="center" wrapText="1"/>
    </xf>
    <xf numFmtId="166" fontId="7" fillId="2" borderId="3" applyAlignment="1" pivotButton="0" quotePrefix="0" xfId="86">
      <alignment horizontal="center" vertical="center" wrapText="1"/>
    </xf>
    <xf numFmtId="168" fontId="7" fillId="0" borderId="1" applyAlignment="1" pivotButton="0" quotePrefix="0" xfId="86">
      <alignment horizontal="center" vertical="center" wrapText="1"/>
    </xf>
    <xf numFmtId="165" fontId="8" fillId="3" borderId="4" applyAlignment="1" pivotButton="0" quotePrefix="0" xfId="86">
      <alignment horizontal="center" vertical="center" wrapText="1"/>
    </xf>
    <xf numFmtId="165" fontId="7" fillId="2" borderId="3" applyAlignment="1" pivotButton="0" quotePrefix="0" xfId="86">
      <alignment horizontal="center" vertical="center" wrapText="1"/>
    </xf>
    <xf numFmtId="20" fontId="8" fillId="3" borderId="4" applyAlignment="1" pivotButton="0" quotePrefix="0" xfId="86">
      <alignment horizontal="center" vertical="center" wrapText="1"/>
    </xf>
    <xf numFmtId="168" fontId="8" fillId="3" borderId="4" applyAlignment="1" pivotButton="0" quotePrefix="0" xfId="15">
      <alignment horizontal="center" vertical="center" wrapText="1"/>
    </xf>
    <xf numFmtId="165" fontId="8" fillId="3" borderId="1" applyAlignment="1" pivotButton="0" quotePrefix="0" xfId="86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167" fontId="9" fillId="4" borderId="5" applyAlignment="1" pivotButton="0" quotePrefix="0" xfId="86">
      <alignment horizontal="center" vertical="center"/>
    </xf>
    <xf numFmtId="0" fontId="6" fillId="0" borderId="6" applyAlignment="1" pivotButton="0" quotePrefix="0" xfId="86">
      <alignment horizontal="left" vertical="center"/>
    </xf>
    <xf numFmtId="165" fontId="9" fillId="0" borderId="6" applyAlignment="1" pivotButton="0" quotePrefix="0" xfId="86">
      <alignment horizontal="center" vertical="center"/>
    </xf>
    <xf numFmtId="165" fontId="9" fillId="0" borderId="7" applyAlignment="1" pivotButton="0" quotePrefix="0" xfId="86">
      <alignment horizontal="center" vertical="center"/>
    </xf>
    <xf numFmtId="20" fontId="9" fillId="0" borderId="4" applyAlignment="1" pivotButton="0" quotePrefix="0" xfId="86">
      <alignment horizontal="center" vertical="center" wrapText="1"/>
    </xf>
    <xf numFmtId="20" fontId="6" fillId="0" borderId="6" applyAlignment="1" pivotButton="0" quotePrefix="0" xfId="86">
      <alignment horizontal="center" vertical="center" wrapText="1"/>
    </xf>
    <xf numFmtId="20" fontId="9" fillId="0" borderId="6" applyAlignment="1" pivotButton="0" quotePrefix="0" xfId="86">
      <alignment horizontal="center" vertical="center" wrapText="1"/>
    </xf>
    <xf numFmtId="0" fontId="9" fillId="4" borderId="6" applyAlignment="1" pivotButton="0" quotePrefix="0" xfId="86">
      <alignment horizontal="center" vertical="bottom"/>
    </xf>
    <xf numFmtId="165" fontId="9" fillId="4" borderId="4" applyAlignment="1" pivotButton="0" quotePrefix="0" xfId="86">
      <alignment horizontal="center" vertical="bottom"/>
    </xf>
    <xf numFmtId="165" fontId="9" fillId="0" borderId="6" applyAlignment="1" pivotButton="0" quotePrefix="0" xfId="86">
      <alignment horizontal="center" vertical="bottom"/>
    </xf>
    <xf numFmtId="0" fontId="9" fillId="0" borderId="6" applyAlignment="1" pivotButton="0" quotePrefix="0" xfId="86">
      <alignment horizontal="left" vertical="bottom"/>
    </xf>
    <xf numFmtId="168" fontId="9" fillId="4" borderId="6" applyAlignment="1" pivotButton="0" quotePrefix="0" xfId="86">
      <alignment horizontal="center" vertical="center"/>
    </xf>
    <xf numFmtId="169" fontId="10" fillId="4" borderId="4" applyAlignment="1" pivotButton="0" quotePrefix="0" xfId="86">
      <alignment horizontal="center" vertical="bottom"/>
    </xf>
    <xf numFmtId="170" fontId="10" fillId="4" borderId="4" applyAlignment="1" pivotButton="0" quotePrefix="0" xfId="86">
      <alignment horizontal="left" vertical="bottom"/>
    </xf>
    <xf numFmtId="20" fontId="10" fillId="4" borderId="4" applyAlignment="1" pivotButton="0" quotePrefix="0" xfId="86">
      <alignment horizontal="center" vertical="center" wrapText="1"/>
    </xf>
    <xf numFmtId="169" fontId="10" fillId="4" borderId="4" applyAlignment="1" pivotButton="0" quotePrefix="0" xfId="86">
      <alignment horizontal="left" vertical="bottom"/>
    </xf>
    <xf numFmtId="169" fontId="10" fillId="0" borderId="4" applyAlignment="1" pivotButton="0" quotePrefix="0" xfId="86">
      <alignment horizontal="center" vertical="bottom"/>
    </xf>
    <xf numFmtId="169" fontId="10" fillId="4" borderId="6" applyAlignment="1" pivotButton="0" quotePrefix="0" xfId="86">
      <alignment horizontal="center" vertical="bottom"/>
    </xf>
    <xf numFmtId="20" fontId="6" fillId="4" borderId="6" applyAlignment="1" pivotButton="0" quotePrefix="0" xfId="86">
      <alignment horizontal="center" vertical="center" wrapText="1"/>
    </xf>
    <xf numFmtId="0" fontId="6" fillId="5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167" fontId="9" fillId="0" borderId="5" applyAlignment="1" pivotButton="0" quotePrefix="0" xfId="86">
      <alignment horizontal="center" vertical="center"/>
    </xf>
    <xf numFmtId="165" fontId="9" fillId="0" borderId="4" applyAlignment="1" pivotButton="0" quotePrefix="0" xfId="86">
      <alignment horizontal="center" vertical="bottom"/>
    </xf>
    <xf numFmtId="168" fontId="9" fillId="0" borderId="6" applyAlignment="1" pivotButton="0" quotePrefix="0" xfId="86">
      <alignment horizontal="center" vertical="center"/>
    </xf>
    <xf numFmtId="170" fontId="10" fillId="0" borderId="4" applyAlignment="1" pivotButton="0" quotePrefix="0" xfId="86">
      <alignment horizontal="left" vertical="bottom"/>
    </xf>
    <xf numFmtId="20" fontId="10" fillId="0" borderId="4" applyAlignment="1" pivotButton="0" quotePrefix="0" xfId="86">
      <alignment horizontal="center" vertical="center" wrapText="1"/>
    </xf>
    <xf numFmtId="169" fontId="10" fillId="0" borderId="4" applyAlignment="1" pivotButton="0" quotePrefix="0" xfId="86">
      <alignment horizontal="left" vertical="bottom"/>
    </xf>
    <xf numFmtId="169" fontId="10" fillId="0" borderId="6" applyAlignment="1" pivotButton="0" quotePrefix="0" xfId="86">
      <alignment horizontal="center" vertical="bottom"/>
    </xf>
    <xf numFmtId="20" fontId="6" fillId="5" borderId="6" applyAlignment="1" pivotButton="0" quotePrefix="0" xfId="86">
      <alignment horizontal="center" vertical="center" wrapText="1"/>
    </xf>
    <xf numFmtId="0" fontId="11" fillId="0" borderId="6" applyAlignment="1" pivotButton="0" quotePrefix="0" xfId="86">
      <alignment horizontal="left" vertical="center"/>
    </xf>
    <xf numFmtId="20" fontId="9" fillId="4" borderId="4" applyAlignment="1" pivotButton="0" quotePrefix="0" xfId="86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center" wrapText="1"/>
    </xf>
    <xf numFmtId="2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20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165" fontId="9" fillId="0" borderId="1" applyAlignment="1" pivotButton="0" quotePrefix="0" xfId="86">
      <alignment horizontal="center" vertical="center"/>
    </xf>
    <xf numFmtId="2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9" fillId="0" borderId="1" applyAlignment="1" pivotButton="0" quotePrefix="0" xfId="86">
      <alignment horizontal="center" vertical="bottom"/>
    </xf>
    <xf numFmtId="168" fontId="9" fillId="4" borderId="1" applyAlignment="1" pivotButton="0" quotePrefix="0" xfId="86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9" fillId="0" borderId="0" applyAlignment="1" pivotButton="0" quotePrefix="0" xfId="0">
      <alignment horizontal="general" vertical="center"/>
    </xf>
    <xf numFmtId="20" fontId="20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20" fontId="22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general" vertical="bottom"/>
    </xf>
    <xf numFmtId="20" fontId="0" fillId="0" borderId="0" applyAlignment="1" pivotButton="0" quotePrefix="0" xfId="0">
      <alignment horizontal="general" vertical="bottom"/>
    </xf>
    <xf numFmtId="0" fontId="9" fillId="0" borderId="6" applyAlignment="1" pivotButton="0" quotePrefix="0" xfId="86">
      <alignment horizontal="center" vertical="center"/>
    </xf>
    <xf numFmtId="20" fontId="1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general" vertical="bottom"/>
    </xf>
    <xf numFmtId="166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168" fontId="24" fillId="0" borderId="0" applyAlignment="1" pivotButton="0" quotePrefix="0" xfId="86">
      <alignment horizontal="center" vertical="center"/>
    </xf>
    <xf numFmtId="164" fontId="25" fillId="0" borderId="0" applyAlignment="1" pivotButton="0" quotePrefix="0" xfId="0">
      <alignment horizontal="center" vertical="center"/>
    </xf>
    <xf numFmtId="1" fontId="23" fillId="0" borderId="0" applyAlignment="1" pivotButton="0" quotePrefix="0" xfId="0">
      <alignment horizontal="center" vertical="center"/>
    </xf>
    <xf numFmtId="166" fontId="23" fillId="0" borderId="0" applyAlignment="1" pivotButton="0" quotePrefix="0" xfId="0">
      <alignment horizontal="general" vertical="bottom"/>
    </xf>
    <xf numFmtId="168" fontId="11" fillId="0" borderId="9" applyAlignment="1" pivotButton="0" quotePrefix="0" xfId="86">
      <alignment horizontal="left" vertical="center"/>
    </xf>
    <xf numFmtId="0" fontId="16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 wrapText="1"/>
    </xf>
    <xf numFmtId="0" fontId="23" fillId="0" borderId="0" applyAlignment="1" pivotButton="0" quotePrefix="0" xfId="0">
      <alignment horizontal="center" vertical="bottom"/>
    </xf>
    <xf numFmtId="168" fontId="24" fillId="5" borderId="0" applyAlignment="1" pivotButton="0" quotePrefix="0" xfId="86">
      <alignment horizontal="center" vertical="center"/>
    </xf>
    <xf numFmtId="0" fontId="21" fillId="5" borderId="0" applyAlignment="1" pivotButton="0" quotePrefix="0" xfId="0">
      <alignment horizontal="general" vertical="bottom"/>
    </xf>
    <xf numFmtId="0" fontId="23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167" fontId="26" fillId="0" borderId="0" applyAlignment="1" pivotButton="0" quotePrefix="0" xfId="0">
      <alignment horizontal="general" vertical="bottom"/>
    </xf>
    <xf numFmtId="167" fontId="26" fillId="0" borderId="0" applyAlignment="1" pivotButton="0" quotePrefix="0" xfId="0">
      <alignment horizontal="right" vertical="center"/>
    </xf>
    <xf numFmtId="167" fontId="26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center" vertical="bottom"/>
    </xf>
    <xf numFmtId="167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center"/>
    </xf>
    <xf numFmtId="0" fontId="9" fillId="4" borderId="6" applyAlignment="1" pivotButton="0" quotePrefix="0" xfId="86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left" vertical="center"/>
    </xf>
    <xf numFmtId="0" fontId="0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bottom"/>
    </xf>
    <xf numFmtId="167" fontId="0" fillId="0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left" vertical="center"/>
    </xf>
    <xf numFmtId="0" fontId="0" fillId="8" borderId="0" applyAlignment="1" pivotButton="0" quotePrefix="0" xfId="0">
      <alignment horizontal="left" vertical="center"/>
    </xf>
    <xf numFmtId="0" fontId="0" fillId="8" borderId="0" applyAlignment="1" pivotButton="0" quotePrefix="0" xfId="0">
      <alignment horizontal="center" vertical="center"/>
    </xf>
    <xf numFmtId="0" fontId="20" fillId="8" borderId="6" applyAlignment="1" pivotButton="0" quotePrefix="0" xfId="86">
      <alignment horizontal="left" vertical="center"/>
    </xf>
    <xf numFmtId="0" fontId="0" fillId="8" borderId="0" applyAlignment="1" pivotButton="0" quotePrefix="0" xfId="0">
      <alignment horizontal="center" vertical="bottom"/>
    </xf>
    <xf numFmtId="0" fontId="0" fillId="9" borderId="0" applyAlignment="1" pivotButton="0" quotePrefix="0" xfId="0">
      <alignment horizontal="left" vertical="center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9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0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center" vertical="bottom"/>
    </xf>
    <xf numFmtId="0" fontId="0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bottom"/>
    </xf>
    <xf numFmtId="0" fontId="0" fillId="5" borderId="0" applyAlignment="1" pivotButton="0" quotePrefix="0" xfId="0">
      <alignment horizontal="left" vertical="center"/>
    </xf>
    <xf numFmtId="0" fontId="0" fillId="5" borderId="0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center" vertical="bottom"/>
    </xf>
    <xf numFmtId="0" fontId="0" fillId="5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left" vertical="center"/>
    </xf>
    <xf numFmtId="0" fontId="0" fillId="11" borderId="0" applyAlignment="1" pivotButton="0" quotePrefix="0" xfId="0">
      <alignment horizontal="center" vertical="bottom"/>
    </xf>
    <xf numFmtId="0" fontId="0" fillId="12" borderId="0" applyAlignment="1" pivotButton="0" quotePrefix="0" xfId="0">
      <alignment horizontal="left" vertical="center"/>
    </xf>
    <xf numFmtId="0" fontId="0" fillId="12" borderId="0" applyAlignment="1" pivotButton="0" quotePrefix="0" xfId="0">
      <alignment horizontal="center" vertical="bottom"/>
    </xf>
    <xf numFmtId="0" fontId="0" fillId="12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15">
      <alignment horizontal="general" vertical="bottom"/>
    </xf>
    <xf numFmtId="168" fontId="0" fillId="0" borderId="0" applyAlignment="1" pivotButton="0" quotePrefix="0" xfId="0">
      <alignment horizontal="general" vertical="bottom"/>
    </xf>
    <xf numFmtId="171" fontId="0" fillId="0" borderId="0" applyAlignment="1" pivotButton="0" quotePrefix="0" xfId="15">
      <alignment horizontal="general" vertical="bottom"/>
    </xf>
    <xf numFmtId="12" fontId="0" fillId="0" borderId="0" applyAlignment="1" pivotButton="0" quotePrefix="0" xfId="15">
      <alignment horizontal="general" vertical="bottom"/>
    </xf>
    <xf numFmtId="0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13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general" vertical="bottom"/>
    </xf>
    <xf numFmtId="10" fontId="0" fillId="14" borderId="1" applyAlignment="1" pivotButton="0" quotePrefix="0" xfId="0">
      <alignment horizontal="center" vertical="center"/>
    </xf>
    <xf numFmtId="0" fontId="29" fillId="13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general" vertical="bottom"/>
    </xf>
    <xf numFmtId="10" fontId="14" fillId="16" borderId="1" applyAlignment="1" pivotButton="0" quotePrefix="0" xfId="0">
      <alignment horizontal="center" vertical="center"/>
    </xf>
    <xf numFmtId="0" fontId="30" fillId="0" borderId="0" applyAlignment="1" pivotButton="0" quotePrefix="0" xfId="0">
      <alignment horizontal="general" vertical="center" wrapText="1"/>
    </xf>
    <xf numFmtId="0" fontId="29" fillId="13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10" fontId="31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bottom"/>
    </xf>
    <xf numFmtId="0" fontId="32" fillId="17" borderId="10" applyAlignment="1" pivotButton="0" quotePrefix="0" xfId="0">
      <alignment horizontal="center" vertical="center" wrapText="1"/>
    </xf>
    <xf numFmtId="0" fontId="32" fillId="17" borderId="1" applyAlignment="1" pivotButton="0" quotePrefix="0" xfId="0">
      <alignment horizontal="center" vertical="center" wrapText="1"/>
    </xf>
    <xf numFmtId="172" fontId="33" fillId="0" borderId="0" applyAlignment="1" pivotButton="0" quotePrefix="0" xfId="0">
      <alignment horizontal="general" vertical="bottom"/>
    </xf>
    <xf numFmtId="167" fontId="34" fillId="0" borderId="10" applyAlignment="1" pivotButton="0" quotePrefix="0" xfId="0">
      <alignment horizontal="center" vertical="center"/>
    </xf>
    <xf numFmtId="0" fontId="34" fillId="0" borderId="1" applyAlignment="1" pivotButton="0" quotePrefix="0" xfId="0">
      <alignment horizontal="center" vertical="center"/>
    </xf>
    <xf numFmtId="0" fontId="35" fillId="0" borderId="11" applyAlignment="1" pivotButton="0" quotePrefix="0" xfId="0">
      <alignment horizontal="center" vertical="center"/>
    </xf>
    <xf numFmtId="168" fontId="36" fillId="0" borderId="11" applyAlignment="1" pivotButton="0" quotePrefix="0" xfId="0">
      <alignment horizontal="center" vertical="center"/>
    </xf>
    <xf numFmtId="168" fontId="37" fillId="0" borderId="1" applyAlignment="1" pivotButton="0" quotePrefix="0" xfId="0">
      <alignment horizontal="center" vertical="center"/>
    </xf>
    <xf numFmtId="1" fontId="34" fillId="0" borderId="1" applyAlignment="1" pivotButton="0" quotePrefix="0" xfId="0">
      <alignment horizontal="center" vertical="center"/>
    </xf>
    <xf numFmtId="168" fontId="36" fillId="0" borderId="12" applyAlignment="1" pivotButton="0" quotePrefix="0" xfId="0">
      <alignment horizontal="center" vertical="center"/>
    </xf>
    <xf numFmtId="168" fontId="35" fillId="0" borderId="13" applyAlignment="1" pivotButton="0" quotePrefix="0" xfId="0">
      <alignment horizontal="center" vertical="center"/>
    </xf>
    <xf numFmtId="0" fontId="35" fillId="0" borderId="13" applyAlignment="1" pivotButton="0" quotePrefix="0" xfId="0">
      <alignment horizontal="center" vertical="center"/>
    </xf>
    <xf numFmtId="168" fontId="34" fillId="0" borderId="14" applyAlignment="1" pivotButton="0" quotePrefix="0" xfId="0">
      <alignment horizontal="center" vertical="center"/>
    </xf>
    <xf numFmtId="168" fontId="36" fillId="0" borderId="13" applyAlignment="1" pivotButton="0" quotePrefix="0" xfId="0">
      <alignment horizontal="center" vertical="center"/>
    </xf>
    <xf numFmtId="168" fontId="34" fillId="0" borderId="1" applyAlignment="1" pivotButton="0" quotePrefix="0" xfId="0">
      <alignment horizontal="center" vertical="center"/>
    </xf>
    <xf numFmtId="0" fontId="19" fillId="0" borderId="12" applyAlignment="1" pivotButton="0" quotePrefix="0" xfId="0">
      <alignment horizontal="center" vertical="center"/>
    </xf>
    <xf numFmtId="0" fontId="19" fillId="0" borderId="8" applyAlignment="1" pivotButton="0" quotePrefix="0" xfId="0">
      <alignment horizontal="center" vertical="center"/>
    </xf>
    <xf numFmtId="168" fontId="35" fillId="0" borderId="11" applyAlignment="1" pivotButton="0" quotePrefix="0" xfId="0">
      <alignment horizontal="center" vertical="center"/>
    </xf>
    <xf numFmtId="0" fontId="19" fillId="0" borderId="13" applyAlignment="1" pivotButton="0" quotePrefix="0" xfId="0">
      <alignment horizontal="center" vertical="center"/>
    </xf>
    <xf numFmtId="0" fontId="34" fillId="0" borderId="14" applyAlignment="1" pivotButton="0" quotePrefix="0" xfId="0">
      <alignment horizontal="center" vertical="center"/>
    </xf>
    <xf numFmtId="0" fontId="0" fillId="13" borderId="0" applyAlignment="1" pivotButton="0" quotePrefix="0" xfId="59">
      <alignment horizontal="general" vertical="bottom"/>
    </xf>
    <xf numFmtId="0" fontId="0" fillId="5" borderId="0" applyAlignment="1" pivotButton="0" quotePrefix="0" xfId="59">
      <alignment horizontal="general" vertical="bottom"/>
    </xf>
    <xf numFmtId="0" fontId="0" fillId="0" borderId="0" applyAlignment="1" pivotButton="0" quotePrefix="0" xfId="59">
      <alignment horizontal="general" vertical="bottom"/>
    </xf>
    <xf numFmtId="49" fontId="38" fillId="13" borderId="0" applyAlignment="1" pivotButton="0" quotePrefix="0" xfId="59">
      <alignment horizontal="general" vertical="bottom"/>
    </xf>
    <xf numFmtId="0" fontId="38" fillId="5" borderId="0" applyAlignment="1" pivotButton="0" quotePrefix="0" xfId="59">
      <alignment horizontal="general" vertical="bottom"/>
    </xf>
    <xf numFmtId="49" fontId="39" fillId="4" borderId="15" applyAlignment="1" pivotButton="0" quotePrefix="0" xfId="0">
      <alignment horizontal="left" vertical="bottom"/>
    </xf>
    <xf numFmtId="0" fontId="39" fillId="4" borderId="15" applyAlignment="1" pivotButton="0" quotePrefix="0" xfId="0">
      <alignment horizontal="right" vertical="bottom"/>
    </xf>
    <xf numFmtId="168" fontId="0" fillId="5" borderId="0" applyAlignment="1" pivotButton="0" quotePrefix="0" xfId="59">
      <alignment horizontal="general" vertical="bottom"/>
    </xf>
    <xf numFmtId="21" fontId="0" fillId="5" borderId="0" applyAlignment="1" pivotButton="0" quotePrefix="0" xfId="59">
      <alignment horizontal="general" vertical="bottom"/>
    </xf>
    <xf numFmtId="49" fontId="0" fillId="13" borderId="0" applyAlignment="1" pivotButton="0" quotePrefix="0" xfId="59">
      <alignment horizontal="general" vertical="bottom"/>
    </xf>
    <xf numFmtId="0" fontId="38" fillId="0" borderId="0" applyAlignment="1" pivotButton="0" quotePrefix="0" xfId="59">
      <alignment horizontal="general" vertical="bottom"/>
    </xf>
    <xf numFmtId="0" fontId="40" fillId="0" borderId="0" applyAlignment="1" pivotButton="0" quotePrefix="0" xfId="59">
      <alignment horizontal="general" vertical="bottom"/>
    </xf>
    <xf numFmtId="168" fontId="0" fillId="0" borderId="0" applyAlignment="1" pivotButton="0" quotePrefix="0" xfId="59">
      <alignment horizontal="general" vertical="bottom"/>
    </xf>
    <xf numFmtId="20" fontId="0" fillId="18" borderId="0" applyAlignment="1" pivotButton="0" quotePrefix="0" xfId="59">
      <alignment horizontal="center" vertical="center"/>
    </xf>
    <xf numFmtId="21" fontId="0" fillId="0" borderId="0" applyAlignment="1" pivotButton="0" quotePrefix="0" xfId="59">
      <alignment horizontal="general" vertical="bottom"/>
    </xf>
    <xf numFmtId="20" fontId="0" fillId="18" borderId="0" applyAlignment="1" pivotButton="0" quotePrefix="0" xfId="59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20" fontId="6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86">
      <alignment horizontal="center" vertical="center" wrapText="1"/>
    </xf>
    <xf numFmtId="164" fontId="7" fillId="2" borderId="1" applyAlignment="1" pivotButton="0" quotePrefix="0" xfId="86">
      <alignment horizontal="center" vertical="center" wrapText="1"/>
    </xf>
    <xf numFmtId="165" fontId="7" fillId="2" borderId="1" applyAlignment="1" pivotButton="0" quotePrefix="0" xfId="86">
      <alignment horizontal="center" vertical="center" wrapText="1"/>
    </xf>
    <xf numFmtId="20" fontId="7" fillId="2" borderId="1" applyAlignment="1" pivotButton="0" quotePrefix="0" xfId="86">
      <alignment horizontal="center" vertical="center" wrapText="1"/>
    </xf>
    <xf numFmtId="166" fontId="7" fillId="2" borderId="2" applyAlignment="1" pivotButton="0" quotePrefix="0" xfId="86">
      <alignment horizontal="center" vertical="center" wrapText="1"/>
    </xf>
    <xf numFmtId="166" fontId="7" fillId="2" borderId="1" applyAlignment="1" pivotButton="0" quotePrefix="0" xfId="86">
      <alignment horizontal="center" vertical="center" wrapText="1"/>
    </xf>
    <xf numFmtId="166" fontId="7" fillId="2" borderId="3" applyAlignment="1" pivotButton="0" quotePrefix="0" xfId="86">
      <alignment horizontal="center" vertical="center" wrapText="1"/>
    </xf>
    <xf numFmtId="168" fontId="7" fillId="0" borderId="1" applyAlignment="1" pivotButton="0" quotePrefix="0" xfId="86">
      <alignment horizontal="center" vertical="center" wrapText="1"/>
    </xf>
    <xf numFmtId="165" fontId="8" fillId="3" borderId="4" applyAlignment="1" pivotButton="0" quotePrefix="0" xfId="86">
      <alignment horizontal="center" vertical="center" wrapText="1"/>
    </xf>
    <xf numFmtId="165" fontId="7" fillId="2" borderId="3" applyAlignment="1" pivotButton="0" quotePrefix="0" xfId="86">
      <alignment horizontal="center" vertical="center" wrapText="1"/>
    </xf>
    <xf numFmtId="20" fontId="8" fillId="3" borderId="4" applyAlignment="1" pivotButton="0" quotePrefix="0" xfId="86">
      <alignment horizontal="center" vertical="center" wrapText="1"/>
    </xf>
    <xf numFmtId="168" fontId="8" fillId="3" borderId="4" applyAlignment="1" pivotButton="0" quotePrefix="0" xfId="15">
      <alignment horizontal="center" vertical="center" wrapText="1"/>
    </xf>
    <xf numFmtId="165" fontId="8" fillId="3" borderId="1" applyAlignment="1" pivotButton="0" quotePrefix="0" xfId="86">
      <alignment horizontal="center" vertical="center" wrapText="1"/>
    </xf>
    <xf numFmtId="0" fontId="0" fillId="0" borderId="0" pivotButton="0" quotePrefix="0" xfId="0"/>
    <xf numFmtId="167" fontId="9" fillId="4" borderId="5" applyAlignment="1" pivotButton="0" quotePrefix="0" xfId="86">
      <alignment horizontal="center" vertical="center"/>
    </xf>
    <xf numFmtId="0" fontId="6" fillId="0" borderId="6" applyAlignment="1" pivotButton="0" quotePrefix="0" xfId="86">
      <alignment horizontal="left" vertical="center"/>
    </xf>
    <xf numFmtId="165" fontId="9" fillId="0" borderId="6" applyAlignment="1" pivotButton="0" quotePrefix="0" xfId="86">
      <alignment horizontal="center" vertical="center"/>
    </xf>
    <xf numFmtId="165" fontId="9" fillId="0" borderId="7" applyAlignment="1" pivotButton="0" quotePrefix="0" xfId="86">
      <alignment horizontal="center" vertical="center"/>
    </xf>
    <xf numFmtId="20" fontId="9" fillId="0" borderId="4" applyAlignment="1" pivotButton="0" quotePrefix="0" xfId="86">
      <alignment horizontal="center" vertical="center" wrapText="1"/>
    </xf>
    <xf numFmtId="20" fontId="6" fillId="0" borderId="6" applyAlignment="1" pivotButton="0" quotePrefix="0" xfId="86">
      <alignment horizontal="center" vertical="center" wrapText="1"/>
    </xf>
    <xf numFmtId="20" fontId="9" fillId="0" borderId="6" applyAlignment="1" pivotButton="0" quotePrefix="0" xfId="86">
      <alignment horizontal="center" vertical="center" wrapText="1"/>
    </xf>
    <xf numFmtId="0" fontId="9" fillId="4" borderId="6" applyAlignment="1" pivotButton="0" quotePrefix="0" xfId="86">
      <alignment horizontal="center" vertical="bottom"/>
    </xf>
    <xf numFmtId="165" fontId="9" fillId="4" borderId="4" applyAlignment="1" pivotButton="0" quotePrefix="0" xfId="86">
      <alignment horizontal="center" vertical="bottom"/>
    </xf>
    <xf numFmtId="165" fontId="9" fillId="0" borderId="6" applyAlignment="1" pivotButton="0" quotePrefix="0" xfId="86">
      <alignment horizontal="center" vertical="bottom"/>
    </xf>
    <xf numFmtId="0" fontId="9" fillId="0" borderId="6" applyAlignment="1" pivotButton="0" quotePrefix="0" xfId="86">
      <alignment horizontal="left" vertical="bottom"/>
    </xf>
    <xf numFmtId="168" fontId="9" fillId="4" borderId="6" applyAlignment="1" pivotButton="0" quotePrefix="0" xfId="86">
      <alignment horizontal="center" vertical="center"/>
    </xf>
    <xf numFmtId="169" fontId="10" fillId="4" borderId="4" applyAlignment="1" pivotButton="0" quotePrefix="0" xfId="86">
      <alignment horizontal="center" vertical="bottom"/>
    </xf>
    <xf numFmtId="170" fontId="10" fillId="4" borderId="4" applyAlignment="1" pivotButton="0" quotePrefix="0" xfId="86">
      <alignment horizontal="left" vertical="bottom"/>
    </xf>
    <xf numFmtId="20" fontId="10" fillId="4" borderId="4" applyAlignment="1" pivotButton="0" quotePrefix="0" xfId="86">
      <alignment horizontal="center" vertical="center" wrapText="1"/>
    </xf>
    <xf numFmtId="169" fontId="10" fillId="4" borderId="4" applyAlignment="1" pivotButton="0" quotePrefix="0" xfId="86">
      <alignment horizontal="left" vertical="bottom"/>
    </xf>
    <xf numFmtId="169" fontId="10" fillId="0" borderId="4" applyAlignment="1" pivotButton="0" quotePrefix="0" xfId="86">
      <alignment horizontal="center" vertical="bottom"/>
    </xf>
    <xf numFmtId="169" fontId="10" fillId="4" borderId="6" applyAlignment="1" pivotButton="0" quotePrefix="0" xfId="86">
      <alignment horizontal="center" vertical="bottom"/>
    </xf>
    <xf numFmtId="0" fontId="6" fillId="5" borderId="0" applyAlignment="1" pivotButton="0" quotePrefix="0" xfId="0">
      <alignment horizontal="general" vertical="bottom"/>
    </xf>
    <xf numFmtId="20" fontId="6" fillId="4" borderId="6" applyAlignment="1" pivotButton="0" quotePrefix="0" xfId="86">
      <alignment horizontal="center" vertical="center" wrapText="1"/>
    </xf>
    <xf numFmtId="0" fontId="6" fillId="4" borderId="0" applyAlignment="1" pivotButton="0" quotePrefix="0" xfId="0">
      <alignment horizontal="general" vertical="bottom"/>
    </xf>
    <xf numFmtId="167" fontId="9" fillId="0" borderId="5" applyAlignment="1" pivotButton="0" quotePrefix="0" xfId="86">
      <alignment horizontal="center" vertical="center"/>
    </xf>
    <xf numFmtId="165" fontId="9" fillId="0" borderId="4" applyAlignment="1" pivotButton="0" quotePrefix="0" xfId="86">
      <alignment horizontal="center" vertical="bottom"/>
    </xf>
    <xf numFmtId="168" fontId="9" fillId="0" borderId="6" applyAlignment="1" pivotButton="0" quotePrefix="0" xfId="86">
      <alignment horizontal="center" vertical="center"/>
    </xf>
    <xf numFmtId="170" fontId="10" fillId="0" borderId="4" applyAlignment="1" pivotButton="0" quotePrefix="0" xfId="86">
      <alignment horizontal="left" vertical="bottom"/>
    </xf>
    <xf numFmtId="20" fontId="10" fillId="0" borderId="4" applyAlignment="1" pivotButton="0" quotePrefix="0" xfId="86">
      <alignment horizontal="center" vertical="center" wrapText="1"/>
    </xf>
    <xf numFmtId="169" fontId="10" fillId="0" borderId="4" applyAlignment="1" pivotButton="0" quotePrefix="0" xfId="86">
      <alignment horizontal="left" vertical="bottom"/>
    </xf>
    <xf numFmtId="169" fontId="10" fillId="0" borderId="6" applyAlignment="1" pivotButton="0" quotePrefix="0" xfId="86">
      <alignment horizontal="center" vertical="bottom"/>
    </xf>
    <xf numFmtId="20" fontId="6" fillId="5" borderId="6" applyAlignment="1" pivotButton="0" quotePrefix="0" xfId="86">
      <alignment horizontal="center" vertical="center" wrapText="1"/>
    </xf>
    <xf numFmtId="0" fontId="11" fillId="0" borderId="6" applyAlignment="1" pivotButton="0" quotePrefix="0" xfId="86">
      <alignment horizontal="left" vertical="center"/>
    </xf>
    <xf numFmtId="20" fontId="9" fillId="4" borderId="4" applyAlignment="1" pivotButton="0" quotePrefix="0" xfId="86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center" wrapText="1"/>
    </xf>
    <xf numFmtId="2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20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165" fontId="9" fillId="0" borderId="1" applyAlignment="1" pivotButton="0" quotePrefix="0" xfId="86">
      <alignment horizontal="center" vertical="center"/>
    </xf>
    <xf numFmtId="2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9" fillId="0" borderId="1" applyAlignment="1" pivotButton="0" quotePrefix="0" xfId="86">
      <alignment horizontal="center" vertical="bottom"/>
    </xf>
    <xf numFmtId="168" fontId="9" fillId="4" borderId="1" applyAlignment="1" pivotButton="0" quotePrefix="0" xfId="86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9" fillId="0" borderId="0" applyAlignment="1" pivotButton="0" quotePrefix="0" xfId="0">
      <alignment horizontal="general" vertical="center"/>
    </xf>
    <xf numFmtId="20" fontId="20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20" fontId="22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general" vertical="bottom"/>
    </xf>
    <xf numFmtId="20" fontId="0" fillId="0" borderId="0" applyAlignment="1" pivotButton="0" quotePrefix="0" xfId="0">
      <alignment horizontal="general" vertical="bottom"/>
    </xf>
    <xf numFmtId="0" fontId="9" fillId="0" borderId="6" applyAlignment="1" pivotButton="0" quotePrefix="0" xfId="86">
      <alignment horizontal="center" vertical="center"/>
    </xf>
    <xf numFmtId="20" fontId="14" fillId="0" borderId="1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general" vertical="bottom"/>
    </xf>
    <xf numFmtId="166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168" fontId="24" fillId="0" borderId="0" applyAlignment="1" pivotButton="0" quotePrefix="0" xfId="86">
      <alignment horizontal="center" vertical="center"/>
    </xf>
    <xf numFmtId="164" fontId="25" fillId="0" borderId="0" applyAlignment="1" pivotButton="0" quotePrefix="0" xfId="0">
      <alignment horizontal="center" vertical="center"/>
    </xf>
    <xf numFmtId="1" fontId="23" fillId="0" borderId="0" applyAlignment="1" pivotButton="0" quotePrefix="0" xfId="0">
      <alignment horizontal="center" vertical="center"/>
    </xf>
    <xf numFmtId="166" fontId="23" fillId="0" borderId="0" applyAlignment="1" pivotButton="0" quotePrefix="0" xfId="0">
      <alignment horizontal="general" vertical="bottom"/>
    </xf>
    <xf numFmtId="168" fontId="11" fillId="0" borderId="9" applyAlignment="1" pivotButton="0" quotePrefix="0" xfId="86">
      <alignment horizontal="left" vertical="center"/>
    </xf>
    <xf numFmtId="0" fontId="16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 wrapText="1"/>
    </xf>
    <xf numFmtId="0" fontId="23" fillId="0" borderId="0" applyAlignment="1" pivotButton="0" quotePrefix="0" xfId="0">
      <alignment horizontal="center" vertical="bottom"/>
    </xf>
    <xf numFmtId="168" fontId="24" fillId="5" borderId="0" applyAlignment="1" pivotButton="0" quotePrefix="0" xfId="86">
      <alignment horizontal="center" vertical="center"/>
    </xf>
    <xf numFmtId="0" fontId="21" fillId="5" borderId="0" applyAlignment="1" pivotButton="0" quotePrefix="0" xfId="0">
      <alignment horizontal="general" vertical="bottom"/>
    </xf>
    <xf numFmtId="0" fontId="23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167" fontId="26" fillId="0" borderId="0" applyAlignment="1" pivotButton="0" quotePrefix="0" xfId="0">
      <alignment horizontal="general" vertical="bottom"/>
    </xf>
    <xf numFmtId="167" fontId="26" fillId="0" borderId="0" applyAlignment="1" pivotButton="0" quotePrefix="0" xfId="0">
      <alignment horizontal="right" vertical="center"/>
    </xf>
    <xf numFmtId="167" fontId="26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center" vertical="bottom"/>
    </xf>
    <xf numFmtId="167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center"/>
    </xf>
    <xf numFmtId="0" fontId="9" fillId="4" borderId="6" applyAlignment="1" pivotButton="0" quotePrefix="0" xfId="86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left" vertical="center"/>
    </xf>
    <xf numFmtId="0" fontId="0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left" vertical="center"/>
    </xf>
    <xf numFmtId="0" fontId="0" fillId="8" borderId="0" applyAlignment="1" pivotButton="0" quotePrefix="0" xfId="0">
      <alignment horizontal="left" vertical="center"/>
    </xf>
    <xf numFmtId="0" fontId="0" fillId="8" borderId="0" applyAlignment="1" pivotButton="0" quotePrefix="0" xfId="0">
      <alignment horizontal="center" vertical="center"/>
    </xf>
    <xf numFmtId="0" fontId="20" fillId="8" borderId="6" applyAlignment="1" pivotButton="0" quotePrefix="0" xfId="86">
      <alignment horizontal="left" vertical="center"/>
    </xf>
    <xf numFmtId="0" fontId="0" fillId="8" borderId="0" applyAlignment="1" pivotButton="0" quotePrefix="0" xfId="0">
      <alignment horizontal="center" vertical="bottom"/>
    </xf>
    <xf numFmtId="0" fontId="0" fillId="9" borderId="0" applyAlignment="1" pivotButton="0" quotePrefix="0" xfId="0">
      <alignment horizontal="left" vertical="center"/>
    </xf>
    <xf numFmtId="0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bottom"/>
    </xf>
    <xf numFmtId="0" fontId="0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center" vertical="bottom"/>
    </xf>
    <xf numFmtId="0" fontId="0" fillId="1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/>
    </xf>
    <xf numFmtId="0" fontId="0" fillId="5" borderId="0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left" vertical="center"/>
    </xf>
    <xf numFmtId="0" fontId="0" fillId="11" borderId="0" applyAlignment="1" pivotButton="0" quotePrefix="0" xfId="0">
      <alignment horizontal="center" vertical="bottom"/>
    </xf>
    <xf numFmtId="0" fontId="0" fillId="12" borderId="0" applyAlignment="1" pivotButton="0" quotePrefix="0" xfId="0">
      <alignment horizontal="left" vertical="center"/>
    </xf>
    <xf numFmtId="0" fontId="0" fillId="12" borderId="0" applyAlignment="1" pivotButton="0" quotePrefix="0" xfId="0">
      <alignment horizontal="center" vertical="bottom"/>
    </xf>
    <xf numFmtId="0" fontId="0" fillId="12" borderId="0" applyAlignment="1" pivotButton="0" quotePrefix="0" xfId="0">
      <alignment horizontal="general" vertical="center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15">
      <alignment horizontal="general" vertical="bottom"/>
    </xf>
    <xf numFmtId="168" fontId="0" fillId="0" borderId="0" applyAlignment="1" pivotButton="0" quotePrefix="0" xfId="0">
      <alignment horizontal="general" vertical="bottom"/>
    </xf>
    <xf numFmtId="171" fontId="0" fillId="0" borderId="0" applyAlignment="1" pivotButton="0" quotePrefix="0" xfId="15">
      <alignment horizontal="general" vertical="bottom"/>
    </xf>
    <xf numFmtId="12" fontId="0" fillId="0" borderId="0" applyAlignment="1" pivotButton="0" quotePrefix="0" xfId="15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13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general" vertical="bottom"/>
    </xf>
    <xf numFmtId="10" fontId="0" fillId="14" borderId="1" applyAlignment="1" pivotButton="0" quotePrefix="0" xfId="0">
      <alignment horizontal="center" vertical="center"/>
    </xf>
    <xf numFmtId="0" fontId="29" fillId="13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general" vertical="bottom"/>
    </xf>
    <xf numFmtId="10" fontId="14" fillId="16" borderId="1" applyAlignment="1" pivotButton="0" quotePrefix="0" xfId="0">
      <alignment horizontal="center" vertical="center"/>
    </xf>
    <xf numFmtId="0" fontId="30" fillId="0" borderId="0" applyAlignment="1" pivotButton="0" quotePrefix="0" xfId="0">
      <alignment horizontal="general" vertical="center" wrapText="1"/>
    </xf>
    <xf numFmtId="0" fontId="29" fillId="13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10" fontId="31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bottom"/>
    </xf>
    <xf numFmtId="0" fontId="32" fillId="17" borderId="10" applyAlignment="1" pivotButton="0" quotePrefix="0" xfId="0">
      <alignment horizontal="center" vertical="center" wrapText="1"/>
    </xf>
    <xf numFmtId="0" fontId="32" fillId="17" borderId="1" applyAlignment="1" pivotButton="0" quotePrefix="0" xfId="0">
      <alignment horizontal="center" vertical="center" wrapText="1"/>
    </xf>
    <xf numFmtId="172" fontId="33" fillId="0" borderId="0" applyAlignment="1" pivotButton="0" quotePrefix="0" xfId="0">
      <alignment horizontal="general" vertical="bottom"/>
    </xf>
    <xf numFmtId="167" fontId="34" fillId="0" borderId="10" applyAlignment="1" pivotButton="0" quotePrefix="0" xfId="0">
      <alignment horizontal="center" vertical="center"/>
    </xf>
    <xf numFmtId="0" fontId="34" fillId="0" borderId="1" applyAlignment="1" pivotButton="0" quotePrefix="0" xfId="0">
      <alignment horizontal="center" vertical="center"/>
    </xf>
    <xf numFmtId="0" fontId="35" fillId="0" borderId="11" applyAlignment="1" pivotButton="0" quotePrefix="0" xfId="0">
      <alignment horizontal="center" vertical="center"/>
    </xf>
    <xf numFmtId="168" fontId="36" fillId="0" borderId="11" applyAlignment="1" pivotButton="0" quotePrefix="0" xfId="0">
      <alignment horizontal="center" vertical="center"/>
    </xf>
    <xf numFmtId="168" fontId="37" fillId="0" borderId="1" applyAlignment="1" pivotButton="0" quotePrefix="0" xfId="0">
      <alignment horizontal="center" vertical="center"/>
    </xf>
    <xf numFmtId="1" fontId="34" fillId="0" borderId="1" applyAlignment="1" pivotButton="0" quotePrefix="0" xfId="0">
      <alignment horizontal="center" vertical="center"/>
    </xf>
    <xf numFmtId="168" fontId="36" fillId="0" borderId="12" applyAlignment="1" pivotButton="0" quotePrefix="0" xfId="0">
      <alignment horizontal="center" vertical="center"/>
    </xf>
    <xf numFmtId="168" fontId="35" fillId="0" borderId="13" applyAlignment="1" pivotButton="0" quotePrefix="0" xfId="0">
      <alignment horizontal="center" vertical="center"/>
    </xf>
    <xf numFmtId="0" fontId="35" fillId="0" borderId="13" applyAlignment="1" pivotButton="0" quotePrefix="0" xfId="0">
      <alignment horizontal="center" vertical="center"/>
    </xf>
    <xf numFmtId="168" fontId="34" fillId="0" borderId="14" applyAlignment="1" pivotButton="0" quotePrefix="0" xfId="0">
      <alignment horizontal="center" vertical="center"/>
    </xf>
    <xf numFmtId="168" fontId="36" fillId="0" borderId="13" applyAlignment="1" pivotButton="0" quotePrefix="0" xfId="0">
      <alignment horizontal="center" vertical="center"/>
    </xf>
    <xf numFmtId="168" fontId="34" fillId="0" borderId="1" applyAlignment="1" pivotButton="0" quotePrefix="0" xfId="0">
      <alignment horizontal="center" vertical="center"/>
    </xf>
    <xf numFmtId="0" fontId="19" fillId="0" borderId="12" applyAlignment="1" pivotButton="0" quotePrefix="0" xfId="0">
      <alignment horizontal="center" vertical="center"/>
    </xf>
    <xf numFmtId="0" fontId="19" fillId="0" borderId="8" applyAlignment="1" pivotButton="0" quotePrefix="0" xfId="0">
      <alignment horizontal="center" vertical="center"/>
    </xf>
    <xf numFmtId="168" fontId="35" fillId="0" borderId="11" applyAlignment="1" pivotButton="0" quotePrefix="0" xfId="0">
      <alignment horizontal="center" vertical="center"/>
    </xf>
    <xf numFmtId="0" fontId="19" fillId="0" borderId="13" applyAlignment="1" pivotButton="0" quotePrefix="0" xfId="0">
      <alignment horizontal="center" vertical="center"/>
    </xf>
    <xf numFmtId="0" fontId="34" fillId="0" borderId="14" applyAlignment="1" pivotButton="0" quotePrefix="0" xfId="0">
      <alignment horizontal="center" vertical="center"/>
    </xf>
    <xf numFmtId="0" fontId="0" fillId="13" borderId="0" applyAlignment="1" pivotButton="0" quotePrefix="0" xfId="59">
      <alignment horizontal="general" vertical="bottom"/>
    </xf>
    <xf numFmtId="0" fontId="0" fillId="5" borderId="0" applyAlignment="1" pivotButton="0" quotePrefix="0" xfId="59">
      <alignment horizontal="general" vertical="bottom"/>
    </xf>
    <xf numFmtId="0" fontId="0" fillId="0" borderId="0" applyAlignment="1" pivotButton="0" quotePrefix="0" xfId="59">
      <alignment horizontal="general" vertical="bottom"/>
    </xf>
    <xf numFmtId="49" fontId="38" fillId="13" borderId="0" applyAlignment="1" pivotButton="0" quotePrefix="0" xfId="59">
      <alignment horizontal="general" vertical="bottom"/>
    </xf>
    <xf numFmtId="0" fontId="38" fillId="5" borderId="0" applyAlignment="1" pivotButton="0" quotePrefix="0" xfId="59">
      <alignment horizontal="general" vertical="bottom"/>
    </xf>
    <xf numFmtId="49" fontId="39" fillId="4" borderId="15" applyAlignment="1" pivotButton="0" quotePrefix="0" xfId="0">
      <alignment horizontal="left" vertical="bottom"/>
    </xf>
    <xf numFmtId="0" fontId="39" fillId="4" borderId="15" applyAlignment="1" pivotButton="0" quotePrefix="0" xfId="0">
      <alignment horizontal="right" vertical="bottom"/>
    </xf>
    <xf numFmtId="168" fontId="0" fillId="5" borderId="0" applyAlignment="1" pivotButton="0" quotePrefix="0" xfId="59">
      <alignment horizontal="general" vertical="bottom"/>
    </xf>
    <xf numFmtId="21" fontId="0" fillId="5" borderId="0" applyAlignment="1" pivotButton="0" quotePrefix="0" xfId="59">
      <alignment horizontal="general" vertical="bottom"/>
    </xf>
    <xf numFmtId="49" fontId="0" fillId="13" borderId="0" applyAlignment="1" pivotButton="0" quotePrefix="0" xfId="59">
      <alignment horizontal="general" vertical="bottom"/>
    </xf>
    <xf numFmtId="0" fontId="38" fillId="0" borderId="0" applyAlignment="1" pivotButton="0" quotePrefix="0" xfId="59">
      <alignment horizontal="general" vertical="bottom"/>
    </xf>
    <xf numFmtId="0" fontId="40" fillId="0" borderId="0" applyAlignment="1" pivotButton="0" quotePrefix="0" xfId="59">
      <alignment horizontal="general" vertical="bottom"/>
    </xf>
    <xf numFmtId="168" fontId="0" fillId="0" borderId="0" applyAlignment="1" pivotButton="0" quotePrefix="0" xfId="59">
      <alignment horizontal="general" vertical="bottom"/>
    </xf>
    <xf numFmtId="173" fontId="0" fillId="18" borderId="0" applyAlignment="1" pivotButton="0" quotePrefix="0" xfId="59">
      <alignment horizontal="center" vertical="center"/>
    </xf>
    <xf numFmtId="20" fontId="0" fillId="18" borderId="0" applyAlignment="1" pivotButton="0" quotePrefix="0" xfId="59">
      <alignment horizontal="center" vertical="center"/>
    </xf>
    <xf numFmtId="21" fontId="0" fillId="0" borderId="0" applyAlignment="1" pivotButton="0" quotePrefix="0" xfId="59">
      <alignment horizontal="general" vertical="bottom"/>
    </xf>
    <xf numFmtId="20" fontId="0" fillId="18" borderId="0" applyAlignment="1" pivotButton="0" quotePrefix="0" xfId="59">
      <alignment horizontal="general" vertical="bottom"/>
    </xf>
    <xf numFmtId="174" fontId="9" fillId="0" borderId="4" applyAlignment="1" pivotButton="0" quotePrefix="0" xfId="86">
      <alignment horizontal="center" vertical="center" wrapText="1"/>
    </xf>
    <xf numFmtId="174" fontId="9" fillId="4" borderId="4" applyAlignment="1" pivotButton="0" quotePrefix="0" xfId="86">
      <alignment horizontal="center" vertical="center" wrapText="1"/>
    </xf>
  </cellXfs>
  <cellStyles count="74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CS_Normal" xfId="6"/>
    <cellStyle name="Milliers 2" xfId="7"/>
    <cellStyle name="Milliers 2 2" xfId="8"/>
    <cellStyle name="Milliers 2 2 2" xfId="9"/>
    <cellStyle name="Milliers 2 2 2 2" xfId="10"/>
    <cellStyle name="Milliers 2 2 2 3" xfId="11"/>
    <cellStyle name="Milliers 2 2 3" xfId="12"/>
    <cellStyle name="Milliers 2 2 4" xfId="13"/>
    <cellStyle name="Milliers 2 3" xfId="14"/>
    <cellStyle name="Milliers 2 3 2" xfId="15"/>
    <cellStyle name="Milliers 2 3 3" xfId="16"/>
    <cellStyle name="Milliers 2 4" xfId="17"/>
    <cellStyle name="Milliers 2 5" xfId="18"/>
    <cellStyle name="Milliers 3" xfId="19"/>
    <cellStyle name="Milliers 3 2" xfId="20"/>
    <cellStyle name="Milliers 3 2 2" xfId="21"/>
    <cellStyle name="Milliers 3 2 3" xfId="22"/>
    <cellStyle name="Milliers 3 3" xfId="23"/>
    <cellStyle name="Milliers 3 4" xfId="24"/>
    <cellStyle name="Milliers 4" xfId="25"/>
    <cellStyle name="Milliers 4 2" xfId="26"/>
    <cellStyle name="Milliers 4 3" xfId="27"/>
    <cellStyle name="Milliers 5" xfId="28"/>
    <cellStyle name="Milliers 6" xfId="29"/>
    <cellStyle name="Normal 10" xfId="30"/>
    <cellStyle name="Normal 10 2" xfId="31"/>
    <cellStyle name="Normal 11" xfId="32"/>
    <cellStyle name="Normal 11 2" xfId="33"/>
    <cellStyle name="Normal 12" xfId="34"/>
    <cellStyle name="Normal 12 2" xfId="35"/>
    <cellStyle name="Normal 13" xfId="36"/>
    <cellStyle name="Normal 13 2" xfId="37"/>
    <cellStyle name="Normal 14" xfId="38"/>
    <cellStyle name="Normal 14 2" xfId="39"/>
    <cellStyle name="Normal 15" xfId="40"/>
    <cellStyle name="Normal 15 2" xfId="41"/>
    <cellStyle name="Normal 16" xfId="42"/>
    <cellStyle name="Normal 17" xfId="43"/>
    <cellStyle name="Normal 17 2" xfId="44"/>
    <cellStyle name="Normal 18" xfId="45"/>
    <cellStyle name="Normal 2" xfId="46"/>
    <cellStyle name="Normal 2 10 2" xfId="47"/>
    <cellStyle name="Normal 3" xfId="48"/>
    <cellStyle name="Normal 4" xfId="49"/>
    <cellStyle name="Normal 4 2" xfId="50"/>
    <cellStyle name="Normal 5" xfId="51"/>
    <cellStyle name="Normal 5 2" xfId="52"/>
    <cellStyle name="Normal 58 2" xfId="53"/>
    <cellStyle name="Normal 59" xfId="54"/>
    <cellStyle name="Normal 6" xfId="55"/>
    <cellStyle name="Normal 6 2" xfId="56"/>
    <cellStyle name="Normal 60" xfId="57"/>
    <cellStyle name="Normal 61" xfId="58"/>
    <cellStyle name="Normal 62" xfId="59"/>
    <cellStyle name="Normal 63" xfId="60"/>
    <cellStyle name="Normal 64" xfId="61"/>
    <cellStyle name="Normal 65" xfId="62"/>
    <cellStyle name="Normal 66" xfId="63"/>
    <cellStyle name="Normal 68" xfId="64"/>
    <cellStyle name="Normal 68 2" xfId="65"/>
    <cellStyle name="Normal 7" xfId="66"/>
    <cellStyle name="Normal 7 2" xfId="67"/>
    <cellStyle name="Normal 8" xfId="68"/>
    <cellStyle name="Normal 8 2" xfId="69"/>
    <cellStyle name="Normal 9" xfId="70"/>
    <cellStyle name="Normal 9 2" xfId="71"/>
    <cellStyle name="Nor}al" xfId="72"/>
    <cellStyle name="Pourcentage 2" xfId="73"/>
  </cellStyles>
  <dxfs count="13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D9D9D9"/>
      </font>
    </dxf>
    <dxf>
      <font>
        <color rgb="FFFFFFFF"/>
      </font>
    </dxf>
    <dxf>
      <font>
        <color rgb="FFD9D9D9"/>
      </font>
    </dxf>
    <dxf>
      <font>
        <color rgb="FFFFFFFF"/>
      </font>
    </dxf>
    <dxf>
      <font>
        <color rgb="FFD9D9D9"/>
      </font>
    </dxf>
    <dxf>
      <font>
        <color rgb="FFFFFFFF"/>
      </font>
    </dxf>
    <dxf>
      <font>
        <color rgb="FFD9D9D9"/>
      </font>
    </dxf>
    <dxf>
      <font>
        <color rgb="FFFFFFFF"/>
      </font>
    </dxf>
    <dxf>
      <font>
        <color rgb="FFD9D9D9"/>
      </font>
    </dxf>
    <dxf>
      <font>
        <color rgb="FFFFFFFF"/>
      </font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FABAB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25406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Calibri"/>
        <charset val="1"/>
        <family val="2"/>
        <color rgb="FF000000"/>
        <sz val="11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ADB9CA"/>
      <rgbColor rgb="FF993366"/>
      <rgbColor rgb="FFFFF2CC"/>
      <rgbColor rgb="FFDDEBF7"/>
      <rgbColor rgb="FF660066"/>
      <rgbColor rgb="FFEDEDED"/>
      <rgbColor rgb="FF0070C0"/>
      <rgbColor rgb="FFD6DCE5"/>
      <rgbColor rgb="FF000080"/>
      <rgbColor rgb="FFFF00FF"/>
      <rgbColor rgb="FFDDDDDD"/>
      <rgbColor rgb="FF00FFFF"/>
      <rgbColor rgb="FF800080"/>
      <rgbColor rgb="FFC00000"/>
      <rgbColor rgb="FF008080"/>
      <rgbColor rgb="FF0000FF"/>
      <rgbColor rgb="FF00CCFF"/>
      <rgbColor rgb="FFDEEBF7"/>
      <rgbColor rgb="FFC6EFCE"/>
      <rgbColor rgb="FFFFE699"/>
      <rgbColor rgb="FF9DC3E6"/>
      <rgbColor rgb="FFD9D9D9"/>
      <rgbColor rgb="FFD0CECE"/>
      <rgbColor rgb="FFFFC7CE"/>
      <rgbColor rgb="FF3366FF"/>
      <rgbColor rgb="FF33CCCC"/>
      <rgbColor rgb="FF92D050"/>
      <rgbColor rgb="FFFFC000"/>
      <rgbColor rgb="FFF2F2F2"/>
      <rgbColor rgb="FFFF6600"/>
      <rgbColor rgb="FF666699"/>
      <rgbColor rgb="FFAFABAB"/>
      <rgbColor rgb="FF002060"/>
      <rgbColor rgb="FF00B050"/>
      <rgbColor rgb="FF0D0D0D"/>
      <rgbColor rgb="FF333300"/>
      <rgbColor rgb="FF993300"/>
      <rgbColor rgb="FF993366"/>
      <rgbColor rgb="FF25406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externalLink" Target="/xl/externalLinks/externalLink1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Unknown Author</author>
  </authors>
  <commentList>
    <comment ref="I20" authorId="0" shapeId="0">
      <text>
        <t>ARBOUBBA Oumaima [EIDS]:
Changement de position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Suivi_Absent&#233;isme_Google_Leads_S28VF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oogle Leads "/>
      <sheetName val="log"/>
      <sheetName val="trame"/>
      <sheetName val="Source CC pulse"/>
      <sheetName val="Planning"/>
      <sheetName val="Annuaire_roster"/>
      <sheetName val="Contrôle des heures"/>
      <sheetName val="Contrôle des jours"/>
      <sheetName val="Feuil1"/>
      <sheetName val="Suivi des justificatifs"/>
      <sheetName val="Connexions"/>
      <sheetName val="Mapping_Noms"/>
      <sheetName val="Planning Pauses Dej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id="1" name="Planning2" displayName="Planning2" ref="A1:H225" headerRowCount="1" totalsRowCount="0" totalsRowShown="0">
  <tableColumns count="8">
    <tableColumn id="1" name="Nom"/>
    <tableColumn id="2" name="Date"/>
    <tableColumn id="3" name="Entrée"/>
    <tableColumn id="4" name="Sortie"/>
    <tableColumn id="5" name="No Semaine"/>
    <tableColumn id="6" name="Segment"/>
    <tableColumn id="7" name="Colonne1"/>
    <tableColumn id="8" name="Colonne2"/>
  </tableColumns>
</table>
</file>

<file path=xl/tables/table2.xml><?xml version="1.0" encoding="utf-8"?>
<table xmlns="http://schemas.openxmlformats.org/spreadsheetml/2006/main" id="2" name="Tableau4" displayName="Tableau4" ref="N5:Q16" headerRowCount="1" totalsRowCount="0" totalsRowShown="0">
  <autoFilter ref="N5:Q16"/>
  <tableColumns count="4">
    <tableColumn id="1" name="Nom De l'agent"/>
    <tableColumn id="2" name="Date"/>
    <tableColumn id="3" name="Somme de Théorique"/>
    <tableColumn id="4" name="Commentaire"/>
  </tableColumns>
</table>
</file>

<file path=xl/tables/table3.xml><?xml version="1.0" encoding="utf-8"?>
<table xmlns="http://schemas.openxmlformats.org/spreadsheetml/2006/main" id="3" name="Tableau132" displayName="Tableau132" ref="C4:J64" headerRowCount="1" totalsRowCount="0" totalsRowShown="0">
  <tableColumns count="8">
    <tableColumn id="1" name="Matricule"/>
    <tableColumn id="2" name="Activité"/>
    <tableColumn id="3" name="Manager"/>
    <tableColumn id="4" name="Nom et Prénom du salarié"/>
    <tableColumn id="5" name="Date début de l'arrêt"/>
    <tableColumn id="6" name="Date de reprise"/>
    <tableColumn id="7" name="Date de dépôt du CM"/>
    <tableColumn id="8" name="Durée de l'arrêt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AG2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2" activeCellId="0" sqref="B2"/>
    </sheetView>
  </sheetViews>
  <sheetFormatPr baseColWidth="8" defaultColWidth="11.43359375" defaultRowHeight="12.75" zeroHeight="0" outlineLevelRow="0"/>
  <cols>
    <col width="13.71" customWidth="1" style="209" min="1" max="1"/>
    <col width="27.29" customWidth="1" style="210" min="2" max="2"/>
    <col width="16.43" customWidth="1" style="211" min="3" max="3"/>
    <col width="16.43" customWidth="1" style="212" min="4" max="4"/>
    <col width="13.71" customWidth="1" style="213" min="5" max="5"/>
    <col width="14" customWidth="1" style="213" min="6" max="6"/>
    <col width="14.57" customWidth="1" style="214" min="7" max="7"/>
    <col width="17.71" customWidth="1" style="214" min="8" max="8"/>
    <col width="16.29" customWidth="1" style="214" min="9" max="9"/>
    <col width="13.71" customWidth="1" style="214" min="10" max="11"/>
    <col width="12.71" customWidth="1" style="214" min="12" max="12"/>
    <col width="12.71" customWidth="1" style="209" min="13" max="13"/>
    <col width="14.71" customWidth="1" style="214" min="14" max="14"/>
    <col width="14.57" customWidth="1" style="214" min="15" max="15"/>
    <col width="12.57" customWidth="1" style="209" min="16" max="16"/>
    <col width="10.42" customWidth="1" style="209" min="17" max="17"/>
    <col width="14.71" customWidth="1" style="209" min="18" max="18"/>
    <col width="16.71" customWidth="1" style="209" min="19" max="19"/>
    <col width="12.29" customWidth="1" style="209" min="20" max="20"/>
    <col width="9.289999999999999" customWidth="1" style="209" min="21" max="21"/>
    <col width="10.71" customWidth="1" style="209" min="22" max="22"/>
    <col width="8.710000000000001" customWidth="1" style="209" min="23" max="23"/>
    <col width="14.57" customWidth="1" style="213" min="24" max="24"/>
    <col width="25.29" customWidth="1" style="209" min="25" max="25"/>
    <col width="12.29" customWidth="1" style="209" min="26" max="26"/>
    <col width="10.42" customWidth="1" style="215" min="27" max="27"/>
    <col width="14.57" customWidth="1" style="209" min="28" max="28"/>
    <col width="18.71" customWidth="1" style="209" min="29" max="29"/>
    <col width="16" customWidth="1" style="209" min="30" max="30"/>
    <col width="13" customWidth="1" style="209" min="31" max="31"/>
    <col width="38.29" customWidth="1" style="209" min="32" max="32"/>
    <col width="16.43" customWidth="1" style="209" min="33" max="33"/>
    <col width="11.43" customWidth="1" style="209" min="34" max="16384"/>
  </cols>
  <sheetData>
    <row r="1" ht="35.25" customFormat="1" customHeight="1" s="216">
      <c r="A1" s="217" t="inlineStr">
        <is>
          <t>Matricule</t>
        </is>
      </c>
      <c r="B1" s="218" t="inlineStr">
        <is>
          <t>Nom De l'agent</t>
        </is>
      </c>
      <c r="C1" s="219" t="inlineStr">
        <is>
          <t>Hr début shift Réalisée</t>
        </is>
      </c>
      <c r="D1" s="220" t="inlineStr">
        <is>
          <t>Hr début shift Planifiée</t>
        </is>
      </c>
      <c r="E1" s="221" t="inlineStr">
        <is>
          <t>Hr fin shift Réalisée</t>
        </is>
      </c>
      <c r="F1" s="221" t="inlineStr">
        <is>
          <t>Hr Fin shift Planifiée</t>
        </is>
      </c>
      <c r="G1" s="222" t="inlineStr">
        <is>
          <t>Durée de la Pause Dej</t>
        </is>
      </c>
      <c r="H1" s="222" t="inlineStr">
        <is>
          <t>Dépsement des pauses</t>
        </is>
      </c>
      <c r="I1" s="222" t="inlineStr">
        <is>
          <t>Retard Debut de shift</t>
        </is>
      </c>
      <c r="J1" s="222" t="inlineStr">
        <is>
          <t>Retard Dej</t>
        </is>
      </c>
      <c r="K1" s="222" t="inlineStr">
        <is>
          <t>Somme des retards</t>
        </is>
      </c>
      <c r="L1" s="222" t="inlineStr">
        <is>
          <t>Départs Anticipés</t>
        </is>
      </c>
      <c r="M1" s="223" t="inlineStr">
        <is>
          <t>Absences</t>
        </is>
      </c>
      <c r="N1" s="224" t="inlineStr">
        <is>
          <t>Hr Adherée</t>
        </is>
      </c>
      <c r="O1" s="220" t="inlineStr">
        <is>
          <t>Hr Planifiée</t>
        </is>
      </c>
      <c r="P1" s="220" t="inlineStr">
        <is>
          <t>Segment</t>
        </is>
      </c>
      <c r="Q1" s="225" t="inlineStr">
        <is>
          <t>Date</t>
        </is>
      </c>
      <c r="R1" s="226" t="inlineStr">
        <is>
          <t>Hr Abs Pure</t>
        </is>
      </c>
      <c r="S1" s="226" t="inlineStr">
        <is>
          <t>Hr Abs Totales</t>
        </is>
      </c>
      <c r="T1" s="226" t="inlineStr">
        <is>
          <t>Semaine</t>
        </is>
      </c>
      <c r="U1" s="226" t="inlineStr">
        <is>
          <t>Mois</t>
        </is>
      </c>
      <c r="V1" s="226" t="inlineStr">
        <is>
          <t>Année</t>
        </is>
      </c>
      <c r="W1" s="227" t="inlineStr">
        <is>
          <t>VTO</t>
        </is>
      </c>
      <c r="X1" s="228" t="inlineStr">
        <is>
          <t>Heures SUP</t>
        </is>
      </c>
      <c r="Y1" s="226" t="inlineStr">
        <is>
          <t>Team</t>
        </is>
      </c>
      <c r="Z1" s="226" t="inlineStr">
        <is>
          <t>Business</t>
        </is>
      </c>
      <c r="AA1" s="229" t="inlineStr">
        <is>
          <t>Statut</t>
        </is>
      </c>
      <c r="AB1" s="226" t="inlineStr">
        <is>
          <t>Congé payé</t>
        </is>
      </c>
      <c r="AC1" s="226" t="inlineStr">
        <is>
          <t>Congé sans solde</t>
        </is>
      </c>
      <c r="AD1" s="226" t="inlineStr">
        <is>
          <t>Congé spécial</t>
        </is>
      </c>
      <c r="AE1" s="226" t="inlineStr">
        <is>
          <t>Jour férié</t>
        </is>
      </c>
      <c r="AF1" s="230" t="inlineStr">
        <is>
          <t>Commentaire</t>
        </is>
      </c>
      <c r="AG1" s="226" t="inlineStr">
        <is>
          <t>Plannif spécial</t>
        </is>
      </c>
    </row>
    <row r="2" ht="12.75" customHeight="1" s="231">
      <c r="A2" s="232">
        <f>VLOOKUP(B2,Annuaire_roster!B:F,5,0)</f>
        <v/>
      </c>
      <c r="B2" s="233" t="inlineStr">
        <is>
          <t>ZAKI OMAR</t>
        </is>
      </c>
      <c r="C2" s="234">
        <f>IFERROR(IF(COUNTIFS(Connexions!$K:$K,$Q2,Connexions!$E:$E,VLOOKUP($B2,Mapping_Noms!$A:$B,2,0))=0,"",_xlfn.MINIFS(Connexions!$M:$M,Connexions!$K:$K,$Q2,Connexions!$E:$E,VLOOKUP($B2,Mapping_Noms!$A:$B,2,0))-TIME(1,0,0)),"")</f>
        <v/>
      </c>
      <c r="D2" s="234">
        <f t="array" ref="D2:D2">IFERROR(INDEX(Planning2[],MATCH(1,(Planning2[Nom]=B2)*(Planning2[Date]=Q2),0),3),"-")</f>
        <v/>
      </c>
      <c r="E2" s="235">
        <f>IFERROR(IF(COUNTIFS(Connexions!$K:$K,$Q2,Connexions!$E:$E,VLOOKUP($B2,Mapping_Noms!$A:$B,2,0))=0,"",_xlfn.MAXIFS(Connexions!$O:$O,Connexions!$K:$K,$Q2,Connexions!$E:$E,VLOOKUP($B2,Mapping_Noms!$A:$B,2,0))-TIME(1,0,0)),"")</f>
        <v/>
      </c>
      <c r="F2" s="235">
        <f t="array" ref="F2:F2">IFERROR(INDEX(Planning2[],MATCH(1,(Planning2[Nom]=B2)*(Planning2[Date]=Q2),0),4),"-")</f>
        <v/>
      </c>
      <c r="G2" s="405">
        <f>IFERROR(IF(OR(IFERROR(INDEX('Planning Pauses Dej'!$C:$C,MATCH($B2&amp;"|"&amp;TEXT($Q2,"YYYYMMDD"),'Planning Pauses Dej'!$F:$F,0)),"")="",IFERROR(INDEX('Planning Pauses Dej'!$D:$D,MATCH($B2&amp;"|"&amp;TEXT($Q2,"YYYYMMDD"),'Planning Pauses Dej'!$F:$F,0)),"")=""),"",_xlfn.MAXIFS(Connexions!$Q:$Q,Connexions!$K:$K,$Q2,Connexions!$E:$E,VLOOKUP($B2,Mapping_Noms!$A:$B,2,0),Connexions!$O:$O,"&lt;="&amp;(IFERROR(INDEX('Planning Pauses Dej'!$D:$D,MATCH($B2&amp;"|"&amp;TEXT($Q2,"YYYYMMDD"),'Planning Pauses Dej'!$F:$F,0)),"")+TIME(1,0,0)),Connexions!$P:$P,"&gt;="&amp;(IFERROR(INDEX('Planning Pauses Dej'!$C:$C,MATCH($B2&amp;"|"&amp;TEXT($Q2,"YYYYMMDD"),'Planning Pauses Dej'!$F:$F,0)),"")+TIME(1,0,0)))),"")</f>
        <v/>
      </c>
      <c r="H2" s="405">
        <f>IFERROR(IF(OR($G2="",IFERROR(INDEX('Planning Pauses Dej'!$C:$C,MATCH($B2&amp;"|"&amp;TEXT($Q2,"YYYYMMDD"),'Planning Pauses Dej'!$F:$F,0)),"")="",IFERROR(INDEX('Planning Pauses Dej'!$D:$D,MATCH($B2&amp;"|"&amp;TEXT($Q2,"YYYYMMDD"),'Planning Pauses Dej'!$F:$F,0)),"")=""),"",IF($G2&gt;(IFERROR(INDEX('Planning Pauses Dej'!$D:$D,MATCH($B2&amp;"|"&amp;TEXT($Q2,"YYYYMMDD"),'Planning Pauses Dej'!$F:$F,0)),"")-IFERROR(INDEX('Planning Pauses Dej'!$C:$C,MATCH($B2&amp;"|"&amp;TEXT($Q2,"YYYYMMDD"),'Planning Pauses Dej'!$F:$F,0)),"")),$G2-(IFERROR(INDEX('Planning Pauses Dej'!$D:$D,MATCH($B2&amp;"|"&amp;TEXT($Q2,"YYYYMMDD"),'Planning Pauses Dej'!$F:$F,0)),"")-IFERROR(INDEX('Planning Pauses Dej'!$C:$C,MATCH($B2&amp;"|"&amp;TEXT($Q2,"YYYYMMDD"),'Planning Pauses Dej'!$F:$F,0)),"")),0)),"")</f>
        <v/>
      </c>
      <c r="I2" s="237">
        <f>IF(IF(OR(C2="",D2="Congé",D2="OFF",D2="Congé spécial"),"",IF(D2&gt;F2,D2-C2,IF(C2-D2&lt;0,0,C2-D2)))&lt;0.00068287037037037,"",IF(OR(D2="Congé",D2="OFF",C2="",D2="Congé spécial"),"",IF(D2&gt;F2,D2-C2,IF(C2-D2&lt;0,0,C2-D2))))</f>
        <v/>
      </c>
      <c r="J2" s="405">
        <f>IFERROR(IF($G2="","",IF($G2&gt;TIME(1,0,0),$G2-TIME(1,0,0),0)),"")</f>
        <v/>
      </c>
      <c r="K2" s="238">
        <f>IF(SUM(H2:J2)&lt;0.00068287037037037,0,SUM(H2:J2))</f>
        <v/>
      </c>
      <c r="L2" s="236">
        <f>IF(OR(F2="Congé",F2="OFF",M2="Abs",F2="Congé sans solde",F2="Férié",F2="Congé spécial",D2="Congé spécial"),0,IF(F2-E2&lt;0,0,IF(F2-E2&lt;=0.00068287037037037,0,F2-E2)))</f>
        <v/>
      </c>
      <c r="M2" s="239">
        <f>IF(AND(O2&lt;&gt;0,C2=""),"Abs",0)</f>
        <v/>
      </c>
      <c r="N2" s="240">
        <f>IFERROR(IF(OR(D2="OFF",D2="Congé",M2="Abs",D2="Congé sans solde",D2="Férié"),"",IF(O2-K2-L2&gt;O2,O2,IF(O2-K2-L2&lt;0,"",O2-K2-L2))),"")</f>
        <v/>
      </c>
      <c r="O2" s="241">
        <f>IF(AG2="2H Pause déjeuner",IF(F2-D2-0.0833333333333333&lt;0,F2-D2-0.0833333333333333+1,F2-D2-0.0833333333333333),IF(OR(AND(F2="OFF",D2="OFF"),AND(F2="Congé",D2="Congé"),AND(F2="Congé sans solde",D2="Congé sans solde"),AND(F2="Congé spécial",D2="Congé spécial"),AND(F2="Férié",D2="Férié"),AND(F2="OFF",D2="Congé"),AND(F2="OFF",D2="Congé sans solde"),AND(F2="OFF",D2="Congé spécial"),AND(F2="OFF",D2="Férié"),AND(F2="Congé",D2="OFF"),AND(F2="Congé",D2="Congé sans solde"),AND(F2="Congé",D2="Congé spécial"),AND(F2="Congé",D2="Férié"),AND(F2="Congé sans solde",D2="OFF"),AND(F2="Congé sans solde",D2="Congé"),AND(F2="Congé sans solde",D2="Congé spécial"),AND(F2="Congé sans solde",D2="Férié"),AND(F2="Congé spécial",D2="OFF"),AND(F2="Congé spécial",D2="Congé"),AND(F2="Congé spécial",D2="Congé sans solde"),AND(F2="Congé spécial",D2="Férié"),AND(F2="Férié",D2="OFF"),AND(F2="Férié",D2="Congé"),AND(F2="Férié",D2="Congé sans solde"),AND(F2="Férié",D2="Congé spécial")),0,IF(OR(F2="OFF",F2="Congé",F2="Congé spécial",F2="Congé sans solde",D2="OFF",D2="Congé",D2="Congé spécial",D2="Congé sans solde"),0.208333333333334,IF(AND(AG2="",F2-D2&lt;0),("24:00:00"-D2)+("00:00:00"+F2)-0.0416666666666667,IF(AND(OR(AG2="Allaitement",AG2="Sans déjeuner"),F2-D2&lt;0),("24:00:00"-D2)+("00:00:00"+F2),IF(AND(AG2="",F2-D2&gt;0.166666666666667),F2-D2-0.0416666666666667,IF(AND(OR(AG2="Allaitement",AG2="Sans déjeuner"),F2-D2&gt;0.166666666666667),F2-D2,F2-D2)))))))</f>
        <v/>
      </c>
      <c r="P2" s="242">
        <f>IFERROR(VLOOKUP($B2,Annuaire_roster!$B:$G,MATCH(P$1,Annuaire_roster!$B$1:$G$1,0),0),"-")</f>
        <v/>
      </c>
      <c r="Q2" s="243" t="n">
        <v>44761</v>
      </c>
      <c r="R2" s="244">
        <f>IF(M2="Abs",O2,0)</f>
        <v/>
      </c>
      <c r="S2" s="244">
        <f>SUM(R2,L2,I2,J2,W2,H2)</f>
        <v/>
      </c>
      <c r="T2" s="209">
        <f>"Sem - "&amp;WEEKNUM(Q2,21)</f>
        <v/>
      </c>
      <c r="U2" s="209">
        <f>PROPER(TEXT(Q2,"mmmm"))</f>
        <v/>
      </c>
      <c r="V2" s="245">
        <f>+TEXT(Q2,"aaa")</f>
        <v/>
      </c>
      <c r="W2" s="240" t="n"/>
      <c r="X2" s="246">
        <f>IFERROR(IF(M2="Abs",0,IF((D2-C2+E2-F2)&lt;0.000694444444444444,0,(D2-C2+E2-F2))),0)</f>
        <v/>
      </c>
      <c r="Y2" s="247">
        <f>IFERROR(VLOOKUP(B2,Annuaire_roster!B:E,4,0),"-")</f>
        <v/>
      </c>
      <c r="Z2" s="247">
        <f>IFERROR(VLOOKUP(B2,Annuaire_roster!B:F,3,0),"-")</f>
        <v/>
      </c>
      <c r="AA2" s="247">
        <f>IFERROR(VLOOKUP(B2,Annuaire_roster!B:I,6,0),"-")</f>
        <v/>
      </c>
      <c r="AB2" s="248">
        <f>IF(AND(D2="Congé",F2="Congé"),0.333333333333333,IF(OR(AND(D2="Congé",F2&lt;&gt;"Congé"),(AND(F2="Congé",D2&lt;&gt;"Congé"))),0.166666666666667,""))</f>
        <v/>
      </c>
      <c r="AC2" s="248">
        <f>IF(AND(D2="Congé sans solde",F2="Congé sans solde"),0.333333333333333,IF(OR(AND(D2="Congé sans solde",F2&lt;&gt;"Congé sans solde"),(AND(F2="Congé sans solde",D2&lt;&gt;"Congé sans solde"))),0.166666666666667,""))</f>
        <v/>
      </c>
      <c r="AD2" s="248">
        <f>IF(AND(D2="Congé spécial",F2="Congé spécial"),0.333333333333333,IF(OR(AND(D2="Congé spécial",F2&lt;&gt;"Congé décès"),(AND(F2="Congé spécial",D2&lt;&gt;"Congé spécial"))),0.166666666666667,""))</f>
        <v/>
      </c>
      <c r="AE2" s="249">
        <f>IF(AND(D2="Férié",F2="Férié"),0.333333333333333,IF(OR(AND(D2="Férié",F2&lt;&gt;"Férié"),(AND(F2="Férié",D2&lt;&gt;"Férié"))),0.166666666666667,""))</f>
        <v/>
      </c>
      <c r="AF2" s="249" t="n"/>
      <c r="AG2" s="244" t="n"/>
    </row>
    <row r="3" ht="12.75" customHeight="1" s="231">
      <c r="A3" s="232">
        <f>VLOOKUP(B3,Annuaire_roster!B:F,5,0)</f>
        <v/>
      </c>
      <c r="B3" s="233" t="inlineStr">
        <is>
          <t>AZHARI ABDELHAMID</t>
        </is>
      </c>
      <c r="C3" s="234">
        <f>IFERROR(IF(COUNTIFS(Connexions!$K:$K,$Q3,Connexions!$E:$E,VLOOKUP($B3,Mapping_Noms!$A:$B,2,0))=0,"",_xlfn.MINIFS(Connexions!$M:$M,Connexions!$K:$K,$Q3,Connexions!$E:$E,VLOOKUP($B3,Mapping_Noms!$A:$B,2,0))-TIME(1,0,0)),"")</f>
        <v/>
      </c>
      <c r="D3" s="234">
        <f t="array" ref="D3:D3">IFERROR(INDEX(Planning2[],MATCH(1,(Planning2[Nom]=B3)*(Planning2[Date]=Q3),0),3),"-")</f>
        <v/>
      </c>
      <c r="E3" s="235">
        <f>IFERROR(IF(COUNTIFS(Connexions!$K:$K,$Q3,Connexions!$E:$E,VLOOKUP($B3,Mapping_Noms!$A:$B,2,0))=0,"",_xlfn.MAXIFS(Connexions!$O:$O,Connexions!$K:$K,$Q3,Connexions!$E:$E,VLOOKUP($B3,Mapping_Noms!$A:$B,2,0))-TIME(1,0,0)),"")</f>
        <v/>
      </c>
      <c r="F3" s="235">
        <f t="array" ref="F3:F3">IFERROR(INDEX(Planning2[],MATCH(1,(Planning2[Nom]=B3)*(Planning2[Date]=Q3),0),4),"-")</f>
        <v/>
      </c>
      <c r="G3" s="405">
        <f>IFERROR(IF(OR(IFERROR(INDEX('Planning Pauses Dej'!$C:$C,MATCH($B3&amp;"|"&amp;TEXT($Q3,"YYYYMMDD"),'Planning Pauses Dej'!$F:$F,0)),"")="",IFERROR(INDEX('Planning Pauses Dej'!$D:$D,MATCH($B3&amp;"|"&amp;TEXT($Q3,"YYYYMMDD"),'Planning Pauses Dej'!$F:$F,0)),"")=""),"",_xlfn.MAXIFS(Connexions!$Q:$Q,Connexions!$K:$K,$Q3,Connexions!$E:$E,VLOOKUP($B3,Mapping_Noms!$A:$B,2,0),Connexions!$O:$O,"&lt;="&amp;(IFERROR(INDEX('Planning Pauses Dej'!$D:$D,MATCH($B3&amp;"|"&amp;TEXT($Q3,"YYYYMMDD"),'Planning Pauses Dej'!$F:$F,0)),"")+TIME(1,0,0)),Connexions!$P:$P,"&gt;="&amp;(IFERROR(INDEX('Planning Pauses Dej'!$C:$C,MATCH($B3&amp;"|"&amp;TEXT($Q3,"YYYYMMDD"),'Planning Pauses Dej'!$F:$F,0)),"")+TIME(1,0,0)))),"")</f>
        <v/>
      </c>
      <c r="H3" s="405">
        <f>IFERROR(IF(OR($G3="",IFERROR(INDEX('Planning Pauses Dej'!$C:$C,MATCH($B3&amp;"|"&amp;TEXT($Q3,"YYYYMMDD"),'Planning Pauses Dej'!$F:$F,0)),"")="",IFERROR(INDEX('Planning Pauses Dej'!$D:$D,MATCH($B3&amp;"|"&amp;TEXT($Q3,"YYYYMMDD"),'Planning Pauses Dej'!$F:$F,0)),"")=""),"",IF($G3&gt;(IFERROR(INDEX('Planning Pauses Dej'!$D:$D,MATCH($B3&amp;"|"&amp;TEXT($Q3,"YYYYMMDD"),'Planning Pauses Dej'!$F:$F,0)),"")-IFERROR(INDEX('Planning Pauses Dej'!$C:$C,MATCH($B3&amp;"|"&amp;TEXT($Q3,"YYYYMMDD"),'Planning Pauses Dej'!$F:$F,0)),"")),$G3-(IFERROR(INDEX('Planning Pauses Dej'!$D:$D,MATCH($B3&amp;"|"&amp;TEXT($Q3,"YYYYMMDD"),'Planning Pauses Dej'!$F:$F,0)),"")-IFERROR(INDEX('Planning Pauses Dej'!$C:$C,MATCH($B3&amp;"|"&amp;TEXT($Q3,"YYYYMMDD"),'Planning Pauses Dej'!$F:$F,0)),"")),0)),"")</f>
        <v/>
      </c>
      <c r="I3" s="237">
        <f>IF(IF(OR(C3="",D3="Congé",D3="OFF",D3="Congé spécial"),"",IF(D3&gt;F3,D3-C3,IF(C3-D3&lt;0,0,C3-D3)))&lt;0.00068287037037037,"",IF(OR(D3="Congé",D3="OFF",C3="",D3="Congé spécial"),"",IF(D3&gt;F3,D3-C3,IF(C3-D3&lt;0,0,C3-D3))))</f>
        <v/>
      </c>
      <c r="J3" s="405">
        <f>IFERROR(IF($G3="","",IF($G3&gt;TIME(1,0,0),$G3-TIME(1,0,0),0)),"")</f>
        <v/>
      </c>
      <c r="K3" s="238">
        <f>IF(SUM(H3:J3)&lt;0.00068287037037037,0,SUM(H3:J3))</f>
        <v/>
      </c>
      <c r="L3" s="236">
        <f>IF(OR(F3="Congé",F3="OFF",M3="Abs",F3="Congé sans solde",F3="Férié",F3="Congé spécial",D3="Congé spécial"),0,IF(F3-E3&lt;0,0,IF(F3-E3&lt;=0.00068287037037037,0,F3-E3)))</f>
        <v/>
      </c>
      <c r="M3" s="239">
        <f>IF(AND(O3&lt;&gt;0,C3=""),"Abs",0)</f>
        <v/>
      </c>
      <c r="N3" s="240">
        <f>IFERROR(IF(OR(D3="OFF",D3="Congé",M3="Abs",D3="Congé sans solde",D3="Férié"),"",IF(O3-K3-L3&gt;O3,O3,IF(O3-K3-L3&lt;0,"",O3-K3-L3))),"")</f>
        <v/>
      </c>
      <c r="O3" s="241">
        <f>IF(AG3="2H Pause déjeuner",IF(F3-D3-0.0833333333333333&lt;0,F3-D3-0.0833333333333333+1,F3-D3-0.0833333333333333),IF(OR(AND(F3="OFF",D3="OFF"),AND(F3="Congé",D3="Congé"),AND(F3="Congé sans solde",D3="Congé sans solde"),AND(F3="Congé spécial",D3="Congé spécial"),AND(F3="Férié",D3="Férié"),AND(F3="OFF",D3="Congé"),AND(F3="OFF",D3="Congé sans solde"),AND(F3="OFF",D3="Congé spécial"),AND(F3="OFF",D3="Férié"),AND(F3="Congé",D3="OFF"),AND(F3="Congé",D3="Congé sans solde"),AND(F3="Congé",D3="Congé spécial"),AND(F3="Congé",D3="Férié"),AND(F3="Congé sans solde",D3="OFF"),AND(F3="Congé sans solde",D3="Congé"),AND(F3="Congé sans solde",D3="Congé spécial"),AND(F3="Congé sans solde",D3="Férié"),AND(F3="Congé spécial",D3="OFF"),AND(F3="Congé spécial",D3="Congé"),AND(F3="Congé spécial",D3="Congé sans solde"),AND(F3="Congé spécial",D3="Férié"),AND(F3="Férié",D3="OFF"),AND(F3="Férié",D3="Congé"),AND(F3="Férié",D3="Congé sans solde"),AND(F3="Férié",D3="Congé spécial")),0,IF(OR(F3="OFF",F3="Congé",F3="Congé spécial",F3="Congé sans solde",D3="OFF",D3="Congé",D3="Congé spécial",D3="Congé sans solde"),0.208333333333334,IF(AND(AG3="",F3-D3&lt;0),("24:00:00"-D3)+("00:00:00"+F3)-0.0416666666666667,IF(AND(OR(AG3="Allaitement",AG3="Sans déjeuner"),F3-D3&lt;0),("24:00:00"-D3)+("00:00:00"+F3),IF(AND(AG3="",F3-D3&gt;0.166666666666667),F3-D3-0.0416666666666667,IF(AND(OR(AG3="Allaitement",AG3="Sans déjeuner"),F3-D3&gt;0.166666666666667),F3-D3,F3-D3)))))))</f>
        <v/>
      </c>
      <c r="P3" s="242">
        <f>IFERROR(VLOOKUP($B3,Annuaire_roster!$B:$G,MATCH(P$1,Annuaire_roster!$B$1:$G$1,0),0),"-")</f>
        <v/>
      </c>
      <c r="Q3" s="243" t="n">
        <v>44761</v>
      </c>
      <c r="R3" s="244">
        <f>IF(M3="Abs",O3,0)</f>
        <v/>
      </c>
      <c r="S3" s="244">
        <f>SUM(R3,L3,I3,J3,W3,H3)</f>
        <v/>
      </c>
      <c r="T3" s="209">
        <f>"Sem - "&amp;WEEKNUM(Q3,21)</f>
        <v/>
      </c>
      <c r="U3" s="209">
        <f>PROPER(TEXT(Q3,"mmmm"))</f>
        <v/>
      </c>
      <c r="V3" s="245">
        <f>+TEXT(Q3,"aaa")</f>
        <v/>
      </c>
      <c r="W3" s="240" t="n"/>
      <c r="X3" s="246">
        <f>IFERROR(IF(M3="Abs",0,IF((D3-C3+E3-F3)&lt;0.000694444444444444,0,(D3-C3+E3-F3))),0)</f>
        <v/>
      </c>
      <c r="Y3" s="247">
        <f>IFERROR(VLOOKUP(B3,Annuaire_roster!B:E,4,0),"-")</f>
        <v/>
      </c>
      <c r="Z3" s="247">
        <f>IFERROR(VLOOKUP(B3,Annuaire_roster!B:F,3,0),"-")</f>
        <v/>
      </c>
      <c r="AA3" s="247">
        <f>IFERROR(VLOOKUP(B3,Annuaire_roster!B:I,6,0),"-")</f>
        <v/>
      </c>
      <c r="AB3" s="248">
        <f>IF(AND(D3="Congé",F3="Congé"),0.333333333333333,IF(OR(AND(D3="Congé",F3&lt;&gt;"Congé"),(AND(F3="Congé",D3&lt;&gt;"Congé"))),0.166666666666667,""))</f>
        <v/>
      </c>
      <c r="AC3" s="248">
        <f>IF(AND(D3="Congé sans solde",F3="Congé sans solde"),0.333333333333333,IF(OR(AND(D3="Congé sans solde",F3&lt;&gt;"Congé sans solde"),(AND(F3="Congé sans solde",D3&lt;&gt;"Congé sans solde"))),0.166666666666667,""))</f>
        <v/>
      </c>
      <c r="AD3" s="248">
        <f>IF(AND(D3="Congé spécial",F3="Congé spécial"),0.333333333333333,IF(OR(AND(D3="Congé spécial",F3&lt;&gt;"Congé décès"),(AND(F3="Congé spécial",D3&lt;&gt;"Congé spécial"))),0.166666666666667,""))</f>
        <v/>
      </c>
      <c r="AE3" s="249">
        <f>IF(AND(D3="Férié",F3="Férié"),0.333333333333333,IF(OR(AND(D3="Férié",F3&lt;&gt;"Férié"),(AND(F3="Férié",D3&lt;&gt;"Férié"))),0.166666666666667,""))</f>
        <v/>
      </c>
      <c r="AF3" s="249" t="n"/>
      <c r="AG3" s="244" t="n"/>
    </row>
    <row r="4" ht="12.75" customFormat="1" customHeight="1" s="250">
      <c r="A4" s="232">
        <f>VLOOKUP(B4,Annuaire_roster!B:F,5,0)</f>
        <v/>
      </c>
      <c r="B4" s="233" t="inlineStr">
        <is>
          <t>DIOUF OUSSMANE</t>
        </is>
      </c>
      <c r="C4" s="234">
        <f>IFERROR(IF(COUNTIFS(Connexions!$K:$K,$Q4,Connexions!$E:$E,VLOOKUP($B4,Mapping_Noms!$A:$B,2,0))=0,"",_xlfn.MINIFS(Connexions!$M:$M,Connexions!$K:$K,$Q4,Connexions!$E:$E,VLOOKUP($B4,Mapping_Noms!$A:$B,2,0))-TIME(1,0,0)),"")</f>
        <v/>
      </c>
      <c r="D4" s="234">
        <f t="array" ref="D4:D4">IFERROR(INDEX(Planning2[],MATCH(1,(Planning2[Nom]=B4)*(Planning2[Date]=Q4),0),3),"-")</f>
        <v/>
      </c>
      <c r="E4" s="235">
        <f>IFERROR(IF(COUNTIFS(Connexions!$K:$K,$Q4,Connexions!$E:$E,VLOOKUP($B4,Mapping_Noms!$A:$B,2,0))=0,"",_xlfn.MAXIFS(Connexions!$O:$O,Connexions!$K:$K,$Q4,Connexions!$E:$E,VLOOKUP($B4,Mapping_Noms!$A:$B,2,0))-TIME(1,0,0)),"")</f>
        <v/>
      </c>
      <c r="F4" s="235">
        <f t="array" ref="F4:F4">IFERROR(INDEX(Planning2[],MATCH(1,(Planning2[Nom]=B4)*(Planning2[Date]=Q4),0),4),"-")</f>
        <v/>
      </c>
      <c r="G4" s="405">
        <f>IFERROR(IF(OR(IFERROR(INDEX('Planning Pauses Dej'!$C:$C,MATCH($B4&amp;"|"&amp;TEXT($Q4,"YYYYMMDD"),'Planning Pauses Dej'!$F:$F,0)),"")="",IFERROR(INDEX('Planning Pauses Dej'!$D:$D,MATCH($B4&amp;"|"&amp;TEXT($Q4,"YYYYMMDD"),'Planning Pauses Dej'!$F:$F,0)),"")=""),"",_xlfn.MAXIFS(Connexions!$Q:$Q,Connexions!$K:$K,$Q4,Connexions!$E:$E,VLOOKUP($B4,Mapping_Noms!$A:$B,2,0),Connexions!$O:$O,"&lt;="&amp;(IFERROR(INDEX('Planning Pauses Dej'!$D:$D,MATCH($B4&amp;"|"&amp;TEXT($Q4,"YYYYMMDD"),'Planning Pauses Dej'!$F:$F,0)),"")+TIME(1,0,0)),Connexions!$P:$P,"&gt;="&amp;(IFERROR(INDEX('Planning Pauses Dej'!$C:$C,MATCH($B4&amp;"|"&amp;TEXT($Q4,"YYYYMMDD"),'Planning Pauses Dej'!$F:$F,0)),"")+TIME(1,0,0)))),"")</f>
        <v/>
      </c>
      <c r="H4" s="405">
        <f>IFERROR(IF(OR($G4="",IFERROR(INDEX('Planning Pauses Dej'!$C:$C,MATCH($B4&amp;"|"&amp;TEXT($Q4,"YYYYMMDD"),'Planning Pauses Dej'!$F:$F,0)),"")="",IFERROR(INDEX('Planning Pauses Dej'!$D:$D,MATCH($B4&amp;"|"&amp;TEXT($Q4,"YYYYMMDD"),'Planning Pauses Dej'!$F:$F,0)),"")=""),"",IF($G4&gt;(IFERROR(INDEX('Planning Pauses Dej'!$D:$D,MATCH($B4&amp;"|"&amp;TEXT($Q4,"YYYYMMDD"),'Planning Pauses Dej'!$F:$F,0)),"")-IFERROR(INDEX('Planning Pauses Dej'!$C:$C,MATCH($B4&amp;"|"&amp;TEXT($Q4,"YYYYMMDD"),'Planning Pauses Dej'!$F:$F,0)),"")),$G4-(IFERROR(INDEX('Planning Pauses Dej'!$D:$D,MATCH($B4&amp;"|"&amp;TEXT($Q4,"YYYYMMDD"),'Planning Pauses Dej'!$F:$F,0)),"")-IFERROR(INDEX('Planning Pauses Dej'!$C:$C,MATCH($B4&amp;"|"&amp;TEXT($Q4,"YYYYMMDD"),'Planning Pauses Dej'!$F:$F,0)),"")),0)),"")</f>
        <v/>
      </c>
      <c r="I4" s="251">
        <f>IF(IF(OR(C4="",D4="Congé",D4="OFF",D4="Congé spécial"),"",IF(D4&gt;F4,D4-C4,IF(C4-D4&lt;0,0,C4-D4)))&lt;0.00068287037037037,"",IF(OR(D4="Congé",D4="OFF",C4="",D4="Congé spécial"),"",IF(D4&gt;F4,D4-C4,IF(C4-D4&lt;0,0,C4-D4))))</f>
        <v/>
      </c>
      <c r="J4" s="405">
        <f>IFERROR(IF($G4="","",IF($G4&gt;TIME(1,0,0),$G4-TIME(1,0,0),0)),"")</f>
        <v/>
      </c>
      <c r="K4" s="238">
        <f>IF(SUM(H4:J4)&lt;0.00068287037037037,0,SUM(H4:J4))</f>
        <v/>
      </c>
      <c r="L4" s="236">
        <f>IF(OR(F4="Congé",F4="OFF",M4="Abs",F4="Congé sans solde",F4="Férié",F4="Congé spécial",D4="Congé spécial"),0,IF(F4-E4&lt;0,0,IF(F4-E4&lt;=0.00068287037037037,0,F4-E4)))</f>
        <v/>
      </c>
      <c r="M4" s="239">
        <f>IF(AND(O4&lt;&gt;0,C4=""),"Abs",0)</f>
        <v/>
      </c>
      <c r="N4" s="240">
        <f>IFERROR(IF(OR(D4="OFF",D4="Congé",M4="Abs",D4="Congé sans solde",D4="Férié"),"",IF(O4-K4-L4&gt;O4,O4,IF(O4-K4-L4&lt;0,"",O4-K4-L4))),"")</f>
        <v/>
      </c>
      <c r="O4" s="241">
        <f>IF(AG4="2H Pause déjeuner",IF(F4-D4-0.0833333333333333&lt;0,F4-D4-0.0833333333333333+1,F4-D4-0.0833333333333333),IF(OR(AND(F4="OFF",D4="OFF"),AND(F4="Congé",D4="Congé"),AND(F4="Congé sans solde",D4="Congé sans solde"),AND(F4="Congé spécial",D4="Congé spécial"),AND(F4="Férié",D4="Férié"),AND(F4="OFF",D4="Congé"),AND(F4="OFF",D4="Congé sans solde"),AND(F4="OFF",D4="Congé spécial"),AND(F4="OFF",D4="Férié"),AND(F4="Congé",D4="OFF"),AND(F4="Congé",D4="Congé sans solde"),AND(F4="Congé",D4="Congé spécial"),AND(F4="Congé",D4="Férié"),AND(F4="Congé sans solde",D4="OFF"),AND(F4="Congé sans solde",D4="Congé"),AND(F4="Congé sans solde",D4="Congé spécial"),AND(F4="Congé sans solde",D4="Férié"),AND(F4="Congé spécial",D4="OFF"),AND(F4="Congé spécial",D4="Congé"),AND(F4="Congé spécial",D4="Congé sans solde"),AND(F4="Congé spécial",D4="Férié"),AND(F4="Férié",D4="OFF"),AND(F4="Férié",D4="Congé"),AND(F4="Férié",D4="Congé sans solde"),AND(F4="Férié",D4="Congé spécial")),0,IF(OR(F4="OFF",F4="Congé",F4="Congé spécial",F4="Congé sans solde",D4="OFF",D4="Congé",D4="Congé spécial",D4="Congé sans solde"),0.208333333333334,IF(AND(AG4="",F4-D4&lt;0),("24:00:00"-D4)+("00:00:00"+F4)-0.0416666666666667,IF(AND(OR(AG4="Allaitement",AG4="Sans déjeuner"),F4-D4&lt;0),("24:00:00"-D4)+("00:00:00"+F4),IF(AND(AG4="",F4-D4&gt;0.166666666666667),F4-D4-0.0416666666666667,IF(AND(OR(AG4="Allaitement",AG4="Sans déjeuner"),F4-D4&gt;0.166666666666667),F4-D4,F4-D4)))))))</f>
        <v/>
      </c>
      <c r="P4" s="242">
        <f>IFERROR(VLOOKUP($B4,Annuaire_roster!$B:$G,MATCH(P$1,Annuaire_roster!$B$1:$G$1,0),0),"-")</f>
        <v/>
      </c>
      <c r="Q4" s="243" t="n">
        <v>44761</v>
      </c>
      <c r="R4" s="244">
        <f>IF(M4="Abs",O4,0)</f>
        <v/>
      </c>
      <c r="S4" s="244">
        <f>SUM(R4,L4,I4,J4,W4,H4)</f>
        <v/>
      </c>
      <c r="T4" s="209">
        <f>"Sem - "&amp;WEEKNUM(Q4,21)</f>
        <v/>
      </c>
      <c r="U4" s="209">
        <f>PROPER(TEXT(Q4,"mmmm"))</f>
        <v/>
      </c>
      <c r="V4" s="245">
        <f>+TEXT(Q4,"aaa")</f>
        <v/>
      </c>
      <c r="W4" s="240" t="n"/>
      <c r="X4" s="246">
        <f>IFERROR(IF(M4="Abs",0,IF((D4-C4+E4-F4)&lt;0.000694444444444444,0,(D4-C4+E4-F4))),0)</f>
        <v/>
      </c>
      <c r="Y4" s="247">
        <f>IFERROR(VLOOKUP(B4,Annuaire_roster!B:E,4,0),"-")</f>
        <v/>
      </c>
      <c r="Z4" s="247">
        <f>IFERROR(VLOOKUP(B4,Annuaire_roster!B:F,3,0),"-")</f>
        <v/>
      </c>
      <c r="AA4" s="247">
        <f>IFERROR(VLOOKUP(B4,Annuaire_roster!B:I,6,0),"-")</f>
        <v/>
      </c>
      <c r="AB4" s="248">
        <f>IF(AND(D4="Congé",F4="Congé"),0.333333333333333,IF(OR(AND(D4="Congé",F4&lt;&gt;"Congé"),(AND(F4="Congé",D4&lt;&gt;"Congé"))),0.166666666666667,""))</f>
        <v/>
      </c>
      <c r="AC4" s="248">
        <f>IF(AND(D4="Congé sans solde",F4="Congé sans solde"),0.333333333333333,IF(OR(AND(D4="Congé sans solde",F4&lt;&gt;"Congé sans solde"),(AND(F4="Congé sans solde",D4&lt;&gt;"Congé sans solde"))),0.166666666666667,""))</f>
        <v/>
      </c>
      <c r="AD4" s="248">
        <f>IF(AND(D4="Congé spécial",F4="Congé spécial"),0.333333333333333,IF(OR(AND(D4="Congé spécial",F4&lt;&gt;"Congé décès"),(AND(F4="Congé spécial",D4&lt;&gt;"Congé spécial"))),0.166666666666667,""))</f>
        <v/>
      </c>
      <c r="AE4" s="249">
        <f>IF(AND(D4="Férié",F4="Férié"),0.333333333333333,IF(OR(AND(D4="Férié",F4&lt;&gt;"Férié"),(AND(F4="Férié",D4&lt;&gt;"Férié"))),0.166666666666667,""))</f>
        <v/>
      </c>
      <c r="AF4" s="249" t="n"/>
      <c r="AG4" s="244" t="n"/>
    </row>
    <row r="5" ht="12.75" customHeight="1" s="231">
      <c r="A5" s="232">
        <f>VLOOKUP(B5,Annuaire_roster!B:F,5,0)</f>
        <v/>
      </c>
      <c r="B5" s="233" t="inlineStr">
        <is>
          <t>NIANG NDEYE ABSA</t>
        </is>
      </c>
      <c r="C5" s="234">
        <f>IFERROR(IF(COUNTIFS(Connexions!$K:$K,$Q5,Connexions!$E:$E,VLOOKUP($B5,Mapping_Noms!$A:$B,2,0))=0,"",_xlfn.MINIFS(Connexions!$M:$M,Connexions!$K:$K,$Q5,Connexions!$E:$E,VLOOKUP($B5,Mapping_Noms!$A:$B,2,0))-TIME(1,0,0)),"")</f>
        <v/>
      </c>
      <c r="D5" s="234">
        <f t="array" ref="D5:D5">IFERROR(INDEX(Planning2[],MATCH(1,(Planning2[Nom]=B5)*(Planning2[Date]=Q5),0),3),"-")</f>
        <v/>
      </c>
      <c r="E5" s="235">
        <f>IFERROR(IF(COUNTIFS(Connexions!$K:$K,$Q5,Connexions!$E:$E,VLOOKUP($B5,Mapping_Noms!$A:$B,2,0))=0,"",_xlfn.MAXIFS(Connexions!$O:$O,Connexions!$K:$K,$Q5,Connexions!$E:$E,VLOOKUP($B5,Mapping_Noms!$A:$B,2,0))-TIME(1,0,0)),"")</f>
        <v/>
      </c>
      <c r="F5" s="235">
        <f t="array" ref="F5:F5">IFERROR(INDEX(Planning2[],MATCH(1,(Planning2[Nom]=B5)*(Planning2[Date]=Q5),0),4),"-")</f>
        <v/>
      </c>
      <c r="G5" s="405">
        <f>IFERROR(IF(OR(IFERROR(INDEX('Planning Pauses Dej'!$C:$C,MATCH($B5&amp;"|"&amp;TEXT($Q5,"YYYYMMDD"),'Planning Pauses Dej'!$F:$F,0)),"")="",IFERROR(INDEX('Planning Pauses Dej'!$D:$D,MATCH($B5&amp;"|"&amp;TEXT($Q5,"YYYYMMDD"),'Planning Pauses Dej'!$F:$F,0)),"")=""),"",_xlfn.MAXIFS(Connexions!$Q:$Q,Connexions!$K:$K,$Q5,Connexions!$E:$E,VLOOKUP($B5,Mapping_Noms!$A:$B,2,0),Connexions!$O:$O,"&lt;="&amp;(IFERROR(INDEX('Planning Pauses Dej'!$D:$D,MATCH($B5&amp;"|"&amp;TEXT($Q5,"YYYYMMDD"),'Planning Pauses Dej'!$F:$F,0)),"")+TIME(1,0,0)),Connexions!$P:$P,"&gt;="&amp;(IFERROR(INDEX('Planning Pauses Dej'!$C:$C,MATCH($B5&amp;"|"&amp;TEXT($Q5,"YYYYMMDD"),'Planning Pauses Dej'!$F:$F,0)),"")+TIME(1,0,0)))),"")</f>
        <v/>
      </c>
      <c r="H5" s="405">
        <f>IFERROR(IF(OR($G5="",IFERROR(INDEX('Planning Pauses Dej'!$C:$C,MATCH($B5&amp;"|"&amp;TEXT($Q5,"YYYYMMDD"),'Planning Pauses Dej'!$F:$F,0)),"")="",IFERROR(INDEX('Planning Pauses Dej'!$D:$D,MATCH($B5&amp;"|"&amp;TEXT($Q5,"YYYYMMDD"),'Planning Pauses Dej'!$F:$F,0)),"")=""),"",IF($G5&gt;(IFERROR(INDEX('Planning Pauses Dej'!$D:$D,MATCH($B5&amp;"|"&amp;TEXT($Q5,"YYYYMMDD"),'Planning Pauses Dej'!$F:$F,0)),"")-IFERROR(INDEX('Planning Pauses Dej'!$C:$C,MATCH($B5&amp;"|"&amp;TEXT($Q5,"YYYYMMDD"),'Planning Pauses Dej'!$F:$F,0)),"")),$G5-(IFERROR(INDEX('Planning Pauses Dej'!$D:$D,MATCH($B5&amp;"|"&amp;TEXT($Q5,"YYYYMMDD"),'Planning Pauses Dej'!$F:$F,0)),"")-IFERROR(INDEX('Planning Pauses Dej'!$C:$C,MATCH($B5&amp;"|"&amp;TEXT($Q5,"YYYYMMDD"),'Planning Pauses Dej'!$F:$F,0)),"")),0)),"")</f>
        <v/>
      </c>
      <c r="I5" s="251">
        <f>IF(IF(OR(C5="",D5="Congé",D5="OFF",D5="Congé spécial"),"",IF(D5&gt;F5,D5-C5,IF(C5-D5&lt;0,0,C5-D5)))&lt;0.00068287037037037,"",IF(OR(D5="Congé",D5="OFF",C5="",D5="Congé spécial"),"",IF(D5&gt;F5,D5-C5,IF(C5-D5&lt;0,0,C5-D5))))</f>
        <v/>
      </c>
      <c r="J5" s="405">
        <f>IFERROR(IF($G5="","",IF($G5&gt;TIME(1,0,0),$G5-TIME(1,0,0),0)),"")</f>
        <v/>
      </c>
      <c r="K5" s="238">
        <f>IF(SUM(H5:J5)&lt;0.00068287037037037,0,SUM(H5:J5))</f>
        <v/>
      </c>
      <c r="L5" s="236">
        <f>IF(OR(F5="Congé",F5="OFF",M5="Abs",F5="Congé sans solde",F5="Férié",F5="Congé spécial",D5="Congé spécial"),0,IF(F5-E5&lt;0,0,IF(F5-E5&lt;=0.00068287037037037,0,F5-E5)))</f>
        <v/>
      </c>
      <c r="M5" s="239">
        <f>IF(AND(O5&lt;&gt;0,C5=""),"Abs",0)</f>
        <v/>
      </c>
      <c r="N5" s="240">
        <f>IFERROR(IF(OR(D5="OFF",D5="Congé",M5="Abs",D5="Congé sans solde",D5="Férié"),"",IF(O5-K5-L5&gt;O5,O5,IF(O5-K5-L5&lt;0,"",O5-K5-L5))),"")</f>
        <v/>
      </c>
      <c r="O5" s="241">
        <f>IF(AG5="2H Pause déjeuner",IF(F5-D5-0.0833333333333333&lt;0,F5-D5-0.0833333333333333+1,F5-D5-0.0833333333333333),IF(OR(AND(F5="OFF",D5="OFF"),AND(F5="Congé",D5="Congé"),AND(F5="Congé sans solde",D5="Congé sans solde"),AND(F5="Congé spécial",D5="Congé spécial"),AND(F5="Férié",D5="Férié"),AND(F5="OFF",D5="Congé"),AND(F5="OFF",D5="Congé sans solde"),AND(F5="OFF",D5="Congé spécial"),AND(F5="OFF",D5="Férié"),AND(F5="Congé",D5="OFF"),AND(F5="Congé",D5="Congé sans solde"),AND(F5="Congé",D5="Congé spécial"),AND(F5="Congé",D5="Férié"),AND(F5="Congé sans solde",D5="OFF"),AND(F5="Congé sans solde",D5="Congé"),AND(F5="Congé sans solde",D5="Congé spécial"),AND(F5="Congé sans solde",D5="Férié"),AND(F5="Congé spécial",D5="OFF"),AND(F5="Congé spécial",D5="Congé"),AND(F5="Congé spécial",D5="Congé sans solde"),AND(F5="Congé spécial",D5="Férié"),AND(F5="Férié",D5="OFF"),AND(F5="Férié",D5="Congé"),AND(F5="Férié",D5="Congé sans solde"),AND(F5="Férié",D5="Congé spécial")),0,IF(OR(F5="OFF",F5="Congé",F5="Congé spécial",F5="Congé sans solde",D5="OFF",D5="Congé",D5="Congé spécial",D5="Congé sans solde"),0.208333333333334,IF(AND(AG5="",F5-D5&lt;0),("24:00:00"-D5)+("00:00:00"+F5)-0.0416666666666667,IF(AND(OR(AG5="Allaitement",AG5="Sans déjeuner"),F5-D5&lt;0),("24:00:00"-D5)+("00:00:00"+F5),IF(AND(AG5="",F5-D5&gt;0.166666666666667),F5-D5-0.0416666666666667,IF(AND(OR(AG5="Allaitement",AG5="Sans déjeuner"),F5-D5&gt;0.166666666666667),F5-D5,F5-D5)))))))</f>
        <v/>
      </c>
      <c r="P5" s="242">
        <f>IFERROR(VLOOKUP($B5,Annuaire_roster!$B:$G,MATCH(P$1,Annuaire_roster!$B$1:$G$1,0),0),"-")</f>
        <v/>
      </c>
      <c r="Q5" s="243" t="n">
        <v>44761</v>
      </c>
      <c r="R5" s="244">
        <f>IF(M5="Abs",O5,0)</f>
        <v/>
      </c>
      <c r="S5" s="244">
        <f>SUM(R5,L5,I5,J5,W5,H5)</f>
        <v/>
      </c>
      <c r="T5" s="209">
        <f>"Sem - "&amp;WEEKNUM(Q5,21)</f>
        <v/>
      </c>
      <c r="U5" s="209">
        <f>PROPER(TEXT(Q5,"mmmm"))</f>
        <v/>
      </c>
      <c r="V5" s="245">
        <f>+TEXT(Q5,"aaa")</f>
        <v/>
      </c>
      <c r="W5" s="240" t="n"/>
      <c r="X5" s="246">
        <f>IFERROR(IF(M5="Abs",0,IF((D5-C5+E5-F5)&lt;0.000694444444444444,0,(D5-C5+E5-F5))),0)</f>
        <v/>
      </c>
      <c r="Y5" s="247">
        <f>IFERROR(VLOOKUP(B5,Annuaire_roster!B:E,4,0),"-")</f>
        <v/>
      </c>
      <c r="Z5" s="247">
        <f>IFERROR(VLOOKUP(B5,Annuaire_roster!B:F,3,0),"-")</f>
        <v/>
      </c>
      <c r="AA5" s="247">
        <f>IFERROR(VLOOKUP(B5,Annuaire_roster!B:I,6,0),"-")</f>
        <v/>
      </c>
      <c r="AB5" s="248">
        <f>IF(AND(D5="Congé",F5="Congé"),0.333333333333333,IF(OR(AND(D5="Congé",F5&lt;&gt;"Congé"),(AND(F5="Congé",D5&lt;&gt;"Congé"))),0.166666666666667,""))</f>
        <v/>
      </c>
      <c r="AC5" s="248">
        <f>IF(AND(D5="Congé sans solde",F5="Congé sans solde"),0.333333333333333,IF(OR(AND(D5="Congé sans solde",F5&lt;&gt;"Congé sans solde"),(AND(F5="Congé sans solde",D5&lt;&gt;"Congé sans solde"))),0.166666666666667,""))</f>
        <v/>
      </c>
      <c r="AD5" s="248">
        <f>IF(AND(D5="Congé spécial",F5="Congé spécial"),0.333333333333333,IF(OR(AND(D5="Congé spécial",F5&lt;&gt;"Congé décès"),(AND(F5="Congé spécial",D5&lt;&gt;"Congé spécial"))),0.166666666666667,""))</f>
        <v/>
      </c>
      <c r="AE5" s="249">
        <f>IF(AND(D5="Férié",F5="Férié"),0.333333333333333,IF(OR(AND(D5="Férié",F5&lt;&gt;"Férié"),(AND(F5="Férié",D5&lt;&gt;"Férié"))),0.166666666666667,""))</f>
        <v/>
      </c>
      <c r="AF5" s="249" t="n"/>
      <c r="AG5" s="244" t="n"/>
    </row>
    <row r="6" ht="12.75" customFormat="1" customHeight="1" s="252">
      <c r="A6" s="232">
        <f>VLOOKUP(B6,Annuaire_roster!B:F,5,0)</f>
        <v/>
      </c>
      <c r="B6" s="233" t="inlineStr">
        <is>
          <t>NUNEZ LUCIEN BERNARD</t>
        </is>
      </c>
      <c r="C6" s="234">
        <f>IFERROR(IF(COUNTIFS(Connexions!$K:$K,$Q6,Connexions!$E:$E,VLOOKUP($B6,Mapping_Noms!$A:$B,2,0))=0,"",_xlfn.MINIFS(Connexions!$M:$M,Connexions!$K:$K,$Q6,Connexions!$E:$E,VLOOKUP($B6,Mapping_Noms!$A:$B,2,0))-TIME(1,0,0)),"")</f>
        <v/>
      </c>
      <c r="D6" s="234">
        <f t="array" ref="D6:D6">IFERROR(INDEX(Planning2[],MATCH(1,(Planning2[Nom]=B6)*(Planning2[Date]=Q6),0),3),"-")</f>
        <v/>
      </c>
      <c r="E6" s="235">
        <f>IFERROR(IF(COUNTIFS(Connexions!$K:$K,$Q6,Connexions!$E:$E,VLOOKUP($B6,Mapping_Noms!$A:$B,2,0))=0,"",_xlfn.MAXIFS(Connexions!$O:$O,Connexions!$K:$K,$Q6,Connexions!$E:$E,VLOOKUP($B6,Mapping_Noms!$A:$B,2,0))-TIME(1,0,0)),"")</f>
        <v/>
      </c>
      <c r="F6" s="235">
        <f t="array" ref="F6:F6">IFERROR(INDEX(Planning2[],MATCH(1,(Planning2[Nom]=B6)*(Planning2[Date]=Q6),0),4),"-")</f>
        <v/>
      </c>
      <c r="G6" s="405">
        <f>IFERROR(IF(OR(IFERROR(INDEX('Planning Pauses Dej'!$C:$C,MATCH($B6&amp;"|"&amp;TEXT($Q6,"YYYYMMDD"),'Planning Pauses Dej'!$F:$F,0)),"")="",IFERROR(INDEX('Planning Pauses Dej'!$D:$D,MATCH($B6&amp;"|"&amp;TEXT($Q6,"YYYYMMDD"),'Planning Pauses Dej'!$F:$F,0)),"")=""),"",_xlfn.MAXIFS(Connexions!$Q:$Q,Connexions!$K:$K,$Q6,Connexions!$E:$E,VLOOKUP($B6,Mapping_Noms!$A:$B,2,0),Connexions!$O:$O,"&lt;="&amp;(IFERROR(INDEX('Planning Pauses Dej'!$D:$D,MATCH($B6&amp;"|"&amp;TEXT($Q6,"YYYYMMDD"),'Planning Pauses Dej'!$F:$F,0)),"")+TIME(1,0,0)),Connexions!$P:$P,"&gt;="&amp;(IFERROR(INDEX('Planning Pauses Dej'!$C:$C,MATCH($B6&amp;"|"&amp;TEXT($Q6,"YYYYMMDD"),'Planning Pauses Dej'!$F:$F,0)),"")+TIME(1,0,0)))),"")</f>
        <v/>
      </c>
      <c r="H6" s="405">
        <f>IFERROR(IF(OR($G6="",IFERROR(INDEX('Planning Pauses Dej'!$C:$C,MATCH($B6&amp;"|"&amp;TEXT($Q6,"YYYYMMDD"),'Planning Pauses Dej'!$F:$F,0)),"")="",IFERROR(INDEX('Planning Pauses Dej'!$D:$D,MATCH($B6&amp;"|"&amp;TEXT($Q6,"YYYYMMDD"),'Planning Pauses Dej'!$F:$F,0)),"")=""),"",IF($G6&gt;(IFERROR(INDEX('Planning Pauses Dej'!$D:$D,MATCH($B6&amp;"|"&amp;TEXT($Q6,"YYYYMMDD"),'Planning Pauses Dej'!$F:$F,0)),"")-IFERROR(INDEX('Planning Pauses Dej'!$C:$C,MATCH($B6&amp;"|"&amp;TEXT($Q6,"YYYYMMDD"),'Planning Pauses Dej'!$F:$F,0)),"")),$G6-(IFERROR(INDEX('Planning Pauses Dej'!$D:$D,MATCH($B6&amp;"|"&amp;TEXT($Q6,"YYYYMMDD"),'Planning Pauses Dej'!$F:$F,0)),"")-IFERROR(INDEX('Planning Pauses Dej'!$C:$C,MATCH($B6&amp;"|"&amp;TEXT($Q6,"YYYYMMDD"),'Planning Pauses Dej'!$F:$F,0)),"")),0)),"")</f>
        <v/>
      </c>
      <c r="I6" s="251">
        <f>IF(IF(OR(C6="",D6="Congé",D6="OFF",D6="Congé spécial"),"",IF(D6&gt;F6,D6-C6,IF(C6-D6&lt;0,0,C6-D6)))&lt;0.00068287037037037,"",IF(OR(D6="Congé",D6="OFF",C6="",D6="Congé spécial"),"",IF(D6&gt;F6,D6-C6,IF(C6-D6&lt;0,0,C6-D6))))</f>
        <v/>
      </c>
      <c r="J6" s="405">
        <f>IFERROR(IF($G6="","",IF($G6&gt;TIME(1,0,0),$G6-TIME(1,0,0),0)),"")</f>
        <v/>
      </c>
      <c r="K6" s="238">
        <f>IF(SUM(H6:J6)&lt;0.00068287037037037,0,SUM(H6:J6))</f>
        <v/>
      </c>
      <c r="L6" s="236">
        <f>IF(OR(F6="Congé",F6="OFF",M6="Abs",F6="Congé sans solde",F6="Férié",F6="Congé spécial",D6="Congé spécial"),0,IF(F6-E6&lt;0,0,IF(F6-E6&lt;=0.00068287037037037,0,F6-E6)))</f>
        <v/>
      </c>
      <c r="M6" s="239">
        <f>IF(AND(O6&lt;&gt;0,C6=""),"Abs",0)</f>
        <v/>
      </c>
      <c r="N6" s="240">
        <f>IFERROR(IF(OR(D6="OFF",D6="Congé",M6="Abs",D6="Congé sans solde",D6="Férié"),"",IF(O6-K6-L6&gt;O6,O6,IF(O6-K6-L6&lt;0,"",O6-K6-L6))),"")</f>
        <v/>
      </c>
      <c r="O6" s="241">
        <f>IF(AG6="2H Pause déjeuner",IF(F6-D6-0.0833333333333333&lt;0,F6-D6-0.0833333333333333+1,F6-D6-0.0833333333333333),IF(OR(AND(F6="OFF",D6="OFF"),AND(F6="Congé",D6="Congé"),AND(F6="Congé sans solde",D6="Congé sans solde"),AND(F6="Congé spécial",D6="Congé spécial"),AND(F6="Férié",D6="Férié"),AND(F6="OFF",D6="Congé"),AND(F6="OFF",D6="Congé sans solde"),AND(F6="OFF",D6="Congé spécial"),AND(F6="OFF",D6="Férié"),AND(F6="Congé",D6="OFF"),AND(F6="Congé",D6="Congé sans solde"),AND(F6="Congé",D6="Congé spécial"),AND(F6="Congé",D6="Férié"),AND(F6="Congé sans solde",D6="OFF"),AND(F6="Congé sans solde",D6="Congé"),AND(F6="Congé sans solde",D6="Congé spécial"),AND(F6="Congé sans solde",D6="Férié"),AND(F6="Congé spécial",D6="OFF"),AND(F6="Congé spécial",D6="Congé"),AND(F6="Congé spécial",D6="Congé sans solde"),AND(F6="Congé spécial",D6="Férié"),AND(F6="Férié",D6="OFF"),AND(F6="Férié",D6="Congé"),AND(F6="Férié",D6="Congé sans solde"),AND(F6="Férié",D6="Congé spécial")),0,IF(OR(F6="OFF",F6="Congé",F6="Congé spécial",F6="Congé sans solde",D6="OFF",D6="Congé",D6="Congé spécial",D6="Congé sans solde"),0.208333333333334,IF(AND(AG6="",F6-D6&lt;0),("24:00:00"-D6)+("00:00:00"+F6)-0.0416666666666667,IF(AND(OR(AG6="Allaitement",AG6="Sans déjeuner"),F6-D6&lt;0),("24:00:00"-D6)+("00:00:00"+F6),IF(AND(AG6="",F6-D6&gt;0.166666666666667),F6-D6-0.0416666666666667,IF(AND(OR(AG6="Allaitement",AG6="Sans déjeuner"),F6-D6&gt;0.166666666666667),F6-D6,F6-D6)))))))</f>
        <v/>
      </c>
      <c r="P6" s="242">
        <f>IFERROR(VLOOKUP($B6,Annuaire_roster!$B:$G,MATCH(P$1,Annuaire_roster!$B$1:$G$1,0),0),"-")</f>
        <v/>
      </c>
      <c r="Q6" s="243" t="n">
        <v>44761</v>
      </c>
      <c r="R6" s="244">
        <f>IF(M6="Abs",O6,0)</f>
        <v/>
      </c>
      <c r="S6" s="244">
        <f>SUM(R6,L6,I6,J6,W6,H6)</f>
        <v/>
      </c>
      <c r="T6" s="209">
        <f>"Sem - "&amp;WEEKNUM(Q6,21)</f>
        <v/>
      </c>
      <c r="U6" s="209">
        <f>PROPER(TEXT(Q6,"mmmm"))</f>
        <v/>
      </c>
      <c r="V6" s="245">
        <f>+TEXT(Q6,"aaa")</f>
        <v/>
      </c>
      <c r="W6" s="240" t="n"/>
      <c r="X6" s="246">
        <f>IFERROR(IF(M6="Abs",0,IF((D6-C6+E6-F6)&lt;0.000694444444444444,0,(D6-C6+E6-F6))),0)</f>
        <v/>
      </c>
      <c r="Y6" s="247">
        <f>IFERROR(VLOOKUP(B6,Annuaire_roster!B:E,4,0),"-")</f>
        <v/>
      </c>
      <c r="Z6" s="247">
        <f>IFERROR(VLOOKUP(B6,Annuaire_roster!B:F,3,0),"-")</f>
        <v/>
      </c>
      <c r="AA6" s="247">
        <f>IFERROR(VLOOKUP(B6,Annuaire_roster!B:I,6,0),"-")</f>
        <v/>
      </c>
      <c r="AB6" s="248">
        <f>IF(AND(D6="Congé",F6="Congé"),0.333333333333333,IF(OR(AND(D6="Congé",F6&lt;&gt;"Congé"),(AND(F6="Congé",D6&lt;&gt;"Congé"))),0.166666666666667,""))</f>
        <v/>
      </c>
      <c r="AC6" s="248">
        <f>IF(AND(D6="Congé sans solde",F6="Congé sans solde"),0.333333333333333,IF(OR(AND(D6="Congé sans solde",F6&lt;&gt;"Congé sans solde"),(AND(F6="Congé sans solde",D6&lt;&gt;"Congé sans solde"))),0.166666666666667,""))</f>
        <v/>
      </c>
      <c r="AD6" s="248">
        <f>IF(AND(D6="Congé spécial",F6="Congé spécial"),0.333333333333333,IF(OR(AND(D6="Congé spécial",F6&lt;&gt;"Congé décès"),(AND(F6="Congé spécial",D6&lt;&gt;"Congé spécial"))),0.166666666666667,""))</f>
        <v/>
      </c>
      <c r="AE6" s="249">
        <f>IF(AND(D6="Férié",F6="Férié"),0.333333333333333,IF(OR(AND(D6="Férié",F6&lt;&gt;"Férié"),(AND(F6="Férié",D6&lt;&gt;"Férié"))),0.166666666666667,""))</f>
        <v/>
      </c>
      <c r="AF6" s="249" t="n"/>
      <c r="AG6" s="244" t="n"/>
    </row>
    <row r="7" ht="12.75" customHeight="1" s="231">
      <c r="A7" s="232">
        <f>VLOOKUP(B7,Annuaire_roster!B:F,5,0)</f>
        <v/>
      </c>
      <c r="B7" s="233" t="inlineStr">
        <is>
          <t>SOUOUD ZAKARIA</t>
        </is>
      </c>
      <c r="C7" s="234">
        <f>IFERROR(IF(COUNTIFS(Connexions!$K:$K,$Q7,Connexions!$E:$E,VLOOKUP($B7,Mapping_Noms!$A:$B,2,0))=0,"",_xlfn.MINIFS(Connexions!$M:$M,Connexions!$K:$K,$Q7,Connexions!$E:$E,VLOOKUP($B7,Mapping_Noms!$A:$B,2,0))-TIME(1,0,0)),"")</f>
        <v/>
      </c>
      <c r="D7" s="234">
        <f t="array" ref="D7:D7">IFERROR(INDEX(Planning2[],MATCH(1,(Planning2[Nom]=B7)*(Planning2[Date]=Q7),0),3),"-")</f>
        <v/>
      </c>
      <c r="E7" s="235">
        <f>IFERROR(IF(COUNTIFS(Connexions!$K:$K,$Q7,Connexions!$E:$E,VLOOKUP($B7,Mapping_Noms!$A:$B,2,0))=0,"",_xlfn.MAXIFS(Connexions!$O:$O,Connexions!$K:$K,$Q7,Connexions!$E:$E,VLOOKUP($B7,Mapping_Noms!$A:$B,2,0))-TIME(1,0,0)),"")</f>
        <v/>
      </c>
      <c r="F7" s="235">
        <f t="array" ref="F7:F7">IFERROR(INDEX(Planning2[],MATCH(1,(Planning2[Nom]=B7)*(Planning2[Date]=Q7),0),4),"-")</f>
        <v/>
      </c>
      <c r="G7" s="405">
        <f>IFERROR(IF(OR(IFERROR(INDEX('Planning Pauses Dej'!$C:$C,MATCH($B7&amp;"|"&amp;TEXT($Q7,"YYYYMMDD"),'Planning Pauses Dej'!$F:$F,0)),"")="",IFERROR(INDEX('Planning Pauses Dej'!$D:$D,MATCH($B7&amp;"|"&amp;TEXT($Q7,"YYYYMMDD"),'Planning Pauses Dej'!$F:$F,0)),"")=""),"",_xlfn.MAXIFS(Connexions!$Q:$Q,Connexions!$K:$K,$Q7,Connexions!$E:$E,VLOOKUP($B7,Mapping_Noms!$A:$B,2,0),Connexions!$O:$O,"&lt;="&amp;(IFERROR(INDEX('Planning Pauses Dej'!$D:$D,MATCH($B7&amp;"|"&amp;TEXT($Q7,"YYYYMMDD"),'Planning Pauses Dej'!$F:$F,0)),"")+TIME(1,0,0)),Connexions!$P:$P,"&gt;="&amp;(IFERROR(INDEX('Planning Pauses Dej'!$C:$C,MATCH($B7&amp;"|"&amp;TEXT($Q7,"YYYYMMDD"),'Planning Pauses Dej'!$F:$F,0)),"")+TIME(1,0,0)))),"")</f>
        <v/>
      </c>
      <c r="H7" s="405">
        <f>IFERROR(IF(OR($G7="",IFERROR(INDEX('Planning Pauses Dej'!$C:$C,MATCH($B7&amp;"|"&amp;TEXT($Q7,"YYYYMMDD"),'Planning Pauses Dej'!$F:$F,0)),"")="",IFERROR(INDEX('Planning Pauses Dej'!$D:$D,MATCH($B7&amp;"|"&amp;TEXT($Q7,"YYYYMMDD"),'Planning Pauses Dej'!$F:$F,0)),"")=""),"",IF($G7&gt;(IFERROR(INDEX('Planning Pauses Dej'!$D:$D,MATCH($B7&amp;"|"&amp;TEXT($Q7,"YYYYMMDD"),'Planning Pauses Dej'!$F:$F,0)),"")-IFERROR(INDEX('Planning Pauses Dej'!$C:$C,MATCH($B7&amp;"|"&amp;TEXT($Q7,"YYYYMMDD"),'Planning Pauses Dej'!$F:$F,0)),"")),$G7-(IFERROR(INDEX('Planning Pauses Dej'!$D:$D,MATCH($B7&amp;"|"&amp;TEXT($Q7,"YYYYMMDD"),'Planning Pauses Dej'!$F:$F,0)),"")-IFERROR(INDEX('Planning Pauses Dej'!$C:$C,MATCH($B7&amp;"|"&amp;TEXT($Q7,"YYYYMMDD"),'Planning Pauses Dej'!$F:$F,0)),"")),0)),"")</f>
        <v/>
      </c>
      <c r="I7" s="251">
        <f>IF(IF(OR(C7="",D7="Congé",D7="OFF",D7="Congé spécial"),"",IF(D7&gt;F7,D7-C7,IF(C7-D7&lt;0,0,C7-D7)))&lt;0.00068287037037037,"",IF(OR(D7="Congé",D7="OFF",C7="",D7="Congé spécial"),"",IF(D7&gt;F7,D7-C7,IF(C7-D7&lt;0,0,C7-D7))))</f>
        <v/>
      </c>
      <c r="J7" s="405">
        <f>IFERROR(IF($G7="","",IF($G7&gt;TIME(1,0,0),$G7-TIME(1,0,0),0)),"")</f>
        <v/>
      </c>
      <c r="K7" s="238">
        <f>IF(SUM(H7:J7)&lt;0.00068287037037037,0,SUM(H7:J7))</f>
        <v/>
      </c>
      <c r="L7" s="236">
        <f>IF(OR(F7="Congé",F7="OFF",M7="Abs",F7="Congé sans solde",F7="Férié",F7="Congé spécial",D7="Congé spécial"),0,IF(F7-E7&lt;0,0,IF(F7-E7&lt;=0.00068287037037037,0,F7-E7)))</f>
        <v/>
      </c>
      <c r="M7" s="239">
        <f>IF(AND(O7&lt;&gt;0,C7=""),"Abs",0)</f>
        <v/>
      </c>
      <c r="N7" s="240">
        <f>IFERROR(IF(OR(D7="OFF",D7="Congé",M7="Abs",D7="Congé sans solde",D7="Férié"),"",IF(O7-K7-L7&gt;O7,O7,IF(O7-K7-L7&lt;0,"",O7-K7-L7))),"")</f>
        <v/>
      </c>
      <c r="O7" s="241">
        <f>IF(AG7="2H Pause déjeuner",IF(F7-D7-0.0833333333333333&lt;0,F7-D7-0.0833333333333333+1,F7-D7-0.0833333333333333),IF(OR(AND(F7="OFF",D7="OFF"),AND(F7="Congé",D7="Congé"),AND(F7="Congé sans solde",D7="Congé sans solde"),AND(F7="Congé spécial",D7="Congé spécial"),AND(F7="Férié",D7="Férié"),AND(F7="OFF",D7="Congé"),AND(F7="OFF",D7="Congé sans solde"),AND(F7="OFF",D7="Congé spécial"),AND(F7="OFF",D7="Férié"),AND(F7="Congé",D7="OFF"),AND(F7="Congé",D7="Congé sans solde"),AND(F7="Congé",D7="Congé spécial"),AND(F7="Congé",D7="Férié"),AND(F7="Congé sans solde",D7="OFF"),AND(F7="Congé sans solde",D7="Congé"),AND(F7="Congé sans solde",D7="Congé spécial"),AND(F7="Congé sans solde",D7="Férié"),AND(F7="Congé spécial",D7="OFF"),AND(F7="Congé spécial",D7="Congé"),AND(F7="Congé spécial",D7="Congé sans solde"),AND(F7="Congé spécial",D7="Férié"),AND(F7="Férié",D7="OFF"),AND(F7="Férié",D7="Congé"),AND(F7="Férié",D7="Congé sans solde"),AND(F7="Férié",D7="Congé spécial")),0,IF(OR(F7="OFF",F7="Congé",F7="Congé spécial",F7="Congé sans solde",D7="OFF",D7="Congé",D7="Congé spécial",D7="Congé sans solde"),0.208333333333334,IF(AND(AG7="",F7-D7&lt;0),("24:00:00"-D7)+("00:00:00"+F7)-0.0416666666666667,IF(AND(OR(AG7="Allaitement",AG7="Sans déjeuner"),F7-D7&lt;0),("24:00:00"-D7)+("00:00:00"+F7),IF(AND(AG7="",F7-D7&gt;0.166666666666667),F7-D7-0.0416666666666667,IF(AND(OR(AG7="Allaitement",AG7="Sans déjeuner"),F7-D7&gt;0.166666666666667),F7-D7,F7-D7)))))))</f>
        <v/>
      </c>
      <c r="P7" s="242">
        <f>IFERROR(VLOOKUP($B7,Annuaire_roster!$B:$G,MATCH(P$1,Annuaire_roster!$B$1:$G$1,0),0),"-")</f>
        <v/>
      </c>
      <c r="Q7" s="243" t="n">
        <v>44761</v>
      </c>
      <c r="R7" s="244">
        <f>IF(M7="Abs",O7,0)</f>
        <v/>
      </c>
      <c r="S7" s="244">
        <f>SUM(R7,L7,I7,J7,W7,H7)</f>
        <v/>
      </c>
      <c r="T7" s="209">
        <f>"Sem - "&amp;WEEKNUM(Q7,21)</f>
        <v/>
      </c>
      <c r="U7" s="209">
        <f>PROPER(TEXT(Q7,"mmmm"))</f>
        <v/>
      </c>
      <c r="V7" s="245">
        <f>+TEXT(Q7,"aaa")</f>
        <v/>
      </c>
      <c r="W7" s="240" t="n"/>
      <c r="X7" s="246">
        <f>IFERROR(IF(M7="Abs",0,IF((D7-C7+E7-F7)&lt;0.000694444444444444,0,(D7-C7+E7-F7))),0)</f>
        <v/>
      </c>
      <c r="Y7" s="247">
        <f>IFERROR(VLOOKUP(B7,Annuaire_roster!B:E,4,0),"-")</f>
        <v/>
      </c>
      <c r="Z7" s="247">
        <f>IFERROR(VLOOKUP(B7,Annuaire_roster!B:F,3,0),"-")</f>
        <v/>
      </c>
      <c r="AA7" s="247">
        <f>IFERROR(VLOOKUP(B7,Annuaire_roster!B:I,6,0),"-")</f>
        <v/>
      </c>
      <c r="AB7" s="248">
        <f>IF(AND(D7="Congé",F7="Congé"),0.333333333333333,IF(OR(AND(D7="Congé",F7&lt;&gt;"Congé"),(AND(F7="Congé",D7&lt;&gt;"Congé"))),0.166666666666667,""))</f>
        <v/>
      </c>
      <c r="AC7" s="248">
        <f>IF(AND(D7="Congé sans solde",F7="Congé sans solde"),0.333333333333333,IF(OR(AND(D7="Congé sans solde",F7&lt;&gt;"Congé sans solde"),(AND(F7="Congé sans solde",D7&lt;&gt;"Congé sans solde"))),0.166666666666667,""))</f>
        <v/>
      </c>
      <c r="AD7" s="248">
        <f>IF(AND(D7="Congé spécial",F7="Congé spécial"),0.333333333333333,IF(OR(AND(D7="Congé spécial",F7&lt;&gt;"Congé décès"),(AND(F7="Congé spécial",D7&lt;&gt;"Congé spécial"))),0.166666666666667,""))</f>
        <v/>
      </c>
      <c r="AE7" s="249">
        <f>IF(AND(D7="Férié",F7="Férié"),0.333333333333333,IF(OR(AND(D7="Férié",F7&lt;&gt;"Férié"),(AND(F7="Férié",D7&lt;&gt;"Férié"))),0.166666666666667,""))</f>
        <v/>
      </c>
      <c r="AF7" s="249" t="n"/>
      <c r="AG7" s="244" t="n"/>
    </row>
    <row r="8" ht="12.75" customHeight="1" s="231">
      <c r="A8" s="232">
        <f>VLOOKUP(B8,Annuaire_roster!B:F,5,0)</f>
        <v/>
      </c>
      <c r="B8" s="233" t="inlineStr">
        <is>
          <t>SECK DIARRA</t>
        </is>
      </c>
      <c r="C8" s="234">
        <f>IFERROR(IF(COUNTIFS(Connexions!$K:$K,$Q8,Connexions!$E:$E,VLOOKUP($B8,Mapping_Noms!$A:$B,2,0))=0,"",_xlfn.MINIFS(Connexions!$M:$M,Connexions!$K:$K,$Q8,Connexions!$E:$E,VLOOKUP($B8,Mapping_Noms!$A:$B,2,0))-TIME(1,0,0)),"")</f>
        <v/>
      </c>
      <c r="D8" s="234">
        <f t="array" ref="D8:D8">IFERROR(INDEX(Planning2[],MATCH(1,(Planning2[Nom]=B8)*(Planning2[Date]=Q8),0),3),"-")</f>
        <v/>
      </c>
      <c r="E8" s="235">
        <f>IFERROR(IF(COUNTIFS(Connexions!$K:$K,$Q8,Connexions!$E:$E,VLOOKUP($B8,Mapping_Noms!$A:$B,2,0))=0,"",_xlfn.MAXIFS(Connexions!$O:$O,Connexions!$K:$K,$Q8,Connexions!$E:$E,VLOOKUP($B8,Mapping_Noms!$A:$B,2,0))-TIME(1,0,0)),"")</f>
        <v/>
      </c>
      <c r="F8" s="235">
        <f t="array" ref="F8:F8">IFERROR(INDEX(Planning2[],MATCH(1,(Planning2[Nom]=B8)*(Planning2[Date]=Q8),0),4),"-")</f>
        <v/>
      </c>
      <c r="G8" s="405">
        <f>IFERROR(IF(OR(IFERROR(INDEX('Planning Pauses Dej'!$C:$C,MATCH($B8&amp;"|"&amp;TEXT($Q8,"YYYYMMDD"),'Planning Pauses Dej'!$F:$F,0)),"")="",IFERROR(INDEX('Planning Pauses Dej'!$D:$D,MATCH($B8&amp;"|"&amp;TEXT($Q8,"YYYYMMDD"),'Planning Pauses Dej'!$F:$F,0)),"")=""),"",_xlfn.MAXIFS(Connexions!$Q:$Q,Connexions!$K:$K,$Q8,Connexions!$E:$E,VLOOKUP($B8,Mapping_Noms!$A:$B,2,0),Connexions!$O:$O,"&lt;="&amp;(IFERROR(INDEX('Planning Pauses Dej'!$D:$D,MATCH($B8&amp;"|"&amp;TEXT($Q8,"YYYYMMDD"),'Planning Pauses Dej'!$F:$F,0)),"")+TIME(1,0,0)),Connexions!$P:$P,"&gt;="&amp;(IFERROR(INDEX('Planning Pauses Dej'!$C:$C,MATCH($B8&amp;"|"&amp;TEXT($Q8,"YYYYMMDD"),'Planning Pauses Dej'!$F:$F,0)),"")+TIME(1,0,0)))),"")</f>
        <v/>
      </c>
      <c r="H8" s="405">
        <f>IFERROR(IF(OR($G8="",IFERROR(INDEX('Planning Pauses Dej'!$C:$C,MATCH($B8&amp;"|"&amp;TEXT($Q8,"YYYYMMDD"),'Planning Pauses Dej'!$F:$F,0)),"")="",IFERROR(INDEX('Planning Pauses Dej'!$D:$D,MATCH($B8&amp;"|"&amp;TEXT($Q8,"YYYYMMDD"),'Planning Pauses Dej'!$F:$F,0)),"")=""),"",IF($G8&gt;(IFERROR(INDEX('Planning Pauses Dej'!$D:$D,MATCH($B8&amp;"|"&amp;TEXT($Q8,"YYYYMMDD"),'Planning Pauses Dej'!$F:$F,0)),"")-IFERROR(INDEX('Planning Pauses Dej'!$C:$C,MATCH($B8&amp;"|"&amp;TEXT($Q8,"YYYYMMDD"),'Planning Pauses Dej'!$F:$F,0)),"")),$G8-(IFERROR(INDEX('Planning Pauses Dej'!$D:$D,MATCH($B8&amp;"|"&amp;TEXT($Q8,"YYYYMMDD"),'Planning Pauses Dej'!$F:$F,0)),"")-IFERROR(INDEX('Planning Pauses Dej'!$C:$C,MATCH($B8&amp;"|"&amp;TEXT($Q8,"YYYYMMDD"),'Planning Pauses Dej'!$F:$F,0)),"")),0)),"")</f>
        <v/>
      </c>
      <c r="I8" s="251">
        <f>IF(IF(OR(C8="",D8="Congé",D8="OFF",D8="Congé spécial"),"",IF(D8&gt;F8,D8-C8,IF(C8-D8&lt;0,0,C8-D8)))&lt;0.00068287037037037,"",IF(OR(D8="Congé",D8="OFF",C8="",D8="Congé spécial"),"",IF(D8&gt;F8,D8-C8,IF(C8-D8&lt;0,0,C8-D8))))</f>
        <v/>
      </c>
      <c r="J8" s="405">
        <f>IFERROR(IF($G8="","",IF($G8&gt;TIME(1,0,0),$G8-TIME(1,0,0),0)),"")</f>
        <v/>
      </c>
      <c r="K8" s="238">
        <f>IF(SUM(H8:J8)&lt;0.00068287037037037,0,SUM(H8:J8))</f>
        <v/>
      </c>
      <c r="L8" s="236">
        <f>IF(OR(F8="Congé",F8="OFF",M8="Abs",F8="Congé sans solde",F8="Férié",F8="Congé spécial",D8="Congé spécial"),0,IF(F8-E8&lt;0,0,IF(F8-E8&lt;=0.00068287037037037,0,F8-E8)))</f>
        <v/>
      </c>
      <c r="M8" s="239">
        <f>IF(AND(O8&lt;&gt;0,C8=""),"Abs",0)</f>
        <v/>
      </c>
      <c r="N8" s="240">
        <f>IFERROR(IF(OR(D8="OFF",D8="Congé",M8="Abs",D8="Congé sans solde",D8="Férié"),"",IF(O8-K8-L8&gt;O8,O8,IF(O8-K8-L8&lt;0,"",O8-K8-L8))),"")</f>
        <v/>
      </c>
      <c r="O8" s="241">
        <f>IF(AG8="2H Pause déjeuner",IF(F8-D8-0.0833333333333333&lt;0,F8-D8-0.0833333333333333+1,F8-D8-0.0833333333333333),IF(OR(AND(F8="OFF",D8="OFF"),AND(F8="Congé",D8="Congé"),AND(F8="Congé sans solde",D8="Congé sans solde"),AND(F8="Congé spécial",D8="Congé spécial"),AND(F8="Férié",D8="Férié"),AND(F8="OFF",D8="Congé"),AND(F8="OFF",D8="Congé sans solde"),AND(F8="OFF",D8="Congé spécial"),AND(F8="OFF",D8="Férié"),AND(F8="Congé",D8="OFF"),AND(F8="Congé",D8="Congé sans solde"),AND(F8="Congé",D8="Congé spécial"),AND(F8="Congé",D8="Férié"),AND(F8="Congé sans solde",D8="OFF"),AND(F8="Congé sans solde",D8="Congé"),AND(F8="Congé sans solde",D8="Congé spécial"),AND(F8="Congé sans solde",D8="Férié"),AND(F8="Congé spécial",D8="OFF"),AND(F8="Congé spécial",D8="Congé"),AND(F8="Congé spécial",D8="Congé sans solde"),AND(F8="Congé spécial",D8="Férié"),AND(F8="Férié",D8="OFF"),AND(F8="Férié",D8="Congé"),AND(F8="Férié",D8="Congé sans solde"),AND(F8="Férié",D8="Congé spécial")),0,IF(OR(F8="OFF",F8="Congé",F8="Congé spécial",F8="Congé sans solde",D8="OFF",D8="Congé",D8="Congé spécial",D8="Congé sans solde"),0.208333333333334,IF(AND(AG8="",F8-D8&lt;0),("24:00:00"-D8)+("00:00:00"+F8)-0.0416666666666667,IF(AND(OR(AG8="Allaitement",AG8="Sans déjeuner"),F8-D8&lt;0),("24:00:00"-D8)+("00:00:00"+F8),IF(AND(AG8="",F8-D8&gt;0.166666666666667),F8-D8-0.0416666666666667,IF(AND(OR(AG8="Allaitement",AG8="Sans déjeuner"),F8-D8&gt;0.166666666666667),F8-D8,F8-D8)))))))</f>
        <v/>
      </c>
      <c r="P8" s="242">
        <f>IFERROR(VLOOKUP($B8,Annuaire_roster!$B:$G,MATCH(P$1,Annuaire_roster!$B$1:$G$1,0),0),"-")</f>
        <v/>
      </c>
      <c r="Q8" s="243" t="n">
        <v>44761</v>
      </c>
      <c r="R8" s="244">
        <f>IF(M8="Abs",O8,0)</f>
        <v/>
      </c>
      <c r="S8" s="244">
        <f>SUM(R8,L8,I8,J8,W8,H8)</f>
        <v/>
      </c>
      <c r="T8" s="209">
        <f>"Sem - "&amp;WEEKNUM(Q8,21)</f>
        <v/>
      </c>
      <c r="U8" s="209">
        <f>PROPER(TEXT(Q8,"mmmm"))</f>
        <v/>
      </c>
      <c r="V8" s="245">
        <f>+TEXT(Q8,"aaa")</f>
        <v/>
      </c>
      <c r="W8" s="240" t="n"/>
      <c r="X8" s="246">
        <f>IFERROR(IF(M8="Abs",0,IF((D8-C8+E8-F8)&lt;0.000694444444444444,0,(D8-C8+E8-F8))),0)</f>
        <v/>
      </c>
      <c r="Y8" s="247">
        <f>IFERROR(VLOOKUP(B8,Annuaire_roster!B:E,4,0),"-")</f>
        <v/>
      </c>
      <c r="Z8" s="247">
        <f>IFERROR(VLOOKUP(B8,Annuaire_roster!B:F,3,0),"-")</f>
        <v/>
      </c>
      <c r="AA8" s="247">
        <f>IFERROR(VLOOKUP(B8,Annuaire_roster!B:I,6,0),"-")</f>
        <v/>
      </c>
      <c r="AB8" s="248">
        <f>IF(AND(D8="Congé",F8="Congé"),0.333333333333333,IF(OR(AND(D8="Congé",F8&lt;&gt;"Congé"),(AND(F8="Congé",D8&lt;&gt;"Congé"))),0.166666666666667,""))</f>
        <v/>
      </c>
      <c r="AC8" s="248">
        <f>IF(AND(D8="Congé sans solde",F8="Congé sans solde"),0.333333333333333,IF(OR(AND(D8="Congé sans solde",F8&lt;&gt;"Congé sans solde"),(AND(F8="Congé sans solde",D8&lt;&gt;"Congé sans solde"))),0.166666666666667,""))</f>
        <v/>
      </c>
      <c r="AD8" s="248">
        <f>IF(AND(D8="Congé spécial",F8="Congé spécial"),0.333333333333333,IF(OR(AND(D8="Congé spécial",F8&lt;&gt;"Congé décès"),(AND(F8="Congé spécial",D8&lt;&gt;"Congé spécial"))),0.166666666666667,""))</f>
        <v/>
      </c>
      <c r="AE8" s="249">
        <f>IF(AND(D8="Férié",F8="Férié"),0.333333333333333,IF(OR(AND(D8="Férié",F8&lt;&gt;"Férié"),(AND(F8="Férié",D8&lt;&gt;"Férié"))),0.166666666666667,""))</f>
        <v/>
      </c>
      <c r="AF8" s="249" t="n"/>
      <c r="AG8" s="248" t="n"/>
    </row>
    <row r="9" ht="12.75" customHeight="1" s="231">
      <c r="A9" s="232">
        <f>VLOOKUP(B9,Annuaire_roster!B:F,5,0)</f>
        <v/>
      </c>
      <c r="B9" s="233" t="inlineStr">
        <is>
          <t>GUEYE GORA</t>
        </is>
      </c>
      <c r="C9" s="234">
        <f>IFERROR(IF(COUNTIFS(Connexions!$K:$K,$Q9,Connexions!$E:$E,VLOOKUP($B9,Mapping_Noms!$A:$B,2,0))=0,"",_xlfn.MINIFS(Connexions!$M:$M,Connexions!$K:$K,$Q9,Connexions!$E:$E,VLOOKUP($B9,Mapping_Noms!$A:$B,2,0))-TIME(1,0,0)),"")</f>
        <v/>
      </c>
      <c r="D9" s="234">
        <f t="array" ref="D9:D9">IFERROR(INDEX(Planning2[],MATCH(1,(Planning2[Nom]=B9)*(Planning2[Date]=Q9),0),3),"-")</f>
        <v/>
      </c>
      <c r="E9" s="235">
        <f>IFERROR(IF(COUNTIFS(Connexions!$K:$K,$Q9,Connexions!$E:$E,VLOOKUP($B9,Mapping_Noms!$A:$B,2,0))=0,"",_xlfn.MAXIFS(Connexions!$O:$O,Connexions!$K:$K,$Q9,Connexions!$E:$E,VLOOKUP($B9,Mapping_Noms!$A:$B,2,0))-TIME(1,0,0)),"")</f>
        <v/>
      </c>
      <c r="F9" s="235">
        <f t="array" ref="F9:F9">IFERROR(INDEX(Planning2[],MATCH(1,(Planning2[Nom]=B9)*(Planning2[Date]=Q9),0),4),"-")</f>
        <v/>
      </c>
      <c r="G9" s="405">
        <f>IFERROR(IF(OR(IFERROR(INDEX('Planning Pauses Dej'!$C:$C,MATCH($B9&amp;"|"&amp;TEXT($Q9,"YYYYMMDD"),'Planning Pauses Dej'!$F:$F,0)),"")="",IFERROR(INDEX('Planning Pauses Dej'!$D:$D,MATCH($B9&amp;"|"&amp;TEXT($Q9,"YYYYMMDD"),'Planning Pauses Dej'!$F:$F,0)),"")=""),"",_xlfn.MAXIFS(Connexions!$Q:$Q,Connexions!$K:$K,$Q9,Connexions!$E:$E,VLOOKUP($B9,Mapping_Noms!$A:$B,2,0),Connexions!$O:$O,"&lt;="&amp;(IFERROR(INDEX('Planning Pauses Dej'!$D:$D,MATCH($B9&amp;"|"&amp;TEXT($Q9,"YYYYMMDD"),'Planning Pauses Dej'!$F:$F,0)),"")+TIME(1,0,0)),Connexions!$P:$P,"&gt;="&amp;(IFERROR(INDEX('Planning Pauses Dej'!$C:$C,MATCH($B9&amp;"|"&amp;TEXT($Q9,"YYYYMMDD"),'Planning Pauses Dej'!$F:$F,0)),"")+TIME(1,0,0)))),"")</f>
        <v/>
      </c>
      <c r="H9" s="405">
        <f>IFERROR(IF(OR($G9="",IFERROR(INDEX('Planning Pauses Dej'!$C:$C,MATCH($B9&amp;"|"&amp;TEXT($Q9,"YYYYMMDD"),'Planning Pauses Dej'!$F:$F,0)),"")="",IFERROR(INDEX('Planning Pauses Dej'!$D:$D,MATCH($B9&amp;"|"&amp;TEXT($Q9,"YYYYMMDD"),'Planning Pauses Dej'!$F:$F,0)),"")=""),"",IF($G9&gt;(IFERROR(INDEX('Planning Pauses Dej'!$D:$D,MATCH($B9&amp;"|"&amp;TEXT($Q9,"YYYYMMDD"),'Planning Pauses Dej'!$F:$F,0)),"")-IFERROR(INDEX('Planning Pauses Dej'!$C:$C,MATCH($B9&amp;"|"&amp;TEXT($Q9,"YYYYMMDD"),'Planning Pauses Dej'!$F:$F,0)),"")),$G9-(IFERROR(INDEX('Planning Pauses Dej'!$D:$D,MATCH($B9&amp;"|"&amp;TEXT($Q9,"YYYYMMDD"),'Planning Pauses Dej'!$F:$F,0)),"")-IFERROR(INDEX('Planning Pauses Dej'!$C:$C,MATCH($B9&amp;"|"&amp;TEXT($Q9,"YYYYMMDD"),'Planning Pauses Dej'!$F:$F,0)),"")),0)),"")</f>
        <v/>
      </c>
      <c r="I9" s="251">
        <f>IF(IF(OR(C9="",D9="Congé",D9="OFF",D9="Congé spécial"),"",IF(D9&gt;F9,D9-C9,IF(C9-D9&lt;0,0,C9-D9)))&lt;0.00068287037037037,"",IF(OR(D9="Congé",D9="OFF",C9="",D9="Congé spécial"),"",IF(D9&gt;F9,D9-C9,IF(C9-D9&lt;0,0,C9-D9))))</f>
        <v/>
      </c>
      <c r="J9" s="405">
        <f>IFERROR(IF($G9="","",IF($G9&gt;TIME(1,0,0),$G9-TIME(1,0,0),0)),"")</f>
        <v/>
      </c>
      <c r="K9" s="238">
        <f>IF(SUM(H9:J9)&lt;0.00068287037037037,0,SUM(H9:J9))</f>
        <v/>
      </c>
      <c r="L9" s="236">
        <f>IF(OR(F9="Congé",F9="OFF",M9="Abs",F9="Congé sans solde",F9="Férié",F9="Congé spécial",D9="Congé spécial"),0,IF(F9-E9&lt;0,0,IF(F9-E9&lt;=0.00068287037037037,0,F9-E9)))</f>
        <v/>
      </c>
      <c r="M9" s="239">
        <f>IF(AND(O9&lt;&gt;0,C9=""),"Abs",0)</f>
        <v/>
      </c>
      <c r="N9" s="240">
        <f>IFERROR(IF(OR(D9="OFF",D9="Congé",M9="Abs",D9="Congé sans solde",D9="Férié"),"",IF(O9-K9-L9&gt;O9,O9,IF(O9-K9-L9&lt;0,"",O9-K9-L9))),"")</f>
        <v/>
      </c>
      <c r="O9" s="241">
        <f>IF(AG9="2H Pause déjeuner",IF(F9-D9-0.0833333333333333&lt;0,F9-D9-0.0833333333333333+1,F9-D9-0.0833333333333333),IF(OR(AND(F9="OFF",D9="OFF"),AND(F9="Congé",D9="Congé"),AND(F9="Congé sans solde",D9="Congé sans solde"),AND(F9="Congé spécial",D9="Congé spécial"),AND(F9="Férié",D9="Férié"),AND(F9="OFF",D9="Congé"),AND(F9="OFF",D9="Congé sans solde"),AND(F9="OFF",D9="Congé spécial"),AND(F9="OFF",D9="Férié"),AND(F9="Congé",D9="OFF"),AND(F9="Congé",D9="Congé sans solde"),AND(F9="Congé",D9="Congé spécial"),AND(F9="Congé",D9="Férié"),AND(F9="Congé sans solde",D9="OFF"),AND(F9="Congé sans solde",D9="Congé"),AND(F9="Congé sans solde",D9="Congé spécial"),AND(F9="Congé sans solde",D9="Férié"),AND(F9="Congé spécial",D9="OFF"),AND(F9="Congé spécial",D9="Congé"),AND(F9="Congé spécial",D9="Congé sans solde"),AND(F9="Congé spécial",D9="Férié"),AND(F9="Férié",D9="OFF"),AND(F9="Férié",D9="Congé"),AND(F9="Férié",D9="Congé sans solde"),AND(F9="Férié",D9="Congé spécial")),0,IF(OR(F9="OFF",F9="Congé",F9="Congé spécial",F9="Congé sans solde",D9="OFF",D9="Congé",D9="Congé spécial",D9="Congé sans solde"),0.208333333333334,IF(AND(AG9="",F9-D9&lt;0),("24:00:00"-D9)+("00:00:00"+F9)-0.0416666666666667,IF(AND(OR(AG9="Allaitement",AG9="Sans déjeuner"),F9-D9&lt;0),("24:00:00"-D9)+("00:00:00"+F9),IF(AND(AG9="",F9-D9&gt;0.166666666666667),F9-D9-0.0416666666666667,IF(AND(OR(AG9="Allaitement",AG9="Sans déjeuner"),F9-D9&gt;0.166666666666667),F9-D9,F9-D9)))))))</f>
        <v/>
      </c>
      <c r="P9" s="242">
        <f>IFERROR(VLOOKUP($B9,Annuaire_roster!$B:$G,MATCH(P$1,Annuaire_roster!$B$1:$G$1,0),0),"-")</f>
        <v/>
      </c>
      <c r="Q9" s="243" t="n">
        <v>44761</v>
      </c>
      <c r="R9" s="244">
        <f>IF(M9="Abs",O9,0)</f>
        <v/>
      </c>
      <c r="S9" s="244">
        <f>SUM(R9,L9,I9,J9,W9,H9)</f>
        <v/>
      </c>
      <c r="T9" s="209">
        <f>"Sem - "&amp;WEEKNUM(Q9,21)</f>
        <v/>
      </c>
      <c r="U9" s="209">
        <f>PROPER(TEXT(Q9,"mmmm"))</f>
        <v/>
      </c>
      <c r="V9" s="245">
        <f>+TEXT(Q9,"aaa")</f>
        <v/>
      </c>
      <c r="W9" s="240" t="n"/>
      <c r="X9" s="246">
        <f>IFERROR(IF(M9="Abs",0,IF((D9-C9+E9-F9)&lt;0.000694444444444444,0,(D9-C9+E9-F9))),0)</f>
        <v/>
      </c>
      <c r="Y9" s="247">
        <f>IFERROR(VLOOKUP(B9,Annuaire_roster!B:E,4,0),"-")</f>
        <v/>
      </c>
      <c r="Z9" s="247">
        <f>IFERROR(VLOOKUP(B9,Annuaire_roster!B:F,3,0),"-")</f>
        <v/>
      </c>
      <c r="AA9" s="247">
        <f>IFERROR(VLOOKUP(B9,Annuaire_roster!B:I,6,0),"-")</f>
        <v/>
      </c>
      <c r="AB9" s="248">
        <f>IF(AND(D9="Congé",F9="Congé"),0.333333333333333,IF(OR(AND(D9="Congé",F9&lt;&gt;"Congé"),(AND(F9="Congé",D9&lt;&gt;"Congé"))),0.166666666666667,""))</f>
        <v/>
      </c>
      <c r="AC9" s="248">
        <f>IF(AND(D9="Congé sans solde",F9="Congé sans solde"),0.333333333333333,IF(OR(AND(D9="Congé sans solde",F9&lt;&gt;"Congé sans solde"),(AND(F9="Congé sans solde",D9&lt;&gt;"Congé sans solde"))),0.166666666666667,""))</f>
        <v/>
      </c>
      <c r="AD9" s="248">
        <f>IF(AND(D9="Congé spécial",F9="Congé spécial"),0.333333333333333,IF(OR(AND(D9="Congé spécial",F9&lt;&gt;"Congé décès"),(AND(F9="Congé spécial",D9&lt;&gt;"Congé spécial"))),0.166666666666667,""))</f>
        <v/>
      </c>
      <c r="AE9" s="249">
        <f>IF(AND(D9="Férié",F9="Férié"),0.333333333333333,IF(OR(AND(D9="Férié",F9&lt;&gt;"Férié"),(AND(F9="Férié",D9&lt;&gt;"Férié"))),0.166666666666667,""))</f>
        <v/>
      </c>
      <c r="AF9" s="249" t="n"/>
      <c r="AG9" s="244" t="n"/>
    </row>
    <row r="10" ht="12.75" customHeight="1" s="231">
      <c r="A10" s="232">
        <f>VLOOKUP(B10,Annuaire_roster!B:F,5,0)</f>
        <v/>
      </c>
      <c r="B10" s="233" t="inlineStr">
        <is>
          <t>BOULHROUD SALMA</t>
        </is>
      </c>
      <c r="C10" s="234">
        <f>IFERROR(IF(COUNTIFS(Connexions!$K:$K,$Q10,Connexions!$E:$E,VLOOKUP($B10,Mapping_Noms!$A:$B,2,0))=0,"",_xlfn.MINIFS(Connexions!$M:$M,Connexions!$K:$K,$Q10,Connexions!$E:$E,VLOOKUP($B10,Mapping_Noms!$A:$B,2,0))-TIME(1,0,0)),"")</f>
        <v/>
      </c>
      <c r="D10" s="234">
        <f t="array" ref="D10:D10">IFERROR(INDEX(Planning2[],MATCH(1,(Planning2[Nom]=B10)*(Planning2[Date]=Q10),0),3),"-")</f>
        <v/>
      </c>
      <c r="E10" s="235">
        <f>IFERROR(IF(COUNTIFS(Connexions!$K:$K,$Q10,Connexions!$E:$E,VLOOKUP($B10,Mapping_Noms!$A:$B,2,0))=0,"",_xlfn.MAXIFS(Connexions!$O:$O,Connexions!$K:$K,$Q10,Connexions!$E:$E,VLOOKUP($B10,Mapping_Noms!$A:$B,2,0))-TIME(1,0,0)),"")</f>
        <v/>
      </c>
      <c r="F10" s="235">
        <f t="array" ref="F10:F10">IFERROR(INDEX(Planning2[],MATCH(1,(Planning2[Nom]=B10)*(Planning2[Date]=Q10),0),4),"-")</f>
        <v/>
      </c>
      <c r="G10" s="405">
        <f>IFERROR(IF(OR(IFERROR(INDEX('Planning Pauses Dej'!$C:$C,MATCH($B10&amp;"|"&amp;TEXT($Q10,"YYYYMMDD"),'Planning Pauses Dej'!$F:$F,0)),"")="",IFERROR(INDEX('Planning Pauses Dej'!$D:$D,MATCH($B10&amp;"|"&amp;TEXT($Q10,"YYYYMMDD"),'Planning Pauses Dej'!$F:$F,0)),"")=""),"",_xlfn.MAXIFS(Connexions!$Q:$Q,Connexions!$K:$K,$Q10,Connexions!$E:$E,VLOOKUP($B10,Mapping_Noms!$A:$B,2,0),Connexions!$O:$O,"&lt;="&amp;(IFERROR(INDEX('Planning Pauses Dej'!$D:$D,MATCH($B10&amp;"|"&amp;TEXT($Q10,"YYYYMMDD"),'Planning Pauses Dej'!$F:$F,0)),"")+TIME(1,0,0)),Connexions!$P:$P,"&gt;="&amp;(IFERROR(INDEX('Planning Pauses Dej'!$C:$C,MATCH($B10&amp;"|"&amp;TEXT($Q10,"YYYYMMDD"),'Planning Pauses Dej'!$F:$F,0)),"")+TIME(1,0,0)))),"")</f>
        <v/>
      </c>
      <c r="H10" s="405">
        <f>IFERROR(IF(OR($G10="",IFERROR(INDEX('Planning Pauses Dej'!$C:$C,MATCH($B10&amp;"|"&amp;TEXT($Q10,"YYYYMMDD"),'Planning Pauses Dej'!$F:$F,0)),"")="",IFERROR(INDEX('Planning Pauses Dej'!$D:$D,MATCH($B10&amp;"|"&amp;TEXT($Q10,"YYYYMMDD"),'Planning Pauses Dej'!$F:$F,0)),"")=""),"",IF($G10&gt;(IFERROR(INDEX('Planning Pauses Dej'!$D:$D,MATCH($B10&amp;"|"&amp;TEXT($Q10,"YYYYMMDD"),'Planning Pauses Dej'!$F:$F,0)),"")-IFERROR(INDEX('Planning Pauses Dej'!$C:$C,MATCH($B10&amp;"|"&amp;TEXT($Q10,"YYYYMMDD"),'Planning Pauses Dej'!$F:$F,0)),"")),$G10-(IFERROR(INDEX('Planning Pauses Dej'!$D:$D,MATCH($B10&amp;"|"&amp;TEXT($Q10,"YYYYMMDD"),'Planning Pauses Dej'!$F:$F,0)),"")-IFERROR(INDEX('Planning Pauses Dej'!$C:$C,MATCH($B10&amp;"|"&amp;TEXT($Q10,"YYYYMMDD"),'Planning Pauses Dej'!$F:$F,0)),"")),0)),"")</f>
        <v/>
      </c>
      <c r="I10" s="251">
        <f>IF(IF(OR(C10="",D10="Congé",D10="OFF",D10="Congé spécial"),"",IF(D10&gt;F10,D10-C10,IF(C10-D10&lt;0,0,C10-D10)))&lt;0.00068287037037037,"",IF(OR(D10="Congé",D10="OFF",C10="",D10="Congé spécial"),"",IF(D10&gt;F10,D10-C10,IF(C10-D10&lt;0,0,C10-D10))))</f>
        <v/>
      </c>
      <c r="J10" s="405">
        <f>IFERROR(IF($G10="","",IF($G10&gt;TIME(1,0,0),$G10-TIME(1,0,0),0)),"")</f>
        <v/>
      </c>
      <c r="K10" s="238">
        <f>IF(SUM(H10:J10)&lt;0.00068287037037037,0,SUM(H10:J10))</f>
        <v/>
      </c>
      <c r="L10" s="236">
        <f>IF(OR(F10="Congé",F10="OFF",M10="Abs",F10="Congé sans solde",F10="Férié",F10="Congé spécial",D10="Congé spécial"),0,IF(F10-E10&lt;0,0,IF(F10-E10&lt;=0.00068287037037037,0,F10-E10)))</f>
        <v/>
      </c>
      <c r="M10" s="239">
        <f>IF(AND(O10&lt;&gt;0,C10=""),"Abs",0)</f>
        <v/>
      </c>
      <c r="N10" s="240">
        <f>IFERROR(IF(OR(D10="OFF",D10="Congé",M10="Abs",D10="Congé sans solde",D10="Férié"),"",IF(O10-K10-L10&gt;O10,O10,IF(O10-K10-L10&lt;0,"",O10-K10-L10))),"")</f>
        <v/>
      </c>
      <c r="O10" s="241">
        <f>IF(AG10="2H Pause déjeuner",IF(F10-D10-0.0833333333333333&lt;0,F10-D10-0.0833333333333333+1,F10-D10-0.0833333333333333),IF(OR(AND(F10="OFF",D10="OFF"),AND(F10="Congé",D10="Congé"),AND(F10="Congé sans solde",D10="Congé sans solde"),AND(F10="Congé spécial",D10="Congé spécial"),AND(F10="Férié",D10="Férié"),AND(F10="OFF",D10="Congé"),AND(F10="OFF",D10="Congé sans solde"),AND(F10="OFF",D10="Congé spécial"),AND(F10="OFF",D10="Férié"),AND(F10="Congé",D10="OFF"),AND(F10="Congé",D10="Congé sans solde"),AND(F10="Congé",D10="Congé spécial"),AND(F10="Congé",D10="Férié"),AND(F10="Congé sans solde",D10="OFF"),AND(F10="Congé sans solde",D10="Congé"),AND(F10="Congé sans solde",D10="Congé spécial"),AND(F10="Congé sans solde",D10="Férié"),AND(F10="Congé spécial",D10="OFF"),AND(F10="Congé spécial",D10="Congé"),AND(F10="Congé spécial",D10="Congé sans solde"),AND(F10="Congé spécial",D10="Férié"),AND(F10="Férié",D10="OFF"),AND(F10="Férié",D10="Congé"),AND(F10="Férié",D10="Congé sans solde"),AND(F10="Férié",D10="Congé spécial")),0,IF(OR(F10="OFF",F10="Congé",F10="Congé spécial",F10="Congé sans solde",D10="OFF",D10="Congé",D10="Congé spécial",D10="Congé sans solde"),0.208333333333334,IF(AND(AG10="",F10-D10&lt;0),("24:00:00"-D10)+("00:00:00"+F10)-0.0416666666666667,IF(AND(OR(AG10="Allaitement",AG10="Sans déjeuner"),F10-D10&lt;0),("24:00:00"-D10)+("00:00:00"+F10),IF(AND(AG10="",F10-D10&gt;0.166666666666667),F10-D10-0.0416666666666667,IF(AND(OR(AG10="Allaitement",AG10="Sans déjeuner"),F10-D10&gt;0.166666666666667),F10-D10,F10-D10)))))))</f>
        <v/>
      </c>
      <c r="P10" s="242">
        <f>IFERROR(VLOOKUP($B10,Annuaire_roster!$B:$G,MATCH(P$1,Annuaire_roster!$B$1:$G$1,0),0),"-")</f>
        <v/>
      </c>
      <c r="Q10" s="243" t="n">
        <v>44761</v>
      </c>
      <c r="R10" s="244">
        <f>IF(M10="Abs",O10,0)</f>
        <v/>
      </c>
      <c r="S10" s="244">
        <f>SUM(R10,L10,I10,J10,W10,H10)</f>
        <v/>
      </c>
      <c r="T10" s="209">
        <f>"Sem - "&amp;WEEKNUM(Q10,21)</f>
        <v/>
      </c>
      <c r="U10" s="209">
        <f>PROPER(TEXT(Q10,"mmmm"))</f>
        <v/>
      </c>
      <c r="V10" s="245">
        <f>+TEXT(Q10,"aaa")</f>
        <v/>
      </c>
      <c r="W10" s="240" t="n"/>
      <c r="X10" s="246">
        <f>IFERROR(IF(M10="Abs",0,IF((D10-C10+E10-F10)&lt;0.000694444444444444,0,(D10-C10+E10-F10))),0)</f>
        <v/>
      </c>
      <c r="Y10" s="247">
        <f>IFERROR(VLOOKUP(B10,Annuaire_roster!B:E,4,0),"-")</f>
        <v/>
      </c>
      <c r="Z10" s="247">
        <f>IFERROR(VLOOKUP(B10,Annuaire_roster!B:F,3,0),"-")</f>
        <v/>
      </c>
      <c r="AA10" s="247">
        <f>IFERROR(VLOOKUP(B10,Annuaire_roster!B:I,6,0),"-")</f>
        <v/>
      </c>
      <c r="AB10" s="248">
        <f>IF(AND(D10="Congé",F10="Congé"),0.333333333333333,IF(OR(AND(D10="Congé",F10&lt;&gt;"Congé"),(AND(F10="Congé",D10&lt;&gt;"Congé"))),0.166666666666667,""))</f>
        <v/>
      </c>
      <c r="AC10" s="248">
        <f>IF(AND(D10="Congé sans solde",F10="Congé sans solde"),0.333333333333333,IF(OR(AND(D10="Congé sans solde",F10&lt;&gt;"Congé sans solde"),(AND(F10="Congé sans solde",D10&lt;&gt;"Congé sans solde"))),0.166666666666667,""))</f>
        <v/>
      </c>
      <c r="AD10" s="248">
        <f>IF(AND(D10="Congé spécial",F10="Congé spécial"),0.333333333333333,IF(OR(AND(D10="Congé spécial",F10&lt;&gt;"Congé décès"),(AND(F10="Congé spécial",D10&lt;&gt;"Congé spécial"))),0.166666666666667,""))</f>
        <v/>
      </c>
      <c r="AE10" s="249">
        <f>IF(AND(D10="Férié",F10="Férié"),0.333333333333333,IF(OR(AND(D10="Férié",F10&lt;&gt;"Férié"),(AND(F10="Férié",D10&lt;&gt;"Férié"))),0.166666666666667,""))</f>
        <v/>
      </c>
      <c r="AF10" s="249" t="n"/>
      <c r="AG10" s="244" t="n"/>
    </row>
    <row r="11" ht="12.75" customHeight="1" s="231">
      <c r="A11" s="253">
        <f>VLOOKUP(B11,Annuaire_roster!B:F,5,0)</f>
        <v/>
      </c>
      <c r="B11" s="233" t="inlineStr">
        <is>
          <t>GUEYE MOUHAMED</t>
        </is>
      </c>
      <c r="C11" s="234">
        <f>IFERROR(IF(COUNTIFS(Connexions!$K:$K,$Q11,Connexions!$E:$E,VLOOKUP($B11,Mapping_Noms!$A:$B,2,0))=0,"",_xlfn.MINIFS(Connexions!$M:$M,Connexions!$K:$K,$Q11,Connexions!$E:$E,VLOOKUP($B11,Mapping_Noms!$A:$B,2,0))-TIME(1,0,0)),"")</f>
        <v/>
      </c>
      <c r="D11" s="234">
        <f t="array" ref="D11:D11">IFERROR(INDEX(Planning2[],MATCH(1,(Planning2[Nom]=B11)*(Planning2[Date]=Q11),0),3),"-")</f>
        <v/>
      </c>
      <c r="E11" s="235">
        <f>IFERROR(IF(COUNTIFS(Connexions!$K:$K,$Q11,Connexions!$E:$E,VLOOKUP($B11,Mapping_Noms!$A:$B,2,0))=0,"",_xlfn.MAXIFS(Connexions!$O:$O,Connexions!$K:$K,$Q11,Connexions!$E:$E,VLOOKUP($B11,Mapping_Noms!$A:$B,2,0))-TIME(1,0,0)),"")</f>
        <v/>
      </c>
      <c r="F11" s="235">
        <f t="array" ref="F11:F11">IFERROR(INDEX(Planning2[],MATCH(1,(Planning2[Nom]=B11)*(Planning2[Date]=Q11),0),4),"-")</f>
        <v/>
      </c>
      <c r="G11" s="405">
        <f>IFERROR(IF(OR(IFERROR(INDEX('Planning Pauses Dej'!$C:$C,MATCH($B11&amp;"|"&amp;TEXT($Q11,"YYYYMMDD"),'Planning Pauses Dej'!$F:$F,0)),"")="",IFERROR(INDEX('Planning Pauses Dej'!$D:$D,MATCH($B11&amp;"|"&amp;TEXT($Q11,"YYYYMMDD"),'Planning Pauses Dej'!$F:$F,0)),"")=""),"",_xlfn.MAXIFS(Connexions!$Q:$Q,Connexions!$K:$K,$Q11,Connexions!$E:$E,VLOOKUP($B11,Mapping_Noms!$A:$B,2,0),Connexions!$O:$O,"&lt;="&amp;(IFERROR(INDEX('Planning Pauses Dej'!$D:$D,MATCH($B11&amp;"|"&amp;TEXT($Q11,"YYYYMMDD"),'Planning Pauses Dej'!$F:$F,0)),"")+TIME(1,0,0)),Connexions!$P:$P,"&gt;="&amp;(IFERROR(INDEX('Planning Pauses Dej'!$C:$C,MATCH($B11&amp;"|"&amp;TEXT($Q11,"YYYYMMDD"),'Planning Pauses Dej'!$F:$F,0)),"")+TIME(1,0,0)))),"")</f>
        <v/>
      </c>
      <c r="H11" s="405">
        <f>IFERROR(IF(OR($G11="",IFERROR(INDEX('Planning Pauses Dej'!$C:$C,MATCH($B11&amp;"|"&amp;TEXT($Q11,"YYYYMMDD"),'Planning Pauses Dej'!$F:$F,0)),"")="",IFERROR(INDEX('Planning Pauses Dej'!$D:$D,MATCH($B11&amp;"|"&amp;TEXT($Q11,"YYYYMMDD"),'Planning Pauses Dej'!$F:$F,0)),"")=""),"",IF($G11&gt;(IFERROR(INDEX('Planning Pauses Dej'!$D:$D,MATCH($B11&amp;"|"&amp;TEXT($Q11,"YYYYMMDD"),'Planning Pauses Dej'!$F:$F,0)),"")-IFERROR(INDEX('Planning Pauses Dej'!$C:$C,MATCH($B11&amp;"|"&amp;TEXT($Q11,"YYYYMMDD"),'Planning Pauses Dej'!$F:$F,0)),"")),$G11-(IFERROR(INDEX('Planning Pauses Dej'!$D:$D,MATCH($B11&amp;"|"&amp;TEXT($Q11,"YYYYMMDD"),'Planning Pauses Dej'!$F:$F,0)),"")-IFERROR(INDEX('Planning Pauses Dej'!$C:$C,MATCH($B11&amp;"|"&amp;TEXT($Q11,"YYYYMMDD"),'Planning Pauses Dej'!$F:$F,0)),"")),0)),"")</f>
        <v/>
      </c>
      <c r="I11" s="251">
        <f>IF(IF(OR(C11="",D11="Congé",D11="OFF",D11="Congé spécial"),"",IF(D11&gt;F11,D11-C11,IF(C11-D11&lt;0,0,C11-D11)))&lt;0.00068287037037037,"",IF(OR(D11="Congé",D11="OFF",C11="",D11="Congé spécial"),"",IF(D11&gt;F11,D11-C11,IF(C11-D11&lt;0,0,C11-D11))))</f>
        <v/>
      </c>
      <c r="J11" s="405">
        <f>IFERROR(IF($G11="","",IF($G11&gt;TIME(1,0,0),$G11-TIME(1,0,0),0)),"")</f>
        <v/>
      </c>
      <c r="K11" s="238">
        <f>IF(SUM(H11:J11)&lt;0.00068287037037037,0,SUM(H11:J11))</f>
        <v/>
      </c>
      <c r="L11" s="236">
        <f>IF(OR(F11="Congé",F11="OFF",M11="Abs",F11="Congé sans solde",F11="Férié",F11="Congé spécial",D11="Congé spécial"),0,IF(F11-E11&lt;0,0,IF(F11-E11&lt;=0.00068287037037037,0,F11-E11)))</f>
        <v/>
      </c>
      <c r="M11" s="239">
        <f>IF(AND(O11&lt;&gt;0,C11=""),"Abs",0)</f>
        <v/>
      </c>
      <c r="N11" s="254">
        <f>IFERROR(IF(OR(D11="OFF",D11="Congé",M11="Abs",D11="Congé sans solde",D11="Férié"),"",IF(O11-K11-L11&gt;O11,O11,IF(O11-K11-L11&lt;0,"",O11-K11-L11))),"")</f>
        <v/>
      </c>
      <c r="O11" s="241">
        <f>IF(AG11="2H Pause déjeuner",IF(F11-D11-0.0833333333333333&lt;0,F11-D11-0.0833333333333333+1,F11-D11-0.0833333333333333),IF(OR(AND(F11="OFF",D11="OFF"),AND(F11="Congé",D11="Congé"),AND(F11="Congé sans solde",D11="Congé sans solde"),AND(F11="Congé spécial",D11="Congé spécial"),AND(F11="Férié",D11="Férié"),AND(F11="OFF",D11="Congé"),AND(F11="OFF",D11="Congé sans solde"),AND(F11="OFF",D11="Congé spécial"),AND(F11="OFF",D11="Férié"),AND(F11="Congé",D11="OFF"),AND(F11="Congé",D11="Congé sans solde"),AND(F11="Congé",D11="Congé spécial"),AND(F11="Congé",D11="Férié"),AND(F11="Congé sans solde",D11="OFF"),AND(F11="Congé sans solde",D11="Congé"),AND(F11="Congé sans solde",D11="Congé spécial"),AND(F11="Congé sans solde",D11="Férié"),AND(F11="Congé spécial",D11="OFF"),AND(F11="Congé spécial",D11="Congé"),AND(F11="Congé spécial",D11="Congé sans solde"),AND(F11="Congé spécial",D11="Férié"),AND(F11="Férié",D11="OFF"),AND(F11="Férié",D11="Congé"),AND(F11="Férié",D11="Congé sans solde"),AND(F11="Férié",D11="Congé spécial")),0,IF(OR(F11="OFF",F11="Congé",F11="Congé spécial",F11="Congé sans solde",D11="OFF",D11="Congé",D11="Congé spécial",D11="Congé sans solde"),0.208333333333334,IF(AND(AG11="",F11-D11&lt;0),("24:00:00"-D11)+("00:00:00"+F11)-0.0416666666666667,IF(AND(OR(AG11="Allaitement",AG11="Sans déjeuner"),F11-D11&lt;0),("24:00:00"-D11)+("00:00:00"+F11),IF(AND(AG11="",F11-D11&gt;0.166666666666667),F11-D11-0.0416666666666667,IF(AND(OR(AG11="Allaitement",AG11="Sans déjeuner"),F11-D11&gt;0.166666666666667),F11-D11,F11-D11)))))))</f>
        <v/>
      </c>
      <c r="P11" s="242">
        <f>IFERROR(VLOOKUP($B11,Annuaire_roster!$B:$G,MATCH(P$1,Annuaire_roster!$B$1:$G$1,0),0),"-")</f>
        <v/>
      </c>
      <c r="Q11" s="255" t="n">
        <v>44761</v>
      </c>
      <c r="R11" s="248">
        <f>IF(M11="Abs",O11,0)</f>
        <v/>
      </c>
      <c r="S11" s="248">
        <f>SUM(R11,L11,I11,J11,W11,H11)</f>
        <v/>
      </c>
      <c r="T11" s="209">
        <f>"Sem - "&amp;WEEKNUM(Q11,21)</f>
        <v/>
      </c>
      <c r="U11" s="209">
        <f>PROPER(TEXT(Q11,"mmmm"))</f>
        <v/>
      </c>
      <c r="V11" s="256">
        <f>+TEXT(Q11,"aaa")</f>
        <v/>
      </c>
      <c r="W11" s="254" t="n"/>
      <c r="X11" s="257">
        <f>IFERROR(IF(M11="Abs",0,IF((D11-C11+E11-F11)&lt;0.000694444444444444,0,(D11-C11+E11-F11))),0)</f>
        <v/>
      </c>
      <c r="Y11" s="258">
        <f>IFERROR(VLOOKUP(B11,Annuaire_roster!B:E,4,0),"-")</f>
        <v/>
      </c>
      <c r="Z11" s="258">
        <f>IFERROR(VLOOKUP(B11,Annuaire_roster!B:F,3,0),"-")</f>
        <v/>
      </c>
      <c r="AA11" s="258">
        <f>IFERROR(VLOOKUP(B11,Annuaire_roster!B:I,6,0),"-")</f>
        <v/>
      </c>
      <c r="AB11" s="248">
        <f>IF(AND(D11="Congé",F11="Congé"),0.333333333333333,IF(OR(AND(D11="Congé",F11&lt;&gt;"Congé"),(AND(F11="Congé",D11&lt;&gt;"Congé"))),0.166666666666667,""))</f>
        <v/>
      </c>
      <c r="AC11" s="248">
        <f>IF(AND(D11="Congé sans solde",F11="Congé sans solde"),0.333333333333333,IF(OR(AND(D11="Congé sans solde",F11&lt;&gt;"Congé sans solde"),(AND(F11="Congé sans solde",D11&lt;&gt;"Congé sans solde"))),0.166666666666667,""))</f>
        <v/>
      </c>
      <c r="AD11" s="248">
        <f>IF(AND(D11="Congé spécial",F11="Congé spécial"),0.333333333333333,IF(OR(AND(D11="Congé spécial",F11&lt;&gt;"Congé décès"),(AND(F11="Congé spécial",D11&lt;&gt;"Congé spécial"))),0.166666666666667,""))</f>
        <v/>
      </c>
      <c r="AE11" s="259">
        <f>IF(AND(D11="Férié",F11="Férié"),0.333333333333333,IF(OR(AND(D11="Férié",F11&lt;&gt;"Férié"),(AND(F11="Férié",D11&lt;&gt;"Férié"))),0.166666666666667,""))</f>
        <v/>
      </c>
      <c r="AF11" s="249" t="n"/>
      <c r="AG11" s="248" t="n"/>
    </row>
    <row r="12" ht="12.75" customHeight="1" s="231">
      <c r="A12" s="253">
        <f>VLOOKUP(B12,Annuaire_roster!B:F,5,0)</f>
        <v/>
      </c>
      <c r="B12" s="233" t="inlineStr">
        <is>
          <t>BOURABAA HASSAN</t>
        </is>
      </c>
      <c r="C12" s="234">
        <f>IFERROR(IF(COUNTIFS(Connexions!$K:$K,$Q12,Connexions!$E:$E,VLOOKUP($B12,Mapping_Noms!$A:$B,2,0))=0,"",_xlfn.MINIFS(Connexions!$M:$M,Connexions!$K:$K,$Q12,Connexions!$E:$E,VLOOKUP($B12,Mapping_Noms!$A:$B,2,0))-TIME(1,0,0)),"")</f>
        <v/>
      </c>
      <c r="D12" s="234">
        <f t="array" ref="D12:D12">IFERROR(INDEX(Planning2[],MATCH(1,(Planning2[Nom]=B12)*(Planning2[Date]=Q12),0),3),"-")</f>
        <v/>
      </c>
      <c r="E12" s="235">
        <f>IFERROR(IF(COUNTIFS(Connexions!$K:$K,$Q12,Connexions!$E:$E,VLOOKUP($B12,Mapping_Noms!$A:$B,2,0))=0,"",_xlfn.MAXIFS(Connexions!$O:$O,Connexions!$K:$K,$Q12,Connexions!$E:$E,VLOOKUP($B12,Mapping_Noms!$A:$B,2,0))-TIME(1,0,0)),"")</f>
        <v/>
      </c>
      <c r="F12" s="235">
        <f t="array" ref="F12:F12">IFERROR(INDEX(Planning2[],MATCH(1,(Planning2[Nom]=B12)*(Planning2[Date]=Q12),0),4),"-")</f>
        <v/>
      </c>
      <c r="G12" s="405">
        <f>IFERROR(IF(OR(IFERROR(INDEX('Planning Pauses Dej'!$C:$C,MATCH($B12&amp;"|"&amp;TEXT($Q12,"YYYYMMDD"),'Planning Pauses Dej'!$F:$F,0)),"")="",IFERROR(INDEX('Planning Pauses Dej'!$D:$D,MATCH($B12&amp;"|"&amp;TEXT($Q12,"YYYYMMDD"),'Planning Pauses Dej'!$F:$F,0)),"")=""),"",_xlfn.MAXIFS(Connexions!$Q:$Q,Connexions!$K:$K,$Q12,Connexions!$E:$E,VLOOKUP($B12,Mapping_Noms!$A:$B,2,0),Connexions!$O:$O,"&lt;="&amp;(IFERROR(INDEX('Planning Pauses Dej'!$D:$D,MATCH($B12&amp;"|"&amp;TEXT($Q12,"YYYYMMDD"),'Planning Pauses Dej'!$F:$F,0)),"")+TIME(1,0,0)),Connexions!$P:$P,"&gt;="&amp;(IFERROR(INDEX('Planning Pauses Dej'!$C:$C,MATCH($B12&amp;"|"&amp;TEXT($Q12,"YYYYMMDD"),'Planning Pauses Dej'!$F:$F,0)),"")+TIME(1,0,0)))),"")</f>
        <v/>
      </c>
      <c r="H12" s="405">
        <f>IFERROR(IF(OR($G12="",IFERROR(INDEX('Planning Pauses Dej'!$C:$C,MATCH($B12&amp;"|"&amp;TEXT($Q12,"YYYYMMDD"),'Planning Pauses Dej'!$F:$F,0)),"")="",IFERROR(INDEX('Planning Pauses Dej'!$D:$D,MATCH($B12&amp;"|"&amp;TEXT($Q12,"YYYYMMDD"),'Planning Pauses Dej'!$F:$F,0)),"")=""),"",IF($G12&gt;(IFERROR(INDEX('Planning Pauses Dej'!$D:$D,MATCH($B12&amp;"|"&amp;TEXT($Q12,"YYYYMMDD"),'Planning Pauses Dej'!$F:$F,0)),"")-IFERROR(INDEX('Planning Pauses Dej'!$C:$C,MATCH($B12&amp;"|"&amp;TEXT($Q12,"YYYYMMDD"),'Planning Pauses Dej'!$F:$F,0)),"")),$G12-(IFERROR(INDEX('Planning Pauses Dej'!$D:$D,MATCH($B12&amp;"|"&amp;TEXT($Q12,"YYYYMMDD"),'Planning Pauses Dej'!$F:$F,0)),"")-IFERROR(INDEX('Planning Pauses Dej'!$C:$C,MATCH($B12&amp;"|"&amp;TEXT($Q12,"YYYYMMDD"),'Planning Pauses Dej'!$F:$F,0)),"")),0)),"")</f>
        <v/>
      </c>
      <c r="I12" s="251">
        <f>IF(IF(OR(C12="",D12="Congé",D12="OFF",D12="Congé spécial"),"",IF(D12&gt;F12,D12-C12,IF(C12-D12&lt;0,0,C12-D12)))&lt;0.00068287037037037,"",IF(OR(D12="Congé",D12="OFF",C12="",D12="Congé spécial"),"",IF(D12&gt;F12,D12-C12,IF(C12-D12&lt;0,0,C12-D12))))</f>
        <v/>
      </c>
      <c r="J12" s="405">
        <f>IFERROR(IF($G12="","",IF($G12&gt;TIME(1,0,0),$G12-TIME(1,0,0),0)),"")</f>
        <v/>
      </c>
      <c r="K12" s="238">
        <f>IF(SUM(H12:J12)&lt;0.00068287037037037,0,SUM(H12:J12))</f>
        <v/>
      </c>
      <c r="L12" s="236">
        <f>IF(OR(F12="Congé",F12="OFF",M12="Abs",F12="Congé sans solde",F12="Férié",F12="Congé spécial",D12="Congé spécial"),0,IF(F12-E12&lt;0,0,IF(F12-E12&lt;=0.00068287037037037,0,F12-E12)))</f>
        <v/>
      </c>
      <c r="M12" s="239">
        <f>IF(AND(O12&lt;&gt;0,C12=""),"Abs",0)</f>
        <v/>
      </c>
      <c r="N12" s="254">
        <f>IFERROR(IF(OR(D12="OFF",D12="Congé",M12="Abs",D12="Congé sans solde",D12="Férié"),"",IF(O12-K12-L12&gt;O12,O12,IF(O12-K12-L12&lt;0,"",O12-K12-L12))),"")</f>
        <v/>
      </c>
      <c r="O12" s="241">
        <f>IF(AG12="2H Pause déjeuner",IF(F12-D12-0.0833333333333333&lt;0,F12-D12-0.0833333333333333+1,F12-D12-0.0833333333333333),IF(OR(AND(F12="OFF",D12="OFF"),AND(F12="Congé",D12="Congé"),AND(F12="Congé sans solde",D12="Congé sans solde"),AND(F12="Congé spécial",D12="Congé spécial"),AND(F12="Férié",D12="Férié"),AND(F12="OFF",D12="Congé"),AND(F12="OFF",D12="Congé sans solde"),AND(F12="OFF",D12="Congé spécial"),AND(F12="OFF",D12="Férié"),AND(F12="Congé",D12="OFF"),AND(F12="Congé",D12="Congé sans solde"),AND(F12="Congé",D12="Congé spécial"),AND(F12="Congé",D12="Férié"),AND(F12="Congé sans solde",D12="OFF"),AND(F12="Congé sans solde",D12="Congé"),AND(F12="Congé sans solde",D12="Congé spécial"),AND(F12="Congé sans solde",D12="Férié"),AND(F12="Congé spécial",D12="OFF"),AND(F12="Congé spécial",D12="Congé"),AND(F12="Congé spécial",D12="Congé sans solde"),AND(F12="Congé spécial",D12="Férié"),AND(F12="Férié",D12="OFF"),AND(F12="Férié",D12="Congé"),AND(F12="Férié",D12="Congé sans solde"),AND(F12="Férié",D12="Congé spécial")),0,IF(OR(F12="OFF",F12="Congé",F12="Congé spécial",F12="Congé sans solde",D12="OFF",D12="Congé",D12="Congé spécial",D12="Congé sans solde"),0.208333333333334,IF(AND(AG12="",F12-D12&lt;0),("24:00:00"-D12)+("00:00:00"+F12)-0.0416666666666667,IF(AND(OR(AG12="Allaitement",AG12="Sans déjeuner"),F12-D12&lt;0),("24:00:00"-D12)+("00:00:00"+F12),IF(AND(AG12="",F12-D12&gt;0.166666666666667),F12-D12-0.0416666666666667,IF(AND(OR(AG12="Allaitement",AG12="Sans déjeuner"),F12-D12&gt;0.166666666666667),F12-D12,F12-D12)))))))</f>
        <v/>
      </c>
      <c r="P12" s="242">
        <f>IFERROR(VLOOKUP($B12,Annuaire_roster!$B:$G,MATCH(P$1,Annuaire_roster!$B$1:$G$1,0),0),"-")</f>
        <v/>
      </c>
      <c r="Q12" s="255" t="n">
        <v>44761</v>
      </c>
      <c r="R12" s="248">
        <f>IF(M12="Abs",O12,0)</f>
        <v/>
      </c>
      <c r="S12" s="248">
        <f>SUM(R12,L12,I12,J12,W12,H12)</f>
        <v/>
      </c>
      <c r="T12" s="209">
        <f>"Sem - "&amp;WEEKNUM(Q12,21)</f>
        <v/>
      </c>
      <c r="U12" s="209">
        <f>PROPER(TEXT(Q12,"mmmm"))</f>
        <v/>
      </c>
      <c r="V12" s="256">
        <f>+TEXT(Q12,"aaa")</f>
        <v/>
      </c>
      <c r="W12" s="254" t="n"/>
      <c r="X12" s="257">
        <f>IFERROR(IF(M12="Abs",0,IF((D12-C12+E12-F12)&lt;0.000694444444444444,0,(D12-C12+E12-F12))),0)</f>
        <v/>
      </c>
      <c r="Y12" s="258">
        <f>IFERROR(VLOOKUP(B12,Annuaire_roster!B:E,4,0),"-")</f>
        <v/>
      </c>
      <c r="Z12" s="258">
        <f>IFERROR(VLOOKUP(B12,Annuaire_roster!B:F,3,0),"-")</f>
        <v/>
      </c>
      <c r="AA12" s="258">
        <f>IFERROR(VLOOKUP(B12,Annuaire_roster!B:I,6,0),"-")</f>
        <v/>
      </c>
      <c r="AB12" s="248">
        <f>IF(AND(D12="Congé",F12="Congé"),0.333333333333333,IF(OR(AND(D12="Congé",F12&lt;&gt;"Congé"),(AND(F12="Congé",D12&lt;&gt;"Congé"))),0.166666666666667,""))</f>
        <v/>
      </c>
      <c r="AC12" s="248">
        <f>IF(AND(D12="Congé sans solde",F12="Congé sans solde"),0.333333333333333,IF(OR(AND(D12="Congé sans solde",F12&lt;&gt;"Congé sans solde"),(AND(F12="Congé sans solde",D12&lt;&gt;"Congé sans solde"))),0.166666666666667,""))</f>
        <v/>
      </c>
      <c r="AD12" s="248">
        <f>IF(AND(D12="Congé spécial",F12="Congé spécial"),0.333333333333333,IF(OR(AND(D12="Congé spécial",F12&lt;&gt;"Congé décès"),(AND(F12="Congé spécial",D12&lt;&gt;"Congé spécial"))),0.166666666666667,""))</f>
        <v/>
      </c>
      <c r="AE12" s="259">
        <f>IF(AND(D12="Férié",F12="Férié"),0.333333333333333,IF(OR(AND(D12="Férié",F12&lt;&gt;"Férié"),(AND(F12="Férié",D12&lt;&gt;"Férié"))),0.166666666666667,""))</f>
        <v/>
      </c>
      <c r="AF12" s="259" t="n"/>
      <c r="AG12" s="248" t="n"/>
    </row>
    <row r="13" ht="12.75" customHeight="1" s="231">
      <c r="A13" s="232">
        <f>VLOOKUP(B13,Annuaire_roster!B:F,5,0)</f>
        <v/>
      </c>
      <c r="B13" s="233" t="inlineStr">
        <is>
          <t>TOURE ABIBOU</t>
        </is>
      </c>
      <c r="C13" s="234">
        <f>IFERROR(IF(COUNTIFS(Connexions!$K:$K,$Q13,Connexions!$E:$E,VLOOKUP($B13,Mapping_Noms!$A:$B,2,0))=0,"",_xlfn.MINIFS(Connexions!$M:$M,Connexions!$K:$K,$Q13,Connexions!$E:$E,VLOOKUP($B13,Mapping_Noms!$A:$B,2,0))-TIME(1,0,0)),"")</f>
        <v/>
      </c>
      <c r="D13" s="234">
        <f t="array" ref="D13:D13">IFERROR(INDEX(Planning2[],MATCH(1,(Planning2[Nom]=B13)*(Planning2[Date]=Q13),0),3),"-")</f>
        <v/>
      </c>
      <c r="E13" s="235">
        <f>IFERROR(IF(COUNTIFS(Connexions!$K:$K,$Q13,Connexions!$E:$E,VLOOKUP($B13,Mapping_Noms!$A:$B,2,0))=0,"",_xlfn.MAXIFS(Connexions!$O:$O,Connexions!$K:$K,$Q13,Connexions!$E:$E,VLOOKUP($B13,Mapping_Noms!$A:$B,2,0))-TIME(1,0,0)),"")</f>
        <v/>
      </c>
      <c r="F13" s="235">
        <f t="array" ref="F13:F13">IFERROR(INDEX(Planning2[],MATCH(1,(Planning2[Nom]=B13)*(Planning2[Date]=Q13),0),4),"-")</f>
        <v/>
      </c>
      <c r="G13" s="405">
        <f>IFERROR(IF(OR(IFERROR(INDEX('Planning Pauses Dej'!$C:$C,MATCH($B13&amp;"|"&amp;TEXT($Q13,"YYYYMMDD"),'Planning Pauses Dej'!$F:$F,0)),"")="",IFERROR(INDEX('Planning Pauses Dej'!$D:$D,MATCH($B13&amp;"|"&amp;TEXT($Q13,"YYYYMMDD"),'Planning Pauses Dej'!$F:$F,0)),"")=""),"",_xlfn.MAXIFS(Connexions!$Q:$Q,Connexions!$K:$K,$Q13,Connexions!$E:$E,VLOOKUP($B13,Mapping_Noms!$A:$B,2,0),Connexions!$O:$O,"&lt;="&amp;(IFERROR(INDEX('Planning Pauses Dej'!$D:$D,MATCH($B13&amp;"|"&amp;TEXT($Q13,"YYYYMMDD"),'Planning Pauses Dej'!$F:$F,0)),"")+TIME(1,0,0)),Connexions!$P:$P,"&gt;="&amp;(IFERROR(INDEX('Planning Pauses Dej'!$C:$C,MATCH($B13&amp;"|"&amp;TEXT($Q13,"YYYYMMDD"),'Planning Pauses Dej'!$F:$F,0)),"")+TIME(1,0,0)))),"")</f>
        <v/>
      </c>
      <c r="H13" s="405">
        <f>IFERROR(IF(OR($G13="",IFERROR(INDEX('Planning Pauses Dej'!$C:$C,MATCH($B13&amp;"|"&amp;TEXT($Q13,"YYYYMMDD"),'Planning Pauses Dej'!$F:$F,0)),"")="",IFERROR(INDEX('Planning Pauses Dej'!$D:$D,MATCH($B13&amp;"|"&amp;TEXT($Q13,"YYYYMMDD"),'Planning Pauses Dej'!$F:$F,0)),"")=""),"",IF($G13&gt;(IFERROR(INDEX('Planning Pauses Dej'!$D:$D,MATCH($B13&amp;"|"&amp;TEXT($Q13,"YYYYMMDD"),'Planning Pauses Dej'!$F:$F,0)),"")-IFERROR(INDEX('Planning Pauses Dej'!$C:$C,MATCH($B13&amp;"|"&amp;TEXT($Q13,"YYYYMMDD"),'Planning Pauses Dej'!$F:$F,0)),"")),$G13-(IFERROR(INDEX('Planning Pauses Dej'!$D:$D,MATCH($B13&amp;"|"&amp;TEXT($Q13,"YYYYMMDD"),'Planning Pauses Dej'!$F:$F,0)),"")-IFERROR(INDEX('Planning Pauses Dej'!$C:$C,MATCH($B13&amp;"|"&amp;TEXT($Q13,"YYYYMMDD"),'Planning Pauses Dej'!$F:$F,0)),"")),0)),"")</f>
        <v/>
      </c>
      <c r="I13" s="251">
        <f>IF(IF(OR(C13="",D13="Congé",D13="OFF",D13="Congé spécial"),"",IF(D13&gt;F13,D13-C13,IF(C13-D13&lt;0,0,C13-D13)))&lt;0.00068287037037037,"",IF(OR(D13="Congé",D13="OFF",C13="",D13="Congé spécial"),"",IF(D13&gt;F13,D13-C13,IF(C13-D13&lt;0,0,C13-D13))))</f>
        <v/>
      </c>
      <c r="J13" s="405">
        <f>IFERROR(IF($G13="","",IF($G13&gt;TIME(1,0,0),$G13-TIME(1,0,0),0)),"")</f>
        <v/>
      </c>
      <c r="K13" s="238">
        <f>IF(SUM(H13:J13)&lt;0.00068287037037037,0,SUM(H13:J13))</f>
        <v/>
      </c>
      <c r="L13" s="236">
        <f>IF(OR(F13="Congé",F13="OFF",M13="Abs",F13="Congé sans solde",F13="Férié",F13="Congé spécial",D13="Congé spécial"),0,IF(F13-E13&lt;0,0,IF(F13-E13&lt;=0.00068287037037037,0,F13-E13)))</f>
        <v/>
      </c>
      <c r="M13" s="239">
        <f>IF(AND(O13&lt;&gt;0,C13=""),"Abs",0)</f>
        <v/>
      </c>
      <c r="N13" s="240">
        <f>IFERROR(IF(OR(D13="OFF",D13="Congé",M13="Abs",D13="Congé sans solde",D13="Férié"),"",IF(O13-K13-L13&gt;O13,O13,IF(O13-K13-L13&lt;0,"",O13-K13-L13))),"")</f>
        <v/>
      </c>
      <c r="O13" s="241">
        <f>IF(AG13="2H Pause déjeuner",IF(F13-D13-0.0833333333333333&lt;0,F13-D13-0.0833333333333333+1,F13-D13-0.0833333333333333),IF(OR(AND(F13="OFF",D13="OFF"),AND(F13="Congé",D13="Congé"),AND(F13="Congé sans solde",D13="Congé sans solde"),AND(F13="Congé spécial",D13="Congé spécial"),AND(F13="Férié",D13="Férié"),AND(F13="OFF",D13="Congé"),AND(F13="OFF",D13="Congé sans solde"),AND(F13="OFF",D13="Congé spécial"),AND(F13="OFF",D13="Férié"),AND(F13="Congé",D13="OFF"),AND(F13="Congé",D13="Congé sans solde"),AND(F13="Congé",D13="Congé spécial"),AND(F13="Congé",D13="Férié"),AND(F13="Congé sans solde",D13="OFF"),AND(F13="Congé sans solde",D13="Congé"),AND(F13="Congé sans solde",D13="Congé spécial"),AND(F13="Congé sans solde",D13="Férié"),AND(F13="Congé spécial",D13="OFF"),AND(F13="Congé spécial",D13="Congé"),AND(F13="Congé spécial",D13="Congé sans solde"),AND(F13="Congé spécial",D13="Férié"),AND(F13="Férié",D13="OFF"),AND(F13="Férié",D13="Congé"),AND(F13="Férié",D13="Congé sans solde"),AND(F13="Férié",D13="Congé spécial")),0,IF(OR(F13="OFF",F13="Congé",F13="Congé spécial",F13="Congé sans solde",D13="OFF",D13="Congé",D13="Congé spécial",D13="Congé sans solde"),0.208333333333334,IF(AND(AG13="",F13-D13&lt;0),("24:00:00"-D13)+("00:00:00"+F13)-0.0416666666666667,IF(AND(OR(AG13="Allaitement",AG13="Sans déjeuner"),F13-D13&lt;0),("24:00:00"-D13)+("00:00:00"+F13),IF(AND(AG13="",F13-D13&gt;0.166666666666667),F13-D13-0.0416666666666667,IF(AND(OR(AG13="Allaitement",AG13="Sans déjeuner"),F13-D13&gt;0.166666666666667),F13-D13,F13-D13)))))))</f>
        <v/>
      </c>
      <c r="P13" s="242">
        <f>IFERROR(VLOOKUP($B13,Annuaire_roster!$B:$G,MATCH(P$1,Annuaire_roster!$B$1:$G$1,0),0),"-")</f>
        <v/>
      </c>
      <c r="Q13" s="243" t="n">
        <v>44761</v>
      </c>
      <c r="R13" s="244">
        <f>IF(M13="Abs",O13,0)</f>
        <v/>
      </c>
      <c r="S13" s="244">
        <f>SUM(R13,L13,I13,J13,W13,H13)</f>
        <v/>
      </c>
      <c r="T13" s="209">
        <f>"Sem - "&amp;WEEKNUM(Q13,21)</f>
        <v/>
      </c>
      <c r="U13" s="209">
        <f>PROPER(TEXT(Q13,"mmmm"))</f>
        <v/>
      </c>
      <c r="V13" s="245">
        <f>+TEXT(Q13,"aaa")</f>
        <v/>
      </c>
      <c r="W13" s="240" t="n"/>
      <c r="X13" s="246">
        <f>IFERROR(IF(M13="Abs",0,IF((D13-C13+E13-F13)&lt;0.000694444444444444,0,(D13-C13+E13-F13))),0)</f>
        <v/>
      </c>
      <c r="Y13" s="247">
        <f>IFERROR(VLOOKUP(B13,Annuaire_roster!B:E,4,0),"-")</f>
        <v/>
      </c>
      <c r="Z13" s="247">
        <f>IFERROR(VLOOKUP(B13,Annuaire_roster!B:F,3,0),"-")</f>
        <v/>
      </c>
      <c r="AA13" s="247">
        <f>IFERROR(VLOOKUP(B13,Annuaire_roster!B:I,6,0),"-")</f>
        <v/>
      </c>
      <c r="AB13" s="248">
        <f>IF(AND(D13="Congé",F13="Congé"),0.333333333333333,IF(OR(AND(D13="Congé",F13&lt;&gt;"Congé"),(AND(F13="Congé",D13&lt;&gt;"Congé"))),0.166666666666667,""))</f>
        <v/>
      </c>
      <c r="AC13" s="248">
        <f>IF(AND(D13="Congé sans solde",F13="Congé sans solde"),0.333333333333333,IF(OR(AND(D13="Congé sans solde",F13&lt;&gt;"Congé sans solde"),(AND(F13="Congé sans solde",D13&lt;&gt;"Congé sans solde"))),0.166666666666667,""))</f>
        <v/>
      </c>
      <c r="AD13" s="248">
        <f>IF(AND(D13="Congé spécial",F13="Congé spécial"),0.333333333333333,IF(OR(AND(D13="Congé spécial",F13&lt;&gt;"Congé décès"),(AND(F13="Congé spécial",D13&lt;&gt;"Congé spécial"))),0.166666666666667,""))</f>
        <v/>
      </c>
      <c r="AE13" s="249">
        <f>IF(AND(D13="Férié",F13="Férié"),0.333333333333333,IF(OR(AND(D13="Férié",F13&lt;&gt;"Férié"),(AND(F13="Férié",D13&lt;&gt;"Férié"))),0.166666666666667,""))</f>
        <v/>
      </c>
      <c r="AF13" s="249" t="n"/>
      <c r="AG13" s="244" t="n"/>
    </row>
    <row r="14" ht="12.75" customHeight="1" s="231">
      <c r="A14" s="253">
        <f>VLOOKUP(B14,Annuaire_roster!B:F,5,0)</f>
        <v/>
      </c>
      <c r="B14" s="233" t="inlineStr">
        <is>
          <t>LAFDIL NADA</t>
        </is>
      </c>
      <c r="C14" s="234">
        <f>IFERROR(IF(COUNTIFS(Connexions!$K:$K,$Q14,Connexions!$E:$E,VLOOKUP($B14,Mapping_Noms!$A:$B,2,0))=0,"",_xlfn.MINIFS(Connexions!$M:$M,Connexions!$K:$K,$Q14,Connexions!$E:$E,VLOOKUP($B14,Mapping_Noms!$A:$B,2,0))-TIME(1,0,0)),"")</f>
        <v/>
      </c>
      <c r="D14" s="234">
        <f t="array" ref="D14:D14">IFERROR(INDEX(Planning2[],MATCH(1,(Planning2[Nom]=B14)*(Planning2[Date]=Q14),0),3),"-")</f>
        <v/>
      </c>
      <c r="E14" s="235">
        <f>IFERROR(IF(COUNTIFS(Connexions!$K:$K,$Q14,Connexions!$E:$E,VLOOKUP($B14,Mapping_Noms!$A:$B,2,0))=0,"",_xlfn.MAXIFS(Connexions!$O:$O,Connexions!$K:$K,$Q14,Connexions!$E:$E,VLOOKUP($B14,Mapping_Noms!$A:$B,2,0))-TIME(1,0,0)),"")</f>
        <v/>
      </c>
      <c r="F14" s="235">
        <f t="array" ref="F14:F14">IFERROR(INDEX(Planning2[],MATCH(1,(Planning2[Nom]=B14)*(Planning2[Date]=Q14),0),4),"-")</f>
        <v/>
      </c>
      <c r="G14" s="405">
        <f>IFERROR(IF(OR(IFERROR(INDEX('Planning Pauses Dej'!$C:$C,MATCH($B14&amp;"|"&amp;TEXT($Q14,"YYYYMMDD"),'Planning Pauses Dej'!$F:$F,0)),"")="",IFERROR(INDEX('Planning Pauses Dej'!$D:$D,MATCH($B14&amp;"|"&amp;TEXT($Q14,"YYYYMMDD"),'Planning Pauses Dej'!$F:$F,0)),"")=""),"",_xlfn.MAXIFS(Connexions!$Q:$Q,Connexions!$K:$K,$Q14,Connexions!$E:$E,VLOOKUP($B14,Mapping_Noms!$A:$B,2,0),Connexions!$O:$O,"&lt;="&amp;(IFERROR(INDEX('Planning Pauses Dej'!$D:$D,MATCH($B14&amp;"|"&amp;TEXT($Q14,"YYYYMMDD"),'Planning Pauses Dej'!$F:$F,0)),"")+TIME(1,0,0)),Connexions!$P:$P,"&gt;="&amp;(IFERROR(INDEX('Planning Pauses Dej'!$C:$C,MATCH($B14&amp;"|"&amp;TEXT($Q14,"YYYYMMDD"),'Planning Pauses Dej'!$F:$F,0)),"")+TIME(1,0,0)))),"")</f>
        <v/>
      </c>
      <c r="H14" s="405">
        <f>IFERROR(IF(OR($G14="",IFERROR(INDEX('Planning Pauses Dej'!$C:$C,MATCH($B14&amp;"|"&amp;TEXT($Q14,"YYYYMMDD"),'Planning Pauses Dej'!$F:$F,0)),"")="",IFERROR(INDEX('Planning Pauses Dej'!$D:$D,MATCH($B14&amp;"|"&amp;TEXT($Q14,"YYYYMMDD"),'Planning Pauses Dej'!$F:$F,0)),"")=""),"",IF($G14&gt;(IFERROR(INDEX('Planning Pauses Dej'!$D:$D,MATCH($B14&amp;"|"&amp;TEXT($Q14,"YYYYMMDD"),'Planning Pauses Dej'!$F:$F,0)),"")-IFERROR(INDEX('Planning Pauses Dej'!$C:$C,MATCH($B14&amp;"|"&amp;TEXT($Q14,"YYYYMMDD"),'Planning Pauses Dej'!$F:$F,0)),"")),$G14-(IFERROR(INDEX('Planning Pauses Dej'!$D:$D,MATCH($B14&amp;"|"&amp;TEXT($Q14,"YYYYMMDD"),'Planning Pauses Dej'!$F:$F,0)),"")-IFERROR(INDEX('Planning Pauses Dej'!$C:$C,MATCH($B14&amp;"|"&amp;TEXT($Q14,"YYYYMMDD"),'Planning Pauses Dej'!$F:$F,0)),"")),0)),"")</f>
        <v/>
      </c>
      <c r="I14" s="251">
        <f>IF(IF(OR(C14="",D14="Congé",D14="OFF",D14="Congé spécial"),"",IF(D14&gt;F14,D14-C14,IF(C14-D14&lt;0,0,C14-D14)))&lt;0.00068287037037037,"",IF(OR(D14="Congé",D14="OFF",C14="",D14="Congé spécial"),"",IF(D14&gt;F14,D14-C14,IF(C14-D14&lt;0,0,C14-D14))))</f>
        <v/>
      </c>
      <c r="J14" s="405">
        <f>IFERROR(IF($G14="","",IF($G14&gt;TIME(1,0,0),$G14-TIME(1,0,0),0)),"")</f>
        <v/>
      </c>
      <c r="K14" s="238">
        <f>IF(SUM(H14:J14)&lt;0.00068287037037037,0,SUM(H14:J14))</f>
        <v/>
      </c>
      <c r="L14" s="236">
        <f>IF(OR(F14="Congé",F14="OFF",M14="Abs",F14="Congé sans solde",F14="Férié",F14="Congé spécial",D14="Congé spécial"),0,IF(F14-E14&lt;0,0,IF(F14-E14&lt;=0.00068287037037037,0,F14-E14)))</f>
        <v/>
      </c>
      <c r="M14" s="239">
        <f>IF(AND(O14&lt;&gt;0,C14=""),"Abs",0)</f>
        <v/>
      </c>
      <c r="N14" s="254">
        <f>IFERROR(IF(OR(D14="OFF",D14="Congé",M14="Abs",D14="Congé sans solde",D14="Férié"),"",IF(O14-K14-L14&gt;O14,O14,IF(O14-K14-L14&lt;0,"",O14-K14-L14))),"")</f>
        <v/>
      </c>
      <c r="O14" s="241">
        <f>IF(AG14="2H Pause déjeuner",IF(F14-D14-0.0833333333333333&lt;0,F14-D14-0.0833333333333333+1,F14-D14-0.0833333333333333),IF(OR(AND(F14="OFF",D14="OFF"),AND(F14="Congé",D14="Congé"),AND(F14="Congé sans solde",D14="Congé sans solde"),AND(F14="Congé spécial",D14="Congé spécial"),AND(F14="Férié",D14="Férié"),AND(F14="OFF",D14="Congé"),AND(F14="OFF",D14="Congé sans solde"),AND(F14="OFF",D14="Congé spécial"),AND(F14="OFF",D14="Férié"),AND(F14="Congé",D14="OFF"),AND(F14="Congé",D14="Congé sans solde"),AND(F14="Congé",D14="Congé spécial"),AND(F14="Congé",D14="Férié"),AND(F14="Congé sans solde",D14="OFF"),AND(F14="Congé sans solde",D14="Congé"),AND(F14="Congé sans solde",D14="Congé spécial"),AND(F14="Congé sans solde",D14="Férié"),AND(F14="Congé spécial",D14="OFF"),AND(F14="Congé spécial",D14="Congé"),AND(F14="Congé spécial",D14="Congé sans solde"),AND(F14="Congé spécial",D14="Férié"),AND(F14="Férié",D14="OFF"),AND(F14="Férié",D14="Congé"),AND(F14="Férié",D14="Congé sans solde"),AND(F14="Férié",D14="Congé spécial")),0,IF(OR(F14="OFF",F14="Congé",F14="Congé spécial",F14="Congé sans solde",D14="OFF",D14="Congé",D14="Congé spécial",D14="Congé sans solde"),0.208333333333334,IF(AND(AG14="",F14-D14&lt;0),("24:00:00"-D14)+("00:00:00"+F14)-0.0416666666666667,IF(AND(OR(AG14="Allaitement",AG14="Sans déjeuner"),F14-D14&lt;0),("24:00:00"-D14)+("00:00:00"+F14),IF(AND(AG14="",F14-D14&gt;0.166666666666667),F14-D14-0.0416666666666667,IF(AND(OR(AG14="Allaitement",AG14="Sans déjeuner"),F14-D14&gt;0.166666666666667),F14-D14,F14-D14)))))))</f>
        <v/>
      </c>
      <c r="P14" s="242">
        <f>IFERROR(VLOOKUP($B14,Annuaire_roster!$B:$G,MATCH(P$1,Annuaire_roster!$B$1:$G$1,0),0),"-")</f>
        <v/>
      </c>
      <c r="Q14" s="255" t="n">
        <v>44761</v>
      </c>
      <c r="R14" s="248">
        <f>IF(M14="Abs",O14,0)</f>
        <v/>
      </c>
      <c r="S14" s="248">
        <f>SUM(R14,L14,I14,J14,W14,H14)</f>
        <v/>
      </c>
      <c r="T14" s="209">
        <f>"Sem - "&amp;WEEKNUM(Q14,21)</f>
        <v/>
      </c>
      <c r="U14" s="209">
        <f>PROPER(TEXT(Q14,"mmmm"))</f>
        <v/>
      </c>
      <c r="V14" s="256">
        <f>+TEXT(Q14,"aaa")</f>
        <v/>
      </c>
      <c r="W14" s="254" t="n"/>
      <c r="X14" s="257">
        <f>IFERROR(IF(M14="Abs",0,IF((D14-C14+E14-F14)&lt;0.000694444444444444,0,(D14-C14+E14-F14))),0)</f>
        <v/>
      </c>
      <c r="Y14" s="258">
        <f>IFERROR(VLOOKUP(B14,Annuaire_roster!B:E,4,0),"-")</f>
        <v/>
      </c>
      <c r="Z14" s="258">
        <f>IFERROR(VLOOKUP(B14,Annuaire_roster!B:F,3,0),"-")</f>
        <v/>
      </c>
      <c r="AA14" s="258">
        <f>IFERROR(VLOOKUP(B14,Annuaire_roster!B:I,6,0),"-")</f>
        <v/>
      </c>
      <c r="AB14" s="248">
        <f>IF(AND(D14="Congé",F14="Congé"),0.333333333333333,IF(OR(AND(D14="Congé",F14&lt;&gt;"Congé"),(AND(F14="Congé",D14&lt;&gt;"Congé"))),0.166666666666667,""))</f>
        <v/>
      </c>
      <c r="AC14" s="248">
        <f>IF(AND(D14="Congé sans solde",F14="Congé sans solde"),0.333333333333333,IF(OR(AND(D14="Congé sans solde",F14&lt;&gt;"Congé sans solde"),(AND(F14="Congé sans solde",D14&lt;&gt;"Congé sans solde"))),0.166666666666667,""))</f>
        <v/>
      </c>
      <c r="AD14" s="248">
        <f>IF(AND(D14="Congé spécial",F14="Congé spécial"),0.333333333333333,IF(OR(AND(D14="Congé spécial",F14&lt;&gt;"Congé décès"),(AND(F14="Congé spécial",D14&lt;&gt;"Congé spécial"))),0.166666666666667,""))</f>
        <v/>
      </c>
      <c r="AE14" s="259">
        <f>IF(AND(D14="Férié",F14="Férié"),0.333333333333333,IF(OR(AND(D14="Férié",F14&lt;&gt;"Férié"),(AND(F14="Férié",D14&lt;&gt;"Férié"))),0.166666666666667,""))</f>
        <v/>
      </c>
      <c r="AF14" s="249" t="n"/>
      <c r="AG14" s="248" t="n"/>
    </row>
    <row r="15" ht="12.75" customHeight="1" s="231">
      <c r="A15" s="232">
        <f>VLOOKUP(B15,Annuaire_roster!B:F,5,0)</f>
        <v/>
      </c>
      <c r="B15" s="233" t="inlineStr">
        <is>
          <t>RACHAD NAWAR</t>
        </is>
      </c>
      <c r="C15" s="234">
        <f>IFERROR(IF(COUNTIFS(Connexions!$K:$K,$Q15,Connexions!$E:$E,VLOOKUP($B15,Mapping_Noms!$A:$B,2,0))=0,"",_xlfn.MINIFS(Connexions!$M:$M,Connexions!$K:$K,$Q15,Connexions!$E:$E,VLOOKUP($B15,Mapping_Noms!$A:$B,2,0))-TIME(1,0,0)),"")</f>
        <v/>
      </c>
      <c r="D15" s="234">
        <f t="array" ref="D15:D15">IFERROR(INDEX(Planning2[],MATCH(1,(Planning2[Nom]=B15)*(Planning2[Date]=Q15),0),3),"-")</f>
        <v/>
      </c>
      <c r="E15" s="235">
        <f>IFERROR(IF(COUNTIFS(Connexions!$K:$K,$Q15,Connexions!$E:$E,VLOOKUP($B15,Mapping_Noms!$A:$B,2,0))=0,"",_xlfn.MAXIFS(Connexions!$O:$O,Connexions!$K:$K,$Q15,Connexions!$E:$E,VLOOKUP($B15,Mapping_Noms!$A:$B,2,0))-TIME(1,0,0)),"")</f>
        <v/>
      </c>
      <c r="F15" s="235">
        <f t="array" ref="F15:F15">IFERROR(INDEX(Planning2[],MATCH(1,(Planning2[Nom]=B15)*(Planning2[Date]=Q15),0),4),"-")</f>
        <v/>
      </c>
      <c r="G15" s="405">
        <f>IFERROR(IF(OR(IFERROR(INDEX('Planning Pauses Dej'!$C:$C,MATCH($B15&amp;"|"&amp;TEXT($Q15,"YYYYMMDD"),'Planning Pauses Dej'!$F:$F,0)),"")="",IFERROR(INDEX('Planning Pauses Dej'!$D:$D,MATCH($B15&amp;"|"&amp;TEXT($Q15,"YYYYMMDD"),'Planning Pauses Dej'!$F:$F,0)),"")=""),"",_xlfn.MAXIFS(Connexions!$Q:$Q,Connexions!$K:$K,$Q15,Connexions!$E:$E,VLOOKUP($B15,Mapping_Noms!$A:$B,2,0),Connexions!$O:$O,"&lt;="&amp;(IFERROR(INDEX('Planning Pauses Dej'!$D:$D,MATCH($B15&amp;"|"&amp;TEXT($Q15,"YYYYMMDD"),'Planning Pauses Dej'!$F:$F,0)),"")+TIME(1,0,0)),Connexions!$P:$P,"&gt;="&amp;(IFERROR(INDEX('Planning Pauses Dej'!$C:$C,MATCH($B15&amp;"|"&amp;TEXT($Q15,"YYYYMMDD"),'Planning Pauses Dej'!$F:$F,0)),"")+TIME(1,0,0)))),"")</f>
        <v/>
      </c>
      <c r="H15" s="405">
        <f>IFERROR(IF(OR($G15="",IFERROR(INDEX('Planning Pauses Dej'!$C:$C,MATCH($B15&amp;"|"&amp;TEXT($Q15,"YYYYMMDD"),'Planning Pauses Dej'!$F:$F,0)),"")="",IFERROR(INDEX('Planning Pauses Dej'!$D:$D,MATCH($B15&amp;"|"&amp;TEXT($Q15,"YYYYMMDD"),'Planning Pauses Dej'!$F:$F,0)),"")=""),"",IF($G15&gt;(IFERROR(INDEX('Planning Pauses Dej'!$D:$D,MATCH($B15&amp;"|"&amp;TEXT($Q15,"YYYYMMDD"),'Planning Pauses Dej'!$F:$F,0)),"")-IFERROR(INDEX('Planning Pauses Dej'!$C:$C,MATCH($B15&amp;"|"&amp;TEXT($Q15,"YYYYMMDD"),'Planning Pauses Dej'!$F:$F,0)),"")),$G15-(IFERROR(INDEX('Planning Pauses Dej'!$D:$D,MATCH($B15&amp;"|"&amp;TEXT($Q15,"YYYYMMDD"),'Planning Pauses Dej'!$F:$F,0)),"")-IFERROR(INDEX('Planning Pauses Dej'!$C:$C,MATCH($B15&amp;"|"&amp;TEXT($Q15,"YYYYMMDD"),'Planning Pauses Dej'!$F:$F,0)),"")),0)),"")</f>
        <v/>
      </c>
      <c r="I15" s="251">
        <f>IF(IF(OR(C15="",D15="Congé",D15="OFF",D15="Congé spécial"),"",IF(D15&gt;F15,D15-C15,IF(C15-D15&lt;0,0,C15-D15)))&lt;0.00068287037037037,"",IF(OR(D15="Congé",D15="OFF",C15="",D15="Congé spécial"),"",IF(D15&gt;F15,D15-C15,IF(C15-D15&lt;0,0,C15-D15))))</f>
        <v/>
      </c>
      <c r="J15" s="405">
        <f>IFERROR(IF($G15="","",IF($G15&gt;TIME(1,0,0),$G15-TIME(1,0,0),0)),"")</f>
        <v/>
      </c>
      <c r="K15" s="238">
        <f>IF(SUM(H15:J15)&lt;0.00068287037037037,0,SUM(H15:J15))</f>
        <v/>
      </c>
      <c r="L15" s="236">
        <f>IF(OR(F15="Congé",F15="OFF",M15="Abs",F15="Congé sans solde",F15="Férié",F15="Congé spécial",D15="Congé spécial"),0,IF(F15-E15&lt;0,0,IF(F15-E15&lt;=0.00068287037037037,0,F15-E15)))</f>
        <v/>
      </c>
      <c r="M15" s="239">
        <f>IF(AND(O15&lt;&gt;0,C15=""),"Abs",0)</f>
        <v/>
      </c>
      <c r="N15" s="240">
        <f>IFERROR(IF(OR(D15="OFF",D15="Congé",M15="Abs",D15="Congé sans solde",D15="Férié"),"",IF(O15-K15-L15&gt;O15,O15,IF(O15-K15-L15&lt;0,"",O15-K15-L15))),"")</f>
        <v/>
      </c>
      <c r="O15" s="241">
        <f>IF(AG15="2H Pause déjeuner",IF(F15-D15-0.0833333333333333&lt;0,F15-D15-0.0833333333333333+1,F15-D15-0.0833333333333333),IF(OR(AND(F15="OFF",D15="OFF"),AND(F15="Congé",D15="Congé"),AND(F15="Congé sans solde",D15="Congé sans solde"),AND(F15="Congé spécial",D15="Congé spécial"),AND(F15="Férié",D15="Férié"),AND(F15="OFF",D15="Congé"),AND(F15="OFF",D15="Congé sans solde"),AND(F15="OFF",D15="Congé spécial"),AND(F15="OFF",D15="Férié"),AND(F15="Congé",D15="OFF"),AND(F15="Congé",D15="Congé sans solde"),AND(F15="Congé",D15="Congé spécial"),AND(F15="Congé",D15="Férié"),AND(F15="Congé sans solde",D15="OFF"),AND(F15="Congé sans solde",D15="Congé"),AND(F15="Congé sans solde",D15="Congé spécial"),AND(F15="Congé sans solde",D15="Férié"),AND(F15="Congé spécial",D15="OFF"),AND(F15="Congé spécial",D15="Congé"),AND(F15="Congé spécial",D15="Congé sans solde"),AND(F15="Congé spécial",D15="Férié"),AND(F15="Férié",D15="OFF"),AND(F15="Férié",D15="Congé"),AND(F15="Férié",D15="Congé sans solde"),AND(F15="Férié",D15="Congé spécial")),0,IF(OR(F15="OFF",F15="Congé",F15="Congé spécial",F15="Congé sans solde",D15="OFF",D15="Congé",D15="Congé spécial",D15="Congé sans solde"),0.208333333333334,IF(AND(AG15="",F15-D15&lt;0),("24:00:00"-D15)+("00:00:00"+F15)-0.0416666666666667,IF(AND(OR(AG15="Allaitement",AG15="Sans déjeuner"),F15-D15&lt;0),("24:00:00"-D15)+("00:00:00"+F15),IF(AND(AG15="",F15-D15&gt;0.166666666666667),F15-D15-0.0416666666666667,IF(AND(OR(AG15="Allaitement",AG15="Sans déjeuner"),F15-D15&gt;0.166666666666667),F15-D15,F15-D15)))))))</f>
        <v/>
      </c>
      <c r="P15" s="242">
        <f>IFERROR(VLOOKUP($B15,Annuaire_roster!$B:$G,MATCH(P$1,Annuaire_roster!$B$1:$G$1,0),0),"-")</f>
        <v/>
      </c>
      <c r="Q15" s="243" t="n">
        <v>44761</v>
      </c>
      <c r="R15" s="244">
        <f>IF(M15="Abs",O15,0)</f>
        <v/>
      </c>
      <c r="S15" s="244">
        <f>SUM(R15,L15,I15,J15,W15,H15)</f>
        <v/>
      </c>
      <c r="T15" s="209">
        <f>"Sem - "&amp;WEEKNUM(Q15,21)</f>
        <v/>
      </c>
      <c r="U15" s="209">
        <f>PROPER(TEXT(Q15,"mmmm"))</f>
        <v/>
      </c>
      <c r="V15" s="245">
        <f>+TEXT(Q15,"aaa")</f>
        <v/>
      </c>
      <c r="W15" s="240" t="n"/>
      <c r="X15" s="246">
        <f>IFERROR(IF(M15="Abs",0,IF((D15-C15+E15-F15)&lt;0.000694444444444444,0,(D15-C15+E15-F15))),0)</f>
        <v/>
      </c>
      <c r="Y15" s="247">
        <f>IFERROR(VLOOKUP(B15,Annuaire_roster!B:E,4,0),"-")</f>
        <v/>
      </c>
      <c r="Z15" s="247">
        <f>IFERROR(VLOOKUP(B15,Annuaire_roster!B:F,3,0),"-")</f>
        <v/>
      </c>
      <c r="AA15" s="247">
        <f>IFERROR(VLOOKUP(B15,Annuaire_roster!B:I,6,0),"-")</f>
        <v/>
      </c>
      <c r="AB15" s="248">
        <f>IF(AND(D15="Congé",F15="Congé"),0.333333333333333,IF(OR(AND(D15="Congé",F15&lt;&gt;"Congé"),(AND(F15="Congé",D15&lt;&gt;"Congé"))),0.166666666666667,""))</f>
        <v/>
      </c>
      <c r="AC15" s="248">
        <f>IF(AND(D15="Congé sans solde",F15="Congé sans solde"),0.333333333333333,IF(OR(AND(D15="Congé sans solde",F15&lt;&gt;"Congé sans solde"),(AND(F15="Congé sans solde",D15&lt;&gt;"Congé sans solde"))),0.166666666666667,""))</f>
        <v/>
      </c>
      <c r="AD15" s="248">
        <f>IF(AND(D15="Congé spécial",F15="Congé spécial"),0.333333333333333,IF(OR(AND(D15="Congé spécial",F15&lt;&gt;"Congé décès"),(AND(F15="Congé spécial",D15&lt;&gt;"Congé spécial"))),0.166666666666667,""))</f>
        <v/>
      </c>
      <c r="AE15" s="249">
        <f>IF(AND(D15="Férié",F15="Férié"),0.333333333333333,IF(OR(AND(D15="Férié",F15&lt;&gt;"Férié"),(AND(F15="Férié",D15&lt;&gt;"Férié"))),0.166666666666667,""))</f>
        <v/>
      </c>
      <c r="AF15" s="249" t="n"/>
      <c r="AG15" s="244" t="n"/>
    </row>
    <row r="16" ht="12.75" customHeight="1" s="231">
      <c r="A16" s="232">
        <f>VLOOKUP(B16,Annuaire_roster!B:F,5,0)</f>
        <v/>
      </c>
      <c r="B16" s="233" t="inlineStr">
        <is>
          <t>EL HARROUCHI CHAIMAE</t>
        </is>
      </c>
      <c r="C16" s="234">
        <f>IFERROR(IF(COUNTIFS(Connexions!$K:$K,$Q16,Connexions!$E:$E,VLOOKUP($B16,Mapping_Noms!$A:$B,2,0))=0,"",_xlfn.MINIFS(Connexions!$M:$M,Connexions!$K:$K,$Q16,Connexions!$E:$E,VLOOKUP($B16,Mapping_Noms!$A:$B,2,0))-TIME(1,0,0)),"")</f>
        <v/>
      </c>
      <c r="D16" s="234">
        <f t="array" ref="D16:D16">IFERROR(INDEX(Planning2[],MATCH(1,(Planning2[Nom]=B16)*(Planning2[Date]=Q16),0),3),"-")</f>
        <v/>
      </c>
      <c r="E16" s="235">
        <f>IFERROR(IF(COUNTIFS(Connexions!$K:$K,$Q16,Connexions!$E:$E,VLOOKUP($B16,Mapping_Noms!$A:$B,2,0))=0,"",_xlfn.MAXIFS(Connexions!$O:$O,Connexions!$K:$K,$Q16,Connexions!$E:$E,VLOOKUP($B16,Mapping_Noms!$A:$B,2,0))-TIME(1,0,0)),"")</f>
        <v/>
      </c>
      <c r="F16" s="235">
        <f t="array" ref="F16:F16">IFERROR(INDEX(Planning2[],MATCH(1,(Planning2[Nom]=B16)*(Planning2[Date]=Q16),0),4),"-")</f>
        <v/>
      </c>
      <c r="G16" s="405">
        <f>IFERROR(IF(OR(IFERROR(INDEX('Planning Pauses Dej'!$C:$C,MATCH($B16&amp;"|"&amp;TEXT($Q16,"YYYYMMDD"),'Planning Pauses Dej'!$F:$F,0)),"")="",IFERROR(INDEX('Planning Pauses Dej'!$D:$D,MATCH($B16&amp;"|"&amp;TEXT($Q16,"YYYYMMDD"),'Planning Pauses Dej'!$F:$F,0)),"")=""),"",_xlfn.MAXIFS(Connexions!$Q:$Q,Connexions!$K:$K,$Q16,Connexions!$E:$E,VLOOKUP($B16,Mapping_Noms!$A:$B,2,0),Connexions!$O:$O,"&lt;="&amp;(IFERROR(INDEX('Planning Pauses Dej'!$D:$D,MATCH($B16&amp;"|"&amp;TEXT($Q16,"YYYYMMDD"),'Planning Pauses Dej'!$F:$F,0)),"")+TIME(1,0,0)),Connexions!$P:$P,"&gt;="&amp;(IFERROR(INDEX('Planning Pauses Dej'!$C:$C,MATCH($B16&amp;"|"&amp;TEXT($Q16,"YYYYMMDD"),'Planning Pauses Dej'!$F:$F,0)),"")+TIME(1,0,0)))),"")</f>
        <v/>
      </c>
      <c r="H16" s="405">
        <f>IFERROR(IF(OR($G16="",IFERROR(INDEX('Planning Pauses Dej'!$C:$C,MATCH($B16&amp;"|"&amp;TEXT($Q16,"YYYYMMDD"),'Planning Pauses Dej'!$F:$F,0)),"")="",IFERROR(INDEX('Planning Pauses Dej'!$D:$D,MATCH($B16&amp;"|"&amp;TEXT($Q16,"YYYYMMDD"),'Planning Pauses Dej'!$F:$F,0)),"")=""),"",IF($G16&gt;(IFERROR(INDEX('Planning Pauses Dej'!$D:$D,MATCH($B16&amp;"|"&amp;TEXT($Q16,"YYYYMMDD"),'Planning Pauses Dej'!$F:$F,0)),"")-IFERROR(INDEX('Planning Pauses Dej'!$C:$C,MATCH($B16&amp;"|"&amp;TEXT($Q16,"YYYYMMDD"),'Planning Pauses Dej'!$F:$F,0)),"")),$G16-(IFERROR(INDEX('Planning Pauses Dej'!$D:$D,MATCH($B16&amp;"|"&amp;TEXT($Q16,"YYYYMMDD"),'Planning Pauses Dej'!$F:$F,0)),"")-IFERROR(INDEX('Planning Pauses Dej'!$C:$C,MATCH($B16&amp;"|"&amp;TEXT($Q16,"YYYYMMDD"),'Planning Pauses Dej'!$F:$F,0)),"")),0)),"")</f>
        <v/>
      </c>
      <c r="I16" s="251">
        <f>IF(IF(OR(C16="",D16="Congé",D16="OFF",D16="Congé spécial"),"",IF(D16&gt;F16,D16-C16,IF(C16-D16&lt;0,0,C16-D16)))&lt;0.00068287037037037,"",IF(OR(D16="Congé",D16="OFF",C16="",D16="Congé spécial"),"",IF(D16&gt;F16,D16-C16,IF(C16-D16&lt;0,0,C16-D16))))</f>
        <v/>
      </c>
      <c r="J16" s="405">
        <f>IFERROR(IF($G16="","",IF($G16&gt;TIME(1,0,0),$G16-TIME(1,0,0),0)),"")</f>
        <v/>
      </c>
      <c r="K16" s="238">
        <f>IF(SUM(H16:J16)&lt;0.00068287037037037,0,SUM(H16:J16))</f>
        <v/>
      </c>
      <c r="L16" s="236">
        <f>IF(OR(F16="Congé",F16="OFF",M16="Abs",F16="Congé sans solde",F16="Férié",F16="Congé spécial",D16="Congé spécial"),0,IF(F16-E16&lt;0,0,IF(F16-E16&lt;=0.00068287037037037,0,F16-E16)))</f>
        <v/>
      </c>
      <c r="M16" s="239">
        <f>IF(AND(O16&lt;&gt;0,C16=""),"Abs",0)</f>
        <v/>
      </c>
      <c r="N16" s="240">
        <f>IFERROR(IF(OR(D16="OFF",D16="Congé",M16="Abs",D16="Congé sans solde",D16="Férié"),"",IF(O16-K16-L16&gt;O16,O16,IF(O16-K16-L16&lt;0,"",O16-K16-L16))),"")</f>
        <v/>
      </c>
      <c r="O16" s="241">
        <f>IF(AG16="2H Pause déjeuner",IF(F16-D16-0.0833333333333333&lt;0,F16-D16-0.0833333333333333+1,F16-D16-0.0833333333333333),IF(OR(AND(F16="OFF",D16="OFF"),AND(F16="Congé",D16="Congé"),AND(F16="Congé sans solde",D16="Congé sans solde"),AND(F16="Congé spécial",D16="Congé spécial"),AND(F16="Férié",D16="Férié"),AND(F16="OFF",D16="Congé"),AND(F16="OFF",D16="Congé sans solde"),AND(F16="OFF",D16="Congé spécial"),AND(F16="OFF",D16="Férié"),AND(F16="Congé",D16="OFF"),AND(F16="Congé",D16="Congé sans solde"),AND(F16="Congé",D16="Congé spécial"),AND(F16="Congé",D16="Férié"),AND(F16="Congé sans solde",D16="OFF"),AND(F16="Congé sans solde",D16="Congé"),AND(F16="Congé sans solde",D16="Congé spécial"),AND(F16="Congé sans solde",D16="Férié"),AND(F16="Congé spécial",D16="OFF"),AND(F16="Congé spécial",D16="Congé"),AND(F16="Congé spécial",D16="Congé sans solde"),AND(F16="Congé spécial",D16="Férié"),AND(F16="Férié",D16="OFF"),AND(F16="Férié",D16="Congé"),AND(F16="Férié",D16="Congé sans solde"),AND(F16="Férié",D16="Congé spécial")),0,IF(OR(F16="OFF",F16="Congé",F16="Congé spécial",F16="Congé sans solde",D16="OFF",D16="Congé",D16="Congé spécial",D16="Congé sans solde"),0.208333333333334,IF(AND(AG16="",F16-D16&lt;0),("24:00:00"-D16)+("00:00:00"+F16)-0.0416666666666667,IF(AND(OR(AG16="Allaitement",AG16="Sans déjeuner"),F16-D16&lt;0),("24:00:00"-D16)+("00:00:00"+F16),IF(AND(AG16="",F16-D16&gt;0.166666666666667),F16-D16-0.0416666666666667,IF(AND(OR(AG16="Allaitement",AG16="Sans déjeuner"),F16-D16&gt;0.166666666666667),F16-D16,F16-D16)))))))</f>
        <v/>
      </c>
      <c r="P16" s="242">
        <f>IFERROR(VLOOKUP($B16,Annuaire_roster!$B:$G,MATCH(P$1,Annuaire_roster!$B$1:$G$1,0),0),"-")</f>
        <v/>
      </c>
      <c r="Q16" s="243" t="n">
        <v>44761</v>
      </c>
      <c r="R16" s="244">
        <f>IF(M16="Abs",O16,0)</f>
        <v/>
      </c>
      <c r="S16" s="244">
        <f>SUM(R16,L16,I16,J16,W16,H16)</f>
        <v/>
      </c>
      <c r="T16" s="209">
        <f>"Sem - "&amp;WEEKNUM(Q16,21)</f>
        <v/>
      </c>
      <c r="U16" s="209">
        <f>PROPER(TEXT(Q16,"mmmm"))</f>
        <v/>
      </c>
      <c r="V16" s="245">
        <f>+TEXT(Q16,"aaa")</f>
        <v/>
      </c>
      <c r="W16" s="240" t="n"/>
      <c r="X16" s="246">
        <f>IFERROR(IF(M16="Abs",0,IF((D16-C16+E16-F16)&lt;0.000694444444444444,0,(D16-C16+E16-F16))),0)</f>
        <v/>
      </c>
      <c r="Y16" s="247">
        <f>IFERROR(VLOOKUP(B16,Annuaire_roster!B:E,4,0),"-")</f>
        <v/>
      </c>
      <c r="Z16" s="247">
        <f>IFERROR(VLOOKUP(B16,Annuaire_roster!B:F,3,0),"-")</f>
        <v/>
      </c>
      <c r="AA16" s="247">
        <f>IFERROR(VLOOKUP(B16,Annuaire_roster!B:I,6,0),"-")</f>
        <v/>
      </c>
      <c r="AB16" s="248">
        <f>IF(AND(D16="Congé",F16="Congé"),0.333333333333333,IF(OR(AND(D16="Congé",F16&lt;&gt;"Congé"),(AND(F16="Congé",D16&lt;&gt;"Congé"))),0.166666666666667,""))</f>
        <v/>
      </c>
      <c r="AC16" s="248">
        <f>IF(AND(D16="Congé sans solde",F16="Congé sans solde"),0.333333333333333,IF(OR(AND(D16="Congé sans solde",F16&lt;&gt;"Congé sans solde"),(AND(F16="Congé sans solde",D16&lt;&gt;"Congé sans solde"))),0.166666666666667,""))</f>
        <v/>
      </c>
      <c r="AD16" s="248">
        <f>IF(AND(D16="Congé spécial",F16="Congé spécial"),0.333333333333333,IF(OR(AND(D16="Congé spécial",F16&lt;&gt;"Congé décès"),(AND(F16="Congé spécial",D16&lt;&gt;"Congé spécial"))),0.166666666666667,""))</f>
        <v/>
      </c>
      <c r="AE16" s="249">
        <f>IF(AND(D16="Férié",F16="Férié"),0.333333333333333,IF(OR(AND(D16="Férié",F16&lt;&gt;"Férié"),(AND(F16="Férié",D16&lt;&gt;"Férié"))),0.166666666666667,""))</f>
        <v/>
      </c>
      <c r="AF16" s="249" t="n"/>
      <c r="AG16" s="248" t="n"/>
    </row>
    <row r="17" ht="12.75" customHeight="1" s="231">
      <c r="A17" s="253">
        <f>VLOOKUP(B17,Annuaire_roster!B:F,5,0)</f>
        <v/>
      </c>
      <c r="B17" s="233" t="inlineStr">
        <is>
          <t>NEMMAOUI MOUNIRA</t>
        </is>
      </c>
      <c r="C17" s="234">
        <f>IFERROR(IF(COUNTIFS(Connexions!$K:$K,$Q17,Connexions!$E:$E,VLOOKUP($B17,Mapping_Noms!$A:$B,2,0))=0,"",_xlfn.MINIFS(Connexions!$M:$M,Connexions!$K:$K,$Q17,Connexions!$E:$E,VLOOKUP($B17,Mapping_Noms!$A:$B,2,0))-TIME(1,0,0)),"")</f>
        <v/>
      </c>
      <c r="D17" s="234">
        <f t="array" ref="D17:D17">IFERROR(INDEX(Planning2[],MATCH(1,(Planning2[Nom]=B17)*(Planning2[Date]=Q17),0),3),"-")</f>
        <v/>
      </c>
      <c r="E17" s="235">
        <f>IFERROR(IF(COUNTIFS(Connexions!$K:$K,$Q17,Connexions!$E:$E,VLOOKUP($B17,Mapping_Noms!$A:$B,2,0))=0,"",_xlfn.MAXIFS(Connexions!$O:$O,Connexions!$K:$K,$Q17,Connexions!$E:$E,VLOOKUP($B17,Mapping_Noms!$A:$B,2,0))-TIME(1,0,0)),"")</f>
        <v/>
      </c>
      <c r="F17" s="235">
        <f t="array" ref="F17:F17">IFERROR(INDEX(Planning2[],MATCH(1,(Planning2[Nom]=B17)*(Planning2[Date]=Q17),0),4),"-")</f>
        <v/>
      </c>
      <c r="G17" s="405">
        <f>IFERROR(IF(OR(IFERROR(INDEX('Planning Pauses Dej'!$C:$C,MATCH($B17&amp;"|"&amp;TEXT($Q17,"YYYYMMDD"),'Planning Pauses Dej'!$F:$F,0)),"")="",IFERROR(INDEX('Planning Pauses Dej'!$D:$D,MATCH($B17&amp;"|"&amp;TEXT($Q17,"YYYYMMDD"),'Planning Pauses Dej'!$F:$F,0)),"")=""),"",_xlfn.MAXIFS(Connexions!$Q:$Q,Connexions!$K:$K,$Q17,Connexions!$E:$E,VLOOKUP($B17,Mapping_Noms!$A:$B,2,0),Connexions!$O:$O,"&lt;="&amp;(IFERROR(INDEX('Planning Pauses Dej'!$D:$D,MATCH($B17&amp;"|"&amp;TEXT($Q17,"YYYYMMDD"),'Planning Pauses Dej'!$F:$F,0)),"")+TIME(1,0,0)),Connexions!$P:$P,"&gt;="&amp;(IFERROR(INDEX('Planning Pauses Dej'!$C:$C,MATCH($B17&amp;"|"&amp;TEXT($Q17,"YYYYMMDD"),'Planning Pauses Dej'!$F:$F,0)),"")+TIME(1,0,0)))),"")</f>
        <v/>
      </c>
      <c r="H17" s="405">
        <f>IFERROR(IF(OR($G17="",IFERROR(INDEX('Planning Pauses Dej'!$C:$C,MATCH($B17&amp;"|"&amp;TEXT($Q17,"YYYYMMDD"),'Planning Pauses Dej'!$F:$F,0)),"")="",IFERROR(INDEX('Planning Pauses Dej'!$D:$D,MATCH($B17&amp;"|"&amp;TEXT($Q17,"YYYYMMDD"),'Planning Pauses Dej'!$F:$F,0)),"")=""),"",IF($G17&gt;(IFERROR(INDEX('Planning Pauses Dej'!$D:$D,MATCH($B17&amp;"|"&amp;TEXT($Q17,"YYYYMMDD"),'Planning Pauses Dej'!$F:$F,0)),"")-IFERROR(INDEX('Planning Pauses Dej'!$C:$C,MATCH($B17&amp;"|"&amp;TEXT($Q17,"YYYYMMDD"),'Planning Pauses Dej'!$F:$F,0)),"")),$G17-(IFERROR(INDEX('Planning Pauses Dej'!$D:$D,MATCH($B17&amp;"|"&amp;TEXT($Q17,"YYYYMMDD"),'Planning Pauses Dej'!$F:$F,0)),"")-IFERROR(INDEX('Planning Pauses Dej'!$C:$C,MATCH($B17&amp;"|"&amp;TEXT($Q17,"YYYYMMDD"),'Planning Pauses Dej'!$F:$F,0)),"")),0)),"")</f>
        <v/>
      </c>
      <c r="I17" s="251">
        <f>IF(IF(OR(C17="",D17="Congé",D17="OFF",D17="Congé spécial"),"",IF(D17&gt;F17,D17-C17,IF(C17-D17&lt;0,0,C17-D17)))&lt;0.00068287037037037,"",IF(OR(D17="Congé",D17="OFF",C17="",D17="Congé spécial"),"",IF(D17&gt;F17,D17-C17,IF(C17-D17&lt;0,0,C17-D17))))</f>
        <v/>
      </c>
      <c r="J17" s="405">
        <f>IFERROR(IF($G17="","",IF($G17&gt;TIME(1,0,0),$G17-TIME(1,0,0),0)),"")</f>
        <v/>
      </c>
      <c r="K17" s="238">
        <f>IF(SUM(H17:J17)&lt;0.00068287037037037,0,SUM(H17:J17))</f>
        <v/>
      </c>
      <c r="L17" s="236">
        <f>IF(OR(F17="Congé",F17="OFF",M17="Abs",F17="Congé sans solde",F17="Férié",F17="Congé spécial",D17="Congé spécial"),0,IF(F17-E17&lt;0,0,IF(F17-E17&lt;=0.00068287037037037,0,F17-E17)))</f>
        <v/>
      </c>
      <c r="M17" s="239">
        <f>IF(AND(O17&lt;&gt;0,C17=""),"Abs",0)</f>
        <v/>
      </c>
      <c r="N17" s="254">
        <f>IFERROR(IF(OR(D17="OFF",D17="Congé",M17="Abs",D17="Congé sans solde",D17="Férié"),"",IF(O17-K17-L17&gt;O17,O17,IF(O17-K17-L17&lt;0,"",O17-K17-L17))),"")</f>
        <v/>
      </c>
      <c r="O17" s="241">
        <f>IF(AG17="2H Pause déjeuner",IF(F17-D17-0.0833333333333333&lt;0,F17-D17-0.0833333333333333+1,F17-D17-0.0833333333333333),IF(OR(AND(F17="OFF",D17="OFF"),AND(F17="Congé",D17="Congé"),AND(F17="Congé sans solde",D17="Congé sans solde"),AND(F17="Congé spécial",D17="Congé spécial"),AND(F17="Férié",D17="Férié"),AND(F17="OFF",D17="Congé"),AND(F17="OFF",D17="Congé sans solde"),AND(F17="OFF",D17="Congé spécial"),AND(F17="OFF",D17="Férié"),AND(F17="Congé",D17="OFF"),AND(F17="Congé",D17="Congé sans solde"),AND(F17="Congé",D17="Congé spécial"),AND(F17="Congé",D17="Férié"),AND(F17="Congé sans solde",D17="OFF"),AND(F17="Congé sans solde",D17="Congé"),AND(F17="Congé sans solde",D17="Congé spécial"),AND(F17="Congé sans solde",D17="Férié"),AND(F17="Congé spécial",D17="OFF"),AND(F17="Congé spécial",D17="Congé"),AND(F17="Congé spécial",D17="Congé sans solde"),AND(F17="Congé spécial",D17="Férié"),AND(F17="Férié",D17="OFF"),AND(F17="Férié",D17="Congé"),AND(F17="Férié",D17="Congé sans solde"),AND(F17="Férié",D17="Congé spécial")),0,IF(OR(F17="OFF",F17="Congé",F17="Congé spécial",F17="Congé sans solde",D17="OFF",D17="Congé",D17="Congé spécial",D17="Congé sans solde"),0.208333333333334,IF(AND(AG17="",F17-D17&lt;0),("24:00:00"-D17)+("00:00:00"+F17)-0.0416666666666667,IF(AND(OR(AG17="Allaitement",AG17="Sans déjeuner"),F17-D17&lt;0),("24:00:00"-D17)+("00:00:00"+F17),IF(AND(AG17="",F17-D17&gt;0.166666666666667),F17-D17-0.0416666666666667,IF(AND(OR(AG17="Allaitement",AG17="Sans déjeuner"),F17-D17&gt;0.166666666666667),F17-D17,F17-D17)))))))</f>
        <v/>
      </c>
      <c r="P17" s="242">
        <f>IFERROR(VLOOKUP($B17,Annuaire_roster!$B:$G,MATCH(P$1,Annuaire_roster!$B$1:$G$1,0),0),"-")</f>
        <v/>
      </c>
      <c r="Q17" s="255" t="n">
        <v>44761</v>
      </c>
      <c r="R17" s="248">
        <f>IF(M17="Abs",O17,0)</f>
        <v/>
      </c>
      <c r="S17" s="248">
        <f>SUM(R17,L17,I17,J17,W17,H17)</f>
        <v/>
      </c>
      <c r="T17" s="209">
        <f>"Sem - "&amp;WEEKNUM(Q17,21)</f>
        <v/>
      </c>
      <c r="U17" s="209">
        <f>PROPER(TEXT(Q17,"mmmm"))</f>
        <v/>
      </c>
      <c r="V17" s="256">
        <f>+TEXT(Q17,"aaa")</f>
        <v/>
      </c>
      <c r="W17" s="254" t="n"/>
      <c r="X17" s="257">
        <f>IFERROR(IF(M17="Abs",0,IF((D17-C17+E17-F17)&lt;0.000694444444444444,0,(D17-C17+E17-F17))),0)</f>
        <v/>
      </c>
      <c r="Y17" s="258">
        <f>IFERROR(VLOOKUP(B17,Annuaire_roster!B:E,4,0),"-")</f>
        <v/>
      </c>
      <c r="Z17" s="258">
        <f>IFERROR(VLOOKUP(B17,Annuaire_roster!B:F,3,0),"-")</f>
        <v/>
      </c>
      <c r="AA17" s="258">
        <f>IFERROR(VLOOKUP(B17,Annuaire_roster!B:I,6,0),"-")</f>
        <v/>
      </c>
      <c r="AB17" s="248">
        <f>IF(AND(D17="Congé",F17="Congé"),0.333333333333333,IF(OR(AND(D17="Congé",F17&lt;&gt;"Congé"),(AND(F17="Congé",D17&lt;&gt;"Congé"))),0.166666666666667,""))</f>
        <v/>
      </c>
      <c r="AC17" s="248">
        <f>IF(AND(D17="Congé sans solde",F17="Congé sans solde"),0.333333333333333,IF(OR(AND(D17="Congé sans solde",F17&lt;&gt;"Congé sans solde"),(AND(F17="Congé sans solde",D17&lt;&gt;"Congé sans solde"))),0.166666666666667,""))</f>
        <v/>
      </c>
      <c r="AD17" s="248">
        <f>IF(AND(D17="Congé spécial",F17="Congé spécial"),0.333333333333333,IF(OR(AND(D17="Congé spécial",F17&lt;&gt;"Congé décès"),(AND(F17="Congé spécial",D17&lt;&gt;"Congé spécial"))),0.166666666666667,""))</f>
        <v/>
      </c>
      <c r="AE17" s="259">
        <f>IF(AND(D17="Férié",F17="Férié"),0.333333333333333,IF(OR(AND(D17="Férié",F17&lt;&gt;"Férié"),(AND(F17="Férié",D17&lt;&gt;"Férié"))),0.166666666666667,""))</f>
        <v/>
      </c>
      <c r="AF17" s="249" t="n"/>
      <c r="AG17" s="248" t="n"/>
    </row>
    <row r="18" ht="12.75" customHeight="1" s="231">
      <c r="A18" s="253">
        <f>VLOOKUP(B18,Annuaire_roster!B:F,5,0)</f>
        <v/>
      </c>
      <c r="B18" s="233" t="inlineStr">
        <is>
          <t>AINELKITANE ZINEB</t>
        </is>
      </c>
      <c r="C18" s="234">
        <f>IFERROR(IF(COUNTIFS(Connexions!$K:$K,$Q18,Connexions!$E:$E,VLOOKUP($B18,Mapping_Noms!$A:$B,2,0))=0,"",_xlfn.MINIFS(Connexions!$M:$M,Connexions!$K:$K,$Q18,Connexions!$E:$E,VLOOKUP($B18,Mapping_Noms!$A:$B,2,0))-TIME(1,0,0)),"")</f>
        <v/>
      </c>
      <c r="D18" s="234">
        <f t="array" ref="D18:D18">IFERROR(INDEX(Planning2[],MATCH(1,(Planning2[Nom]=B18)*(Planning2[Date]=Q18),0),3),"-")</f>
        <v/>
      </c>
      <c r="E18" s="235">
        <f>IFERROR(IF(COUNTIFS(Connexions!$K:$K,$Q18,Connexions!$E:$E,VLOOKUP($B18,Mapping_Noms!$A:$B,2,0))=0,"",_xlfn.MAXIFS(Connexions!$O:$O,Connexions!$K:$K,$Q18,Connexions!$E:$E,VLOOKUP($B18,Mapping_Noms!$A:$B,2,0))-TIME(1,0,0)),"")</f>
        <v/>
      </c>
      <c r="F18" s="235">
        <f t="array" ref="F18:F18">IFERROR(INDEX(Planning2[],MATCH(1,(Planning2[Nom]=B18)*(Planning2[Date]=Q18),0),4),"-")</f>
        <v/>
      </c>
      <c r="G18" s="405">
        <f>IFERROR(IF(OR(IFERROR(INDEX('Planning Pauses Dej'!$C:$C,MATCH($B18&amp;"|"&amp;TEXT($Q18,"YYYYMMDD"),'Planning Pauses Dej'!$F:$F,0)),"")="",IFERROR(INDEX('Planning Pauses Dej'!$D:$D,MATCH($B18&amp;"|"&amp;TEXT($Q18,"YYYYMMDD"),'Planning Pauses Dej'!$F:$F,0)),"")=""),"",_xlfn.MAXIFS(Connexions!$Q:$Q,Connexions!$K:$K,$Q18,Connexions!$E:$E,VLOOKUP($B18,Mapping_Noms!$A:$B,2,0),Connexions!$O:$O,"&lt;="&amp;(IFERROR(INDEX('Planning Pauses Dej'!$D:$D,MATCH($B18&amp;"|"&amp;TEXT($Q18,"YYYYMMDD"),'Planning Pauses Dej'!$F:$F,0)),"")+TIME(1,0,0)),Connexions!$P:$P,"&gt;="&amp;(IFERROR(INDEX('Planning Pauses Dej'!$C:$C,MATCH($B18&amp;"|"&amp;TEXT($Q18,"YYYYMMDD"),'Planning Pauses Dej'!$F:$F,0)),"")+TIME(1,0,0)))),"")</f>
        <v/>
      </c>
      <c r="H18" s="405">
        <f>IFERROR(IF(OR($G18="",IFERROR(INDEX('Planning Pauses Dej'!$C:$C,MATCH($B18&amp;"|"&amp;TEXT($Q18,"YYYYMMDD"),'Planning Pauses Dej'!$F:$F,0)),"")="",IFERROR(INDEX('Planning Pauses Dej'!$D:$D,MATCH($B18&amp;"|"&amp;TEXT($Q18,"YYYYMMDD"),'Planning Pauses Dej'!$F:$F,0)),"")=""),"",IF($G18&gt;(IFERROR(INDEX('Planning Pauses Dej'!$D:$D,MATCH($B18&amp;"|"&amp;TEXT($Q18,"YYYYMMDD"),'Planning Pauses Dej'!$F:$F,0)),"")-IFERROR(INDEX('Planning Pauses Dej'!$C:$C,MATCH($B18&amp;"|"&amp;TEXT($Q18,"YYYYMMDD"),'Planning Pauses Dej'!$F:$F,0)),"")),$G18-(IFERROR(INDEX('Planning Pauses Dej'!$D:$D,MATCH($B18&amp;"|"&amp;TEXT($Q18,"YYYYMMDD"),'Planning Pauses Dej'!$F:$F,0)),"")-IFERROR(INDEX('Planning Pauses Dej'!$C:$C,MATCH($B18&amp;"|"&amp;TEXT($Q18,"YYYYMMDD"),'Planning Pauses Dej'!$F:$F,0)),"")),0)),"")</f>
        <v/>
      </c>
      <c r="I18" s="251">
        <f>IF(IF(OR(C18="",D18="Congé",D18="OFF",D18="Congé spécial"),"",IF(D18&gt;F18,D18-C18,IF(C18-D18&lt;0,0,C18-D18)))&lt;0.00068287037037037,"",IF(OR(D18="Congé",D18="OFF",C18="",D18="Congé spécial"),"",IF(D18&gt;F18,D18-C18,IF(C18-D18&lt;0,0,C18-D18))))</f>
        <v/>
      </c>
      <c r="J18" s="405">
        <f>IFERROR(IF($G18="","",IF($G18&gt;TIME(1,0,0),$G18-TIME(1,0,0),0)),"")</f>
        <v/>
      </c>
      <c r="K18" s="238">
        <f>IF(SUM(H18:J18)&lt;0.00068287037037037,0,SUM(H18:J18))</f>
        <v/>
      </c>
      <c r="L18" s="236">
        <f>IF(OR(F18="Congé",F18="OFF",M18="Abs",F18="Congé sans solde",F18="Férié",F18="Congé spécial",D18="Congé spécial"),0,IF(F18-E18&lt;0,0,IF(F18-E18&lt;=0.00068287037037037,0,F18-E18)))</f>
        <v/>
      </c>
      <c r="M18" s="239">
        <f>IF(AND(O18&lt;&gt;0,C18=""),"Abs",0)</f>
        <v/>
      </c>
      <c r="N18" s="254">
        <f>IFERROR(IF(OR(D18="OFF",D18="Congé",M18="Abs",D18="Congé sans solde",D18="Férié"),"",IF(O18-K18-L18&gt;O18,O18,IF(O18-K18-L18&lt;0,"",O18-K18-L18))),"")</f>
        <v/>
      </c>
      <c r="O18" s="241">
        <f>IF(AG18="2H Pause déjeuner",IF(F18-D18-0.0833333333333333&lt;0,F18-D18-0.0833333333333333+1,F18-D18-0.0833333333333333),IF(OR(AND(F18="OFF",D18="OFF"),AND(F18="Congé",D18="Congé"),AND(F18="Congé sans solde",D18="Congé sans solde"),AND(F18="Congé spécial",D18="Congé spécial"),AND(F18="Férié",D18="Férié"),AND(F18="OFF",D18="Congé"),AND(F18="OFF",D18="Congé sans solde"),AND(F18="OFF",D18="Congé spécial"),AND(F18="OFF",D18="Férié"),AND(F18="Congé",D18="OFF"),AND(F18="Congé",D18="Congé sans solde"),AND(F18="Congé",D18="Congé spécial"),AND(F18="Congé",D18="Férié"),AND(F18="Congé sans solde",D18="OFF"),AND(F18="Congé sans solde",D18="Congé"),AND(F18="Congé sans solde",D18="Congé spécial"),AND(F18="Congé sans solde",D18="Férié"),AND(F18="Congé spécial",D18="OFF"),AND(F18="Congé spécial",D18="Congé"),AND(F18="Congé spécial",D18="Congé sans solde"),AND(F18="Congé spécial",D18="Férié"),AND(F18="Férié",D18="OFF"),AND(F18="Férié",D18="Congé"),AND(F18="Férié",D18="Congé sans solde"),AND(F18="Férié",D18="Congé spécial")),0,IF(OR(F18="OFF",F18="Congé",F18="Congé spécial",F18="Congé sans solde",D18="OFF",D18="Congé",D18="Congé spécial",D18="Congé sans solde"),0.208333333333334,IF(AND(AG18="",F18-D18&lt;0),("24:00:00"-D18)+("00:00:00"+F18)-0.0416666666666667,IF(AND(OR(AG18="Allaitement",AG18="Sans déjeuner"),F18-D18&lt;0),("24:00:00"-D18)+("00:00:00"+F18),IF(AND(AG18="",F18-D18&gt;0.166666666666667),F18-D18-0.0416666666666667,IF(AND(OR(AG18="Allaitement",AG18="Sans déjeuner"),F18-D18&gt;0.166666666666667),F18-D18,F18-D18)))))))</f>
        <v/>
      </c>
      <c r="P18" s="242">
        <f>IFERROR(VLOOKUP($B18,Annuaire_roster!$B:$G,MATCH(P$1,Annuaire_roster!$B$1:$G$1,0),0),"-")</f>
        <v/>
      </c>
      <c r="Q18" s="255" t="n">
        <v>44761</v>
      </c>
      <c r="R18" s="248">
        <f>IF(M18="Abs",O18,0)</f>
        <v/>
      </c>
      <c r="S18" s="248">
        <f>SUM(R18,L18,I18,J18,W18,H18)</f>
        <v/>
      </c>
      <c r="T18" s="209">
        <f>"Sem - "&amp;WEEKNUM(Q18,21)</f>
        <v/>
      </c>
      <c r="U18" s="209">
        <f>PROPER(TEXT(Q18,"mmmm"))</f>
        <v/>
      </c>
      <c r="V18" s="256">
        <f>+TEXT(Q18,"aaa")</f>
        <v/>
      </c>
      <c r="W18" s="254" t="n"/>
      <c r="X18" s="257">
        <f>IFERROR(IF(M18="Abs",0,IF((D18-C18+E18-F18)&lt;0.000694444444444444,0,(D18-C18+E18-F18))),0)</f>
        <v/>
      </c>
      <c r="Y18" s="258">
        <f>IFERROR(VLOOKUP(B18,Annuaire_roster!B:E,4,0),"-")</f>
        <v/>
      </c>
      <c r="Z18" s="258">
        <f>IFERROR(VLOOKUP(B18,Annuaire_roster!B:F,3,0),"-")</f>
        <v/>
      </c>
      <c r="AA18" s="258">
        <f>IFERROR(VLOOKUP(B18,Annuaire_roster!B:I,6,0),"-")</f>
        <v/>
      </c>
      <c r="AB18" s="248">
        <f>IF(AND(D18="Congé",F18="Congé"),0.333333333333333,IF(OR(AND(D18="Congé",F18&lt;&gt;"Congé"),(AND(F18="Congé",D18&lt;&gt;"Congé"))),0.166666666666667,""))</f>
        <v/>
      </c>
      <c r="AC18" s="248">
        <f>IF(AND(D18="Congé sans solde",F18="Congé sans solde"),0.333333333333333,IF(OR(AND(D18="Congé sans solde",F18&lt;&gt;"Congé sans solde"),(AND(F18="Congé sans solde",D18&lt;&gt;"Congé sans solde"))),0.166666666666667,""))</f>
        <v/>
      </c>
      <c r="AD18" s="248">
        <f>IF(AND(D18="Congé spécial",F18="Congé spécial"),0.333333333333333,IF(OR(AND(D18="Congé spécial",F18&lt;&gt;"Congé décès"),(AND(F18="Congé spécial",D18&lt;&gt;"Congé spécial"))),0.166666666666667,""))</f>
        <v/>
      </c>
      <c r="AE18" s="259">
        <f>IF(AND(D18="Férié",F18="Férié"),0.333333333333333,IF(OR(AND(D18="Férié",F18&lt;&gt;"Férié"),(AND(F18="Férié",D18&lt;&gt;"Férié"))),0.166666666666667,""))</f>
        <v/>
      </c>
      <c r="AF18" s="259" t="n"/>
      <c r="AG18" s="248" t="n"/>
    </row>
    <row r="19" ht="12.75" customHeight="1" s="231">
      <c r="A19" s="232">
        <f>VLOOKUP(B19,Annuaire_roster!B:F,5,0)</f>
        <v/>
      </c>
      <c r="B19" s="233" t="inlineStr">
        <is>
          <t>EL HOUSSAINI HOUDA</t>
        </is>
      </c>
      <c r="C19" s="234">
        <f>IFERROR(IF(COUNTIFS(Connexions!$K:$K,$Q19,Connexions!$E:$E,VLOOKUP($B19,Mapping_Noms!$A:$B,2,0))=0,"",_xlfn.MINIFS(Connexions!$M:$M,Connexions!$K:$K,$Q19,Connexions!$E:$E,VLOOKUP($B19,Mapping_Noms!$A:$B,2,0))-TIME(1,0,0)),"")</f>
        <v/>
      </c>
      <c r="D19" s="234">
        <f t="array" ref="D19:D19">IFERROR(INDEX(Planning2[],MATCH(1,(Planning2[Nom]=B19)*(Planning2[Date]=Q19),0),3),"-")</f>
        <v/>
      </c>
      <c r="E19" s="235">
        <f>IFERROR(IF(COUNTIFS(Connexions!$K:$K,$Q19,Connexions!$E:$E,VLOOKUP($B19,Mapping_Noms!$A:$B,2,0))=0,"",_xlfn.MAXIFS(Connexions!$O:$O,Connexions!$K:$K,$Q19,Connexions!$E:$E,VLOOKUP($B19,Mapping_Noms!$A:$B,2,0))-TIME(1,0,0)),"")</f>
        <v/>
      </c>
      <c r="F19" s="235">
        <f t="array" ref="F19:F19">IFERROR(INDEX(Planning2[],MATCH(1,(Planning2[Nom]=B19)*(Planning2[Date]=Q19),0),4),"-")</f>
        <v/>
      </c>
      <c r="G19" s="405">
        <f>IFERROR(IF(OR(IFERROR(INDEX('Planning Pauses Dej'!$C:$C,MATCH($B19&amp;"|"&amp;TEXT($Q19,"YYYYMMDD"),'Planning Pauses Dej'!$F:$F,0)),"")="",IFERROR(INDEX('Planning Pauses Dej'!$D:$D,MATCH($B19&amp;"|"&amp;TEXT($Q19,"YYYYMMDD"),'Planning Pauses Dej'!$F:$F,0)),"")=""),"",_xlfn.MAXIFS(Connexions!$Q:$Q,Connexions!$K:$K,$Q19,Connexions!$E:$E,VLOOKUP($B19,Mapping_Noms!$A:$B,2,0),Connexions!$O:$O,"&lt;="&amp;(IFERROR(INDEX('Planning Pauses Dej'!$D:$D,MATCH($B19&amp;"|"&amp;TEXT($Q19,"YYYYMMDD"),'Planning Pauses Dej'!$F:$F,0)),"")+TIME(1,0,0)),Connexions!$P:$P,"&gt;="&amp;(IFERROR(INDEX('Planning Pauses Dej'!$C:$C,MATCH($B19&amp;"|"&amp;TEXT($Q19,"YYYYMMDD"),'Planning Pauses Dej'!$F:$F,0)),"")+TIME(1,0,0)))),"")</f>
        <v/>
      </c>
      <c r="H19" s="405">
        <f>IFERROR(IF(OR($G19="",IFERROR(INDEX('Planning Pauses Dej'!$C:$C,MATCH($B19&amp;"|"&amp;TEXT($Q19,"YYYYMMDD"),'Planning Pauses Dej'!$F:$F,0)),"")="",IFERROR(INDEX('Planning Pauses Dej'!$D:$D,MATCH($B19&amp;"|"&amp;TEXT($Q19,"YYYYMMDD"),'Planning Pauses Dej'!$F:$F,0)),"")=""),"",IF($G19&gt;(IFERROR(INDEX('Planning Pauses Dej'!$D:$D,MATCH($B19&amp;"|"&amp;TEXT($Q19,"YYYYMMDD"),'Planning Pauses Dej'!$F:$F,0)),"")-IFERROR(INDEX('Planning Pauses Dej'!$C:$C,MATCH($B19&amp;"|"&amp;TEXT($Q19,"YYYYMMDD"),'Planning Pauses Dej'!$F:$F,0)),"")),$G19-(IFERROR(INDEX('Planning Pauses Dej'!$D:$D,MATCH($B19&amp;"|"&amp;TEXT($Q19,"YYYYMMDD"),'Planning Pauses Dej'!$F:$F,0)),"")-IFERROR(INDEX('Planning Pauses Dej'!$C:$C,MATCH($B19&amp;"|"&amp;TEXT($Q19,"YYYYMMDD"),'Planning Pauses Dej'!$F:$F,0)),"")),0)),"")</f>
        <v/>
      </c>
      <c r="I19" s="251">
        <f>IF(IF(OR(C19="",D19="Congé",D19="OFF",D19="Congé spécial"),"",IF(D19&gt;F19,D19-C19,IF(C19-D19&lt;0,0,C19-D19)))&lt;0.00068287037037037,"",IF(OR(D19="Congé",D19="OFF",C19="",D19="Congé spécial"),"",IF(D19&gt;F19,D19-C19,IF(C19-D19&lt;0,0,C19-D19))))</f>
        <v/>
      </c>
      <c r="J19" s="405">
        <f>IFERROR(IF($G19="","",IF($G19&gt;TIME(1,0,0),$G19-TIME(1,0,0),0)),"")</f>
        <v/>
      </c>
      <c r="K19" s="238">
        <f>IF(SUM(H19:J19)&lt;0.00068287037037037,0,SUM(H19:J19))</f>
        <v/>
      </c>
      <c r="L19" s="236">
        <f>IF(OR(F19="Congé",F19="OFF",M19="Abs",F19="Congé sans solde",F19="Férié",F19="Congé spécial",D19="Congé spécial"),0,IF(F19-E19&lt;0,0,IF(F19-E19&lt;=0.00068287037037037,0,F19-E19)))</f>
        <v/>
      </c>
      <c r="M19" s="239">
        <f>IF(AND(O19&lt;&gt;0,C19=""),"Abs",0)</f>
        <v/>
      </c>
      <c r="N19" s="240">
        <f>IFERROR(IF(OR(D19="OFF",D19="Congé",M19="Abs",D19="Congé sans solde",D19="Férié"),"",IF(O19-K19-L19&gt;O19,O19,IF(O19-K19-L19&lt;0,"",O19-K19-L19))),"")</f>
        <v/>
      </c>
      <c r="O19" s="241">
        <f>IF(AG19="2H Pause déjeuner",IF(F19-D19-0.0833333333333333&lt;0,F19-D19-0.0833333333333333+1,F19-D19-0.0833333333333333),IF(OR(AND(F19="OFF",D19="OFF"),AND(F19="Congé",D19="Congé"),AND(F19="Congé sans solde",D19="Congé sans solde"),AND(F19="Congé spécial",D19="Congé spécial"),AND(F19="Férié",D19="Férié"),AND(F19="OFF",D19="Congé"),AND(F19="OFF",D19="Congé sans solde"),AND(F19="OFF",D19="Congé spécial"),AND(F19="OFF",D19="Férié"),AND(F19="Congé",D19="OFF"),AND(F19="Congé",D19="Congé sans solde"),AND(F19="Congé",D19="Congé spécial"),AND(F19="Congé",D19="Férié"),AND(F19="Congé sans solde",D19="OFF"),AND(F19="Congé sans solde",D19="Congé"),AND(F19="Congé sans solde",D19="Congé spécial"),AND(F19="Congé sans solde",D19="Férié"),AND(F19="Congé spécial",D19="OFF"),AND(F19="Congé spécial",D19="Congé"),AND(F19="Congé spécial",D19="Congé sans solde"),AND(F19="Congé spécial",D19="Férié"),AND(F19="Férié",D19="OFF"),AND(F19="Férié",D19="Congé"),AND(F19="Férié",D19="Congé sans solde"),AND(F19="Férié",D19="Congé spécial")),0,IF(OR(F19="OFF",F19="Congé",F19="Congé spécial",F19="Congé sans solde",D19="OFF",D19="Congé",D19="Congé spécial",D19="Congé sans solde"),0.208333333333334,IF(AND(AG19="",F19-D19&lt;0),("24:00:00"-D19)+("00:00:00"+F19)-0.0416666666666667,IF(AND(OR(AG19="Allaitement",AG19="Sans déjeuner"),F19-D19&lt;0),("24:00:00"-D19)+("00:00:00"+F19),IF(AND(AG19="",F19-D19&gt;0.166666666666667),F19-D19-0.0416666666666667,IF(AND(OR(AG19="Allaitement",AG19="Sans déjeuner"),F19-D19&gt;0.166666666666667),F19-D19,F19-D19)))))))</f>
        <v/>
      </c>
      <c r="P19" s="242">
        <f>IFERROR(VLOOKUP($B19,Annuaire_roster!$B:$G,MATCH(P$1,Annuaire_roster!$B$1:$G$1,0),0),"-")</f>
        <v/>
      </c>
      <c r="Q19" s="243" t="n">
        <v>44761</v>
      </c>
      <c r="R19" s="244">
        <f>IF(M19="Abs",O19,0)</f>
        <v/>
      </c>
      <c r="S19" s="244">
        <f>SUM(R19,L19,I19,J19,W19,H19)</f>
        <v/>
      </c>
      <c r="T19" s="209">
        <f>"Sem - "&amp;WEEKNUM(Q19,21)</f>
        <v/>
      </c>
      <c r="U19" s="209">
        <f>PROPER(TEXT(Q19,"mmmm"))</f>
        <v/>
      </c>
      <c r="V19" s="245">
        <f>+TEXT(Q19,"aaa")</f>
        <v/>
      </c>
      <c r="W19" s="240" t="n"/>
      <c r="X19" s="246">
        <f>IFERROR(IF(M19="Abs",0,IF((D19-C19+E19-F19)&lt;0.000694444444444444,0,(D19-C19+E19-F19))),0)</f>
        <v/>
      </c>
      <c r="Y19" s="247">
        <f>IFERROR(VLOOKUP(B19,Annuaire_roster!B:E,4,0),"-")</f>
        <v/>
      </c>
      <c r="Z19" s="247">
        <f>IFERROR(VLOOKUP(B19,Annuaire_roster!B:F,3,0),"-")</f>
        <v/>
      </c>
      <c r="AA19" s="247">
        <f>IFERROR(VLOOKUP(B19,Annuaire_roster!B:I,6,0),"-")</f>
        <v/>
      </c>
      <c r="AB19" s="248">
        <f>IF(AND(D19="Congé",F19="Congé"),0.333333333333333,IF(OR(AND(D19="Congé",F19&lt;&gt;"Congé"),(AND(F19="Congé",D19&lt;&gt;"Congé"))),0.166666666666667,""))</f>
        <v/>
      </c>
      <c r="AC19" s="248">
        <f>IF(AND(D19="Congé sans solde",F19="Congé sans solde"),0.333333333333333,IF(OR(AND(D19="Congé sans solde",F19&lt;&gt;"Congé sans solde"),(AND(F19="Congé sans solde",D19&lt;&gt;"Congé sans solde"))),0.166666666666667,""))</f>
        <v/>
      </c>
      <c r="AD19" s="248">
        <f>IF(AND(D19="Congé spécial",F19="Congé spécial"),0.333333333333333,IF(OR(AND(D19="Congé spécial",F19&lt;&gt;"Congé décès"),(AND(F19="Congé spécial",D19&lt;&gt;"Congé spécial"))),0.166666666666667,""))</f>
        <v/>
      </c>
      <c r="AE19" s="249">
        <f>IF(AND(D19="Férié",F19="Férié"),0.333333333333333,IF(OR(AND(D19="Férié",F19&lt;&gt;"Férié"),(AND(F19="Férié",D19&lt;&gt;"Férié"))),0.166666666666667,""))</f>
        <v/>
      </c>
      <c r="AF19" s="249" t="n"/>
      <c r="AG19" s="244" t="n"/>
    </row>
    <row r="20" ht="12.75" customHeight="1" s="231">
      <c r="A20" s="232">
        <f>VLOOKUP(B20,Annuaire_roster!B:F,5,0)</f>
        <v/>
      </c>
      <c r="B20" s="233" t="inlineStr">
        <is>
          <t xml:space="preserve">DERKAOUI AMAL </t>
        </is>
      </c>
      <c r="C20" s="234">
        <f>IFERROR(IF(COUNTIFS(Connexions!$K:$K,$Q20,Connexions!$E:$E,VLOOKUP($B20,Mapping_Noms!$A:$B,2,0))=0,"",_xlfn.MINIFS(Connexions!$M:$M,Connexions!$K:$K,$Q20,Connexions!$E:$E,VLOOKUP($B20,Mapping_Noms!$A:$B,2,0))-TIME(1,0,0)),"")</f>
        <v/>
      </c>
      <c r="D20" s="234">
        <f t="array" ref="D20:D20">IFERROR(INDEX(Planning2[],MATCH(1,(Planning2[Nom]=B20)*(Planning2[Date]=Q20),0),3),"-")</f>
        <v/>
      </c>
      <c r="E20" s="235">
        <f>IFERROR(IF(COUNTIFS(Connexions!$K:$K,$Q20,Connexions!$E:$E,VLOOKUP($B20,Mapping_Noms!$A:$B,2,0))=0,"",_xlfn.MAXIFS(Connexions!$O:$O,Connexions!$K:$K,$Q20,Connexions!$E:$E,VLOOKUP($B20,Mapping_Noms!$A:$B,2,0))-TIME(1,0,0)),"")</f>
        <v/>
      </c>
      <c r="F20" s="235">
        <f t="array" ref="F20:F20">IFERROR(INDEX(Planning2[],MATCH(1,(Planning2[Nom]=B20)*(Planning2[Date]=Q20),0),4),"-")</f>
        <v/>
      </c>
      <c r="G20" s="405">
        <f>IFERROR(IF(OR(IFERROR(INDEX('Planning Pauses Dej'!$C:$C,MATCH($B20&amp;"|"&amp;TEXT($Q20,"YYYYMMDD"),'Planning Pauses Dej'!$F:$F,0)),"")="",IFERROR(INDEX('Planning Pauses Dej'!$D:$D,MATCH($B20&amp;"|"&amp;TEXT($Q20,"YYYYMMDD"),'Planning Pauses Dej'!$F:$F,0)),"")=""),"",_xlfn.MAXIFS(Connexions!$Q:$Q,Connexions!$K:$K,$Q20,Connexions!$E:$E,VLOOKUP($B20,Mapping_Noms!$A:$B,2,0),Connexions!$O:$O,"&lt;="&amp;(IFERROR(INDEX('Planning Pauses Dej'!$D:$D,MATCH($B20&amp;"|"&amp;TEXT($Q20,"YYYYMMDD"),'Planning Pauses Dej'!$F:$F,0)),"")+TIME(1,0,0)),Connexions!$P:$P,"&gt;="&amp;(IFERROR(INDEX('Planning Pauses Dej'!$C:$C,MATCH($B20&amp;"|"&amp;TEXT($Q20,"YYYYMMDD"),'Planning Pauses Dej'!$F:$F,0)),"")+TIME(1,0,0)))),"")</f>
        <v/>
      </c>
      <c r="H20" s="405">
        <f>IFERROR(IF(OR($G20="",IFERROR(INDEX('Planning Pauses Dej'!$C:$C,MATCH($B20&amp;"|"&amp;TEXT($Q20,"YYYYMMDD"),'Planning Pauses Dej'!$F:$F,0)),"")="",IFERROR(INDEX('Planning Pauses Dej'!$D:$D,MATCH($B20&amp;"|"&amp;TEXT($Q20,"YYYYMMDD"),'Planning Pauses Dej'!$F:$F,0)),"")=""),"",IF($G20&gt;(IFERROR(INDEX('Planning Pauses Dej'!$D:$D,MATCH($B20&amp;"|"&amp;TEXT($Q20,"YYYYMMDD"),'Planning Pauses Dej'!$F:$F,0)),"")-IFERROR(INDEX('Planning Pauses Dej'!$C:$C,MATCH($B20&amp;"|"&amp;TEXT($Q20,"YYYYMMDD"),'Planning Pauses Dej'!$F:$F,0)),"")),$G20-(IFERROR(INDEX('Planning Pauses Dej'!$D:$D,MATCH($B20&amp;"|"&amp;TEXT($Q20,"YYYYMMDD"),'Planning Pauses Dej'!$F:$F,0)),"")-IFERROR(INDEX('Planning Pauses Dej'!$C:$C,MATCH($B20&amp;"|"&amp;TEXT($Q20,"YYYYMMDD"),'Planning Pauses Dej'!$F:$F,0)),"")),0)),"")</f>
        <v/>
      </c>
      <c r="I20" s="260">
        <f>IF(IF(OR(C20="",D20="Congé",D20="OFF",D20="Congé spécial"),"",IF(D20&gt;F20,D20-C20,IF(C20-D20&lt;0,0,C20-D20)))&lt;0.00068287037037037,"",IF(OR(D20="Congé",D20="OFF",C20="",D20="Congé spécial"),"",IF(D20&gt;F20,D20-C20,IF(C20-D20&lt;0,0,C20-D20))))</f>
        <v/>
      </c>
      <c r="J20" s="405">
        <f>IFERROR(IF($G20="","",IF($G20&gt;TIME(1,0,0),$G20-TIME(1,0,0),0)),"")</f>
        <v/>
      </c>
      <c r="K20" s="238">
        <f>IF(SUM(H20:J20)&lt;0.00068287037037037,0,SUM(H20:J20))</f>
        <v/>
      </c>
      <c r="L20" s="236">
        <f>IF(OR(F20="Congé",F20="OFF",M20="Abs",F20="Congé sans solde",F20="Férié",F20="Congé spécial",D20="Congé spécial"),0,IF(F20-E20&lt;0,0,IF(F20-E20&lt;=0.00068287037037037,0,F20-E20)))</f>
        <v/>
      </c>
      <c r="M20" s="239">
        <f>IF(AND(O20&lt;&gt;0,C20=""),"Abs",0)</f>
        <v/>
      </c>
      <c r="N20" s="240">
        <f>IFERROR(IF(OR(D20="OFF",D20="Congé",M20="Abs",D20="Congé sans solde",D20="Férié"),"",IF(O20-K20-L20&gt;O20,O20,IF(O20-K20-L20&lt;0,"",O20-K20-L20))),"")</f>
        <v/>
      </c>
      <c r="O20" s="241">
        <f>IF(AG20="2H Pause déjeuner",IF(F20-D20-0.0833333333333333&lt;0,F20-D20-0.0833333333333333+1,F20-D20-0.0833333333333333),IF(OR(AND(F20="OFF",D20="OFF"),AND(F20="Congé",D20="Congé"),AND(F20="Congé sans solde",D20="Congé sans solde"),AND(F20="Congé spécial",D20="Congé spécial"),AND(F20="Férié",D20="Férié"),AND(F20="OFF",D20="Congé"),AND(F20="OFF",D20="Congé sans solde"),AND(F20="OFF",D20="Congé spécial"),AND(F20="OFF",D20="Férié"),AND(F20="Congé",D20="OFF"),AND(F20="Congé",D20="Congé sans solde"),AND(F20="Congé",D20="Congé spécial"),AND(F20="Congé",D20="Férié"),AND(F20="Congé sans solde",D20="OFF"),AND(F20="Congé sans solde",D20="Congé"),AND(F20="Congé sans solde",D20="Congé spécial"),AND(F20="Congé sans solde",D20="Férié"),AND(F20="Congé spécial",D20="OFF"),AND(F20="Congé spécial",D20="Congé"),AND(F20="Congé spécial",D20="Congé sans solde"),AND(F20="Congé spécial",D20="Férié"),AND(F20="Férié",D20="OFF"),AND(F20="Férié",D20="Congé"),AND(F20="Férié",D20="Congé sans solde"),AND(F20="Férié",D20="Congé spécial")),0,IF(OR(F20="OFF",F20="Congé",F20="Congé spécial",F20="Congé sans solde",D20="OFF",D20="Congé",D20="Congé spécial",D20="Congé sans solde"),0.208333333333334,IF(AND(AG20="",F20-D20&lt;0),("24:00:00"-D20)+("00:00:00"+F20)-0.0416666666666667,IF(AND(OR(AG20="Allaitement",AG20="Sans déjeuner"),F20-D20&lt;0),("24:00:00"-D20)+("00:00:00"+F20),IF(AND(AG20="",F20-D20&gt;0.166666666666667),F20-D20-0.0416666666666667,IF(AND(OR(AG20="Allaitement",AG20="Sans déjeuner"),F20-D20&gt;0.166666666666667),F20-D20,F20-D20)))))))</f>
        <v/>
      </c>
      <c r="P20" s="242">
        <f>IFERROR(VLOOKUP($B20,Annuaire_roster!$B:$G,MATCH(P$1,Annuaire_roster!$B$1:$G$1,0),0),"-")</f>
        <v/>
      </c>
      <c r="Q20" s="243" t="n">
        <v>44761</v>
      </c>
      <c r="R20" s="244">
        <f>IF(M20="Abs",O20,0)</f>
        <v/>
      </c>
      <c r="S20" s="244">
        <f>SUM(R20,L20,I20,J20,W20,H20)</f>
        <v/>
      </c>
      <c r="T20" s="209">
        <f>"Sem - "&amp;WEEKNUM(Q20,21)</f>
        <v/>
      </c>
      <c r="U20" s="209">
        <f>PROPER(TEXT(Q20,"mmmm"))</f>
        <v/>
      </c>
      <c r="V20" s="245">
        <f>+TEXT(Q20,"aaa")</f>
        <v/>
      </c>
      <c r="W20" s="240" t="n"/>
      <c r="X20" s="246">
        <f>IFERROR(IF(M20="Abs",0,IF((D20-C20+E20-F20)&lt;0.000694444444444444,0,(D20-C20+E20-F20))),0)</f>
        <v/>
      </c>
      <c r="Y20" s="247">
        <f>IFERROR(VLOOKUP(B20,Annuaire_roster!B:E,4,0),"-")</f>
        <v/>
      </c>
      <c r="Z20" s="247">
        <f>IFERROR(VLOOKUP(B20,Annuaire_roster!B:F,3,0),"-")</f>
        <v/>
      </c>
      <c r="AA20" s="247">
        <f>IFERROR(VLOOKUP(B20,Annuaire_roster!B:I,6,0),"-")</f>
        <v/>
      </c>
      <c r="AB20" s="248">
        <f>IF(AND(D20="Congé",F20="Congé"),0.333333333333333,IF(OR(AND(D20="Congé",F20&lt;&gt;"Congé"),(AND(F20="Congé",D20&lt;&gt;"Congé"))),0.166666666666667,""))</f>
        <v/>
      </c>
      <c r="AC20" s="248">
        <f>IF(AND(D20="Congé sans solde",F20="Congé sans solde"),0.333333333333333,IF(OR(AND(D20="Congé sans solde",F20&lt;&gt;"Congé sans solde"),(AND(F20="Congé sans solde",D20&lt;&gt;"Congé sans solde"))),0.166666666666667,""))</f>
        <v/>
      </c>
      <c r="AD20" s="248">
        <f>IF(AND(D20="Congé spécial",F20="Congé spécial"),0.333333333333333,IF(OR(AND(D20="Congé spécial",F20&lt;&gt;"Congé décès"),(AND(F20="Congé spécial",D20&lt;&gt;"Congé spécial"))),0.166666666666667,""))</f>
        <v/>
      </c>
      <c r="AE20" s="249">
        <f>IF(AND(D20="Férié",F20="Férié"),0.333333333333333,IF(OR(AND(D20="Férié",F20&lt;&gt;"Férié"),(AND(F20="Férié",D20&lt;&gt;"Férié"))),0.166666666666667,""))</f>
        <v/>
      </c>
      <c r="AF20" s="249" t="n"/>
      <c r="AG20" s="244" t="n"/>
    </row>
    <row r="21" ht="12.75" customHeight="1" s="231">
      <c r="A21" s="253">
        <f>VLOOKUP(B21,Annuaire_roster!B:F,5,0)</f>
        <v/>
      </c>
      <c r="B21" s="233" t="inlineStr">
        <is>
          <t>BENSAR ANAS</t>
        </is>
      </c>
      <c r="C21" s="234">
        <f>IFERROR(IF(COUNTIFS(Connexions!$K:$K,$Q21,Connexions!$E:$E,VLOOKUP($B21,Mapping_Noms!$A:$B,2,0))=0,"",_xlfn.MINIFS(Connexions!$M:$M,Connexions!$K:$K,$Q21,Connexions!$E:$E,VLOOKUP($B21,Mapping_Noms!$A:$B,2,0))-TIME(1,0,0)),"")</f>
        <v/>
      </c>
      <c r="D21" s="234">
        <f t="array" ref="D21:D21">IFERROR(INDEX(Planning2[],MATCH(1,(Planning2[Nom]=B21)*(Planning2[Date]=Q21),0),3),"-")</f>
        <v/>
      </c>
      <c r="E21" s="235">
        <f>IFERROR(IF(COUNTIFS(Connexions!$K:$K,$Q21,Connexions!$E:$E,VLOOKUP($B21,Mapping_Noms!$A:$B,2,0))=0,"",_xlfn.MAXIFS(Connexions!$O:$O,Connexions!$K:$K,$Q21,Connexions!$E:$E,VLOOKUP($B21,Mapping_Noms!$A:$B,2,0))-TIME(1,0,0)),"")</f>
        <v/>
      </c>
      <c r="F21" s="235">
        <f t="array" ref="F21:F21">IFERROR(INDEX(Planning2[],MATCH(1,(Planning2[Nom]=B21)*(Planning2[Date]=Q21),0),4),"-")</f>
        <v/>
      </c>
      <c r="G21" s="405">
        <f>IFERROR(IF(OR(IFERROR(INDEX('Planning Pauses Dej'!$C:$C,MATCH($B21&amp;"|"&amp;TEXT($Q21,"YYYYMMDD"),'Planning Pauses Dej'!$F:$F,0)),"")="",IFERROR(INDEX('Planning Pauses Dej'!$D:$D,MATCH($B21&amp;"|"&amp;TEXT($Q21,"YYYYMMDD"),'Planning Pauses Dej'!$F:$F,0)),"")=""),"",_xlfn.MAXIFS(Connexions!$Q:$Q,Connexions!$K:$K,$Q21,Connexions!$E:$E,VLOOKUP($B21,Mapping_Noms!$A:$B,2,0),Connexions!$O:$O,"&lt;="&amp;(IFERROR(INDEX('Planning Pauses Dej'!$D:$D,MATCH($B21&amp;"|"&amp;TEXT($Q21,"YYYYMMDD"),'Planning Pauses Dej'!$F:$F,0)),"")+TIME(1,0,0)),Connexions!$P:$P,"&gt;="&amp;(IFERROR(INDEX('Planning Pauses Dej'!$C:$C,MATCH($B21&amp;"|"&amp;TEXT($Q21,"YYYYMMDD"),'Planning Pauses Dej'!$F:$F,0)),"")+TIME(1,0,0)))),"")</f>
        <v/>
      </c>
      <c r="H21" s="405">
        <f>IFERROR(IF(OR($G21="",IFERROR(INDEX('Planning Pauses Dej'!$C:$C,MATCH($B21&amp;"|"&amp;TEXT($Q21,"YYYYMMDD"),'Planning Pauses Dej'!$F:$F,0)),"")="",IFERROR(INDEX('Planning Pauses Dej'!$D:$D,MATCH($B21&amp;"|"&amp;TEXT($Q21,"YYYYMMDD"),'Planning Pauses Dej'!$F:$F,0)),"")=""),"",IF($G21&gt;(IFERROR(INDEX('Planning Pauses Dej'!$D:$D,MATCH($B21&amp;"|"&amp;TEXT($Q21,"YYYYMMDD"),'Planning Pauses Dej'!$F:$F,0)),"")-IFERROR(INDEX('Planning Pauses Dej'!$C:$C,MATCH($B21&amp;"|"&amp;TEXT($Q21,"YYYYMMDD"),'Planning Pauses Dej'!$F:$F,0)),"")),$G21-(IFERROR(INDEX('Planning Pauses Dej'!$D:$D,MATCH($B21&amp;"|"&amp;TEXT($Q21,"YYYYMMDD"),'Planning Pauses Dej'!$F:$F,0)),"")-IFERROR(INDEX('Planning Pauses Dej'!$C:$C,MATCH($B21&amp;"|"&amp;TEXT($Q21,"YYYYMMDD"),'Planning Pauses Dej'!$F:$F,0)),"")),0)),"")</f>
        <v/>
      </c>
      <c r="I21" s="251">
        <f>IF(IF(OR(C21="",D21="Congé",D21="OFF",D21="Congé spécial"),"",IF(D21&gt;F21,D21-C21,IF(C21-D21&lt;0,0,C21-D21)))&lt;0.00068287037037037,"",IF(OR(D21="Congé",D21="OFF",C21="",D21="Congé spécial"),"",IF(D21&gt;F21,D21-C21,IF(C21-D21&lt;0,0,C21-D21))))</f>
        <v/>
      </c>
      <c r="J21" s="405">
        <f>IFERROR(IF($G21="","",IF($G21&gt;TIME(1,0,0),$G21-TIME(1,0,0),0)),"")</f>
        <v/>
      </c>
      <c r="K21" s="238">
        <f>IF(SUM(H21:J21)&lt;0.00068287037037037,0,SUM(H21:J21))</f>
        <v/>
      </c>
      <c r="L21" s="236">
        <f>IF(OR(F21="Congé",F21="OFF",M21="Abs",F21="Congé sans solde",F21="Férié",F21="Congé spécial",D21="Congé spécial"),0,IF(F21-E21&lt;0,0,IF(F21-E21&lt;=0.00068287037037037,0,F21-E21)))</f>
        <v/>
      </c>
      <c r="M21" s="239">
        <f>IF(AND(O21&lt;&gt;0,C21=""),"Abs",0)</f>
        <v/>
      </c>
      <c r="N21" s="254">
        <f>IFERROR(IF(OR(D21="OFF",D21="Congé",M21="Abs",D21="Congé sans solde",D21="Férié"),"",IF(O21-K21-L21&gt;O21,O21,IF(O21-K21-L21&lt;0,"",O21-K21-L21))),"")</f>
        <v/>
      </c>
      <c r="O21" s="241">
        <f>IF(AG21="2H Pause déjeuner",IF(F21-D21-0.0833333333333333&lt;0,F21-D21-0.0833333333333333+1,F21-D21-0.0833333333333333),IF(OR(AND(F21="OFF",D21="OFF"),AND(F21="Congé",D21="Congé"),AND(F21="Congé sans solde",D21="Congé sans solde"),AND(F21="Congé spécial",D21="Congé spécial"),AND(F21="Férié",D21="Férié"),AND(F21="OFF",D21="Congé"),AND(F21="OFF",D21="Congé sans solde"),AND(F21="OFF",D21="Congé spécial"),AND(F21="OFF",D21="Férié"),AND(F21="Congé",D21="OFF"),AND(F21="Congé",D21="Congé sans solde"),AND(F21="Congé",D21="Congé spécial"),AND(F21="Congé",D21="Férié"),AND(F21="Congé sans solde",D21="OFF"),AND(F21="Congé sans solde",D21="Congé"),AND(F21="Congé sans solde",D21="Congé spécial"),AND(F21="Congé sans solde",D21="Férié"),AND(F21="Congé spécial",D21="OFF"),AND(F21="Congé spécial",D21="Congé"),AND(F21="Congé spécial",D21="Congé sans solde"),AND(F21="Congé spécial",D21="Férié"),AND(F21="Férié",D21="OFF"),AND(F21="Férié",D21="Congé"),AND(F21="Férié",D21="Congé sans solde"),AND(F21="Férié",D21="Congé spécial")),0,IF(OR(F21="OFF",F21="Congé",F21="Congé spécial",F21="Congé sans solde",D21="OFF",D21="Congé",D21="Congé spécial",D21="Congé sans solde"),0.208333333333334,IF(AND(AG21="",F21-D21&lt;0),("24:00:00"-D21)+("00:00:00"+F21)-0.0416666666666667,IF(AND(OR(AG21="Allaitement",AG21="Sans déjeuner"),F21-D21&lt;0),("24:00:00"-D21)+("00:00:00"+F21),IF(AND(AG21="",F21-D21&gt;0.166666666666667),F21-D21-0.0416666666666667,IF(AND(OR(AG21="Allaitement",AG21="Sans déjeuner"),F21-D21&gt;0.166666666666667),F21-D21,F21-D21)))))))</f>
        <v/>
      </c>
      <c r="P21" s="242">
        <f>IFERROR(VLOOKUP($B21,Annuaire_roster!$B:$G,MATCH(P$1,Annuaire_roster!$B$1:$G$1,0),0),"-")</f>
        <v/>
      </c>
      <c r="Q21" s="255" t="n">
        <v>44761</v>
      </c>
      <c r="R21" s="248">
        <f>IF(M21="Abs",O21,0)</f>
        <v/>
      </c>
      <c r="S21" s="248">
        <f>SUM(R21,L21,I21,J21,W21,H21)</f>
        <v/>
      </c>
      <c r="T21" s="209">
        <f>"Sem - "&amp;WEEKNUM(Q21,21)</f>
        <v/>
      </c>
      <c r="U21" s="209">
        <f>PROPER(TEXT(Q21,"mmmm"))</f>
        <v/>
      </c>
      <c r="V21" s="256">
        <f>+TEXT(Q21,"aaa")</f>
        <v/>
      </c>
      <c r="W21" s="254" t="n"/>
      <c r="X21" s="257">
        <f>IFERROR(IF(M21="Abs",0,IF((D21-C21+E21-F21)&lt;0.000694444444444444,0,(D21-C21+E21-F21))),0)</f>
        <v/>
      </c>
      <c r="Y21" s="258">
        <f>IFERROR(VLOOKUP(B21,Annuaire_roster!B:E,4,0),"-")</f>
        <v/>
      </c>
      <c r="Z21" s="258">
        <f>IFERROR(VLOOKUP(B21,Annuaire_roster!B:F,3,0),"-")</f>
        <v/>
      </c>
      <c r="AA21" s="258">
        <f>IFERROR(VLOOKUP(B21,Annuaire_roster!B:I,6,0),"-")</f>
        <v/>
      </c>
      <c r="AB21" s="248">
        <f>IF(AND(D21="Congé",F21="Congé"),0.333333333333333,IF(OR(AND(D21="Congé",F21&lt;&gt;"Congé"),(AND(F21="Congé",D21&lt;&gt;"Congé"))),0.166666666666667,""))</f>
        <v/>
      </c>
      <c r="AC21" s="248">
        <f>IF(AND(D21="Congé sans solde",F21="Congé sans solde"),0.333333333333333,IF(OR(AND(D21="Congé sans solde",F21&lt;&gt;"Congé sans solde"),(AND(F21="Congé sans solde",D21&lt;&gt;"Congé sans solde"))),0.166666666666667,""))</f>
        <v/>
      </c>
      <c r="AD21" s="248">
        <f>IF(AND(D21="Congé spécial",F21="Congé spécial"),0.333333333333333,IF(OR(AND(D21="Congé spécial",F21&lt;&gt;"Congé décès"),(AND(F21="Congé spécial",D21&lt;&gt;"Congé spécial"))),0.166666666666667,""))</f>
        <v/>
      </c>
      <c r="AE21" s="259">
        <f>IF(AND(D21="Férié",F21="Férié"),0.333333333333333,IF(OR(AND(D21="Férié",F21&lt;&gt;"Férié"),(AND(F21="Férié",D21&lt;&gt;"Férié"))),0.166666666666667,""))</f>
        <v/>
      </c>
      <c r="AF21" s="249" t="n"/>
      <c r="AG21" s="248" t="n"/>
    </row>
    <row r="22" ht="12.75" customHeight="1" s="231">
      <c r="A22" s="232">
        <f>VLOOKUP(B22,Annuaire_roster!B:F,5,0)</f>
        <v/>
      </c>
      <c r="B22" s="233" t="inlineStr">
        <is>
          <t>QARBOUI Aymane</t>
        </is>
      </c>
      <c r="C22" s="234">
        <f>IFERROR(IF(COUNTIFS(Connexions!$K:$K,$Q22,Connexions!$E:$E,VLOOKUP($B22,Mapping_Noms!$A:$B,2,0))=0,"",_xlfn.MINIFS(Connexions!$M:$M,Connexions!$K:$K,$Q22,Connexions!$E:$E,VLOOKUP($B22,Mapping_Noms!$A:$B,2,0))-TIME(1,0,0)),"")</f>
        <v/>
      </c>
      <c r="D22" s="234">
        <f t="array" ref="D22:D22">IFERROR(INDEX(Planning2[],MATCH(1,(Planning2[Nom]=B22)*(Planning2[Date]=Q22),0),3),"-")</f>
        <v/>
      </c>
      <c r="E22" s="235">
        <f>IFERROR(IF(COUNTIFS(Connexions!$K:$K,$Q22,Connexions!$E:$E,VLOOKUP($B22,Mapping_Noms!$A:$B,2,0))=0,"",_xlfn.MAXIFS(Connexions!$O:$O,Connexions!$K:$K,$Q22,Connexions!$E:$E,VLOOKUP($B22,Mapping_Noms!$A:$B,2,0))-TIME(1,0,0)),"")</f>
        <v/>
      </c>
      <c r="F22" s="235">
        <f t="array" ref="F22:F22">IFERROR(INDEX(Planning2[],MATCH(1,(Planning2[Nom]=B22)*(Planning2[Date]=Q22),0),4),"-")</f>
        <v/>
      </c>
      <c r="G22" s="405">
        <f>IFERROR(IF(OR(IFERROR(INDEX('Planning Pauses Dej'!$C:$C,MATCH($B22&amp;"|"&amp;TEXT($Q22,"YYYYMMDD"),'Planning Pauses Dej'!$F:$F,0)),"")="",IFERROR(INDEX('Planning Pauses Dej'!$D:$D,MATCH($B22&amp;"|"&amp;TEXT($Q22,"YYYYMMDD"),'Planning Pauses Dej'!$F:$F,0)),"")=""),"",_xlfn.MAXIFS(Connexions!$Q:$Q,Connexions!$K:$K,$Q22,Connexions!$E:$E,VLOOKUP($B22,Mapping_Noms!$A:$B,2,0),Connexions!$O:$O,"&lt;="&amp;(IFERROR(INDEX('Planning Pauses Dej'!$D:$D,MATCH($B22&amp;"|"&amp;TEXT($Q22,"YYYYMMDD"),'Planning Pauses Dej'!$F:$F,0)),"")+TIME(1,0,0)),Connexions!$P:$P,"&gt;="&amp;(IFERROR(INDEX('Planning Pauses Dej'!$C:$C,MATCH($B22&amp;"|"&amp;TEXT($Q22,"YYYYMMDD"),'Planning Pauses Dej'!$F:$F,0)),"")+TIME(1,0,0)))),"")</f>
        <v/>
      </c>
      <c r="H22" s="405">
        <f>IFERROR(IF(OR($G22="",IFERROR(INDEX('Planning Pauses Dej'!$C:$C,MATCH($B22&amp;"|"&amp;TEXT($Q22,"YYYYMMDD"),'Planning Pauses Dej'!$F:$F,0)),"")="",IFERROR(INDEX('Planning Pauses Dej'!$D:$D,MATCH($B22&amp;"|"&amp;TEXT($Q22,"YYYYMMDD"),'Planning Pauses Dej'!$F:$F,0)),"")=""),"",IF($G22&gt;(IFERROR(INDEX('Planning Pauses Dej'!$D:$D,MATCH($B22&amp;"|"&amp;TEXT($Q22,"YYYYMMDD"),'Planning Pauses Dej'!$F:$F,0)),"")-IFERROR(INDEX('Planning Pauses Dej'!$C:$C,MATCH($B22&amp;"|"&amp;TEXT($Q22,"YYYYMMDD"),'Planning Pauses Dej'!$F:$F,0)),"")),$G22-(IFERROR(INDEX('Planning Pauses Dej'!$D:$D,MATCH($B22&amp;"|"&amp;TEXT($Q22,"YYYYMMDD"),'Planning Pauses Dej'!$F:$F,0)),"")-IFERROR(INDEX('Planning Pauses Dej'!$C:$C,MATCH($B22&amp;"|"&amp;TEXT($Q22,"YYYYMMDD"),'Planning Pauses Dej'!$F:$F,0)),"")),0)),"")</f>
        <v/>
      </c>
      <c r="I22" s="251">
        <f>IF(IF(OR(C22="",D22="Congé",D22="OFF",D22="Congé spécial"),"",IF(D22&gt;F22,D22-C22,IF(C22-D22&lt;0,0,C22-D22)))&lt;0.00068287037037037,"",IF(OR(D22="Congé",D22="OFF",C22="",D22="Congé spécial"),"",IF(D22&gt;F22,D22-C22,IF(C22-D22&lt;0,0,C22-D22))))</f>
        <v/>
      </c>
      <c r="J22" s="405">
        <f>IFERROR(IF($G22="","",IF($G22&gt;TIME(1,0,0),$G22-TIME(1,0,0),0)),"")</f>
        <v/>
      </c>
      <c r="K22" s="238">
        <f>IF(SUM(H22:J22)&lt;0.00068287037037037,0,SUM(H22:J22))</f>
        <v/>
      </c>
      <c r="L22" s="236">
        <f>IF(OR(F22="Congé",F22="OFF",M22="Abs",F22="Congé sans solde",F22="Férié",F22="Congé spécial",D22="Congé spécial"),0,IF(F22-E22&lt;0,0,IF(F22-E22&lt;=0.00068287037037037,0,F22-E22)))</f>
        <v/>
      </c>
      <c r="M22" s="239">
        <f>IF(AND(O22&lt;&gt;0,C22=""),"Abs",0)</f>
        <v/>
      </c>
      <c r="N22" s="240">
        <f>IFERROR(IF(OR(D22="OFF",D22="Congé",M22="Abs",D22="Congé sans solde",D22="Férié"),"",IF(O22-K22-L22&gt;O22,O22,IF(O22-K22-L22&lt;0,"",O22-K22-L22))),"")</f>
        <v/>
      </c>
      <c r="O22" s="241">
        <f>IF(AG22="2H Pause déjeuner",IF(F22-D22-0.0833333333333333&lt;0,F22-D22-0.0833333333333333+1,F22-D22-0.0833333333333333),IF(OR(AND(F22="OFF",D22="OFF"),AND(F22="Congé",D22="Congé"),AND(F22="Congé sans solde",D22="Congé sans solde"),AND(F22="Congé spécial",D22="Congé spécial"),AND(F22="Férié",D22="Férié"),AND(F22="OFF",D22="Congé"),AND(F22="OFF",D22="Congé sans solde"),AND(F22="OFF",D22="Congé spécial"),AND(F22="OFF",D22="Férié"),AND(F22="Congé",D22="OFF"),AND(F22="Congé",D22="Congé sans solde"),AND(F22="Congé",D22="Congé spécial"),AND(F22="Congé",D22="Férié"),AND(F22="Congé sans solde",D22="OFF"),AND(F22="Congé sans solde",D22="Congé"),AND(F22="Congé sans solde",D22="Congé spécial"),AND(F22="Congé sans solde",D22="Férié"),AND(F22="Congé spécial",D22="OFF"),AND(F22="Congé spécial",D22="Congé"),AND(F22="Congé spécial",D22="Congé sans solde"),AND(F22="Congé spécial",D22="Férié"),AND(F22="Férié",D22="OFF"),AND(F22="Férié",D22="Congé"),AND(F22="Férié",D22="Congé sans solde"),AND(F22="Férié",D22="Congé spécial")),0,IF(OR(F22="OFF",F22="Congé",F22="Congé spécial",F22="Congé sans solde",D22="OFF",D22="Congé",D22="Congé spécial",D22="Congé sans solde"),0.208333333333334,IF(AND(AG22="",F22-D22&lt;0),("24:00:00"-D22)+("00:00:00"+F22)-0.0416666666666667,IF(AND(OR(AG22="Allaitement",AG22="Sans déjeuner"),F22-D22&lt;0),("24:00:00"-D22)+("00:00:00"+F22),IF(AND(AG22="",F22-D22&gt;0.166666666666667),F22-D22-0.0416666666666667,IF(AND(OR(AG22="Allaitement",AG22="Sans déjeuner"),F22-D22&gt;0.166666666666667),F22-D22,F22-D22)))))))</f>
        <v/>
      </c>
      <c r="P22" s="242">
        <f>IFERROR(VLOOKUP($B22,Annuaire_roster!$B:$G,MATCH(P$1,Annuaire_roster!$B$1:$G$1,0),0),"-")</f>
        <v/>
      </c>
      <c r="Q22" s="243" t="n">
        <v>44761</v>
      </c>
      <c r="R22" s="244">
        <f>IF(M22="Abs",O22,0)</f>
        <v/>
      </c>
      <c r="S22" s="244">
        <f>SUM(R22,L22,I22,J22,W22,H22)</f>
        <v/>
      </c>
      <c r="T22" s="209">
        <f>"Sem - "&amp;WEEKNUM(Q22,21)</f>
        <v/>
      </c>
      <c r="U22" s="209">
        <f>PROPER(TEXT(Q22,"mmmm"))</f>
        <v/>
      </c>
      <c r="V22" s="245">
        <f>+TEXT(Q22,"aaa")</f>
        <v/>
      </c>
      <c r="W22" s="240" t="n"/>
      <c r="X22" s="246">
        <f>IFERROR(IF(M22="Abs",0,IF((D22-C22+E22-F22)&lt;0.000694444444444444,0,(D22-C22+E22-F22))),0)</f>
        <v/>
      </c>
      <c r="Y22" s="247">
        <f>IFERROR(VLOOKUP(B22,Annuaire_roster!B:E,4,0),"-")</f>
        <v/>
      </c>
      <c r="Z22" s="247">
        <f>IFERROR(VLOOKUP(B22,Annuaire_roster!B:F,3,0),"-")</f>
        <v/>
      </c>
      <c r="AA22" s="247">
        <f>IFERROR(VLOOKUP(B22,Annuaire_roster!B:I,6,0),"-")</f>
        <v/>
      </c>
      <c r="AB22" s="248">
        <f>IF(AND(D22="Congé",F22="Congé"),0.333333333333333,IF(OR(AND(D22="Congé",F22&lt;&gt;"Congé"),(AND(F22="Congé",D22&lt;&gt;"Congé"))),0.166666666666667,""))</f>
        <v/>
      </c>
      <c r="AC22" s="248">
        <f>IF(AND(D22="Congé sans solde",F22="Congé sans solde"),0.333333333333333,IF(OR(AND(D22="Congé sans solde",F22&lt;&gt;"Congé sans solde"),(AND(F22="Congé sans solde",D22&lt;&gt;"Congé sans solde"))),0.166666666666667,""))</f>
        <v/>
      </c>
      <c r="AD22" s="248">
        <f>IF(AND(D22="Congé spécial",F22="Congé spécial"),0.333333333333333,IF(OR(AND(D22="Congé spécial",F22&lt;&gt;"Congé décès"),(AND(F22="Congé spécial",D22&lt;&gt;"Congé spécial"))),0.166666666666667,""))</f>
        <v/>
      </c>
      <c r="AE22" s="249">
        <f>IF(AND(D22="Férié",F22="Férié"),0.333333333333333,IF(OR(AND(D22="Férié",F22&lt;&gt;"Férié"),(AND(F22="Férié",D22&lt;&gt;"Férié"))),0.166666666666667,""))</f>
        <v/>
      </c>
      <c r="AF22" s="249" t="n"/>
      <c r="AG22" s="244" t="n"/>
    </row>
    <row r="23" ht="12.75" customHeight="1" s="231">
      <c r="A23" s="253">
        <f>VLOOKUP(B23,Annuaire_roster!B:F,5,0)</f>
        <v/>
      </c>
      <c r="B23" s="233" t="inlineStr">
        <is>
          <t>MELLAHI YOUSSEF</t>
        </is>
      </c>
      <c r="C23" s="234">
        <f>IFERROR(IF(COUNTIFS(Connexions!$K:$K,$Q23,Connexions!$E:$E,VLOOKUP($B23,Mapping_Noms!$A:$B,2,0))=0,"",_xlfn.MINIFS(Connexions!$M:$M,Connexions!$K:$K,$Q23,Connexions!$E:$E,VLOOKUP($B23,Mapping_Noms!$A:$B,2,0))-TIME(1,0,0)),"")</f>
        <v/>
      </c>
      <c r="D23" s="234" t="n">
        <v>0.2916666666666667</v>
      </c>
      <c r="E23" s="235">
        <f>IFERROR(IF(COUNTIFS(Connexions!$K:$K,$Q23,Connexions!$E:$E,VLOOKUP($B23,Mapping_Noms!$A:$B,2,0))=0,"",_xlfn.MAXIFS(Connexions!$O:$O,Connexions!$K:$K,$Q23,Connexions!$E:$E,VLOOKUP($B23,Mapping_Noms!$A:$B,2,0))-TIME(1,0,0)),"")</f>
        <v/>
      </c>
      <c r="F23" s="235">
        <f t="array" ref="F23:F23">IFERROR(INDEX(Planning2[],MATCH(1,(Planning2[Nom]=B23)*(Planning2[Date]=Q23),0),4),"-")</f>
        <v/>
      </c>
      <c r="G23" s="405">
        <f>IFERROR(IF(OR(IFERROR(INDEX('Planning Pauses Dej'!$C:$C,MATCH($B23&amp;"|"&amp;TEXT($Q23,"YYYYMMDD"),'Planning Pauses Dej'!$F:$F,0)),"")="",IFERROR(INDEX('Planning Pauses Dej'!$D:$D,MATCH($B23&amp;"|"&amp;TEXT($Q23,"YYYYMMDD"),'Planning Pauses Dej'!$F:$F,0)),"")=""),"",_xlfn.MAXIFS(Connexions!$Q:$Q,Connexions!$K:$K,$Q23,Connexions!$E:$E,VLOOKUP($B23,Mapping_Noms!$A:$B,2,0),Connexions!$O:$O,"&lt;="&amp;(IFERROR(INDEX('Planning Pauses Dej'!$D:$D,MATCH($B23&amp;"|"&amp;TEXT($Q23,"YYYYMMDD"),'Planning Pauses Dej'!$F:$F,0)),"")+TIME(1,0,0)),Connexions!$P:$P,"&gt;="&amp;(IFERROR(INDEX('Planning Pauses Dej'!$C:$C,MATCH($B23&amp;"|"&amp;TEXT($Q23,"YYYYMMDD"),'Planning Pauses Dej'!$F:$F,0)),"")+TIME(1,0,0)))),"")</f>
        <v/>
      </c>
      <c r="H23" s="405">
        <f>IFERROR(IF(OR($G23="",IFERROR(INDEX('Planning Pauses Dej'!$C:$C,MATCH($B23&amp;"|"&amp;TEXT($Q23,"YYYYMMDD"),'Planning Pauses Dej'!$F:$F,0)),"")="",IFERROR(INDEX('Planning Pauses Dej'!$D:$D,MATCH($B23&amp;"|"&amp;TEXT($Q23,"YYYYMMDD"),'Planning Pauses Dej'!$F:$F,0)),"")=""),"",IF($G23&gt;(IFERROR(INDEX('Planning Pauses Dej'!$D:$D,MATCH($B23&amp;"|"&amp;TEXT($Q23,"YYYYMMDD"),'Planning Pauses Dej'!$F:$F,0)),"")-IFERROR(INDEX('Planning Pauses Dej'!$C:$C,MATCH($B23&amp;"|"&amp;TEXT($Q23,"YYYYMMDD"),'Planning Pauses Dej'!$F:$F,0)),"")),$G23-(IFERROR(INDEX('Planning Pauses Dej'!$D:$D,MATCH($B23&amp;"|"&amp;TEXT($Q23,"YYYYMMDD"),'Planning Pauses Dej'!$F:$F,0)),"")-IFERROR(INDEX('Planning Pauses Dej'!$C:$C,MATCH($B23&amp;"|"&amp;TEXT($Q23,"YYYYMMDD"),'Planning Pauses Dej'!$F:$F,0)),"")),0)),"")</f>
        <v/>
      </c>
      <c r="I23" s="251">
        <f>IF(IF(OR(C23="",D23="Congé",D23="OFF",D23="Congé spécial"),"",IF(D23&gt;F23,D23-C23,IF(C23-D23&lt;0,0,C23-D23)))&lt;0.00068287037037037,"",IF(OR(D23="Congé",D23="OFF",C23="",D23="Congé spécial"),"",IF(D23&gt;F23,D23-C23,IF(C23-D23&lt;0,0,C23-D23))))</f>
        <v/>
      </c>
      <c r="J23" s="405">
        <f>IFERROR(IF($G23="","",IF($G23&gt;TIME(1,0,0),$G23-TIME(1,0,0),0)),"")</f>
        <v/>
      </c>
      <c r="K23" s="238">
        <f>IF(SUM(H23:J23)&lt;0.00068287037037037,0,SUM(H23:J23))</f>
        <v/>
      </c>
      <c r="L23" s="236">
        <f>IF(OR(F23="Congé",F23="OFF",M23="Abs",F23="Congé sans solde",F23="Férié",F23="Congé spécial",D23="Congé spécial"),0,IF(F23-E23&lt;0,0,IF(F23-E23&lt;=0.00068287037037037,0,F23-E23)))</f>
        <v/>
      </c>
      <c r="M23" s="239">
        <f>IF(AND(O23&lt;&gt;0,C23=""),"Abs",0)</f>
        <v/>
      </c>
      <c r="N23" s="254">
        <f>IFERROR(IF(OR(D23="OFF",D23="Congé",M23="Abs",D23="Congé sans solde",D23="Férié"),"",IF(O23-K23-L23&gt;O23,O23,IF(O23-K23-L23&lt;0,"",O23-K23-L23))),"")</f>
        <v/>
      </c>
      <c r="O23" s="241">
        <f>IF(AG23="2H Pause déjeuner",IF(F23-D23-0.0833333333333333&lt;0,F23-D23-0.0833333333333333+1,F23-D23-0.0833333333333333),IF(OR(AND(F23="OFF",D23="OFF"),AND(F23="Congé",D23="Congé"),AND(F23="Congé sans solde",D23="Congé sans solde"),AND(F23="Congé spécial",D23="Congé spécial"),AND(F23="Férié",D23="Férié"),AND(F23="OFF",D23="Congé"),AND(F23="OFF",D23="Congé sans solde"),AND(F23="OFF",D23="Congé spécial"),AND(F23="OFF",D23="Férié"),AND(F23="Congé",D23="OFF"),AND(F23="Congé",D23="Congé sans solde"),AND(F23="Congé",D23="Congé spécial"),AND(F23="Congé",D23="Férié"),AND(F23="Congé sans solde",D23="OFF"),AND(F23="Congé sans solde",D23="Congé"),AND(F23="Congé sans solde",D23="Congé spécial"),AND(F23="Congé sans solde",D23="Férié"),AND(F23="Congé spécial",D23="OFF"),AND(F23="Congé spécial",D23="Congé"),AND(F23="Congé spécial",D23="Congé sans solde"),AND(F23="Congé spécial",D23="Férié"),AND(F23="Férié",D23="OFF"),AND(F23="Férié",D23="Congé"),AND(F23="Férié",D23="Congé sans solde"),AND(F23="Férié",D23="Congé spécial")),0,IF(OR(F23="OFF",F23="Congé",F23="Congé spécial",F23="Congé sans solde",D23="OFF",D23="Congé",D23="Congé spécial",D23="Congé sans solde"),0.208333333333334,IF(AND(AG23="",F23-D23&lt;0),("24:00:00"-D23)+("00:00:00"+F23)-0.0416666666666667,IF(AND(OR(AG23="Allaitement",AG23="Sans déjeuner"),F23-D23&lt;0),("24:00:00"-D23)+("00:00:00"+F23),IF(AND(AG23="",F23-D23&gt;0.166666666666667),F23-D23-0.0416666666666667,IF(AND(OR(AG23="Allaitement",AG23="Sans déjeuner"),F23-D23&gt;0.166666666666667),F23-D23,F23-D23)))))))</f>
        <v/>
      </c>
      <c r="P23" s="242">
        <f>IFERROR(VLOOKUP($B23,Annuaire_roster!$B:$G,MATCH(P$1,Annuaire_roster!$B$1:$G$1,0),0),"-")</f>
        <v/>
      </c>
      <c r="Q23" s="255" t="n">
        <v>44761</v>
      </c>
      <c r="R23" s="248">
        <f>IF(M23="Abs",O23,0)</f>
        <v/>
      </c>
      <c r="S23" s="248">
        <f>SUM(R23,L23,I23,J23,W23,H23)</f>
        <v/>
      </c>
      <c r="T23" s="209">
        <f>"Sem - "&amp;WEEKNUM(Q23,21)</f>
        <v/>
      </c>
      <c r="U23" s="209">
        <f>PROPER(TEXT(Q23,"mmmm"))</f>
        <v/>
      </c>
      <c r="V23" s="256">
        <f>+TEXT(Q23,"aaa")</f>
        <v/>
      </c>
      <c r="W23" s="254" t="n"/>
      <c r="X23" s="257">
        <f>IFERROR(IF(M23="Abs",0,IF((D23-C23+E23-F23)&lt;0.000694444444444444,0,(D23-C23+E23-F23))),0)</f>
        <v/>
      </c>
      <c r="Y23" s="258">
        <f>IFERROR(VLOOKUP(B23,Annuaire_roster!B:E,4,0),"-")</f>
        <v/>
      </c>
      <c r="Z23" s="258">
        <f>IFERROR(VLOOKUP(B23,Annuaire_roster!B:F,3,0),"-")</f>
        <v/>
      </c>
      <c r="AA23" s="258">
        <f>IFERROR(VLOOKUP(B23,Annuaire_roster!B:I,6,0),"-")</f>
        <v/>
      </c>
      <c r="AB23" s="248">
        <f>IF(AND(D23="Congé",F23="Congé"),0.333333333333333,IF(OR(AND(D23="Congé",F23&lt;&gt;"Congé"),(AND(F23="Congé",D23&lt;&gt;"Congé"))),0.166666666666667,""))</f>
        <v/>
      </c>
      <c r="AC23" s="248">
        <f>IF(AND(D23="Congé sans solde",F23="Congé sans solde"),0.333333333333333,IF(OR(AND(D23="Congé sans solde",F23&lt;&gt;"Congé sans solde"),(AND(F23="Congé sans solde",D23&lt;&gt;"Congé sans solde"))),0.166666666666667,""))</f>
        <v/>
      </c>
      <c r="AD23" s="248">
        <f>IF(AND(D23="Congé spécial",F23="Congé spécial"),0.333333333333333,IF(OR(AND(D23="Congé spécial",F23&lt;&gt;"Congé décès"),(AND(F23="Congé spécial",D23&lt;&gt;"Congé spécial"))),0.166666666666667,""))</f>
        <v/>
      </c>
      <c r="AE23" s="259">
        <f>IF(AND(D23="Férié",F23="Férié"),0.333333333333333,IF(OR(AND(D23="Férié",F23&lt;&gt;"Férié"),(AND(F23="Férié",D23&lt;&gt;"Férié"))),0.166666666666667,""))</f>
        <v/>
      </c>
      <c r="AF23" s="259" t="n"/>
      <c r="AG23" s="248" t="n"/>
    </row>
    <row r="24" ht="12.75" customHeight="1" s="231">
      <c r="A24" s="232">
        <f>VLOOKUP(B24,Annuaire_roster!B:F,5,0)</f>
        <v/>
      </c>
      <c r="B24" s="233" t="inlineStr">
        <is>
          <t>AIT ADDI KHADIJA</t>
        </is>
      </c>
      <c r="C24" s="234">
        <f>IFERROR(IF(COUNTIFS(Connexions!$K:$K,$Q24,Connexions!$E:$E,VLOOKUP($B24,Mapping_Noms!$A:$B,2,0))=0,"",_xlfn.MINIFS(Connexions!$M:$M,Connexions!$K:$K,$Q24,Connexions!$E:$E,VLOOKUP($B24,Mapping_Noms!$A:$B,2,0))-TIME(1,0,0)),"")</f>
        <v/>
      </c>
      <c r="D24" s="234" t="n">
        <v>0.2916666666666667</v>
      </c>
      <c r="E24" s="235">
        <f>IFERROR(IF(COUNTIFS(Connexions!$K:$K,$Q24,Connexions!$E:$E,VLOOKUP($B24,Mapping_Noms!$A:$B,2,0))=0,"",_xlfn.MAXIFS(Connexions!$O:$O,Connexions!$K:$K,$Q24,Connexions!$E:$E,VLOOKUP($B24,Mapping_Noms!$A:$B,2,0))-TIME(1,0,0)),"")</f>
        <v/>
      </c>
      <c r="F24" s="235">
        <f t="array" ref="F24:F24">IFERROR(INDEX(Planning2[],MATCH(1,(Planning2[Nom]=B24)*(Planning2[Date]=Q24),0),4),"-")</f>
        <v/>
      </c>
      <c r="G24" s="405">
        <f>IFERROR(IF(OR(IFERROR(INDEX('Planning Pauses Dej'!$C:$C,MATCH($B24&amp;"|"&amp;TEXT($Q24,"YYYYMMDD"),'Planning Pauses Dej'!$F:$F,0)),"")="",IFERROR(INDEX('Planning Pauses Dej'!$D:$D,MATCH($B24&amp;"|"&amp;TEXT($Q24,"YYYYMMDD"),'Planning Pauses Dej'!$F:$F,0)),"")=""),"",_xlfn.MAXIFS(Connexions!$Q:$Q,Connexions!$K:$K,$Q24,Connexions!$E:$E,VLOOKUP($B24,Mapping_Noms!$A:$B,2,0),Connexions!$O:$O,"&lt;="&amp;(IFERROR(INDEX('Planning Pauses Dej'!$D:$D,MATCH($B24&amp;"|"&amp;TEXT($Q24,"YYYYMMDD"),'Planning Pauses Dej'!$F:$F,0)),"")+TIME(1,0,0)),Connexions!$P:$P,"&gt;="&amp;(IFERROR(INDEX('Planning Pauses Dej'!$C:$C,MATCH($B24&amp;"|"&amp;TEXT($Q24,"YYYYMMDD"),'Planning Pauses Dej'!$F:$F,0)),"")+TIME(1,0,0)))),"")</f>
        <v/>
      </c>
      <c r="H24" s="405">
        <f>IFERROR(IF(OR($G24="",IFERROR(INDEX('Planning Pauses Dej'!$C:$C,MATCH($B24&amp;"|"&amp;TEXT($Q24,"YYYYMMDD"),'Planning Pauses Dej'!$F:$F,0)),"")="",IFERROR(INDEX('Planning Pauses Dej'!$D:$D,MATCH($B24&amp;"|"&amp;TEXT($Q24,"YYYYMMDD"),'Planning Pauses Dej'!$F:$F,0)),"")=""),"",IF($G24&gt;(IFERROR(INDEX('Planning Pauses Dej'!$D:$D,MATCH($B24&amp;"|"&amp;TEXT($Q24,"YYYYMMDD"),'Planning Pauses Dej'!$F:$F,0)),"")-IFERROR(INDEX('Planning Pauses Dej'!$C:$C,MATCH($B24&amp;"|"&amp;TEXT($Q24,"YYYYMMDD"),'Planning Pauses Dej'!$F:$F,0)),"")),$G24-(IFERROR(INDEX('Planning Pauses Dej'!$D:$D,MATCH($B24&amp;"|"&amp;TEXT($Q24,"YYYYMMDD"),'Planning Pauses Dej'!$F:$F,0)),"")-IFERROR(INDEX('Planning Pauses Dej'!$C:$C,MATCH($B24&amp;"|"&amp;TEXT($Q24,"YYYYMMDD"),'Planning Pauses Dej'!$F:$F,0)),"")),0)),"")</f>
        <v/>
      </c>
      <c r="I24" s="251">
        <f>IF(IF(OR(C24="",D24="Congé",D24="OFF",D24="Congé spécial"),"",IF(D24&gt;F24,D24-C24,IF(C24-D24&lt;0,0,C24-D24)))&lt;0.00068287037037037,"",IF(OR(D24="Congé",D24="OFF",C24="",D24="Congé spécial"),"",IF(D24&gt;F24,D24-C24,IF(C24-D24&lt;0,0,C24-D24))))</f>
        <v/>
      </c>
      <c r="J24" s="405">
        <f>IFERROR(IF($G24="","",IF($G24&gt;TIME(1,0,0),$G24-TIME(1,0,0),0)),"")</f>
        <v/>
      </c>
      <c r="K24" s="238">
        <f>IF(SUM(H24:J24)&lt;0.00068287037037037,0,SUM(H24:J24))</f>
        <v/>
      </c>
      <c r="L24" s="236">
        <f>IF(OR(F24="Congé",F24="OFF",M24="Abs",F24="Congé sans solde",F24="Férié",F24="Congé spécial",D24="Congé spécial"),0,IF(F24-E24&lt;0,0,IF(F24-E24&lt;=0.00068287037037037,0,F24-E24)))</f>
        <v/>
      </c>
      <c r="M24" s="239">
        <f>IF(AND(O24&lt;&gt;0,C24=""),"Abs",0)</f>
        <v/>
      </c>
      <c r="N24" s="240">
        <f>IFERROR(IF(OR(D24="OFF",D24="Congé",M24="Abs",D24="Congé sans solde",D24="Férié"),"",IF(O24-K24-L24&gt;O24,O24,IF(O24-K24-L24&lt;0,"",O24-K24-L24))),"")</f>
        <v/>
      </c>
      <c r="O24" s="241">
        <f>IF(AG24="2H Pause déjeuner",IF(F24-D24-0.0833333333333333&lt;0,F24-D24-0.0833333333333333+1,F24-D24-0.0833333333333333),IF(OR(AND(F24="OFF",D24="OFF"),AND(F24="Congé",D24="Congé"),AND(F24="Congé sans solde",D24="Congé sans solde"),AND(F24="Congé spécial",D24="Congé spécial"),AND(F24="Férié",D24="Férié"),AND(F24="OFF",D24="Congé"),AND(F24="OFF",D24="Congé sans solde"),AND(F24="OFF",D24="Congé spécial"),AND(F24="OFF",D24="Férié"),AND(F24="Congé",D24="OFF"),AND(F24="Congé",D24="Congé sans solde"),AND(F24="Congé",D24="Congé spécial"),AND(F24="Congé",D24="Férié"),AND(F24="Congé sans solde",D24="OFF"),AND(F24="Congé sans solde",D24="Congé"),AND(F24="Congé sans solde",D24="Congé spécial"),AND(F24="Congé sans solde",D24="Férié"),AND(F24="Congé spécial",D24="OFF"),AND(F24="Congé spécial",D24="Congé"),AND(F24="Congé spécial",D24="Congé sans solde"),AND(F24="Congé spécial",D24="Férié"),AND(F24="Férié",D24="OFF"),AND(F24="Férié",D24="Congé"),AND(F24="Férié",D24="Congé sans solde"),AND(F24="Férié",D24="Congé spécial")),0,IF(OR(F24="OFF",F24="Congé",F24="Congé spécial",F24="Congé sans solde",D24="OFF",D24="Congé",D24="Congé spécial",D24="Congé sans solde"),0.208333333333334,IF(AND(AG24="",F24-D24&lt;0),("24:00:00"-D24)+("00:00:00"+F24)-0.0416666666666667,IF(AND(OR(AG24="Allaitement",AG24="Sans déjeuner"),F24-D24&lt;0),("24:00:00"-D24)+("00:00:00"+F24),IF(AND(AG24="",F24-D24&gt;0.166666666666667),F24-D24-0.0416666666666667,IF(AND(OR(AG24="Allaitement",AG24="Sans déjeuner"),F24-D24&gt;0.166666666666667),F24-D24,F24-D24)))))))</f>
        <v/>
      </c>
      <c r="P24" s="242">
        <f>IFERROR(VLOOKUP($B24,Annuaire_roster!$B:$G,MATCH(P$1,Annuaire_roster!$B$1:$G$1,0),0),"-")</f>
        <v/>
      </c>
      <c r="Q24" s="243" t="n">
        <v>44761</v>
      </c>
      <c r="R24" s="244">
        <f>IF(M24="Abs",O24,0)</f>
        <v/>
      </c>
      <c r="S24" s="244">
        <f>SUM(R24,L24,I24,J24,W24,H24)</f>
        <v/>
      </c>
      <c r="T24" s="209">
        <f>"Sem - "&amp;WEEKNUM(Q24,21)</f>
        <v/>
      </c>
      <c r="U24" s="209">
        <f>PROPER(TEXT(Q24,"mmmm"))</f>
        <v/>
      </c>
      <c r="V24" s="245">
        <f>+TEXT(Q24,"aaa")</f>
        <v/>
      </c>
      <c r="W24" s="240" t="n"/>
      <c r="X24" s="246">
        <f>IFERROR(IF(M24="Abs",0,IF((D24-C24+E24-F24)&lt;0.000694444444444444,0,(D24-C24+E24-F24))),0)</f>
        <v/>
      </c>
      <c r="Y24" s="247">
        <f>IFERROR(VLOOKUP(B24,Annuaire_roster!B:E,4,0),"-")</f>
        <v/>
      </c>
      <c r="Z24" s="247">
        <f>IFERROR(VLOOKUP(B24,Annuaire_roster!B:F,3,0),"-")</f>
        <v/>
      </c>
      <c r="AA24" s="247">
        <f>IFERROR(VLOOKUP(B24,Annuaire_roster!B:I,6,0),"-")</f>
        <v/>
      </c>
      <c r="AB24" s="248">
        <f>IF(AND(D24="Congé",F24="Congé"),0.333333333333333,IF(OR(AND(D24="Congé",F24&lt;&gt;"Congé"),(AND(F24="Congé",D24&lt;&gt;"Congé"))),0.166666666666667,""))</f>
        <v/>
      </c>
      <c r="AC24" s="248">
        <f>IF(AND(D24="Congé sans solde",F24="Congé sans solde"),0.333333333333333,IF(OR(AND(D24="Congé sans solde",F24&lt;&gt;"Congé sans solde"),(AND(F24="Congé sans solde",D24&lt;&gt;"Congé sans solde"))),0.166666666666667,""))</f>
        <v/>
      </c>
      <c r="AD24" s="248">
        <f>IF(AND(D24="Congé spécial",F24="Congé spécial"),0.333333333333333,IF(OR(AND(D24="Congé spécial",F24&lt;&gt;"Congé décès"),(AND(F24="Congé spécial",D24&lt;&gt;"Congé spécial"))),0.166666666666667,""))</f>
        <v/>
      </c>
      <c r="AE24" s="249">
        <f>IF(AND(D24="Férié",F24="Férié"),0.333333333333333,IF(OR(AND(D24="Férié",F24&lt;&gt;"Férié"),(AND(F24="Férié",D24&lt;&gt;"Férié"))),0.166666666666667,""))</f>
        <v/>
      </c>
      <c r="AF24" s="249" t="n"/>
      <c r="AG24" s="244" t="n"/>
    </row>
    <row r="25" ht="12.75" customHeight="1" s="231">
      <c r="A25" s="232">
        <f>VLOOKUP(B25,Annuaire_roster!B:F,5,0)</f>
        <v/>
      </c>
      <c r="B25" s="233" t="inlineStr">
        <is>
          <t>AIT LARBI HIND</t>
        </is>
      </c>
      <c r="C25" s="234">
        <f>IFERROR(IF(COUNTIFS(Connexions!$K:$K,$Q25,Connexions!$E:$E,VLOOKUP($B25,Mapping_Noms!$A:$B,2,0))=0,"",_xlfn.MINIFS(Connexions!$M:$M,Connexions!$K:$K,$Q25,Connexions!$E:$E,VLOOKUP($B25,Mapping_Noms!$A:$B,2,0))-TIME(1,0,0)),"")</f>
        <v/>
      </c>
      <c r="D25" s="234" t="n">
        <v>0.2916666666666667</v>
      </c>
      <c r="E25" s="235">
        <f>IFERROR(IF(COUNTIFS(Connexions!$K:$K,$Q25,Connexions!$E:$E,VLOOKUP($B25,Mapping_Noms!$A:$B,2,0))=0,"",_xlfn.MAXIFS(Connexions!$O:$O,Connexions!$K:$K,$Q25,Connexions!$E:$E,VLOOKUP($B25,Mapping_Noms!$A:$B,2,0))-TIME(1,0,0)),"")</f>
        <v/>
      </c>
      <c r="F25" s="235">
        <f t="array" ref="F25:F25">IFERROR(INDEX(Planning2[],MATCH(1,(Planning2[Nom]=B25)*(Planning2[Date]=Q25),0),4),"-")</f>
        <v/>
      </c>
      <c r="G25" s="405">
        <f>IFERROR(IF(OR(IFERROR(INDEX('Planning Pauses Dej'!$C:$C,MATCH($B25&amp;"|"&amp;TEXT($Q25,"YYYYMMDD"),'Planning Pauses Dej'!$F:$F,0)),"")="",IFERROR(INDEX('Planning Pauses Dej'!$D:$D,MATCH($B25&amp;"|"&amp;TEXT($Q25,"YYYYMMDD"),'Planning Pauses Dej'!$F:$F,0)),"")=""),"",_xlfn.MAXIFS(Connexions!$Q:$Q,Connexions!$K:$K,$Q25,Connexions!$E:$E,VLOOKUP($B25,Mapping_Noms!$A:$B,2,0),Connexions!$O:$O,"&lt;="&amp;(IFERROR(INDEX('Planning Pauses Dej'!$D:$D,MATCH($B25&amp;"|"&amp;TEXT($Q25,"YYYYMMDD"),'Planning Pauses Dej'!$F:$F,0)),"")+TIME(1,0,0)),Connexions!$P:$P,"&gt;="&amp;(IFERROR(INDEX('Planning Pauses Dej'!$C:$C,MATCH($B25&amp;"|"&amp;TEXT($Q25,"YYYYMMDD"),'Planning Pauses Dej'!$F:$F,0)),"")+TIME(1,0,0)))),"")</f>
        <v/>
      </c>
      <c r="H25" s="405">
        <f>IFERROR(IF(OR($G25="",IFERROR(INDEX('Planning Pauses Dej'!$C:$C,MATCH($B25&amp;"|"&amp;TEXT($Q25,"YYYYMMDD"),'Planning Pauses Dej'!$F:$F,0)),"")="",IFERROR(INDEX('Planning Pauses Dej'!$D:$D,MATCH($B25&amp;"|"&amp;TEXT($Q25,"YYYYMMDD"),'Planning Pauses Dej'!$F:$F,0)),"")=""),"",IF($G25&gt;(IFERROR(INDEX('Planning Pauses Dej'!$D:$D,MATCH($B25&amp;"|"&amp;TEXT($Q25,"YYYYMMDD"),'Planning Pauses Dej'!$F:$F,0)),"")-IFERROR(INDEX('Planning Pauses Dej'!$C:$C,MATCH($B25&amp;"|"&amp;TEXT($Q25,"YYYYMMDD"),'Planning Pauses Dej'!$F:$F,0)),"")),$G25-(IFERROR(INDEX('Planning Pauses Dej'!$D:$D,MATCH($B25&amp;"|"&amp;TEXT($Q25,"YYYYMMDD"),'Planning Pauses Dej'!$F:$F,0)),"")-IFERROR(INDEX('Planning Pauses Dej'!$C:$C,MATCH($B25&amp;"|"&amp;TEXT($Q25,"YYYYMMDD"),'Planning Pauses Dej'!$F:$F,0)),"")),0)),"")</f>
        <v/>
      </c>
      <c r="I25" s="251">
        <f>IF(IF(OR(C25="",D25="Congé",D25="OFF",D25="Congé spécial"),"",IF(D25&gt;F25,D25-C25,IF(C25-D25&lt;0,0,C25-D25)))&lt;0.00068287037037037,"",IF(OR(D25="Congé",D25="OFF",C25="",D25="Congé spécial"),"",IF(D25&gt;F25,D25-C25,IF(C25-D25&lt;0,0,C25-D25))))</f>
        <v/>
      </c>
      <c r="J25" s="405">
        <f>IFERROR(IF($G25="","",IF($G25&gt;TIME(1,0,0),$G25-TIME(1,0,0),0)),"")</f>
        <v/>
      </c>
      <c r="K25" s="238">
        <f>IF(SUM(H25:J25)&lt;0.00068287037037037,0,SUM(H25:J25))</f>
        <v/>
      </c>
      <c r="L25" s="236">
        <f>IF(OR(F25="Congé",F25="OFF",M25="Abs",F25="Congé sans solde",F25="Férié",F25="Congé spécial",D25="Congé spécial"),0,IF(F25-E25&lt;0,0,IF(F25-E25&lt;=0.00068287037037037,0,F25-E25)))</f>
        <v/>
      </c>
      <c r="M25" s="239">
        <f>IF(AND(O25&lt;&gt;0,C25=""),"Abs",0)</f>
        <v/>
      </c>
      <c r="N25" s="240">
        <f>IFERROR(IF(OR(D25="OFF",D25="Congé",M25="Abs",D25="Congé sans solde",D25="Férié"),"",IF(O25-K25-L25&gt;O25,O25,IF(O25-K25-L25&lt;0,"",O25-K25-L25))),"")</f>
        <v/>
      </c>
      <c r="O25" s="241">
        <f>IF(AG25="2H Pause déjeuner",IF(F25-D25-0.0833333333333333&lt;0,F25-D25-0.0833333333333333+1,F25-D25-0.0833333333333333),IF(OR(AND(F25="OFF",D25="OFF"),AND(F25="Congé",D25="Congé"),AND(F25="Congé sans solde",D25="Congé sans solde"),AND(F25="Congé spécial",D25="Congé spécial"),AND(F25="Férié",D25="Férié"),AND(F25="OFF",D25="Congé"),AND(F25="OFF",D25="Congé sans solde"),AND(F25="OFF",D25="Congé spécial"),AND(F25="OFF",D25="Férié"),AND(F25="Congé",D25="OFF"),AND(F25="Congé",D25="Congé sans solde"),AND(F25="Congé",D25="Congé spécial"),AND(F25="Congé",D25="Férié"),AND(F25="Congé sans solde",D25="OFF"),AND(F25="Congé sans solde",D25="Congé"),AND(F25="Congé sans solde",D25="Congé spécial"),AND(F25="Congé sans solde",D25="Férié"),AND(F25="Congé spécial",D25="OFF"),AND(F25="Congé spécial",D25="Congé"),AND(F25="Congé spécial",D25="Congé sans solde"),AND(F25="Congé spécial",D25="Férié"),AND(F25="Férié",D25="OFF"),AND(F25="Férié",D25="Congé"),AND(F25="Férié",D25="Congé sans solde"),AND(F25="Férié",D25="Congé spécial")),0,IF(OR(F25="OFF",F25="Congé",F25="Congé spécial",F25="Congé sans solde",D25="OFF",D25="Congé",D25="Congé spécial",D25="Congé sans solde"),0.208333333333334,IF(AND(AG25="",F25-D25&lt;0),("24:00:00"-D25)+("00:00:00"+F25)-0.0416666666666667,IF(AND(OR(AG25="Allaitement",AG25="Sans déjeuner"),F25-D25&lt;0),("24:00:00"-D25)+("00:00:00"+F25),IF(AND(AG25="",F25-D25&gt;0.166666666666667),F25-D25-0.0416666666666667,IF(AND(OR(AG25="Allaitement",AG25="Sans déjeuner"),F25-D25&gt;0.166666666666667),F25-D25,F25-D25)))))))</f>
        <v/>
      </c>
      <c r="P25" s="242">
        <f>IFERROR(VLOOKUP($B25,Annuaire_roster!$B:$G,MATCH(P$1,Annuaire_roster!$B$1:$G$1,0),0),"-")</f>
        <v/>
      </c>
      <c r="Q25" s="243" t="n">
        <v>44761</v>
      </c>
      <c r="R25" s="244">
        <f>IF(M25="Abs",O25,0)</f>
        <v/>
      </c>
      <c r="S25" s="244">
        <f>SUM(R25,L25,I25,J25,W25,H25)</f>
        <v/>
      </c>
      <c r="T25" s="209">
        <f>"Sem - "&amp;WEEKNUM(Q25,21)</f>
        <v/>
      </c>
      <c r="U25" s="209">
        <f>PROPER(TEXT(Q25,"mmmm"))</f>
        <v/>
      </c>
      <c r="V25" s="245">
        <f>+TEXT(Q25,"aaa")</f>
        <v/>
      </c>
      <c r="W25" s="240" t="n"/>
      <c r="X25" s="246">
        <f>IFERROR(IF(M25="Abs",0,IF((D25-C25+E25-F25)&lt;0.000694444444444444,0,(D25-C25+E25-F25))),0)</f>
        <v/>
      </c>
      <c r="Y25" s="247">
        <f>IFERROR(VLOOKUP(B25,Annuaire_roster!B:E,4,0),"-")</f>
        <v/>
      </c>
      <c r="Z25" s="247">
        <f>IFERROR(VLOOKUP(B25,Annuaire_roster!B:F,3,0),"-")</f>
        <v/>
      </c>
      <c r="AA25" s="247">
        <f>IFERROR(VLOOKUP(B25,Annuaire_roster!B:I,6,0),"-")</f>
        <v/>
      </c>
      <c r="AB25" s="248">
        <f>IF(AND(D25="Congé",F25="Congé"),0.333333333333333,IF(OR(AND(D25="Congé",F25&lt;&gt;"Congé"),(AND(F25="Congé",D25&lt;&gt;"Congé"))),0.166666666666667,""))</f>
        <v/>
      </c>
      <c r="AC25" s="248">
        <f>IF(AND(D25="Congé sans solde",F25="Congé sans solde"),0.333333333333333,IF(OR(AND(D25="Congé sans solde",F25&lt;&gt;"Congé sans solde"),(AND(F25="Congé sans solde",D25&lt;&gt;"Congé sans solde"))),0.166666666666667,""))</f>
        <v/>
      </c>
      <c r="AD25" s="248">
        <f>IF(AND(D25="Congé spécial",F25="Congé spécial"),0.333333333333333,IF(OR(AND(D25="Congé spécial",F25&lt;&gt;"Congé décès"),(AND(F25="Congé spécial",D25&lt;&gt;"Congé spécial"))),0.166666666666667,""))</f>
        <v/>
      </c>
      <c r="AE25" s="249">
        <f>IF(AND(D25="Férié",F25="Férié"),0.333333333333333,IF(OR(AND(D25="Férié",F25&lt;&gt;"Férié"),(AND(F25="Férié",D25&lt;&gt;"Férié"))),0.166666666666667,""))</f>
        <v/>
      </c>
      <c r="AF25" s="249" t="n"/>
      <c r="AG25" s="244" t="n"/>
    </row>
    <row r="26" ht="12.75" customHeight="1" s="231">
      <c r="A26" s="232">
        <f>VLOOKUP(B26,Annuaire_roster!B:F,5,0)</f>
        <v/>
      </c>
      <c r="B26" s="233" t="inlineStr">
        <is>
          <t xml:space="preserve">LALOUN MANAL </t>
        </is>
      </c>
      <c r="C26" s="234">
        <f>IFERROR(IF(COUNTIFS(Connexions!$K:$K,$Q26,Connexions!$E:$E,VLOOKUP($B26,Mapping_Noms!$A:$B,2,0))=0,"",_xlfn.MINIFS(Connexions!$M:$M,Connexions!$K:$K,$Q26,Connexions!$E:$E,VLOOKUP($B26,Mapping_Noms!$A:$B,2,0))-TIME(1,0,0)),"")</f>
        <v/>
      </c>
      <c r="D26" s="234">
        <f t="array" ref="D26:D26">IFERROR(INDEX(Planning2[],MATCH(1,(Planning2[Nom]=B26)*(Planning2[Date]=Q26),0),3),"-")</f>
        <v/>
      </c>
      <c r="E26" s="235">
        <f>IFERROR(IF(COUNTIFS(Connexions!$K:$K,$Q26,Connexions!$E:$E,VLOOKUP($B26,Mapping_Noms!$A:$B,2,0))=0,"",_xlfn.MAXIFS(Connexions!$O:$O,Connexions!$K:$K,$Q26,Connexions!$E:$E,VLOOKUP($B26,Mapping_Noms!$A:$B,2,0))-TIME(1,0,0)),"")</f>
        <v/>
      </c>
      <c r="F26" s="235">
        <f t="array" ref="F26:F26">IFERROR(INDEX(Planning2[],MATCH(1,(Planning2[Nom]=B26)*(Planning2[Date]=Q26),0),4),"-")</f>
        <v/>
      </c>
      <c r="G26" s="405">
        <f>IFERROR(IF(OR(IFERROR(INDEX('Planning Pauses Dej'!$C:$C,MATCH($B26&amp;"|"&amp;TEXT($Q26,"YYYYMMDD"),'Planning Pauses Dej'!$F:$F,0)),"")="",IFERROR(INDEX('Planning Pauses Dej'!$D:$D,MATCH($B26&amp;"|"&amp;TEXT($Q26,"YYYYMMDD"),'Planning Pauses Dej'!$F:$F,0)),"")=""),"",_xlfn.MAXIFS(Connexions!$Q:$Q,Connexions!$K:$K,$Q26,Connexions!$E:$E,VLOOKUP($B26,Mapping_Noms!$A:$B,2,0),Connexions!$O:$O,"&lt;="&amp;(IFERROR(INDEX('Planning Pauses Dej'!$D:$D,MATCH($B26&amp;"|"&amp;TEXT($Q26,"YYYYMMDD"),'Planning Pauses Dej'!$F:$F,0)),"")+TIME(1,0,0)),Connexions!$P:$P,"&gt;="&amp;(IFERROR(INDEX('Planning Pauses Dej'!$C:$C,MATCH($B26&amp;"|"&amp;TEXT($Q26,"YYYYMMDD"),'Planning Pauses Dej'!$F:$F,0)),"")+TIME(1,0,0)))),"")</f>
        <v/>
      </c>
      <c r="H26" s="405">
        <f>IFERROR(IF(OR($G26="",IFERROR(INDEX('Planning Pauses Dej'!$C:$C,MATCH($B26&amp;"|"&amp;TEXT($Q26,"YYYYMMDD"),'Planning Pauses Dej'!$F:$F,0)),"")="",IFERROR(INDEX('Planning Pauses Dej'!$D:$D,MATCH($B26&amp;"|"&amp;TEXT($Q26,"YYYYMMDD"),'Planning Pauses Dej'!$F:$F,0)),"")=""),"",IF($G26&gt;(IFERROR(INDEX('Planning Pauses Dej'!$D:$D,MATCH($B26&amp;"|"&amp;TEXT($Q26,"YYYYMMDD"),'Planning Pauses Dej'!$F:$F,0)),"")-IFERROR(INDEX('Planning Pauses Dej'!$C:$C,MATCH($B26&amp;"|"&amp;TEXT($Q26,"YYYYMMDD"),'Planning Pauses Dej'!$F:$F,0)),"")),$G26-(IFERROR(INDEX('Planning Pauses Dej'!$D:$D,MATCH($B26&amp;"|"&amp;TEXT($Q26,"YYYYMMDD"),'Planning Pauses Dej'!$F:$F,0)),"")-IFERROR(INDEX('Planning Pauses Dej'!$C:$C,MATCH($B26&amp;"|"&amp;TEXT($Q26,"YYYYMMDD"),'Planning Pauses Dej'!$F:$F,0)),"")),0)),"")</f>
        <v/>
      </c>
      <c r="I26" s="251">
        <f>IF(IF(OR(C26="",D26="Congé",D26="OFF",D26="Congé spécial"),"",IF(D26&gt;F26,D26-C26,IF(C26-D26&lt;0,0,C26-D26)))&lt;0.00068287037037037,"",IF(OR(D26="Congé",D26="OFF",C26="",D26="Congé spécial"),"",IF(D26&gt;F26,D26-C26,IF(C26-D26&lt;0,0,C26-D26))))</f>
        <v/>
      </c>
      <c r="J26" s="405">
        <f>IFERROR(IF($G26="","",IF($G26&gt;TIME(1,0,0),$G26-TIME(1,0,0),0)),"")</f>
        <v/>
      </c>
      <c r="K26" s="238">
        <f>IF(SUM(H26:J26)&lt;0.00068287037037037,0,SUM(H26:J26))</f>
        <v/>
      </c>
      <c r="L26" s="236">
        <f>IF(OR(F26="Congé",F26="OFF",M26="Abs",F26="Congé sans solde",F26="Férié",F26="Congé spécial",D26="Congé spécial"),0,IF(F26-E26&lt;0,0,IF(F26-E26&lt;=0.00068287037037037,0,F26-E26)))</f>
        <v/>
      </c>
      <c r="M26" s="239">
        <f>IF(AND(O26&lt;&gt;0,C26=""),"Abs",0)</f>
        <v/>
      </c>
      <c r="N26" s="240">
        <f>IFERROR(IF(OR(D26="OFF",D26="Congé",M26="Abs",D26="Congé sans solde",D26="Férié"),"",IF(O26-K26-L26&gt;O26,O26,IF(O26-K26-L26&lt;0,"",O26-K26-L26))),"")</f>
        <v/>
      </c>
      <c r="O26" s="241">
        <f>IF(AG26="2H Pause déjeuner",IF(F26-D26-0.0833333333333333&lt;0,F26-D26-0.0833333333333333+1,F26-D26-0.0833333333333333),IF(OR(AND(F26="OFF",D26="OFF"),AND(F26="Congé",D26="Congé"),AND(F26="Congé sans solde",D26="Congé sans solde"),AND(F26="Congé spécial",D26="Congé spécial"),AND(F26="Férié",D26="Férié"),AND(F26="OFF",D26="Congé"),AND(F26="OFF",D26="Congé sans solde"),AND(F26="OFF",D26="Congé spécial"),AND(F26="OFF",D26="Férié"),AND(F26="Congé",D26="OFF"),AND(F26="Congé",D26="Congé sans solde"),AND(F26="Congé",D26="Congé spécial"),AND(F26="Congé",D26="Férié"),AND(F26="Congé sans solde",D26="OFF"),AND(F26="Congé sans solde",D26="Congé"),AND(F26="Congé sans solde",D26="Congé spécial"),AND(F26="Congé sans solde",D26="Férié"),AND(F26="Congé spécial",D26="OFF"),AND(F26="Congé spécial",D26="Congé"),AND(F26="Congé spécial",D26="Congé sans solde"),AND(F26="Congé spécial",D26="Férié"),AND(F26="Férié",D26="OFF"),AND(F26="Férié",D26="Congé"),AND(F26="Férié",D26="Congé sans solde"),AND(F26="Férié",D26="Congé spécial")),0,IF(OR(F26="OFF",F26="Congé",F26="Congé spécial",F26="Congé sans solde",D26="OFF",D26="Congé",D26="Congé spécial",D26="Congé sans solde"),0.208333333333334,IF(AND(AG26="",F26-D26&lt;0),("24:00:00"-D26)+("00:00:00"+F26)-0.0416666666666667,IF(AND(OR(AG26="Allaitement",AG26="Sans déjeuner"),F26-D26&lt;0),("24:00:00"-D26)+("00:00:00"+F26),IF(AND(AG26="",F26-D26&gt;0.166666666666667),F26-D26-0.0416666666666667,IF(AND(OR(AG26="Allaitement",AG26="Sans déjeuner"),F26-D26&gt;0.166666666666667),F26-D26,F26-D26)))))))</f>
        <v/>
      </c>
      <c r="P26" s="242">
        <f>IFERROR(VLOOKUP($B26,Annuaire_roster!$B:$G,MATCH(P$1,Annuaire_roster!$B$1:$G$1,0),0),"-")</f>
        <v/>
      </c>
      <c r="Q26" s="243" t="n">
        <v>44761</v>
      </c>
      <c r="R26" s="244">
        <f>IF(M26="Abs",O26,0)</f>
        <v/>
      </c>
      <c r="S26" s="244">
        <f>SUM(R26,L26,I26,J26,W26,H26)</f>
        <v/>
      </c>
      <c r="T26" s="209">
        <f>"Sem - "&amp;WEEKNUM(Q26,21)</f>
        <v/>
      </c>
      <c r="U26" s="209">
        <f>PROPER(TEXT(Q26,"mmmm"))</f>
        <v/>
      </c>
      <c r="V26" s="245">
        <f>+TEXT(Q26,"aaa")</f>
        <v/>
      </c>
      <c r="W26" s="240" t="n"/>
      <c r="X26" s="246">
        <f>IFERROR(IF(M26="Abs",0,IF((D26-C26+E26-F26)&lt;0.000694444444444444,0,(D26-C26+E26-F26))),0)</f>
        <v/>
      </c>
      <c r="Y26" s="247">
        <f>IFERROR(VLOOKUP(B26,Annuaire_roster!B:E,4,0),"-")</f>
        <v/>
      </c>
      <c r="Z26" s="247">
        <f>IFERROR(VLOOKUP(B26,Annuaire_roster!B:F,3,0),"-")</f>
        <v/>
      </c>
      <c r="AA26" s="247">
        <f>IFERROR(VLOOKUP(B26,Annuaire_roster!B:I,6,0),"-")</f>
        <v/>
      </c>
      <c r="AB26" s="248">
        <f>IF(AND(D26="Congé",F26="Congé"),0.333333333333333,IF(OR(AND(D26="Congé",F26&lt;&gt;"Congé"),(AND(F26="Congé",D26&lt;&gt;"Congé"))),0.166666666666667,""))</f>
        <v/>
      </c>
      <c r="AC26" s="248">
        <f>IF(AND(D26="Congé sans solde",F26="Congé sans solde"),0.333333333333333,IF(OR(AND(D26="Congé sans solde",F26&lt;&gt;"Congé sans solde"),(AND(F26="Congé sans solde",D26&lt;&gt;"Congé sans solde"))),0.166666666666667,""))</f>
        <v/>
      </c>
      <c r="AD26" s="248">
        <f>IF(AND(D26="Congé spécial",F26="Congé spécial"),0.333333333333333,IF(OR(AND(D26="Congé spécial",F26&lt;&gt;"Congé décès"),(AND(F26="Congé spécial",D26&lt;&gt;"Congé spécial"))),0.166666666666667,""))</f>
        <v/>
      </c>
      <c r="AE26" s="249">
        <f>IF(AND(D26="Férié",F26="Férié"),0.333333333333333,IF(OR(AND(D26="Férié",F26&lt;&gt;"Férié"),(AND(F26="Férié",D26&lt;&gt;"Férié"))),0.166666666666667,""))</f>
        <v/>
      </c>
      <c r="AF26" s="249" t="n"/>
      <c r="AG26" s="248" t="n"/>
    </row>
    <row r="27" ht="12.75" customHeight="1" s="231">
      <c r="A27" s="253">
        <f>VLOOKUP(B27,Annuaire_roster!B:F,5,0)</f>
        <v/>
      </c>
      <c r="B27" s="233" t="inlineStr">
        <is>
          <t xml:space="preserve">EL HOUJJAJI Soufiane </t>
        </is>
      </c>
      <c r="C27" s="234">
        <f>IFERROR(IF(COUNTIFS(Connexions!$K:$K,$Q27,Connexions!$E:$E,VLOOKUP($B27,Mapping_Noms!$A:$B,2,0))=0,"",_xlfn.MINIFS(Connexions!$M:$M,Connexions!$K:$K,$Q27,Connexions!$E:$E,VLOOKUP($B27,Mapping_Noms!$A:$B,2,0))-TIME(1,0,0)),"")</f>
        <v/>
      </c>
      <c r="D27" s="234">
        <f t="array" ref="D27:D27">IFERROR(INDEX(Planning2[],MATCH(1,(Planning2[Nom]=B27)*(Planning2[Date]=Q27),0),3),"-")</f>
        <v/>
      </c>
      <c r="E27" s="235">
        <f>IFERROR(IF(COUNTIFS(Connexions!$K:$K,$Q27,Connexions!$E:$E,VLOOKUP($B27,Mapping_Noms!$A:$B,2,0))=0,"",_xlfn.MAXIFS(Connexions!$O:$O,Connexions!$K:$K,$Q27,Connexions!$E:$E,VLOOKUP($B27,Mapping_Noms!$A:$B,2,0))-TIME(1,0,0)),"")</f>
        <v/>
      </c>
      <c r="F27" s="235">
        <f t="array" ref="F27:F27">IFERROR(INDEX(Planning2[],MATCH(1,(Planning2[Nom]=B27)*(Planning2[Date]=Q27),0),4),"-")</f>
        <v/>
      </c>
      <c r="G27" s="405">
        <f>IFERROR(IF(OR(IFERROR(INDEX('Planning Pauses Dej'!$C:$C,MATCH($B27&amp;"|"&amp;TEXT($Q27,"YYYYMMDD"),'Planning Pauses Dej'!$F:$F,0)),"")="",IFERROR(INDEX('Planning Pauses Dej'!$D:$D,MATCH($B27&amp;"|"&amp;TEXT($Q27,"YYYYMMDD"),'Planning Pauses Dej'!$F:$F,0)),"")=""),"",_xlfn.MAXIFS(Connexions!$Q:$Q,Connexions!$K:$K,$Q27,Connexions!$E:$E,VLOOKUP($B27,Mapping_Noms!$A:$B,2,0),Connexions!$O:$O,"&lt;="&amp;(IFERROR(INDEX('Planning Pauses Dej'!$D:$D,MATCH($B27&amp;"|"&amp;TEXT($Q27,"YYYYMMDD"),'Planning Pauses Dej'!$F:$F,0)),"")+TIME(1,0,0)),Connexions!$P:$P,"&gt;="&amp;(IFERROR(INDEX('Planning Pauses Dej'!$C:$C,MATCH($B27&amp;"|"&amp;TEXT($Q27,"YYYYMMDD"),'Planning Pauses Dej'!$F:$F,0)),"")+TIME(1,0,0)))),"")</f>
        <v/>
      </c>
      <c r="H27" s="405">
        <f>IFERROR(IF(OR($G27="",IFERROR(INDEX('Planning Pauses Dej'!$C:$C,MATCH($B27&amp;"|"&amp;TEXT($Q27,"YYYYMMDD"),'Planning Pauses Dej'!$F:$F,0)),"")="",IFERROR(INDEX('Planning Pauses Dej'!$D:$D,MATCH($B27&amp;"|"&amp;TEXT($Q27,"YYYYMMDD"),'Planning Pauses Dej'!$F:$F,0)),"")=""),"",IF($G27&gt;(IFERROR(INDEX('Planning Pauses Dej'!$D:$D,MATCH($B27&amp;"|"&amp;TEXT($Q27,"YYYYMMDD"),'Planning Pauses Dej'!$F:$F,0)),"")-IFERROR(INDEX('Planning Pauses Dej'!$C:$C,MATCH($B27&amp;"|"&amp;TEXT($Q27,"YYYYMMDD"),'Planning Pauses Dej'!$F:$F,0)),"")),$G27-(IFERROR(INDEX('Planning Pauses Dej'!$D:$D,MATCH($B27&amp;"|"&amp;TEXT($Q27,"YYYYMMDD"),'Planning Pauses Dej'!$F:$F,0)),"")-IFERROR(INDEX('Planning Pauses Dej'!$C:$C,MATCH($B27&amp;"|"&amp;TEXT($Q27,"YYYYMMDD"),'Planning Pauses Dej'!$F:$F,0)),"")),0)),"")</f>
        <v/>
      </c>
      <c r="I27" s="251">
        <f>IF(IF(OR(C27="",D27="Congé",D27="OFF",D27="Congé spécial"),"",IF(D27&gt;F27,D27-C27,IF(C27-D27&lt;0,0,C27-D27)))&lt;0.00068287037037037,"",IF(OR(D27="Congé",D27="OFF",C27="",D27="Congé spécial"),"",IF(D27&gt;F27,D27-C27,IF(C27-D27&lt;0,0,C27-D27))))</f>
        <v/>
      </c>
      <c r="J27" s="405">
        <f>IFERROR(IF($G27="","",IF($G27&gt;TIME(1,0,0),$G27-TIME(1,0,0),0)),"")</f>
        <v/>
      </c>
      <c r="K27" s="238">
        <f>IF(SUM(H27:J27)&lt;0.00068287037037037,0,SUM(H27:J27))</f>
        <v/>
      </c>
      <c r="L27" s="236">
        <f>IF(OR(F27="Congé",F27="OFF",M27="Abs",F27="Congé sans solde",F27="Férié",F27="Congé spécial",D27="Congé spécial"),0,IF(F27-E27&lt;0,0,IF(F27-E27&lt;=0.00068287037037037,0,F27-E27)))</f>
        <v/>
      </c>
      <c r="M27" s="239">
        <f>IF(AND(O27&lt;&gt;0,C27=""),"Abs",0)</f>
        <v/>
      </c>
      <c r="N27" s="254">
        <f>IFERROR(IF(OR(D27="OFF",D27="Congé",M27="Abs",D27="Congé sans solde",D27="Férié"),"",IF(O27-K27-L27&gt;O27,O27,IF(O27-K27-L27&lt;0,"",O27-K27-L27))),"")</f>
        <v/>
      </c>
      <c r="O27" s="241">
        <f>IF(AG27="2H Pause déjeuner",IF(F27-D27-0.0833333333333333&lt;0,F27-D27-0.0833333333333333+1,F27-D27-0.0833333333333333),IF(OR(AND(F27="OFF",D27="OFF"),AND(F27="Congé",D27="Congé"),AND(F27="Congé sans solde",D27="Congé sans solde"),AND(F27="Congé spécial",D27="Congé spécial"),AND(F27="Férié",D27="Férié"),AND(F27="OFF",D27="Congé"),AND(F27="OFF",D27="Congé sans solde"),AND(F27="OFF",D27="Congé spécial"),AND(F27="OFF",D27="Férié"),AND(F27="Congé",D27="OFF"),AND(F27="Congé",D27="Congé sans solde"),AND(F27="Congé",D27="Congé spécial"),AND(F27="Congé",D27="Férié"),AND(F27="Congé sans solde",D27="OFF"),AND(F27="Congé sans solde",D27="Congé"),AND(F27="Congé sans solde",D27="Congé spécial"),AND(F27="Congé sans solde",D27="Férié"),AND(F27="Congé spécial",D27="OFF"),AND(F27="Congé spécial",D27="Congé"),AND(F27="Congé spécial",D27="Congé sans solde"),AND(F27="Congé spécial",D27="Férié"),AND(F27="Férié",D27="OFF"),AND(F27="Férié",D27="Congé"),AND(F27="Férié",D27="Congé sans solde"),AND(F27="Férié",D27="Congé spécial")),0,IF(OR(F27="OFF",F27="Congé",F27="Congé spécial",F27="Congé sans solde",D27="OFF",D27="Congé",D27="Congé spécial",D27="Congé sans solde"),0.208333333333334,IF(AND(AG27="",F27-D27&lt;0),("24:00:00"-D27)+("00:00:00"+F27)-0.0416666666666667,IF(AND(OR(AG27="Allaitement",AG27="Sans déjeuner"),F27-D27&lt;0),("24:00:00"-D27)+("00:00:00"+F27),IF(AND(AG27="",F27-D27&gt;0.166666666666667),F27-D27-0.0416666666666667,IF(AND(OR(AG27="Allaitement",AG27="Sans déjeuner"),F27-D27&gt;0.166666666666667),F27-D27,F27-D27)))))))</f>
        <v/>
      </c>
      <c r="P27" s="242">
        <f>IFERROR(VLOOKUP($B27,Annuaire_roster!$B:$G,MATCH(P$1,Annuaire_roster!$B$1:$G$1,0),0),"-")</f>
        <v/>
      </c>
      <c r="Q27" s="255" t="n">
        <v>44761</v>
      </c>
      <c r="R27" s="248">
        <f>IF(M27="Abs",O27,0)</f>
        <v/>
      </c>
      <c r="S27" s="248">
        <f>SUM(R27,L27,I27,J27,W27,H27)</f>
        <v/>
      </c>
      <c r="T27" s="209">
        <f>"Sem - "&amp;WEEKNUM(Q27,21)</f>
        <v/>
      </c>
      <c r="U27" s="209">
        <f>PROPER(TEXT(Q27,"mmmm"))</f>
        <v/>
      </c>
      <c r="V27" s="256">
        <f>+TEXT(Q27,"aaa")</f>
        <v/>
      </c>
      <c r="W27" s="254" t="n"/>
      <c r="X27" s="257">
        <f>IFERROR(IF(M27="Abs",0,IF((D27-C27+E27-F27)&lt;0.000694444444444444,0,(D27-C27+E27-F27))),0)</f>
        <v/>
      </c>
      <c r="Y27" s="258">
        <f>IFERROR(VLOOKUP(B27,Annuaire_roster!B:E,4,0),"-")</f>
        <v/>
      </c>
      <c r="Z27" s="258">
        <f>IFERROR(VLOOKUP(B27,Annuaire_roster!B:F,3,0),"-")</f>
        <v/>
      </c>
      <c r="AA27" s="258">
        <f>IFERROR(VLOOKUP(B27,Annuaire_roster!B:I,6,0),"-")</f>
        <v/>
      </c>
      <c r="AB27" s="248">
        <f>IF(AND(D27="Congé",F27="Congé"),0.333333333333333,IF(OR(AND(D27="Congé",F27&lt;&gt;"Congé"),(AND(F27="Congé",D27&lt;&gt;"Congé"))),0.166666666666667,""))</f>
        <v/>
      </c>
      <c r="AC27" s="248">
        <f>IF(AND(D27="Congé sans solde",F27="Congé sans solde"),0.333333333333333,IF(OR(AND(D27="Congé sans solde",F27&lt;&gt;"Congé sans solde"),(AND(F27="Congé sans solde",D27&lt;&gt;"Congé sans solde"))),0.166666666666667,""))</f>
        <v/>
      </c>
      <c r="AD27" s="248">
        <f>IF(AND(D27="Congé spécial",F27="Congé spécial"),0.333333333333333,IF(OR(AND(D27="Congé spécial",F27&lt;&gt;"Congé décès"),(AND(F27="Congé spécial",D27&lt;&gt;"Congé spécial"))),0.166666666666667,""))</f>
        <v/>
      </c>
      <c r="AE27" s="259">
        <f>IF(AND(D27="Férié",F27="Férié"),0.333333333333333,IF(OR(AND(D27="Férié",F27&lt;&gt;"Férié"),(AND(F27="Férié",D27&lt;&gt;"Férié"))),0.166666666666667,""))</f>
        <v/>
      </c>
      <c r="AF27" s="249" t="n"/>
      <c r="AG27" s="248" t="n"/>
    </row>
    <row r="28" ht="12.75" customHeight="1" s="231">
      <c r="A28" s="232">
        <f>VLOOKUP(B28,Annuaire_roster!B:F,5,0)</f>
        <v/>
      </c>
      <c r="B28" s="233" t="inlineStr">
        <is>
          <t>IHASSANE Ikram</t>
        </is>
      </c>
      <c r="C28" s="234">
        <f>IFERROR(IF(COUNTIFS(Connexions!$K:$K,$Q28,Connexions!$E:$E,VLOOKUP($B28,Mapping_Noms!$A:$B,2,0))=0,"",_xlfn.MINIFS(Connexions!$M:$M,Connexions!$K:$K,$Q28,Connexions!$E:$E,VLOOKUP($B28,Mapping_Noms!$A:$B,2,0))-TIME(1,0,0)),"")</f>
        <v/>
      </c>
      <c r="D28" s="234" t="inlineStr">
        <is>
          <t>OFF</t>
        </is>
      </c>
      <c r="E28" s="235">
        <f>IFERROR(IF(COUNTIFS(Connexions!$K:$K,$Q28,Connexions!$E:$E,VLOOKUP($B28,Mapping_Noms!$A:$B,2,0))=0,"",_xlfn.MAXIFS(Connexions!$O:$O,Connexions!$K:$K,$Q28,Connexions!$E:$E,VLOOKUP($B28,Mapping_Noms!$A:$B,2,0))-TIME(1,0,0)),"")</f>
        <v/>
      </c>
      <c r="F28" s="235" t="inlineStr">
        <is>
          <t>OFF</t>
        </is>
      </c>
      <c r="G28" s="405">
        <f>IFERROR(IF(OR(IFERROR(INDEX('Planning Pauses Dej'!$C:$C,MATCH($B28&amp;"|"&amp;TEXT($Q28,"YYYYMMDD"),'Planning Pauses Dej'!$F:$F,0)),"")="",IFERROR(INDEX('Planning Pauses Dej'!$D:$D,MATCH($B28&amp;"|"&amp;TEXT($Q28,"YYYYMMDD"),'Planning Pauses Dej'!$F:$F,0)),"")=""),"",_xlfn.MAXIFS(Connexions!$Q:$Q,Connexions!$K:$K,$Q28,Connexions!$E:$E,VLOOKUP($B28,Mapping_Noms!$A:$B,2,0),Connexions!$O:$O,"&lt;="&amp;(IFERROR(INDEX('Planning Pauses Dej'!$D:$D,MATCH($B28&amp;"|"&amp;TEXT($Q28,"YYYYMMDD"),'Planning Pauses Dej'!$F:$F,0)),"")+TIME(1,0,0)),Connexions!$P:$P,"&gt;="&amp;(IFERROR(INDEX('Planning Pauses Dej'!$C:$C,MATCH($B28&amp;"|"&amp;TEXT($Q28,"YYYYMMDD"),'Planning Pauses Dej'!$F:$F,0)),"")+TIME(1,0,0)))),"")</f>
        <v/>
      </c>
      <c r="H28" s="405">
        <f>IFERROR(IF(OR($G28="",IFERROR(INDEX('Planning Pauses Dej'!$C:$C,MATCH($B28&amp;"|"&amp;TEXT($Q28,"YYYYMMDD"),'Planning Pauses Dej'!$F:$F,0)),"")="",IFERROR(INDEX('Planning Pauses Dej'!$D:$D,MATCH($B28&amp;"|"&amp;TEXT($Q28,"YYYYMMDD"),'Planning Pauses Dej'!$F:$F,0)),"")=""),"",IF($G28&gt;(IFERROR(INDEX('Planning Pauses Dej'!$D:$D,MATCH($B28&amp;"|"&amp;TEXT($Q28,"YYYYMMDD"),'Planning Pauses Dej'!$F:$F,0)),"")-IFERROR(INDEX('Planning Pauses Dej'!$C:$C,MATCH($B28&amp;"|"&amp;TEXT($Q28,"YYYYMMDD"),'Planning Pauses Dej'!$F:$F,0)),"")),$G28-(IFERROR(INDEX('Planning Pauses Dej'!$D:$D,MATCH($B28&amp;"|"&amp;TEXT($Q28,"YYYYMMDD"),'Planning Pauses Dej'!$F:$F,0)),"")-IFERROR(INDEX('Planning Pauses Dej'!$C:$C,MATCH($B28&amp;"|"&amp;TEXT($Q28,"YYYYMMDD"),'Planning Pauses Dej'!$F:$F,0)),"")),0)),"")</f>
        <v/>
      </c>
      <c r="I28" s="251">
        <f>IF(IF(OR(C28="",D28="Congé",D28="OFF",D28="Congé spécial"),"",IF(D28&gt;F28,D28-C28,IF(C28-D28&lt;0,0,C28-D28)))&lt;0.00068287037037037,"",IF(OR(D28="Congé",D28="OFF",C28="",D28="Congé spécial"),"",IF(D28&gt;F28,D28-C28,IF(C28-D28&lt;0,0,C28-D28))))</f>
        <v/>
      </c>
      <c r="J28" s="405">
        <f>IFERROR(IF($G28="","",IF($G28&gt;TIME(1,0,0),$G28-TIME(1,0,0),0)),"")</f>
        <v/>
      </c>
      <c r="K28" s="238">
        <f>IF(SUM(H28:J28)&lt;0.00068287037037037,0,SUM(H28:J28))</f>
        <v/>
      </c>
      <c r="L28" s="236">
        <f>IF(OR(F28="Congé",F28="OFF",M28="Abs",F28="Congé sans solde",F28="Férié",F28="Congé spécial",D28="Congé spécial"),0,IF(F28-E28&lt;0,0,IF(F28-E28&lt;=0.00068287037037037,0,F28-E28)))</f>
        <v/>
      </c>
      <c r="M28" s="239">
        <f>IF(AND(O28&lt;&gt;0,C28=""),"Abs",0)</f>
        <v/>
      </c>
      <c r="N28" s="240">
        <f>IFERROR(IF(OR(D28="OFF",D28="Congé",M28="Abs",D28="Congé sans solde",D28="Férié"),"",IF(O28-K28-L28&gt;O28,O28,IF(O28-K28-L28&lt;0,"",O28-K28-L28))),"")</f>
        <v/>
      </c>
      <c r="O28" s="241">
        <f>IF(AG28="2H Pause déjeuner",IF(F28-D28-0.0833333333333333&lt;0,F28-D28-0.0833333333333333+1,F28-D28-0.0833333333333333),IF(OR(AND(F28="OFF",D28="OFF"),AND(F28="Congé",D28="Congé"),AND(F28="Congé sans solde",D28="Congé sans solde"),AND(F28="Congé spécial",D28="Congé spécial"),AND(F28="Férié",D28="Férié"),AND(F28="OFF",D28="Congé"),AND(F28="OFF",D28="Congé sans solde"),AND(F28="OFF",D28="Congé spécial"),AND(F28="OFF",D28="Férié"),AND(F28="Congé",D28="OFF"),AND(F28="Congé",D28="Congé sans solde"),AND(F28="Congé",D28="Congé spécial"),AND(F28="Congé",D28="Férié"),AND(F28="Congé sans solde",D28="OFF"),AND(F28="Congé sans solde",D28="Congé"),AND(F28="Congé sans solde",D28="Congé spécial"),AND(F28="Congé sans solde",D28="Férié"),AND(F28="Congé spécial",D28="OFF"),AND(F28="Congé spécial",D28="Congé"),AND(F28="Congé spécial",D28="Congé sans solde"),AND(F28="Congé spécial",D28="Férié"),AND(F28="Férié",D28="OFF"),AND(F28="Férié",D28="Congé"),AND(F28="Férié",D28="Congé sans solde"),AND(F28="Férié",D28="Congé spécial")),0,IF(OR(F28="OFF",F28="Congé",F28="Congé spécial",F28="Congé sans solde",D28="OFF",D28="Congé",D28="Congé spécial",D28="Congé sans solde"),0.208333333333334,IF(AND(AG28="",F28-D28&lt;0),("24:00:00"-D28)+("00:00:00"+F28)-0.0416666666666667,IF(AND(OR(AG28="Allaitement",AG28="Sans déjeuner"),F28-D28&lt;0),("24:00:00"-D28)+("00:00:00"+F28),IF(AND(AG28="",F28-D28&gt;0.166666666666667),F28-D28-0.0416666666666667,IF(AND(OR(AG28="Allaitement",AG28="Sans déjeuner"),F28-D28&gt;0.166666666666667),F28-D28,F28-D28)))))))</f>
        <v/>
      </c>
      <c r="P28" s="242">
        <f>IFERROR(VLOOKUP($B28,Annuaire_roster!$B:$G,MATCH(P$1,Annuaire_roster!$B$1:$G$1,0),0),"-")</f>
        <v/>
      </c>
      <c r="Q28" s="243" t="n">
        <v>44761</v>
      </c>
      <c r="R28" s="244">
        <f>IF(M28="Abs",O28,0)</f>
        <v/>
      </c>
      <c r="S28" s="244">
        <f>SUM(R28,L28,I28,J28,W28,H28)</f>
        <v/>
      </c>
      <c r="T28" s="209">
        <f>"Sem - "&amp;WEEKNUM(Q28,21)</f>
        <v/>
      </c>
      <c r="U28" s="209">
        <f>PROPER(TEXT(Q28,"mmmm"))</f>
        <v/>
      </c>
      <c r="V28" s="245">
        <f>+TEXT(Q28,"aaa")</f>
        <v/>
      </c>
      <c r="W28" s="240" t="n"/>
      <c r="X28" s="246">
        <f>IFERROR(IF(M28="Abs",0,IF((D28-C28+E28-F28)&lt;0.000694444444444444,0,(D28-C28+E28-F28))),0)</f>
        <v/>
      </c>
      <c r="Y28" s="247">
        <f>IFERROR(VLOOKUP(B28,Annuaire_roster!B:E,4,0),"-")</f>
        <v/>
      </c>
      <c r="Z28" s="247">
        <f>IFERROR(VLOOKUP(B28,Annuaire_roster!B:F,3,0),"-")</f>
        <v/>
      </c>
      <c r="AA28" s="247">
        <f>IFERROR(VLOOKUP(B28,Annuaire_roster!B:I,6,0),"-")</f>
        <v/>
      </c>
      <c r="AB28" s="248">
        <f>IF(AND(D28="Congé",F28="Congé"),0.333333333333333,IF(OR(AND(D28="Congé",F28&lt;&gt;"Congé"),(AND(F28="Congé",D28&lt;&gt;"Congé"))),0.166666666666667,""))</f>
        <v/>
      </c>
      <c r="AC28" s="248">
        <f>IF(AND(D28="Congé sans solde",F28="Congé sans solde"),0.333333333333333,IF(OR(AND(D28="Congé sans solde",F28&lt;&gt;"Congé sans solde"),(AND(F28="Congé sans solde",D28&lt;&gt;"Congé sans solde"))),0.166666666666667,""))</f>
        <v/>
      </c>
      <c r="AD28" s="248">
        <f>IF(AND(D28="Congé spécial",F28="Congé spécial"),0.333333333333333,IF(OR(AND(D28="Congé spécial",F28&lt;&gt;"Congé décès"),(AND(F28="Congé spécial",D28&lt;&gt;"Congé spécial"))),0.166666666666667,""))</f>
        <v/>
      </c>
      <c r="AE28" s="249">
        <f>IF(AND(D28="Férié",F28="Férié"),0.333333333333333,IF(OR(AND(D28="Férié",F28&lt;&gt;"Férié"),(AND(F28="Férié",D28&lt;&gt;"Férié"))),0.166666666666667,""))</f>
        <v/>
      </c>
      <c r="AF28" s="249" t="n"/>
      <c r="AG28" s="244" t="n"/>
    </row>
    <row r="29" ht="12.75" customHeight="1" s="231">
      <c r="A29" s="253">
        <f>VLOOKUP(B29,Annuaire_roster!B:F,5,0)</f>
        <v/>
      </c>
      <c r="B29" s="233" t="inlineStr">
        <is>
          <t>EL-AOUAQUI BOUCHRA</t>
        </is>
      </c>
      <c r="C29" s="234">
        <f>IFERROR(IF(COUNTIFS(Connexions!$K:$K,$Q29,Connexions!$E:$E,VLOOKUP($B29,Mapping_Noms!$A:$B,2,0))=0,"",_xlfn.MINIFS(Connexions!$M:$M,Connexions!$K:$K,$Q29,Connexions!$E:$E,VLOOKUP($B29,Mapping_Noms!$A:$B,2,0))-TIME(1,0,0)),"")</f>
        <v/>
      </c>
      <c r="D29" s="234">
        <f t="array" ref="D29:D29">IFERROR(INDEX(Planning2[],MATCH(1,(Planning2[Nom]=B29)*(Planning2[Date]=Q29),0),3),"-")</f>
        <v/>
      </c>
      <c r="E29" s="235">
        <f>IFERROR(IF(COUNTIFS(Connexions!$K:$K,$Q29,Connexions!$E:$E,VLOOKUP($B29,Mapping_Noms!$A:$B,2,0))=0,"",_xlfn.MAXIFS(Connexions!$O:$O,Connexions!$K:$K,$Q29,Connexions!$E:$E,VLOOKUP($B29,Mapping_Noms!$A:$B,2,0))-TIME(1,0,0)),"")</f>
        <v/>
      </c>
      <c r="F29" s="235">
        <f t="array" ref="F29:F29">IFERROR(INDEX(Planning2[],MATCH(1,(Planning2[Nom]=B29)*(Planning2[Date]=Q29),0),4),"-")</f>
        <v/>
      </c>
      <c r="G29" s="405">
        <f>IFERROR(IF(OR(IFERROR(INDEX('Planning Pauses Dej'!$C:$C,MATCH($B29&amp;"|"&amp;TEXT($Q29,"YYYYMMDD"),'Planning Pauses Dej'!$F:$F,0)),"")="",IFERROR(INDEX('Planning Pauses Dej'!$D:$D,MATCH($B29&amp;"|"&amp;TEXT($Q29,"YYYYMMDD"),'Planning Pauses Dej'!$F:$F,0)),"")=""),"",_xlfn.MAXIFS(Connexions!$Q:$Q,Connexions!$K:$K,$Q29,Connexions!$E:$E,VLOOKUP($B29,Mapping_Noms!$A:$B,2,0),Connexions!$O:$O,"&lt;="&amp;(IFERROR(INDEX('Planning Pauses Dej'!$D:$D,MATCH($B29&amp;"|"&amp;TEXT($Q29,"YYYYMMDD"),'Planning Pauses Dej'!$F:$F,0)),"")+TIME(1,0,0)),Connexions!$P:$P,"&gt;="&amp;(IFERROR(INDEX('Planning Pauses Dej'!$C:$C,MATCH($B29&amp;"|"&amp;TEXT($Q29,"YYYYMMDD"),'Planning Pauses Dej'!$F:$F,0)),"")+TIME(1,0,0)))),"")</f>
        <v/>
      </c>
      <c r="H29" s="405">
        <f>IFERROR(IF(OR($G29="",IFERROR(INDEX('Planning Pauses Dej'!$C:$C,MATCH($B29&amp;"|"&amp;TEXT($Q29,"YYYYMMDD"),'Planning Pauses Dej'!$F:$F,0)),"")="",IFERROR(INDEX('Planning Pauses Dej'!$D:$D,MATCH($B29&amp;"|"&amp;TEXT($Q29,"YYYYMMDD"),'Planning Pauses Dej'!$F:$F,0)),"")=""),"",IF($G29&gt;(IFERROR(INDEX('Planning Pauses Dej'!$D:$D,MATCH($B29&amp;"|"&amp;TEXT($Q29,"YYYYMMDD"),'Planning Pauses Dej'!$F:$F,0)),"")-IFERROR(INDEX('Planning Pauses Dej'!$C:$C,MATCH($B29&amp;"|"&amp;TEXT($Q29,"YYYYMMDD"),'Planning Pauses Dej'!$F:$F,0)),"")),$G29-(IFERROR(INDEX('Planning Pauses Dej'!$D:$D,MATCH($B29&amp;"|"&amp;TEXT($Q29,"YYYYMMDD"),'Planning Pauses Dej'!$F:$F,0)),"")-IFERROR(INDEX('Planning Pauses Dej'!$C:$C,MATCH($B29&amp;"|"&amp;TEXT($Q29,"YYYYMMDD"),'Planning Pauses Dej'!$F:$F,0)),"")),0)),"")</f>
        <v/>
      </c>
      <c r="I29" s="251">
        <f>IF(IF(OR(C29="",D29="Congé",D29="OFF",D29="Congé spécial"),"",IF(D29&gt;F29,D29-C29,IF(C29-D29&lt;0,0,C29-D29)))&lt;0.00068287037037037,"",IF(OR(D29="Congé",D29="OFF",C29="",D29="Congé spécial"),"",IF(D29&gt;F29,D29-C29,IF(C29-D29&lt;0,0,C29-D29))))</f>
        <v/>
      </c>
      <c r="J29" s="405">
        <f>IFERROR(IF($G29="","",IF($G29&gt;TIME(1,0,0),$G29-TIME(1,0,0),0)),"")</f>
        <v/>
      </c>
      <c r="K29" s="238">
        <f>IF(SUM(H29:J29)&lt;0.00068287037037037,0,SUM(H29:J29))</f>
        <v/>
      </c>
      <c r="L29" s="236">
        <f>IF(OR(F29="Congé",F29="OFF",M29="Abs",F29="Congé sans solde",F29="Férié",F29="Congé spécial",D29="Congé spécial"),0,IF(F29-E29&lt;0,0,IF(F29-E29&lt;=0.00068287037037037,0,F29-E29)))</f>
        <v/>
      </c>
      <c r="M29" s="239">
        <f>IF(AND(O29&lt;&gt;0,C29=""),"Abs",0)</f>
        <v/>
      </c>
      <c r="N29" s="254">
        <f>IFERROR(IF(OR(D29="OFF",D29="Congé",M29="Abs",D29="Congé sans solde",D29="Férié"),"",IF(O29-K29-L29&gt;O29,O29,IF(O29-K29-L29&lt;0,"",O29-K29-L29))),"")</f>
        <v/>
      </c>
      <c r="O29" s="241">
        <f>IF(AG29="2H Pause déjeuner",IF(F29-D29-0.0833333333333333&lt;0,F29-D29-0.0833333333333333+1,F29-D29-0.0833333333333333),IF(OR(AND(F29="OFF",D29="OFF"),AND(F29="Congé",D29="Congé"),AND(F29="Congé sans solde",D29="Congé sans solde"),AND(F29="Congé spécial",D29="Congé spécial"),AND(F29="Férié",D29="Férié"),AND(F29="OFF",D29="Congé"),AND(F29="OFF",D29="Congé sans solde"),AND(F29="OFF",D29="Congé spécial"),AND(F29="OFF",D29="Férié"),AND(F29="Congé",D29="OFF"),AND(F29="Congé",D29="Congé sans solde"),AND(F29="Congé",D29="Congé spécial"),AND(F29="Congé",D29="Férié"),AND(F29="Congé sans solde",D29="OFF"),AND(F29="Congé sans solde",D29="Congé"),AND(F29="Congé sans solde",D29="Congé spécial"),AND(F29="Congé sans solde",D29="Férié"),AND(F29="Congé spécial",D29="OFF"),AND(F29="Congé spécial",D29="Congé"),AND(F29="Congé spécial",D29="Congé sans solde"),AND(F29="Congé spécial",D29="Férié"),AND(F29="Férié",D29="OFF"),AND(F29="Férié",D29="Congé"),AND(F29="Férié",D29="Congé sans solde"),AND(F29="Férié",D29="Congé spécial")),0,IF(OR(F29="OFF",F29="Congé",F29="Congé spécial",F29="Congé sans solde",D29="OFF",D29="Congé",D29="Congé spécial",D29="Congé sans solde"),0.208333333333334,IF(AND(AG29="",F29-D29&lt;0),("24:00:00"-D29)+("00:00:00"+F29)-0.0416666666666667,IF(AND(OR(AG29="Allaitement",AG29="Sans déjeuner"),F29-D29&lt;0),("24:00:00"-D29)+("00:00:00"+F29),IF(AND(AG29="",F29-D29&gt;0.166666666666667),F29-D29-0.0416666666666667,IF(AND(OR(AG29="Allaitement",AG29="Sans déjeuner"),F29-D29&gt;0.166666666666667),F29-D29,F29-D29)))))))</f>
        <v/>
      </c>
      <c r="P29" s="242">
        <f>IFERROR(VLOOKUP($B29,Annuaire_roster!$B:$G,MATCH(P$1,Annuaire_roster!$B$1:$G$1,0),0),"-")</f>
        <v/>
      </c>
      <c r="Q29" s="255" t="n">
        <v>44761</v>
      </c>
      <c r="R29" s="248">
        <f>IF(M29="Abs",O29,0)</f>
        <v/>
      </c>
      <c r="S29" s="248">
        <f>SUM(R29,L29,I29,J29,W29,H29)</f>
        <v/>
      </c>
      <c r="T29" s="209">
        <f>"Sem - "&amp;WEEKNUM(Q29,21)</f>
        <v/>
      </c>
      <c r="U29" s="209">
        <f>PROPER(TEXT(Q29,"mmmm"))</f>
        <v/>
      </c>
      <c r="V29" s="256">
        <f>+TEXT(Q29,"aaa")</f>
        <v/>
      </c>
      <c r="W29" s="254" t="n"/>
      <c r="X29" s="257">
        <f>IFERROR(IF(M29="Abs",0,IF((D29-C29+E29-F29)&lt;0.000694444444444444,0,(D29-C29+E29-F29))),0)</f>
        <v/>
      </c>
      <c r="Y29" s="258">
        <f>IFERROR(VLOOKUP(B29,Annuaire_roster!B:E,4,0),"-")</f>
        <v/>
      </c>
      <c r="Z29" s="258">
        <f>IFERROR(VLOOKUP(B29,Annuaire_roster!B:F,3,0),"-")</f>
        <v/>
      </c>
      <c r="AA29" s="258">
        <f>IFERROR(VLOOKUP(B29,Annuaire_roster!B:I,6,0),"-")</f>
        <v/>
      </c>
      <c r="AB29" s="248">
        <f>IF(AND(D29="Congé",F29="Congé"),0.333333333333333,IF(OR(AND(D29="Congé",F29&lt;&gt;"Congé"),(AND(F29="Congé",D29&lt;&gt;"Congé"))),0.166666666666667,""))</f>
        <v/>
      </c>
      <c r="AC29" s="248">
        <f>IF(AND(D29="Congé sans solde",F29="Congé sans solde"),0.333333333333333,IF(OR(AND(D29="Congé sans solde",F29&lt;&gt;"Congé sans solde"),(AND(F29="Congé sans solde",D29&lt;&gt;"Congé sans solde"))),0.166666666666667,""))</f>
        <v/>
      </c>
      <c r="AD29" s="248">
        <f>IF(AND(D29="Congé spécial",F29="Congé spécial"),0.333333333333333,IF(OR(AND(D29="Congé spécial",F29&lt;&gt;"Congé décès"),(AND(F29="Congé spécial",D29&lt;&gt;"Congé spécial"))),0.166666666666667,""))</f>
        <v/>
      </c>
      <c r="AE29" s="259">
        <f>IF(AND(D29="Férié",F29="Férié"),0.333333333333333,IF(OR(AND(D29="Férié",F29&lt;&gt;"Férié"),(AND(F29="Férié",D29&lt;&gt;"Férié"))),0.166666666666667,""))</f>
        <v/>
      </c>
      <c r="AF29" s="259" t="n"/>
      <c r="AG29" s="248" t="n"/>
    </row>
    <row r="30" ht="12.75" customHeight="1" s="231">
      <c r="A30" s="253">
        <f>VLOOKUP(B30,Annuaire_roster!B:F,5,0)</f>
        <v/>
      </c>
      <c r="B30" s="233" t="inlineStr">
        <is>
          <t>ZITOUNI LAMYA</t>
        </is>
      </c>
      <c r="C30" s="234">
        <f>IFERROR(IF(COUNTIFS(Connexions!$K:$K,$Q30,Connexions!$E:$E,VLOOKUP($B30,Mapping_Noms!$A:$B,2,0))=0,"",_xlfn.MINIFS(Connexions!$M:$M,Connexions!$K:$K,$Q30,Connexions!$E:$E,VLOOKUP($B30,Mapping_Noms!$A:$B,2,0))-TIME(1,0,0)),"")</f>
        <v/>
      </c>
      <c r="D30" s="234">
        <f t="array" ref="D30:D30">IFERROR(INDEX(Planning2[],MATCH(1,(Planning2[Nom]=B30)*(Planning2[Date]=Q30),0),3),"-")</f>
        <v/>
      </c>
      <c r="E30" s="235">
        <f>IFERROR(IF(COUNTIFS(Connexions!$K:$K,$Q30,Connexions!$E:$E,VLOOKUP($B30,Mapping_Noms!$A:$B,2,0))=0,"",_xlfn.MAXIFS(Connexions!$O:$O,Connexions!$K:$K,$Q30,Connexions!$E:$E,VLOOKUP($B30,Mapping_Noms!$A:$B,2,0))-TIME(1,0,0)),"")</f>
        <v/>
      </c>
      <c r="F30" s="235">
        <f t="array" ref="F30:F30">IFERROR(INDEX(Planning2[],MATCH(1,(Planning2[Nom]=B30)*(Planning2[Date]=Q30),0),4),"-")</f>
        <v/>
      </c>
      <c r="G30" s="405">
        <f>IFERROR(IF(OR(IFERROR(INDEX('Planning Pauses Dej'!$C:$C,MATCH($B30&amp;"|"&amp;TEXT($Q30,"YYYYMMDD"),'Planning Pauses Dej'!$F:$F,0)),"")="",IFERROR(INDEX('Planning Pauses Dej'!$D:$D,MATCH($B30&amp;"|"&amp;TEXT($Q30,"YYYYMMDD"),'Planning Pauses Dej'!$F:$F,0)),"")=""),"",_xlfn.MAXIFS(Connexions!$Q:$Q,Connexions!$K:$K,$Q30,Connexions!$E:$E,VLOOKUP($B30,Mapping_Noms!$A:$B,2,0),Connexions!$O:$O,"&lt;="&amp;(IFERROR(INDEX('Planning Pauses Dej'!$D:$D,MATCH($B30&amp;"|"&amp;TEXT($Q30,"YYYYMMDD"),'Planning Pauses Dej'!$F:$F,0)),"")+TIME(1,0,0)),Connexions!$P:$P,"&gt;="&amp;(IFERROR(INDEX('Planning Pauses Dej'!$C:$C,MATCH($B30&amp;"|"&amp;TEXT($Q30,"YYYYMMDD"),'Planning Pauses Dej'!$F:$F,0)),"")+TIME(1,0,0)))),"")</f>
        <v/>
      </c>
      <c r="H30" s="405">
        <f>IFERROR(IF(OR($G30="",IFERROR(INDEX('Planning Pauses Dej'!$C:$C,MATCH($B30&amp;"|"&amp;TEXT($Q30,"YYYYMMDD"),'Planning Pauses Dej'!$F:$F,0)),"")="",IFERROR(INDEX('Planning Pauses Dej'!$D:$D,MATCH($B30&amp;"|"&amp;TEXT($Q30,"YYYYMMDD"),'Planning Pauses Dej'!$F:$F,0)),"")=""),"",IF($G30&gt;(IFERROR(INDEX('Planning Pauses Dej'!$D:$D,MATCH($B30&amp;"|"&amp;TEXT($Q30,"YYYYMMDD"),'Planning Pauses Dej'!$F:$F,0)),"")-IFERROR(INDEX('Planning Pauses Dej'!$C:$C,MATCH($B30&amp;"|"&amp;TEXT($Q30,"YYYYMMDD"),'Planning Pauses Dej'!$F:$F,0)),"")),$G30-(IFERROR(INDEX('Planning Pauses Dej'!$D:$D,MATCH($B30&amp;"|"&amp;TEXT($Q30,"YYYYMMDD"),'Planning Pauses Dej'!$F:$F,0)),"")-IFERROR(INDEX('Planning Pauses Dej'!$C:$C,MATCH($B30&amp;"|"&amp;TEXT($Q30,"YYYYMMDD"),'Planning Pauses Dej'!$F:$F,0)),"")),0)),"")</f>
        <v/>
      </c>
      <c r="I30" s="251">
        <f>IF(IF(OR(C30="",D30="Congé",D30="OFF",D30="Congé spécial"),"",IF(D30&gt;F30,D30-C30,IF(C30-D30&lt;0,0,C30-D30)))&lt;0.00068287037037037,"",IF(OR(D30="Congé",D30="OFF",C30="",D30="Congé spécial"),"",IF(D30&gt;F30,D30-C30,IF(C30-D30&lt;0,0,C30-D30))))</f>
        <v/>
      </c>
      <c r="J30" s="405">
        <f>IFERROR(IF($G30="","",IF($G30&gt;TIME(1,0,0),$G30-TIME(1,0,0),0)),"")</f>
        <v/>
      </c>
      <c r="K30" s="238">
        <f>IF(SUM(H30:J30)&lt;0.00068287037037037,0,SUM(H30:J30))</f>
        <v/>
      </c>
      <c r="L30" s="236">
        <f>IF(OR(F30="Congé",F30="OFF",M30="Abs",F30="Congé sans solde",F30="Férié",F30="Congé spécial",D30="Congé spécial"),0,IF(F30-E30&lt;0,0,IF(F30-E30&lt;=0.00068287037037037,0,F30-E30)))</f>
        <v/>
      </c>
      <c r="M30" s="239">
        <f>IF(AND(O30&lt;&gt;0,C30=""),"Abs",0)</f>
        <v/>
      </c>
      <c r="N30" s="254">
        <f>IFERROR(IF(OR(D30="OFF",D30="Congé",M30="Abs",D30="Congé sans solde",D30="Férié"),"",IF(O30-K30-L30&gt;O30,O30,IF(O30-K30-L30&lt;0,"",O30-K30-L30))),"")</f>
        <v/>
      </c>
      <c r="O30" s="241">
        <f>IF(AG30="2H Pause déjeuner",IF(F30-D30-0.0833333333333333&lt;0,F30-D30-0.0833333333333333+1,F30-D30-0.0833333333333333),IF(OR(AND(F30="OFF",D30="OFF"),AND(F30="Congé",D30="Congé"),AND(F30="Congé sans solde",D30="Congé sans solde"),AND(F30="Congé spécial",D30="Congé spécial"),AND(F30="Férié",D30="Férié"),AND(F30="OFF",D30="Congé"),AND(F30="OFF",D30="Congé sans solde"),AND(F30="OFF",D30="Congé spécial"),AND(F30="OFF",D30="Férié"),AND(F30="Congé",D30="OFF"),AND(F30="Congé",D30="Congé sans solde"),AND(F30="Congé",D30="Congé spécial"),AND(F30="Congé",D30="Férié"),AND(F30="Congé sans solde",D30="OFF"),AND(F30="Congé sans solde",D30="Congé"),AND(F30="Congé sans solde",D30="Congé spécial"),AND(F30="Congé sans solde",D30="Férié"),AND(F30="Congé spécial",D30="OFF"),AND(F30="Congé spécial",D30="Congé"),AND(F30="Congé spécial",D30="Congé sans solde"),AND(F30="Congé spécial",D30="Férié"),AND(F30="Férié",D30="OFF"),AND(F30="Férié",D30="Congé"),AND(F30="Férié",D30="Congé sans solde"),AND(F30="Férié",D30="Congé spécial")),0,IF(OR(F30="OFF",F30="Congé",F30="Congé spécial",F30="Congé sans solde",D30="OFF",D30="Congé",D30="Congé spécial",D30="Congé sans solde"),0.208333333333334,IF(AND(AG30="",F30-D30&lt;0),("24:00:00"-D30)+("00:00:00"+F30)-0.0416666666666667,IF(AND(OR(AG30="Allaitement",AG30="Sans déjeuner"),F30-D30&lt;0),("24:00:00"-D30)+("00:00:00"+F30),IF(AND(AG30="",F30-D30&gt;0.166666666666667),F30-D30-0.0416666666666667,IF(AND(OR(AG30="Allaitement",AG30="Sans déjeuner"),F30-D30&gt;0.166666666666667),F30-D30,F30-D30)))))))</f>
        <v/>
      </c>
      <c r="P30" s="242">
        <f>IFERROR(VLOOKUP($B30,Annuaire_roster!$B:$G,MATCH(P$1,Annuaire_roster!$B$1:$G$1,0),0),"-")</f>
        <v/>
      </c>
      <c r="Q30" s="255" t="n">
        <v>44761</v>
      </c>
      <c r="R30" s="248">
        <f>IF(M30="Abs",O30,0)</f>
        <v/>
      </c>
      <c r="S30" s="248">
        <f>SUM(R30,L30,I30,J30,W30,H30)</f>
        <v/>
      </c>
      <c r="T30" s="209">
        <f>"Sem - "&amp;WEEKNUM(Q30,21)</f>
        <v/>
      </c>
      <c r="U30" s="209">
        <f>PROPER(TEXT(Q30,"mmmm"))</f>
        <v/>
      </c>
      <c r="V30" s="256">
        <f>+TEXT(Q30,"aaa")</f>
        <v/>
      </c>
      <c r="W30" s="254" t="n"/>
      <c r="X30" s="257">
        <f>IFERROR(IF(M30="Abs",0,IF((D30-C30+E30-F30)&lt;0.000694444444444444,0,(D30-C30+E30-F30))),0)</f>
        <v/>
      </c>
      <c r="Y30" s="258">
        <f>IFERROR(VLOOKUP(B30,Annuaire_roster!B:E,4,0),"-")</f>
        <v/>
      </c>
      <c r="Z30" s="258">
        <f>IFERROR(VLOOKUP(B30,Annuaire_roster!B:F,3,0),"-")</f>
        <v/>
      </c>
      <c r="AA30" s="258">
        <f>IFERROR(VLOOKUP(B30,Annuaire_roster!B:I,6,0),"-")</f>
        <v/>
      </c>
      <c r="AB30" s="248">
        <f>IF(AND(D30="Congé",F30="Congé"),0.333333333333333,IF(OR(AND(D30="Congé",F30&lt;&gt;"Congé"),(AND(F30="Congé",D30&lt;&gt;"Congé"))),0.166666666666667,""))</f>
        <v/>
      </c>
      <c r="AC30" s="248">
        <f>IF(AND(D30="Congé sans solde",F30="Congé sans solde"),0.333333333333333,IF(OR(AND(D30="Congé sans solde",F30&lt;&gt;"Congé sans solde"),(AND(F30="Congé sans solde",D30&lt;&gt;"Congé sans solde"))),0.166666666666667,""))</f>
        <v/>
      </c>
      <c r="AD30" s="248">
        <f>IF(AND(D30="Congé spécial",F30="Congé spécial"),0.333333333333333,IF(OR(AND(D30="Congé spécial",F30&lt;&gt;"Congé décès"),(AND(F30="Congé spécial",D30&lt;&gt;"Congé spécial"))),0.166666666666667,""))</f>
        <v/>
      </c>
      <c r="AE30" s="259">
        <f>IF(AND(D30="Férié",F30="Férié"),0.333333333333333,IF(OR(AND(D30="Férié",F30&lt;&gt;"Férié"),(AND(F30="Férié",D30&lt;&gt;"Férié"))),0.166666666666667,""))</f>
        <v/>
      </c>
      <c r="AF30" s="259" t="n"/>
      <c r="AG30" s="248" t="n"/>
    </row>
    <row r="31" ht="12.75" customHeight="1" s="231">
      <c r="A31" s="232">
        <f>VLOOKUP(B31,Annuaire_roster!B:F,5,0)</f>
        <v/>
      </c>
      <c r="B31" s="233" t="inlineStr">
        <is>
          <t>SIDIBE MOUSKEBA DALAFINA</t>
        </is>
      </c>
      <c r="C31" s="234">
        <f>IFERROR(IF(COUNTIFS(Connexions!$K:$K,$Q31,Connexions!$E:$E,VLOOKUP($B31,Mapping_Noms!$A:$B,2,0))=0,"",_xlfn.MINIFS(Connexions!$M:$M,Connexions!$K:$K,$Q31,Connexions!$E:$E,VLOOKUP($B31,Mapping_Noms!$A:$B,2,0))-TIME(1,0,0)),"")</f>
        <v/>
      </c>
      <c r="D31" s="234">
        <f t="array" ref="D31:D31">IFERROR(INDEX(Planning2[],MATCH(1,(Planning2[Nom]=B31)*(Planning2[Date]=Q31),0),3),"-")</f>
        <v/>
      </c>
      <c r="E31" s="235">
        <f>IFERROR(IF(COUNTIFS(Connexions!$K:$K,$Q31,Connexions!$E:$E,VLOOKUP($B31,Mapping_Noms!$A:$B,2,0))=0,"",_xlfn.MAXIFS(Connexions!$O:$O,Connexions!$K:$K,$Q31,Connexions!$E:$E,VLOOKUP($B31,Mapping_Noms!$A:$B,2,0))-TIME(1,0,0)),"")</f>
        <v/>
      </c>
      <c r="F31" s="235">
        <f t="array" ref="F31:F31">IFERROR(INDEX(Planning2[],MATCH(1,(Planning2[Nom]=B31)*(Planning2[Date]=Q31),0),4),"-")</f>
        <v/>
      </c>
      <c r="G31" s="405">
        <f>IFERROR(IF(OR(IFERROR(INDEX('Planning Pauses Dej'!$C:$C,MATCH($B31&amp;"|"&amp;TEXT($Q31,"YYYYMMDD"),'Planning Pauses Dej'!$F:$F,0)),"")="",IFERROR(INDEX('Planning Pauses Dej'!$D:$D,MATCH($B31&amp;"|"&amp;TEXT($Q31,"YYYYMMDD"),'Planning Pauses Dej'!$F:$F,0)),"")=""),"",_xlfn.MAXIFS(Connexions!$Q:$Q,Connexions!$K:$K,$Q31,Connexions!$E:$E,VLOOKUP($B31,Mapping_Noms!$A:$B,2,0),Connexions!$O:$O,"&lt;="&amp;(IFERROR(INDEX('Planning Pauses Dej'!$D:$D,MATCH($B31&amp;"|"&amp;TEXT($Q31,"YYYYMMDD"),'Planning Pauses Dej'!$F:$F,0)),"")+TIME(1,0,0)),Connexions!$P:$P,"&gt;="&amp;(IFERROR(INDEX('Planning Pauses Dej'!$C:$C,MATCH($B31&amp;"|"&amp;TEXT($Q31,"YYYYMMDD"),'Planning Pauses Dej'!$F:$F,0)),"")+TIME(1,0,0)))),"")</f>
        <v/>
      </c>
      <c r="H31" s="405">
        <f>IFERROR(IF(OR($G31="",IFERROR(INDEX('Planning Pauses Dej'!$C:$C,MATCH($B31&amp;"|"&amp;TEXT($Q31,"YYYYMMDD"),'Planning Pauses Dej'!$F:$F,0)),"")="",IFERROR(INDEX('Planning Pauses Dej'!$D:$D,MATCH($B31&amp;"|"&amp;TEXT($Q31,"YYYYMMDD"),'Planning Pauses Dej'!$F:$F,0)),"")=""),"",IF($G31&gt;(IFERROR(INDEX('Planning Pauses Dej'!$D:$D,MATCH($B31&amp;"|"&amp;TEXT($Q31,"YYYYMMDD"),'Planning Pauses Dej'!$F:$F,0)),"")-IFERROR(INDEX('Planning Pauses Dej'!$C:$C,MATCH($B31&amp;"|"&amp;TEXT($Q31,"YYYYMMDD"),'Planning Pauses Dej'!$F:$F,0)),"")),$G31-(IFERROR(INDEX('Planning Pauses Dej'!$D:$D,MATCH($B31&amp;"|"&amp;TEXT($Q31,"YYYYMMDD"),'Planning Pauses Dej'!$F:$F,0)),"")-IFERROR(INDEX('Planning Pauses Dej'!$C:$C,MATCH($B31&amp;"|"&amp;TEXT($Q31,"YYYYMMDD"),'Planning Pauses Dej'!$F:$F,0)),"")),0)),"")</f>
        <v/>
      </c>
      <c r="I31" s="251">
        <f>IF(IF(OR(C31="",D31="Congé",D31="OFF",D31="Congé spécial"),"",IF(D31&gt;F31,D31-C31,IF(C31-D31&lt;0,0,C31-D31)))&lt;0.00068287037037037,"",IF(OR(D31="Congé",D31="OFF",C31="",D31="Congé spécial"),"",IF(D31&gt;F31,D31-C31,IF(C31-D31&lt;0,0,C31-D31))))</f>
        <v/>
      </c>
      <c r="J31" s="405">
        <f>IFERROR(IF($G31="","",IF($G31&gt;TIME(1,0,0),$G31-TIME(1,0,0),0)),"")</f>
        <v/>
      </c>
      <c r="K31" s="238">
        <f>IF(SUM(H31:J31)&lt;0.00068287037037037,0,SUM(H31:J31))</f>
        <v/>
      </c>
      <c r="L31" s="236">
        <f>IF(OR(F31="Congé",F31="OFF",M31="Abs",F31="Congé sans solde",F31="Férié",F31="Congé spécial",D31="Congé spécial"),0,IF(F31-E31&lt;0,0,IF(F31-E31&lt;=0.00068287037037037,0,F31-E31)))</f>
        <v/>
      </c>
      <c r="M31" s="239">
        <f>IF(AND(O31&lt;&gt;0,C31=""),"Abs",0)</f>
        <v/>
      </c>
      <c r="N31" s="240">
        <f>IFERROR(IF(OR(D31="OFF",D31="Congé",M31="Abs",D31="Congé sans solde",D31="Férié"),"",IF(O31-K31-L31&gt;O31,O31,IF(O31-K31-L31&lt;0,"",O31-K31-L31))),"")</f>
        <v/>
      </c>
      <c r="O31" s="241">
        <f>IF(AG31="2H Pause déjeuner",IF(F31-D31-0.0833333333333333&lt;0,F31-D31-0.0833333333333333+1,F31-D31-0.0833333333333333),IF(OR(AND(F31="OFF",D31="OFF"),AND(F31="Congé",D31="Congé"),AND(F31="Congé sans solde",D31="Congé sans solde"),AND(F31="Congé spécial",D31="Congé spécial"),AND(F31="Férié",D31="Férié"),AND(F31="OFF",D31="Congé"),AND(F31="OFF",D31="Congé sans solde"),AND(F31="OFF",D31="Congé spécial"),AND(F31="OFF",D31="Férié"),AND(F31="Congé",D31="OFF"),AND(F31="Congé",D31="Congé sans solde"),AND(F31="Congé",D31="Congé spécial"),AND(F31="Congé",D31="Férié"),AND(F31="Congé sans solde",D31="OFF"),AND(F31="Congé sans solde",D31="Congé"),AND(F31="Congé sans solde",D31="Congé spécial"),AND(F31="Congé sans solde",D31="Férié"),AND(F31="Congé spécial",D31="OFF"),AND(F31="Congé spécial",D31="Congé"),AND(F31="Congé spécial",D31="Congé sans solde"),AND(F31="Congé spécial",D31="Férié"),AND(F31="Férié",D31="OFF"),AND(F31="Férié",D31="Congé"),AND(F31="Férié",D31="Congé sans solde"),AND(F31="Férié",D31="Congé spécial")),0,IF(OR(F31="OFF",F31="Congé",F31="Congé spécial",F31="Congé sans solde",D31="OFF",D31="Congé",D31="Congé spécial",D31="Congé sans solde"),0.208333333333334,IF(AND(AG31="",F31-D31&lt;0),("24:00:00"-D31)+("00:00:00"+F31)-0.0416666666666667,IF(AND(OR(AG31="Allaitement",AG31="Sans déjeuner"),F31-D31&lt;0),("24:00:00"-D31)+("00:00:00"+F31),IF(AND(AG31="",F31-D31&gt;0.166666666666667),F31-D31-0.0416666666666667,IF(AND(OR(AG31="Allaitement",AG31="Sans déjeuner"),F31-D31&gt;0.166666666666667),F31-D31,F31-D31)))))))</f>
        <v/>
      </c>
      <c r="P31" s="242">
        <f>IFERROR(VLOOKUP($B31,Annuaire_roster!$B:$G,MATCH(P$1,Annuaire_roster!$B$1:$G$1,0),0),"-")</f>
        <v/>
      </c>
      <c r="Q31" s="243" t="n">
        <v>44761</v>
      </c>
      <c r="R31" s="244">
        <f>IF(M31="Abs",O31,0)</f>
        <v/>
      </c>
      <c r="S31" s="244">
        <f>SUM(R31,L31,I31,J31,W31,H31)</f>
        <v/>
      </c>
      <c r="T31" s="209">
        <f>"Sem - "&amp;WEEKNUM(Q31,21)</f>
        <v/>
      </c>
      <c r="U31" s="209">
        <f>PROPER(TEXT(Q31,"mmmm"))</f>
        <v/>
      </c>
      <c r="V31" s="245">
        <f>+TEXT(Q31,"aaa")</f>
        <v/>
      </c>
      <c r="W31" s="240" t="n"/>
      <c r="X31" s="246">
        <f>IFERROR(IF(M31="Abs",0,IF((D31-C31+E31-F31)&lt;0.000694444444444444,0,(D31-C31+E31-F31))),0)</f>
        <v/>
      </c>
      <c r="Y31" s="247">
        <f>IFERROR(VLOOKUP(B31,Annuaire_roster!B:E,4,0),"-")</f>
        <v/>
      </c>
      <c r="Z31" s="247">
        <f>IFERROR(VLOOKUP(B31,Annuaire_roster!B:F,3,0),"-")</f>
        <v/>
      </c>
      <c r="AA31" s="247">
        <f>IFERROR(VLOOKUP(B31,Annuaire_roster!B:I,6,0),"-")</f>
        <v/>
      </c>
      <c r="AB31" s="248">
        <f>IF(AND(D31="Congé",F31="Congé"),0.333333333333333,IF(OR(AND(D31="Congé",F31&lt;&gt;"Congé"),(AND(F31="Congé",D31&lt;&gt;"Congé"))),0.166666666666667,""))</f>
        <v/>
      </c>
      <c r="AC31" s="248">
        <f>IF(AND(D31="Congé sans solde",F31="Congé sans solde"),0.333333333333333,IF(OR(AND(D31="Congé sans solde",F31&lt;&gt;"Congé sans solde"),(AND(F31="Congé sans solde",D31&lt;&gt;"Congé sans solde"))),0.166666666666667,""))</f>
        <v/>
      </c>
      <c r="AD31" s="248">
        <f>IF(AND(D31="Congé spécial",F31="Congé spécial"),0.333333333333333,IF(OR(AND(D31="Congé spécial",F31&lt;&gt;"Congé décès"),(AND(F31="Congé spécial",D31&lt;&gt;"Congé spécial"))),0.166666666666667,""))</f>
        <v/>
      </c>
      <c r="AE31" s="249">
        <f>IF(AND(D31="Férié",F31="Férié"),0.333333333333333,IF(OR(AND(D31="Férié",F31&lt;&gt;"Férié"),(AND(F31="Férié",D31&lt;&gt;"Férié"))),0.166666666666667,""))</f>
        <v/>
      </c>
      <c r="AF31" s="249" t="n"/>
      <c r="AG31" s="248" t="n"/>
    </row>
    <row r="32" ht="12.75" customHeight="1" s="231">
      <c r="A32" s="232">
        <f>VLOOKUP(B32,Annuaire_roster!B:F,5,0)</f>
        <v/>
      </c>
      <c r="B32" s="233" t="inlineStr">
        <is>
          <t>KANTAOUI SALMA</t>
        </is>
      </c>
      <c r="C32" s="234">
        <f>IFERROR(IF(COUNTIFS(Connexions!$K:$K,$Q32,Connexions!$E:$E,VLOOKUP($B32,Mapping_Noms!$A:$B,2,0))=0,"",_xlfn.MINIFS(Connexions!$M:$M,Connexions!$K:$K,$Q32,Connexions!$E:$E,VLOOKUP($B32,Mapping_Noms!$A:$B,2,0))-TIME(1,0,0)),"")</f>
        <v/>
      </c>
      <c r="D32" s="234">
        <f t="array" ref="D32:D32">IFERROR(INDEX(Planning2[],MATCH(1,(Planning2[Nom]=B32)*(Planning2[Date]=Q32),0),3),"-")</f>
        <v/>
      </c>
      <c r="E32" s="235">
        <f>IFERROR(IF(COUNTIFS(Connexions!$K:$K,$Q32,Connexions!$E:$E,VLOOKUP($B32,Mapping_Noms!$A:$B,2,0))=0,"",_xlfn.MAXIFS(Connexions!$O:$O,Connexions!$K:$K,$Q32,Connexions!$E:$E,VLOOKUP($B32,Mapping_Noms!$A:$B,2,0))-TIME(1,0,0)),"")</f>
        <v/>
      </c>
      <c r="F32" s="235">
        <f t="array" ref="F32:F32">IFERROR(INDEX(Planning2[],MATCH(1,(Planning2[Nom]=B32)*(Planning2[Date]=Q32),0),4),"-")</f>
        <v/>
      </c>
      <c r="G32" s="405">
        <f>IFERROR(IF(OR(IFERROR(INDEX('Planning Pauses Dej'!$C:$C,MATCH($B32&amp;"|"&amp;TEXT($Q32,"YYYYMMDD"),'Planning Pauses Dej'!$F:$F,0)),"")="",IFERROR(INDEX('Planning Pauses Dej'!$D:$D,MATCH($B32&amp;"|"&amp;TEXT($Q32,"YYYYMMDD"),'Planning Pauses Dej'!$F:$F,0)),"")=""),"",_xlfn.MAXIFS(Connexions!$Q:$Q,Connexions!$K:$K,$Q32,Connexions!$E:$E,VLOOKUP($B32,Mapping_Noms!$A:$B,2,0),Connexions!$O:$O,"&lt;="&amp;(IFERROR(INDEX('Planning Pauses Dej'!$D:$D,MATCH($B32&amp;"|"&amp;TEXT($Q32,"YYYYMMDD"),'Planning Pauses Dej'!$F:$F,0)),"")+TIME(1,0,0)),Connexions!$P:$P,"&gt;="&amp;(IFERROR(INDEX('Planning Pauses Dej'!$C:$C,MATCH($B32&amp;"|"&amp;TEXT($Q32,"YYYYMMDD"),'Planning Pauses Dej'!$F:$F,0)),"")+TIME(1,0,0)))),"")</f>
        <v/>
      </c>
      <c r="H32" s="405">
        <f>IFERROR(IF(OR($G32="",IFERROR(INDEX('Planning Pauses Dej'!$C:$C,MATCH($B32&amp;"|"&amp;TEXT($Q32,"YYYYMMDD"),'Planning Pauses Dej'!$F:$F,0)),"")="",IFERROR(INDEX('Planning Pauses Dej'!$D:$D,MATCH($B32&amp;"|"&amp;TEXT($Q32,"YYYYMMDD"),'Planning Pauses Dej'!$F:$F,0)),"")=""),"",IF($G32&gt;(IFERROR(INDEX('Planning Pauses Dej'!$D:$D,MATCH($B32&amp;"|"&amp;TEXT($Q32,"YYYYMMDD"),'Planning Pauses Dej'!$F:$F,0)),"")-IFERROR(INDEX('Planning Pauses Dej'!$C:$C,MATCH($B32&amp;"|"&amp;TEXT($Q32,"YYYYMMDD"),'Planning Pauses Dej'!$F:$F,0)),"")),$G32-(IFERROR(INDEX('Planning Pauses Dej'!$D:$D,MATCH($B32&amp;"|"&amp;TEXT($Q32,"YYYYMMDD"),'Planning Pauses Dej'!$F:$F,0)),"")-IFERROR(INDEX('Planning Pauses Dej'!$C:$C,MATCH($B32&amp;"|"&amp;TEXT($Q32,"YYYYMMDD"),'Planning Pauses Dej'!$F:$F,0)),"")),0)),"")</f>
        <v/>
      </c>
      <c r="I32" s="251">
        <f>IF(IF(OR(C32="",D32="Congé",D32="OFF",D32="Congé spécial"),"",IF(D32&gt;F32,D32-C32,IF(C32-D32&lt;0,0,C32-D32)))&lt;0.00068287037037037,"",IF(OR(D32="Congé",D32="OFF",C32="",D32="Congé spécial"),"",IF(D32&gt;F32,D32-C32,IF(C32-D32&lt;0,0,C32-D32))))</f>
        <v/>
      </c>
      <c r="J32" s="405">
        <f>IFERROR(IF($G32="","",IF($G32&gt;TIME(1,0,0),$G32-TIME(1,0,0),0)),"")</f>
        <v/>
      </c>
      <c r="K32" s="238">
        <f>IF(SUM(H32:J32)&lt;0.00068287037037037,0,SUM(H32:J32))</f>
        <v/>
      </c>
      <c r="L32" s="236">
        <f>IF(OR(F32="Congé",F32="OFF",M32="Abs",F32="Congé sans solde",F32="Férié",F32="Congé spécial",D32="Congé spécial"),0,IF(F32-E32&lt;0,0,IF(F32-E32&lt;=0.00068287037037037,0,F32-E32)))</f>
        <v/>
      </c>
      <c r="M32" s="239">
        <f>IF(AND(O32&lt;&gt;0,C32=""),"Abs",0)</f>
        <v/>
      </c>
      <c r="N32" s="240">
        <f>IFERROR(IF(OR(D32="OFF",D32="Congé",M32="Abs",D32="Congé sans solde",D32="Férié"),"",IF(O32-K32-L32&gt;O32,O32,IF(O32-K32-L32&lt;0,"",O32-K32-L32))),"")</f>
        <v/>
      </c>
      <c r="O32" s="241">
        <f>IF(AG32="2H Pause déjeuner",IF(F32-D32-0.0833333333333333&lt;0,F32-D32-0.0833333333333333+1,F32-D32-0.0833333333333333),IF(OR(AND(F32="OFF",D32="OFF"),AND(F32="Congé",D32="Congé"),AND(F32="Congé sans solde",D32="Congé sans solde"),AND(F32="Congé spécial",D32="Congé spécial"),AND(F32="Férié",D32="Férié"),AND(F32="OFF",D32="Congé"),AND(F32="OFF",D32="Congé sans solde"),AND(F32="OFF",D32="Congé spécial"),AND(F32="OFF",D32="Férié"),AND(F32="Congé",D32="OFF"),AND(F32="Congé",D32="Congé sans solde"),AND(F32="Congé",D32="Congé spécial"),AND(F32="Congé",D32="Férié"),AND(F32="Congé sans solde",D32="OFF"),AND(F32="Congé sans solde",D32="Congé"),AND(F32="Congé sans solde",D32="Congé spécial"),AND(F32="Congé sans solde",D32="Férié"),AND(F32="Congé spécial",D32="OFF"),AND(F32="Congé spécial",D32="Congé"),AND(F32="Congé spécial",D32="Congé sans solde"),AND(F32="Congé spécial",D32="Férié"),AND(F32="Férié",D32="OFF"),AND(F32="Férié",D32="Congé"),AND(F32="Férié",D32="Congé sans solde"),AND(F32="Férié",D32="Congé spécial")),0,IF(OR(F32="OFF",F32="Congé",F32="Congé spécial",F32="Congé sans solde",D32="OFF",D32="Congé",D32="Congé spécial",D32="Congé sans solde"),0.208333333333334,IF(AND(AG32="",F32-D32&lt;0),("24:00:00"-D32)+("00:00:00"+F32)-0.0416666666666667,IF(AND(OR(AG32="Allaitement",AG32="Sans déjeuner"),F32-D32&lt;0),("24:00:00"-D32)+("00:00:00"+F32),IF(AND(AG32="",F32-D32&gt;0.166666666666667),F32-D32-0.0416666666666667,IF(AND(OR(AG32="Allaitement",AG32="Sans déjeuner"),F32-D32&gt;0.166666666666667),F32-D32,F32-D32)))))))</f>
        <v/>
      </c>
      <c r="P32" s="242">
        <f>IFERROR(VLOOKUP($B32,Annuaire_roster!$B:$G,MATCH(P$1,Annuaire_roster!$B$1:$G$1,0),0),"-")</f>
        <v/>
      </c>
      <c r="Q32" s="243" t="n">
        <v>44761</v>
      </c>
      <c r="R32" s="244">
        <f>IF(M32="Abs",O32,0)</f>
        <v/>
      </c>
      <c r="S32" s="244">
        <f>SUM(R32,L32,I32,J32,W32,H32)</f>
        <v/>
      </c>
      <c r="T32" s="209">
        <f>"Sem - "&amp;WEEKNUM(Q32,21)</f>
        <v/>
      </c>
      <c r="U32" s="209">
        <f>PROPER(TEXT(Q32,"mmmm"))</f>
        <v/>
      </c>
      <c r="V32" s="245">
        <f>+TEXT(Q32,"aaa")</f>
        <v/>
      </c>
      <c r="W32" s="240" t="n"/>
      <c r="X32" s="246">
        <f>IFERROR(IF(M32="Abs",0,IF((D32-C32+E32-F32)&lt;0.000694444444444444,0,(D32-C32+E32-F32))),0)</f>
        <v/>
      </c>
      <c r="Y32" s="247">
        <f>IFERROR(VLOOKUP(B32,Annuaire_roster!B:E,4,0),"-")</f>
        <v/>
      </c>
      <c r="Z32" s="247">
        <f>IFERROR(VLOOKUP(B32,Annuaire_roster!B:F,3,0),"-")</f>
        <v/>
      </c>
      <c r="AA32" s="247">
        <f>IFERROR(VLOOKUP(B32,Annuaire_roster!B:I,6,0),"-")</f>
        <v/>
      </c>
      <c r="AB32" s="248">
        <f>IF(AND(D32="Congé",F32="Congé"),0.333333333333333,IF(OR(AND(D32="Congé",F32&lt;&gt;"Congé"),(AND(F32="Congé",D32&lt;&gt;"Congé"))),0.166666666666667,""))</f>
        <v/>
      </c>
      <c r="AC32" s="248">
        <f>IF(AND(D32="Congé sans solde",F32="Congé sans solde"),0.333333333333333,IF(OR(AND(D32="Congé sans solde",F32&lt;&gt;"Congé sans solde"),(AND(F32="Congé sans solde",D32&lt;&gt;"Congé sans solde"))),0.166666666666667,""))</f>
        <v/>
      </c>
      <c r="AD32" s="248">
        <f>IF(AND(D32="Congé spécial",F32="Congé spécial"),0.333333333333333,IF(OR(AND(D32="Congé spécial",F32&lt;&gt;"Congé décès"),(AND(F32="Congé spécial",D32&lt;&gt;"Congé spécial"))),0.166666666666667,""))</f>
        <v/>
      </c>
      <c r="AE32" s="249">
        <f>IF(AND(D32="Férié",F32="Férié"),0.333333333333333,IF(OR(AND(D32="Férié",F32&lt;&gt;"Férié"),(AND(F32="Férié",D32&lt;&gt;"Férié"))),0.166666666666667,""))</f>
        <v/>
      </c>
      <c r="AF32" s="249" t="n"/>
      <c r="AG32" s="244" t="n"/>
    </row>
    <row r="33" ht="12.75" customHeight="1" s="231">
      <c r="A33" s="232">
        <f>VLOOKUP(B33,Annuaire_roster!B:F,5,0)</f>
        <v/>
      </c>
      <c r="B33" s="233" t="inlineStr">
        <is>
          <t>ZIOUI DOUNIA</t>
        </is>
      </c>
      <c r="C33" s="234">
        <f>IFERROR(IF(COUNTIFS(Connexions!$K:$K,$Q33,Connexions!$E:$E,VLOOKUP($B33,Mapping_Noms!$A:$B,2,0))=0,"",_xlfn.MINIFS(Connexions!$M:$M,Connexions!$K:$K,$Q33,Connexions!$E:$E,VLOOKUP($B33,Mapping_Noms!$A:$B,2,0))-TIME(1,0,0)),"")</f>
        <v/>
      </c>
      <c r="D33" s="234">
        <f t="array" ref="D33:D33">IFERROR(INDEX(Planning2[],MATCH(1,(Planning2[Nom]=B33)*(Planning2[Date]=Q33),0),3),"-")</f>
        <v/>
      </c>
      <c r="E33" s="235">
        <f>IFERROR(IF(COUNTIFS(Connexions!$K:$K,$Q33,Connexions!$E:$E,VLOOKUP($B33,Mapping_Noms!$A:$B,2,0))=0,"",_xlfn.MAXIFS(Connexions!$O:$O,Connexions!$K:$K,$Q33,Connexions!$E:$E,VLOOKUP($B33,Mapping_Noms!$A:$B,2,0))-TIME(1,0,0)),"")</f>
        <v/>
      </c>
      <c r="F33" s="235">
        <f t="array" ref="F33:F33">IFERROR(INDEX(Planning2[],MATCH(1,(Planning2[Nom]=B33)*(Planning2[Date]=Q33),0),4),"-")</f>
        <v/>
      </c>
      <c r="G33" s="405">
        <f>IFERROR(IF(OR(IFERROR(INDEX('Planning Pauses Dej'!$C:$C,MATCH($B33&amp;"|"&amp;TEXT($Q33,"YYYYMMDD"),'Planning Pauses Dej'!$F:$F,0)),"")="",IFERROR(INDEX('Planning Pauses Dej'!$D:$D,MATCH($B33&amp;"|"&amp;TEXT($Q33,"YYYYMMDD"),'Planning Pauses Dej'!$F:$F,0)),"")=""),"",_xlfn.MAXIFS(Connexions!$Q:$Q,Connexions!$K:$K,$Q33,Connexions!$E:$E,VLOOKUP($B33,Mapping_Noms!$A:$B,2,0),Connexions!$O:$O,"&lt;="&amp;(IFERROR(INDEX('Planning Pauses Dej'!$D:$D,MATCH($B33&amp;"|"&amp;TEXT($Q33,"YYYYMMDD"),'Planning Pauses Dej'!$F:$F,0)),"")+TIME(1,0,0)),Connexions!$P:$P,"&gt;="&amp;(IFERROR(INDEX('Planning Pauses Dej'!$C:$C,MATCH($B33&amp;"|"&amp;TEXT($Q33,"YYYYMMDD"),'Planning Pauses Dej'!$F:$F,0)),"")+TIME(1,0,0)))),"")</f>
        <v/>
      </c>
      <c r="H33" s="405">
        <f>IFERROR(IF(OR($G33="",IFERROR(INDEX('Planning Pauses Dej'!$C:$C,MATCH($B33&amp;"|"&amp;TEXT($Q33,"YYYYMMDD"),'Planning Pauses Dej'!$F:$F,0)),"")="",IFERROR(INDEX('Planning Pauses Dej'!$D:$D,MATCH($B33&amp;"|"&amp;TEXT($Q33,"YYYYMMDD"),'Planning Pauses Dej'!$F:$F,0)),"")=""),"",IF($G33&gt;(IFERROR(INDEX('Planning Pauses Dej'!$D:$D,MATCH($B33&amp;"|"&amp;TEXT($Q33,"YYYYMMDD"),'Planning Pauses Dej'!$F:$F,0)),"")-IFERROR(INDEX('Planning Pauses Dej'!$C:$C,MATCH($B33&amp;"|"&amp;TEXT($Q33,"YYYYMMDD"),'Planning Pauses Dej'!$F:$F,0)),"")),$G33-(IFERROR(INDEX('Planning Pauses Dej'!$D:$D,MATCH($B33&amp;"|"&amp;TEXT($Q33,"YYYYMMDD"),'Planning Pauses Dej'!$F:$F,0)),"")-IFERROR(INDEX('Planning Pauses Dej'!$C:$C,MATCH($B33&amp;"|"&amp;TEXT($Q33,"YYYYMMDD"),'Planning Pauses Dej'!$F:$F,0)),"")),0)),"")</f>
        <v/>
      </c>
      <c r="I33" s="251">
        <f>IF(IF(OR(C33="",D33="Congé",D33="OFF",D33="Congé spécial"),"",IF(D33&gt;F33,D33-C33,IF(C33-D33&lt;0,0,C33-D33)))&lt;0.00068287037037037,"",IF(OR(D33="Congé",D33="OFF",C33="",D33="Congé spécial"),"",IF(D33&gt;F33,D33-C33,IF(C33-D33&lt;0,0,C33-D33))))</f>
        <v/>
      </c>
      <c r="J33" s="405">
        <f>IFERROR(IF($G33="","",IF($G33&gt;TIME(1,0,0),$G33-TIME(1,0,0),0)),"")</f>
        <v/>
      </c>
      <c r="K33" s="238">
        <f>IF(SUM(H33:J33)&lt;0.00068287037037037,0,SUM(H33:J33))</f>
        <v/>
      </c>
      <c r="L33" s="236">
        <f>IF(OR(F33="Congé",F33="OFF",M33="Abs",F33="Congé sans solde",F33="Férié",F33="Congé spécial",D33="Congé spécial"),0,IF(F33-E33&lt;0,0,IF(F33-E33&lt;=0.00068287037037037,0,F33-E33)))</f>
        <v/>
      </c>
      <c r="M33" s="239">
        <f>IF(AND(O33&lt;&gt;0,C33=""),"Abs",0)</f>
        <v/>
      </c>
      <c r="N33" s="240">
        <f>IFERROR(IF(OR(D33="OFF",D33="Congé",M33="Abs",D33="Congé sans solde",D33="Férié"),"",IF(O33-K33-L33&gt;O33,O33,IF(O33-K33-L33&lt;0,"",O33-K33-L33))),"")</f>
        <v/>
      </c>
      <c r="O33" s="241">
        <f>IF(AG33="2H Pause déjeuner",IF(F33-D33-0.0833333333333333&lt;0,F33-D33-0.0833333333333333+1,F33-D33-0.0833333333333333),IF(OR(AND(F33="OFF",D33="OFF"),AND(F33="Congé",D33="Congé"),AND(F33="Congé sans solde",D33="Congé sans solde"),AND(F33="Congé spécial",D33="Congé spécial"),AND(F33="Férié",D33="Férié"),AND(F33="OFF",D33="Congé"),AND(F33="OFF",D33="Congé sans solde"),AND(F33="OFF",D33="Congé spécial"),AND(F33="OFF",D33="Férié"),AND(F33="Congé",D33="OFF"),AND(F33="Congé",D33="Congé sans solde"),AND(F33="Congé",D33="Congé spécial"),AND(F33="Congé",D33="Férié"),AND(F33="Congé sans solde",D33="OFF"),AND(F33="Congé sans solde",D33="Congé"),AND(F33="Congé sans solde",D33="Congé spécial"),AND(F33="Congé sans solde",D33="Férié"),AND(F33="Congé spécial",D33="OFF"),AND(F33="Congé spécial",D33="Congé"),AND(F33="Congé spécial",D33="Congé sans solde"),AND(F33="Congé spécial",D33="Férié"),AND(F33="Férié",D33="OFF"),AND(F33="Férié",D33="Congé"),AND(F33="Férié",D33="Congé sans solde"),AND(F33="Férié",D33="Congé spécial")),0,IF(OR(F33="OFF",F33="Congé",F33="Congé spécial",F33="Congé sans solde",D33="OFF",D33="Congé",D33="Congé spécial",D33="Congé sans solde"),0.208333333333334,IF(AND(AG33="",F33-D33&lt;0),("24:00:00"-D33)+("00:00:00"+F33)-0.0416666666666667,IF(AND(OR(AG33="Allaitement",AG33="Sans déjeuner"),F33-D33&lt;0),("24:00:00"-D33)+("00:00:00"+F33),IF(AND(AG33="",F33-D33&gt;0.166666666666667),F33-D33-0.0416666666666667,IF(AND(OR(AG33="Allaitement",AG33="Sans déjeuner"),F33-D33&gt;0.166666666666667),F33-D33,F33-D33)))))))</f>
        <v/>
      </c>
      <c r="P33" s="242">
        <f>IFERROR(VLOOKUP($B33,Annuaire_roster!$B:$G,MATCH(P$1,Annuaire_roster!$B$1:$G$1,0),0),"-")</f>
        <v/>
      </c>
      <c r="Q33" s="243" t="n">
        <v>44761</v>
      </c>
      <c r="R33" s="244">
        <f>IF(M33="Abs",O33,0)</f>
        <v/>
      </c>
      <c r="S33" s="244">
        <f>SUM(R33,L33,I33,J33,W33,H33)</f>
        <v/>
      </c>
      <c r="T33" s="209">
        <f>"Sem - "&amp;WEEKNUM(Q33,21)</f>
        <v/>
      </c>
      <c r="U33" s="209">
        <f>PROPER(TEXT(Q33,"mmmm"))</f>
        <v/>
      </c>
      <c r="V33" s="245">
        <f>+TEXT(Q33,"aaa")</f>
        <v/>
      </c>
      <c r="W33" s="240" t="n"/>
      <c r="X33" s="246">
        <f>IFERROR(IF(M33="Abs",0,IF((D33-C33+E33-F33)&lt;0.000694444444444444,0,(D33-C33+E33-F33))),0)</f>
        <v/>
      </c>
      <c r="Y33" s="247">
        <f>IFERROR(VLOOKUP(B33,Annuaire_roster!B:E,4,0),"-")</f>
        <v/>
      </c>
      <c r="Z33" s="247">
        <f>IFERROR(VLOOKUP(B33,Annuaire_roster!B:F,3,0),"-")</f>
        <v/>
      </c>
      <c r="AA33" s="247">
        <f>IFERROR(VLOOKUP(B33,Annuaire_roster!B:I,6,0),"-")</f>
        <v/>
      </c>
      <c r="AB33" s="248">
        <f>IF(AND(D33="Congé",F33="Congé"),0.333333333333333,IF(OR(AND(D33="Congé",F33&lt;&gt;"Congé"),(AND(F33="Congé",D33&lt;&gt;"Congé"))),0.166666666666667,""))</f>
        <v/>
      </c>
      <c r="AC33" s="248">
        <f>IF(AND(D33="Congé sans solde",F33="Congé sans solde"),0.333333333333333,IF(OR(AND(D33="Congé sans solde",F33&lt;&gt;"Congé sans solde"),(AND(F33="Congé sans solde",D33&lt;&gt;"Congé sans solde"))),0.166666666666667,""))</f>
        <v/>
      </c>
      <c r="AD33" s="248">
        <f>IF(AND(D33="Congé spécial",F33="Congé spécial"),0.333333333333333,IF(OR(AND(D33="Congé spécial",F33&lt;&gt;"Congé décès"),(AND(F33="Congé spécial",D33&lt;&gt;"Congé spécial"))),0.166666666666667,""))</f>
        <v/>
      </c>
      <c r="AE33" s="249">
        <f>IF(AND(D33="Férié",F33="Férié"),0.333333333333333,IF(OR(AND(D33="Férié",F33&lt;&gt;"Férié"),(AND(F33="Férié",D33&lt;&gt;"Férié"))),0.166666666666667,""))</f>
        <v/>
      </c>
      <c r="AF33" s="249" t="n"/>
      <c r="AG33" s="248" t="n"/>
    </row>
    <row r="34" hidden="1" ht="12.75" customHeight="1" s="231">
      <c r="A34" s="253">
        <f>VLOOKUP(B34,Annuaire_roster!B:F,5,0)</f>
        <v/>
      </c>
      <c r="B34" s="233" t="inlineStr">
        <is>
          <t>AIT ADDI KHADIJA</t>
        </is>
      </c>
      <c r="C34" s="234">
        <f>IFERROR(IF(COUNTIFS(Connexions!$K:$K,$Q34,Connexions!$E:$E,VLOOKUP($B34,Mapping_Noms!$A:$B,2,0))=0,"",_xlfn.MINIFS(Connexions!$M:$M,Connexions!$K:$K,$Q34,Connexions!$E:$E,VLOOKUP($B34,Mapping_Noms!$A:$B,2,0))-TIME(1,0,0)),"")</f>
        <v/>
      </c>
      <c r="D34" s="234">
        <f t="array" ref="D34:D34">IFERROR(INDEX(Planning2[],MATCH(1,(Planning2[Nom]=B34)*(Planning2[Date]=Q34),0),3),"-")</f>
        <v/>
      </c>
      <c r="E34" s="235">
        <f>IFERROR(IF(COUNTIFS(Connexions!$K:$K,$Q34,Connexions!$E:$E,VLOOKUP($B34,Mapping_Noms!$A:$B,2,0))=0,"",_xlfn.MAXIFS(Connexions!$O:$O,Connexions!$K:$K,$Q34,Connexions!$E:$E,VLOOKUP($B34,Mapping_Noms!$A:$B,2,0))-TIME(1,0,0)),"")</f>
        <v/>
      </c>
      <c r="F34" s="235">
        <f t="array" ref="F34:F34">IFERROR(INDEX(Planning2[],MATCH(1,(Planning2[Nom]=B34)*(Planning2[Date]=Q34),0),4),"-")</f>
        <v/>
      </c>
      <c r="G34" s="405">
        <f>IFERROR(IF(OR(IFERROR(INDEX('Planning Pauses Dej'!$C:$C,MATCH($B34&amp;"|"&amp;TEXT($Q34,"YYYYMMDD"),'Planning Pauses Dej'!$F:$F,0)),"")="",IFERROR(INDEX('Planning Pauses Dej'!$D:$D,MATCH($B34&amp;"|"&amp;TEXT($Q34,"YYYYMMDD"),'Planning Pauses Dej'!$F:$F,0)),"")=""),"",_xlfn.MAXIFS(Connexions!$Q:$Q,Connexions!$K:$K,$Q34,Connexions!$E:$E,VLOOKUP($B34,Mapping_Noms!$A:$B,2,0),Connexions!$O:$O,"&lt;="&amp;(IFERROR(INDEX('Planning Pauses Dej'!$D:$D,MATCH($B34&amp;"|"&amp;TEXT($Q34,"YYYYMMDD"),'Planning Pauses Dej'!$F:$F,0)),"")+TIME(1,0,0)),Connexions!$P:$P,"&gt;="&amp;(IFERROR(INDEX('Planning Pauses Dej'!$C:$C,MATCH($B34&amp;"|"&amp;TEXT($Q34,"YYYYMMDD"),'Planning Pauses Dej'!$F:$F,0)),"")+TIME(1,0,0)))),"")</f>
        <v/>
      </c>
      <c r="H34" s="405">
        <f>IFERROR(IF(OR($G34="",IFERROR(INDEX('Planning Pauses Dej'!$C:$C,MATCH($B34&amp;"|"&amp;TEXT($Q34,"YYYYMMDD"),'Planning Pauses Dej'!$F:$F,0)),"")="",IFERROR(INDEX('Planning Pauses Dej'!$D:$D,MATCH($B34&amp;"|"&amp;TEXT($Q34,"YYYYMMDD"),'Planning Pauses Dej'!$F:$F,0)),"")=""),"",IF($G34&gt;(IFERROR(INDEX('Planning Pauses Dej'!$D:$D,MATCH($B34&amp;"|"&amp;TEXT($Q34,"YYYYMMDD"),'Planning Pauses Dej'!$F:$F,0)),"")-IFERROR(INDEX('Planning Pauses Dej'!$C:$C,MATCH($B34&amp;"|"&amp;TEXT($Q34,"YYYYMMDD"),'Planning Pauses Dej'!$F:$F,0)),"")),$G34-(IFERROR(INDEX('Planning Pauses Dej'!$D:$D,MATCH($B34&amp;"|"&amp;TEXT($Q34,"YYYYMMDD"),'Planning Pauses Dej'!$F:$F,0)),"")-IFERROR(INDEX('Planning Pauses Dej'!$C:$C,MATCH($B34&amp;"|"&amp;TEXT($Q34,"YYYYMMDD"),'Planning Pauses Dej'!$F:$F,0)),"")),0)),"")</f>
        <v/>
      </c>
      <c r="I34" s="251">
        <f>IF(IF(OR(C34="",D34="Congé",D34="OFF",D34="Congé spécial"),"",IF(D34&gt;F34,D34-C34,IF(C34-D34&lt;0,0,C34-D34)))&lt;0.00068287037037037,"",IF(OR(D34="Congé",D34="OFF",C34="",D34="Congé spécial"),"",IF(D34&gt;F34,D34-C34,IF(C34-D34&lt;0,0,C34-D34))))</f>
        <v/>
      </c>
      <c r="J34" s="405">
        <f>IFERROR(IF($G34="","",IF($G34&gt;TIME(1,0,0),$G34-TIME(1,0,0),0)),"")</f>
        <v/>
      </c>
      <c r="K34" s="238">
        <f>IF(SUM(H34:J34)&lt;0.00068287037037037,0,SUM(H34:J34))</f>
        <v/>
      </c>
      <c r="L34" s="236">
        <f>IF(OR(F34="Congé",F34="OFF",M34="Abs",F34="Congé sans solde",F34="Férié",F34="Congé spécial",D34="Congé spécial"),0,IF(F34-E34&lt;0,0,IF(F34-E34&lt;=0.00068287037037037,0,F34-E34)))</f>
        <v/>
      </c>
      <c r="M34" s="239">
        <f>IF(AND(O34&lt;&gt;0,C34=""),"Abs",0)</f>
        <v/>
      </c>
      <c r="N34" s="254">
        <f>IFERROR(IF(OR(D34="OFF",D34="Congé",M34="Abs",D34="Congé sans solde",D34="Férié"),"",IF(O34-K34-L34&gt;O34,O34,IF(O34-K34-L34&lt;0,"",O34-K34-L34))),"")</f>
        <v/>
      </c>
      <c r="O34" s="241">
        <f>IF(AG34="2H Pause déjeuner",IF(F34-D34-0.0833333333333333&lt;0,F34-D34-0.0833333333333333+1,F34-D34-0.0833333333333333),IF(OR(AND(F34="OFF",D34="OFF"),AND(F34="Congé",D34="Congé"),AND(F34="Congé sans solde",D34="Congé sans solde"),AND(F34="Congé spécial",D34="Congé spécial"),AND(F34="Férié",D34="Férié"),AND(F34="OFF",D34="Congé"),AND(F34="OFF",D34="Congé sans solde"),AND(F34="OFF",D34="Congé spécial"),AND(F34="OFF",D34="Férié"),AND(F34="Congé",D34="OFF"),AND(F34="Congé",D34="Congé sans solde"),AND(F34="Congé",D34="Congé spécial"),AND(F34="Congé",D34="Férié"),AND(F34="Congé sans solde",D34="OFF"),AND(F34="Congé sans solde",D34="Congé"),AND(F34="Congé sans solde",D34="Congé spécial"),AND(F34="Congé sans solde",D34="Férié"),AND(F34="Congé spécial",D34="OFF"),AND(F34="Congé spécial",D34="Congé"),AND(F34="Congé spécial",D34="Congé sans solde"),AND(F34="Congé spécial",D34="Férié"),AND(F34="Férié",D34="OFF"),AND(F34="Férié",D34="Congé"),AND(F34="Férié",D34="Congé sans solde"),AND(F34="Férié",D34="Congé spécial")),0,IF(OR(F34="OFF",F34="Congé",F34="Congé spécial",F34="Congé sans solde",D34="OFF",D34="Congé",D34="Congé spécial",D34="Congé sans solde"),0.208333333333334,IF(AND(AG34="",F34-D34&lt;0),("24:00:00"-D34)+("00:00:00"+F34)-0.0416666666666667,IF(AND(OR(AG34="Allaitement",AG34="Sans déjeuner"),F34-D34&lt;0),("24:00:00"-D34)+("00:00:00"+F34),IF(AND(AG34="",F34-D34&gt;0.166666666666667),F34-D34-0.0416666666666667,IF(AND(OR(AG34="Allaitement",AG34="Sans déjeuner"),F34-D34&gt;0.166666666666667),F34-D34,F34-D34)))))))</f>
        <v/>
      </c>
      <c r="P34" s="242">
        <f>IFERROR(VLOOKUP($B34,Annuaire_roster!$B:$G,MATCH(P$1,Annuaire_roster!$B$1:$G$1,0),0),"-")</f>
        <v/>
      </c>
      <c r="Q34" s="255" t="n">
        <v>44762</v>
      </c>
      <c r="R34" s="248">
        <f>IF(M34="Abs",O34,0)</f>
        <v/>
      </c>
      <c r="S34" s="248">
        <f>SUM(R34,L34,I34,J34,W34,H34)</f>
        <v/>
      </c>
      <c r="T34" s="209">
        <f>"Sem - "&amp;WEEKNUM(Q34,21)</f>
        <v/>
      </c>
      <c r="U34" s="209">
        <f>PROPER(TEXT(Q34,"mmmm"))</f>
        <v/>
      </c>
      <c r="V34" s="256">
        <f>+TEXT(Q34,"aaa")</f>
        <v/>
      </c>
      <c r="W34" s="254" t="n"/>
      <c r="X34" s="257">
        <f>IFERROR(IF(M34="Abs",0,IF((D34-C34+E34-F34)&lt;0.000694444444444444,0,(D34-C34+E34-F34))),0)</f>
        <v/>
      </c>
      <c r="Y34" s="258">
        <f>IFERROR(VLOOKUP(B34,Annuaire_roster!B:E,4,0),"-")</f>
        <v/>
      </c>
      <c r="Z34" s="258">
        <f>IFERROR(VLOOKUP(B34,Annuaire_roster!B:F,3,0),"-")</f>
        <v/>
      </c>
      <c r="AA34" s="258">
        <f>IFERROR(VLOOKUP(B34,Annuaire_roster!B:I,6,0),"-")</f>
        <v/>
      </c>
      <c r="AB34" s="248">
        <f>IF(AND(D34="Congé",F34="Congé"),0.333333333333333,IF(OR(AND(D34="Congé",F34&lt;&gt;"Congé"),(AND(F34="Congé",D34&lt;&gt;"Congé"))),0.166666666666667,""))</f>
        <v/>
      </c>
      <c r="AC34" s="248">
        <f>IF(AND(D34="Congé sans solde",F34="Congé sans solde"),0.333333333333333,IF(OR(AND(D34="Congé sans solde",F34&lt;&gt;"Congé sans solde"),(AND(F34="Congé sans solde",D34&lt;&gt;"Congé sans solde"))),0.166666666666667,""))</f>
        <v/>
      </c>
      <c r="AD34" s="248">
        <f>IF(AND(D34="Congé spécial",F34="Congé spécial"),0.333333333333333,IF(OR(AND(D34="Congé spécial",F34&lt;&gt;"Congé décès"),(AND(F34="Congé spécial",D34&lt;&gt;"Congé spécial"))),0.166666666666667,""))</f>
        <v/>
      </c>
      <c r="AE34" s="259">
        <f>IF(AND(D34="Férié",F34="Férié"),0.333333333333333,IF(OR(AND(D34="Férié",F34&lt;&gt;"Férié"),(AND(F34="Férié",D34&lt;&gt;"Férié"))),0.166666666666667,""))</f>
        <v/>
      </c>
      <c r="AF34" s="259" t="n"/>
      <c r="AG34" s="248" t="n"/>
    </row>
    <row r="35" hidden="1" ht="12.75" customHeight="1" s="231">
      <c r="A35" s="253">
        <f>VLOOKUP(B35,Annuaire_roster!B:F,5,0)</f>
        <v/>
      </c>
      <c r="B35" s="233" t="inlineStr">
        <is>
          <t>SIDIBE MOUSKEBA DALAFINA</t>
        </is>
      </c>
      <c r="C35" s="234">
        <f>IFERROR(IF(COUNTIFS(Connexions!$K:$K,$Q35,Connexions!$E:$E,VLOOKUP($B35,Mapping_Noms!$A:$B,2,0))=0,"",_xlfn.MINIFS(Connexions!$M:$M,Connexions!$K:$K,$Q35,Connexions!$E:$E,VLOOKUP($B35,Mapping_Noms!$A:$B,2,0))-TIME(1,0,0)),"")</f>
        <v/>
      </c>
      <c r="D35" s="234">
        <f t="array" ref="D35:D35">IFERROR(INDEX(Planning2[],MATCH(1,(Planning2[Nom]=B35)*(Planning2[Date]=Q35),0),3),"-")</f>
        <v/>
      </c>
      <c r="E35" s="235">
        <f>IFERROR(IF(COUNTIFS(Connexions!$K:$K,$Q35,Connexions!$E:$E,VLOOKUP($B35,Mapping_Noms!$A:$B,2,0))=0,"",_xlfn.MAXIFS(Connexions!$O:$O,Connexions!$K:$K,$Q35,Connexions!$E:$E,VLOOKUP($B35,Mapping_Noms!$A:$B,2,0))-TIME(1,0,0)),"")</f>
        <v/>
      </c>
      <c r="F35" s="235">
        <f t="array" ref="F35:F35">IFERROR(INDEX(Planning2[],MATCH(1,(Planning2[Nom]=B35)*(Planning2[Date]=Q35),0),4),"-")</f>
        <v/>
      </c>
      <c r="G35" s="405">
        <f>IFERROR(IF(OR(IFERROR(INDEX('Planning Pauses Dej'!$C:$C,MATCH($B35&amp;"|"&amp;TEXT($Q35,"YYYYMMDD"),'Planning Pauses Dej'!$F:$F,0)),"")="",IFERROR(INDEX('Planning Pauses Dej'!$D:$D,MATCH($B35&amp;"|"&amp;TEXT($Q35,"YYYYMMDD"),'Planning Pauses Dej'!$F:$F,0)),"")=""),"",_xlfn.MAXIFS(Connexions!$Q:$Q,Connexions!$K:$K,$Q35,Connexions!$E:$E,VLOOKUP($B35,Mapping_Noms!$A:$B,2,0),Connexions!$O:$O,"&lt;="&amp;(IFERROR(INDEX('Planning Pauses Dej'!$D:$D,MATCH($B35&amp;"|"&amp;TEXT($Q35,"YYYYMMDD"),'Planning Pauses Dej'!$F:$F,0)),"")+TIME(1,0,0)),Connexions!$P:$P,"&gt;="&amp;(IFERROR(INDEX('Planning Pauses Dej'!$C:$C,MATCH($B35&amp;"|"&amp;TEXT($Q35,"YYYYMMDD"),'Planning Pauses Dej'!$F:$F,0)),"")+TIME(1,0,0)))),"")</f>
        <v/>
      </c>
      <c r="H35" s="405">
        <f>IFERROR(IF(OR($G35="",IFERROR(INDEX('Planning Pauses Dej'!$C:$C,MATCH($B35&amp;"|"&amp;TEXT($Q35,"YYYYMMDD"),'Planning Pauses Dej'!$F:$F,0)),"")="",IFERROR(INDEX('Planning Pauses Dej'!$D:$D,MATCH($B35&amp;"|"&amp;TEXT($Q35,"YYYYMMDD"),'Planning Pauses Dej'!$F:$F,0)),"")=""),"",IF($G35&gt;(IFERROR(INDEX('Planning Pauses Dej'!$D:$D,MATCH($B35&amp;"|"&amp;TEXT($Q35,"YYYYMMDD"),'Planning Pauses Dej'!$F:$F,0)),"")-IFERROR(INDEX('Planning Pauses Dej'!$C:$C,MATCH($B35&amp;"|"&amp;TEXT($Q35,"YYYYMMDD"),'Planning Pauses Dej'!$F:$F,0)),"")),$G35-(IFERROR(INDEX('Planning Pauses Dej'!$D:$D,MATCH($B35&amp;"|"&amp;TEXT($Q35,"YYYYMMDD"),'Planning Pauses Dej'!$F:$F,0)),"")-IFERROR(INDEX('Planning Pauses Dej'!$C:$C,MATCH($B35&amp;"|"&amp;TEXT($Q35,"YYYYMMDD"),'Planning Pauses Dej'!$F:$F,0)),"")),0)),"")</f>
        <v/>
      </c>
      <c r="I35" s="251">
        <f>IF(IF(OR(C35="",D35="Congé",D35="OFF",D35="Congé spécial"),"",IF(D35&gt;F35,D35-C35,IF(C35-D35&lt;0,0,C35-D35)))&lt;0.00068287037037037,"",IF(OR(D35="Congé",D35="OFF",C35="",D35="Congé spécial"),"",IF(D35&gt;F35,D35-C35,IF(C35-D35&lt;0,0,C35-D35))))</f>
        <v/>
      </c>
      <c r="J35" s="405">
        <f>IFERROR(IF($G35="","",IF($G35&gt;TIME(1,0,0),$G35-TIME(1,0,0),0)),"")</f>
        <v/>
      </c>
      <c r="K35" s="238">
        <f>IF(SUM(H35:J35)&lt;0.00068287037037037,0,SUM(H35:J35))</f>
        <v/>
      </c>
      <c r="L35" s="236">
        <f>IF(OR(F35="Congé",F35="OFF",M35="Abs",F35="Congé sans solde",F35="Férié",F35="Congé spécial",D35="Congé spécial"),0,IF(F35-E35&lt;0,0,IF(F35-E35&lt;=0.00068287037037037,0,F35-E35)))</f>
        <v/>
      </c>
      <c r="M35" s="239">
        <f>IF(AND(O35&lt;&gt;0,C35=""),"Abs",0)</f>
        <v/>
      </c>
      <c r="N35" s="254">
        <f>IFERROR(IF(OR(D35="OFF",D35="Congé",M35="Abs",D35="Congé sans solde",D35="Férié"),"",IF(O35-K35-L35&gt;O35,O35,IF(O35-K35-L35&lt;0,"",O35-K35-L35))),"")</f>
        <v/>
      </c>
      <c r="O35" s="241">
        <f>IF(AG35="2H Pause déjeuner",IF(F35-D35-0.0833333333333333&lt;0,F35-D35-0.0833333333333333+1,F35-D35-0.0833333333333333),IF(OR(AND(F35="OFF",D35="OFF"),AND(F35="Congé",D35="Congé"),AND(F35="Congé sans solde",D35="Congé sans solde"),AND(F35="Congé spécial",D35="Congé spécial"),AND(F35="Férié",D35="Férié"),AND(F35="OFF",D35="Congé"),AND(F35="OFF",D35="Congé sans solde"),AND(F35="OFF",D35="Congé spécial"),AND(F35="OFF",D35="Férié"),AND(F35="Congé",D35="OFF"),AND(F35="Congé",D35="Congé sans solde"),AND(F35="Congé",D35="Congé spécial"),AND(F35="Congé",D35="Férié"),AND(F35="Congé sans solde",D35="OFF"),AND(F35="Congé sans solde",D35="Congé"),AND(F35="Congé sans solde",D35="Congé spécial"),AND(F35="Congé sans solde",D35="Férié"),AND(F35="Congé spécial",D35="OFF"),AND(F35="Congé spécial",D35="Congé"),AND(F35="Congé spécial",D35="Congé sans solde"),AND(F35="Congé spécial",D35="Férié"),AND(F35="Férié",D35="OFF"),AND(F35="Férié",D35="Congé"),AND(F35="Férié",D35="Congé sans solde"),AND(F35="Férié",D35="Congé spécial")),0,IF(OR(F35="OFF",F35="Congé",F35="Congé spécial",F35="Congé sans solde",D35="OFF",D35="Congé",D35="Congé spécial",D35="Congé sans solde"),0.208333333333334,IF(AND(AG35="",F35-D35&lt;0),("24:00:00"-D35)+("00:00:00"+F35)-0.0416666666666667,IF(AND(OR(AG35="Allaitement",AG35="Sans déjeuner"),F35-D35&lt;0),("24:00:00"-D35)+("00:00:00"+F35),IF(AND(AG35="",F35-D35&gt;0.166666666666667),F35-D35-0.0416666666666667,IF(AND(OR(AG35="Allaitement",AG35="Sans déjeuner"),F35-D35&gt;0.166666666666667),F35-D35,F35-D35)))))))</f>
        <v/>
      </c>
      <c r="P35" s="242">
        <f>IFERROR(VLOOKUP($B35,Annuaire_roster!$B:$G,MATCH(P$1,Annuaire_roster!$B$1:$G$1,0),0),"-")</f>
        <v/>
      </c>
      <c r="Q35" s="255" t="n">
        <v>44762</v>
      </c>
      <c r="R35" s="248">
        <f>IF(M35="Abs",O35,0)</f>
        <v/>
      </c>
      <c r="S35" s="248">
        <f>SUM(R35,L35,I35,J35,W35,H35)</f>
        <v/>
      </c>
      <c r="T35" s="209">
        <f>"Sem - "&amp;WEEKNUM(Q35,21)</f>
        <v/>
      </c>
      <c r="U35" s="209">
        <f>PROPER(TEXT(Q35,"mmmm"))</f>
        <v/>
      </c>
      <c r="V35" s="256">
        <f>+TEXT(Q35,"aaa")</f>
        <v/>
      </c>
      <c r="W35" s="254" t="n"/>
      <c r="X35" s="257">
        <f>IFERROR(IF(M35="Abs",0,IF((D35-C35+E35-F35)&lt;0.000694444444444444,0,(D35-C35+E35-F35))),0)</f>
        <v/>
      </c>
      <c r="Y35" s="258">
        <f>IFERROR(VLOOKUP(B35,Annuaire_roster!B:E,4,0),"-")</f>
        <v/>
      </c>
      <c r="Z35" s="258">
        <f>IFERROR(VLOOKUP(B35,Annuaire_roster!B:F,3,0),"-")</f>
        <v/>
      </c>
      <c r="AA35" s="258">
        <f>IFERROR(VLOOKUP(B35,Annuaire_roster!B:I,6,0),"-")</f>
        <v/>
      </c>
      <c r="AB35" s="248">
        <f>IF(AND(D35="Congé",F35="Congé"),0.333333333333333,IF(OR(AND(D35="Congé",F35&lt;&gt;"Congé"),(AND(F35="Congé",D35&lt;&gt;"Congé"))),0.166666666666667,""))</f>
        <v/>
      </c>
      <c r="AC35" s="248">
        <f>IF(AND(D35="Congé sans solde",F35="Congé sans solde"),0.333333333333333,IF(OR(AND(D35="Congé sans solde",F35&lt;&gt;"Congé sans solde"),(AND(F35="Congé sans solde",D35&lt;&gt;"Congé sans solde"))),0.166666666666667,""))</f>
        <v/>
      </c>
      <c r="AD35" s="248">
        <f>IF(AND(D35="Congé spécial",F35="Congé spécial"),0.333333333333333,IF(OR(AND(D35="Congé spécial",F35&lt;&gt;"Congé décès"),(AND(F35="Congé spécial",D35&lt;&gt;"Congé spécial"))),0.166666666666667,""))</f>
        <v/>
      </c>
      <c r="AE35" s="259">
        <f>IF(AND(D35="Férié",F35="Férié"),0.333333333333333,IF(OR(AND(D35="Férié",F35&lt;&gt;"Férié"),(AND(F35="Férié",D35&lt;&gt;"Férié"))),0.166666666666667,""))</f>
        <v/>
      </c>
      <c r="AF35" s="259" t="n"/>
      <c r="AG35" s="248" t="n"/>
    </row>
    <row r="36" hidden="1" ht="12.75" customHeight="1" s="231">
      <c r="A36" s="232">
        <f>VLOOKUP(B36,Annuaire_roster!B:F,5,0)</f>
        <v/>
      </c>
      <c r="B36" s="233" t="inlineStr">
        <is>
          <t>AIT LARBI HIND</t>
        </is>
      </c>
      <c r="C36" s="234">
        <f>IFERROR(IF(COUNTIFS(Connexions!$K:$K,$Q36,Connexions!$E:$E,VLOOKUP($B36,Mapping_Noms!$A:$B,2,0))=0,"",_xlfn.MINIFS(Connexions!$M:$M,Connexions!$K:$K,$Q36,Connexions!$E:$E,VLOOKUP($B36,Mapping_Noms!$A:$B,2,0))-TIME(1,0,0)),"")</f>
        <v/>
      </c>
      <c r="D36" s="234">
        <f t="array" ref="D36:D36">IFERROR(INDEX(Planning2[],MATCH(1,(Planning2[Nom]=B36)*(Planning2[Date]=Q36),0),3),"-")</f>
        <v/>
      </c>
      <c r="E36" s="235">
        <f>IFERROR(IF(COUNTIFS(Connexions!$K:$K,$Q36,Connexions!$E:$E,VLOOKUP($B36,Mapping_Noms!$A:$B,2,0))=0,"",_xlfn.MAXIFS(Connexions!$O:$O,Connexions!$K:$K,$Q36,Connexions!$E:$E,VLOOKUP($B36,Mapping_Noms!$A:$B,2,0))-TIME(1,0,0)),"")</f>
        <v/>
      </c>
      <c r="F36" s="235">
        <f t="array" ref="F36:F36">IFERROR(INDEX(Planning2[],MATCH(1,(Planning2[Nom]=B36)*(Planning2[Date]=Q36),0),4),"-")</f>
        <v/>
      </c>
      <c r="G36" s="405">
        <f>IFERROR(IF(OR(IFERROR(INDEX('Planning Pauses Dej'!$C:$C,MATCH($B36&amp;"|"&amp;TEXT($Q36,"YYYYMMDD"),'Planning Pauses Dej'!$F:$F,0)),"")="",IFERROR(INDEX('Planning Pauses Dej'!$D:$D,MATCH($B36&amp;"|"&amp;TEXT($Q36,"YYYYMMDD"),'Planning Pauses Dej'!$F:$F,0)),"")=""),"",_xlfn.MAXIFS(Connexions!$Q:$Q,Connexions!$K:$K,$Q36,Connexions!$E:$E,VLOOKUP($B36,Mapping_Noms!$A:$B,2,0),Connexions!$O:$O,"&lt;="&amp;(IFERROR(INDEX('Planning Pauses Dej'!$D:$D,MATCH($B36&amp;"|"&amp;TEXT($Q36,"YYYYMMDD"),'Planning Pauses Dej'!$F:$F,0)),"")+TIME(1,0,0)),Connexions!$P:$P,"&gt;="&amp;(IFERROR(INDEX('Planning Pauses Dej'!$C:$C,MATCH($B36&amp;"|"&amp;TEXT($Q36,"YYYYMMDD"),'Planning Pauses Dej'!$F:$F,0)),"")+TIME(1,0,0)))),"")</f>
        <v/>
      </c>
      <c r="H36" s="405">
        <f>IFERROR(IF(OR($G36="",IFERROR(INDEX('Planning Pauses Dej'!$C:$C,MATCH($B36&amp;"|"&amp;TEXT($Q36,"YYYYMMDD"),'Planning Pauses Dej'!$F:$F,0)),"")="",IFERROR(INDEX('Planning Pauses Dej'!$D:$D,MATCH($B36&amp;"|"&amp;TEXT($Q36,"YYYYMMDD"),'Planning Pauses Dej'!$F:$F,0)),"")=""),"",IF($G36&gt;(IFERROR(INDEX('Planning Pauses Dej'!$D:$D,MATCH($B36&amp;"|"&amp;TEXT($Q36,"YYYYMMDD"),'Planning Pauses Dej'!$F:$F,0)),"")-IFERROR(INDEX('Planning Pauses Dej'!$C:$C,MATCH($B36&amp;"|"&amp;TEXT($Q36,"YYYYMMDD"),'Planning Pauses Dej'!$F:$F,0)),"")),$G36-(IFERROR(INDEX('Planning Pauses Dej'!$D:$D,MATCH($B36&amp;"|"&amp;TEXT($Q36,"YYYYMMDD"),'Planning Pauses Dej'!$F:$F,0)),"")-IFERROR(INDEX('Planning Pauses Dej'!$C:$C,MATCH($B36&amp;"|"&amp;TEXT($Q36,"YYYYMMDD"),'Planning Pauses Dej'!$F:$F,0)),"")),0)),"")</f>
        <v/>
      </c>
      <c r="I36" s="251">
        <f>IF(IF(OR(C36="",D36="Congé",D36="OFF",D36="Congé spécial"),"",IF(D36&gt;F36,D36-C36,IF(C36-D36&lt;0,0,C36-D36)))&lt;0.00068287037037037,"",IF(OR(D36="Congé",D36="OFF",C36="",D36="Congé spécial"),"",IF(D36&gt;F36,D36-C36,IF(C36-D36&lt;0,0,C36-D36))))</f>
        <v/>
      </c>
      <c r="J36" s="405">
        <f>IFERROR(IF($G36="","",IF($G36&gt;TIME(1,0,0),$G36-TIME(1,0,0),0)),"")</f>
        <v/>
      </c>
      <c r="K36" s="238">
        <f>IF(SUM(H36:J36)&lt;0.00068287037037037,0,SUM(H36:J36))</f>
        <v/>
      </c>
      <c r="L36" s="236">
        <f>IF(OR(F36="Congé",F36="OFF",M36="Abs",F36="Congé sans solde",F36="Férié",F36="Congé spécial",D36="Congé spécial"),0,IF(F36-E36&lt;0,0,IF(F36-E36&lt;=0.00068287037037037,0,F36-E36)))</f>
        <v/>
      </c>
      <c r="M36" s="239">
        <f>IF(AND(O36&lt;&gt;0,C36=""),"Abs",0)</f>
        <v/>
      </c>
      <c r="N36" s="240">
        <f>IFERROR(IF(OR(D36="OFF",D36="Congé",M36="Abs",D36="Congé sans solde",D36="Férié"),"",IF(O36-K36-L36&gt;O36,O36,IF(O36-K36-L36&lt;0,"",O36-K36-L36))),"")</f>
        <v/>
      </c>
      <c r="O36" s="241">
        <f>IF(AG36="2H Pause déjeuner",IF(F36-D36-0.0833333333333333&lt;0,F36-D36-0.0833333333333333+1,F36-D36-0.0833333333333333),IF(OR(AND(F36="OFF",D36="OFF"),AND(F36="Congé",D36="Congé"),AND(F36="Congé sans solde",D36="Congé sans solde"),AND(F36="Congé spécial",D36="Congé spécial"),AND(F36="Férié",D36="Férié"),AND(F36="OFF",D36="Congé"),AND(F36="OFF",D36="Congé sans solde"),AND(F36="OFF",D36="Congé spécial"),AND(F36="OFF",D36="Férié"),AND(F36="Congé",D36="OFF"),AND(F36="Congé",D36="Congé sans solde"),AND(F36="Congé",D36="Congé spécial"),AND(F36="Congé",D36="Férié"),AND(F36="Congé sans solde",D36="OFF"),AND(F36="Congé sans solde",D36="Congé"),AND(F36="Congé sans solde",D36="Congé spécial"),AND(F36="Congé sans solde",D36="Férié"),AND(F36="Congé spécial",D36="OFF"),AND(F36="Congé spécial",D36="Congé"),AND(F36="Congé spécial",D36="Congé sans solde"),AND(F36="Congé spécial",D36="Férié"),AND(F36="Férié",D36="OFF"),AND(F36="Férié",D36="Congé"),AND(F36="Férié",D36="Congé sans solde"),AND(F36="Férié",D36="Congé spécial")),0,IF(OR(F36="OFF",F36="Congé",F36="Congé spécial",F36="Congé sans solde",D36="OFF",D36="Congé",D36="Congé spécial",D36="Congé sans solde"),0.208333333333334,IF(AND(AG36="",F36-D36&lt;0),("24:00:00"-D36)+("00:00:00"+F36)-0.0416666666666667,IF(AND(OR(AG36="Allaitement",AG36="Sans déjeuner"),F36-D36&lt;0),("24:00:00"-D36)+("00:00:00"+F36),IF(AND(AG36="",F36-D36&gt;0.166666666666667),F36-D36-0.0416666666666667,IF(AND(OR(AG36="Allaitement",AG36="Sans déjeuner"),F36-D36&gt;0.166666666666667),F36-D36,F36-D36)))))))</f>
        <v/>
      </c>
      <c r="P36" s="242">
        <f>IFERROR(VLOOKUP($B36,Annuaire_roster!$B:$G,MATCH(P$1,Annuaire_roster!$B$1:$G$1,0),0),"-")</f>
        <v/>
      </c>
      <c r="Q36" s="243" t="n">
        <v>44762</v>
      </c>
      <c r="R36" s="244">
        <f>IF(M36="Abs",O36,0)</f>
        <v/>
      </c>
      <c r="S36" s="244">
        <f>SUM(R36,L36,I36,J36,W36,H36)</f>
        <v/>
      </c>
      <c r="T36" s="209">
        <f>"Sem - "&amp;WEEKNUM(Q36,21)</f>
        <v/>
      </c>
      <c r="U36" s="209">
        <f>PROPER(TEXT(Q36,"mmmm"))</f>
        <v/>
      </c>
      <c r="V36" s="245">
        <f>+TEXT(Q36,"aaa")</f>
        <v/>
      </c>
      <c r="W36" s="240" t="n"/>
      <c r="X36" s="246">
        <f>IFERROR(IF(M36="Abs",0,IF((D36-C36+E36-F36)&lt;0.000694444444444444,0,(D36-C36+E36-F36))),0)</f>
        <v/>
      </c>
      <c r="Y36" s="247">
        <f>IFERROR(VLOOKUP(B36,Annuaire_roster!B:E,4,0),"-")</f>
        <v/>
      </c>
      <c r="Z36" s="247">
        <f>IFERROR(VLOOKUP(B36,Annuaire_roster!B:F,3,0),"-")</f>
        <v/>
      </c>
      <c r="AA36" s="247">
        <f>IFERROR(VLOOKUP(B36,Annuaire_roster!B:I,6,0),"-")</f>
        <v/>
      </c>
      <c r="AB36" s="248">
        <f>IF(AND(D36="Congé",F36="Congé"),0.333333333333333,IF(OR(AND(D36="Congé",F36&lt;&gt;"Congé"),(AND(F36="Congé",D36&lt;&gt;"Congé"))),0.166666666666667,""))</f>
        <v/>
      </c>
      <c r="AC36" s="248">
        <f>IF(AND(D36="Congé sans solde",F36="Congé sans solde"),0.333333333333333,IF(OR(AND(D36="Congé sans solde",F36&lt;&gt;"Congé sans solde"),(AND(F36="Congé sans solde",D36&lt;&gt;"Congé sans solde"))),0.166666666666667,""))</f>
        <v/>
      </c>
      <c r="AD36" s="248">
        <f>IF(AND(D36="Congé spécial",F36="Congé spécial"),0.333333333333333,IF(OR(AND(D36="Congé spécial",F36&lt;&gt;"Congé décès"),(AND(F36="Congé spécial",D36&lt;&gt;"Congé spécial"))),0.166666666666667,""))</f>
        <v/>
      </c>
      <c r="AE36" s="249">
        <f>IF(AND(D36="Férié",F36="Férié"),0.333333333333333,IF(OR(AND(D36="Férié",F36&lt;&gt;"Férié"),(AND(F36="Férié",D36&lt;&gt;"Férié"))),0.166666666666667,""))</f>
        <v/>
      </c>
      <c r="AF36" s="249" t="n"/>
      <c r="AG36" s="244" t="n"/>
    </row>
    <row r="37" hidden="1" ht="12.75" customHeight="1" s="231">
      <c r="A37" s="253">
        <f>VLOOKUP(B37,Annuaire_roster!B:F,5,0)</f>
        <v/>
      </c>
      <c r="B37" s="233" t="inlineStr">
        <is>
          <t>ZAKI OMAR</t>
        </is>
      </c>
      <c r="C37" s="234">
        <f>IFERROR(IF(COUNTIFS(Connexions!$K:$K,$Q37,Connexions!$E:$E,VLOOKUP($B37,Mapping_Noms!$A:$B,2,0))=0,"",_xlfn.MINIFS(Connexions!$M:$M,Connexions!$K:$K,$Q37,Connexions!$E:$E,VLOOKUP($B37,Mapping_Noms!$A:$B,2,0))-TIME(1,0,0)),"")</f>
        <v/>
      </c>
      <c r="D37" s="234">
        <f t="array" ref="D37:D37">IFERROR(INDEX(Planning2[],MATCH(1,(Planning2[Nom]=B37)*(Planning2[Date]=Q37),0),3),"-")</f>
        <v/>
      </c>
      <c r="E37" s="235">
        <f>IFERROR(IF(COUNTIFS(Connexions!$K:$K,$Q37,Connexions!$E:$E,VLOOKUP($B37,Mapping_Noms!$A:$B,2,0))=0,"",_xlfn.MAXIFS(Connexions!$O:$O,Connexions!$K:$K,$Q37,Connexions!$E:$E,VLOOKUP($B37,Mapping_Noms!$A:$B,2,0))-TIME(1,0,0)),"")</f>
        <v/>
      </c>
      <c r="F37" s="235">
        <f t="array" ref="F37:F37">IFERROR(INDEX(Planning2[],MATCH(1,(Planning2[Nom]=B37)*(Planning2[Date]=Q37),0),4),"-")</f>
        <v/>
      </c>
      <c r="G37" s="405">
        <f>IFERROR(IF(OR(IFERROR(INDEX('Planning Pauses Dej'!$C:$C,MATCH($B37&amp;"|"&amp;TEXT($Q37,"YYYYMMDD"),'Planning Pauses Dej'!$F:$F,0)),"")="",IFERROR(INDEX('Planning Pauses Dej'!$D:$D,MATCH($B37&amp;"|"&amp;TEXT($Q37,"YYYYMMDD"),'Planning Pauses Dej'!$F:$F,0)),"")=""),"",_xlfn.MAXIFS(Connexions!$Q:$Q,Connexions!$K:$K,$Q37,Connexions!$E:$E,VLOOKUP($B37,Mapping_Noms!$A:$B,2,0),Connexions!$O:$O,"&lt;="&amp;(IFERROR(INDEX('Planning Pauses Dej'!$D:$D,MATCH($B37&amp;"|"&amp;TEXT($Q37,"YYYYMMDD"),'Planning Pauses Dej'!$F:$F,0)),"")+TIME(1,0,0)),Connexions!$P:$P,"&gt;="&amp;(IFERROR(INDEX('Planning Pauses Dej'!$C:$C,MATCH($B37&amp;"|"&amp;TEXT($Q37,"YYYYMMDD"),'Planning Pauses Dej'!$F:$F,0)),"")+TIME(1,0,0)))),"")</f>
        <v/>
      </c>
      <c r="H37" s="405">
        <f>IFERROR(IF(OR($G37="",IFERROR(INDEX('Planning Pauses Dej'!$C:$C,MATCH($B37&amp;"|"&amp;TEXT($Q37,"YYYYMMDD"),'Planning Pauses Dej'!$F:$F,0)),"")="",IFERROR(INDEX('Planning Pauses Dej'!$D:$D,MATCH($B37&amp;"|"&amp;TEXT($Q37,"YYYYMMDD"),'Planning Pauses Dej'!$F:$F,0)),"")=""),"",IF($G37&gt;(IFERROR(INDEX('Planning Pauses Dej'!$D:$D,MATCH($B37&amp;"|"&amp;TEXT($Q37,"YYYYMMDD"),'Planning Pauses Dej'!$F:$F,0)),"")-IFERROR(INDEX('Planning Pauses Dej'!$C:$C,MATCH($B37&amp;"|"&amp;TEXT($Q37,"YYYYMMDD"),'Planning Pauses Dej'!$F:$F,0)),"")),$G37-(IFERROR(INDEX('Planning Pauses Dej'!$D:$D,MATCH($B37&amp;"|"&amp;TEXT($Q37,"YYYYMMDD"),'Planning Pauses Dej'!$F:$F,0)),"")-IFERROR(INDEX('Planning Pauses Dej'!$C:$C,MATCH($B37&amp;"|"&amp;TEXT($Q37,"YYYYMMDD"),'Planning Pauses Dej'!$F:$F,0)),"")),0)),"")</f>
        <v/>
      </c>
      <c r="I37" s="251">
        <f>IF(IF(OR(C37="",D37="Congé",D37="OFF",D37="Congé spécial"),"",IF(D37&gt;F37,D37-C37,IF(C37-D37&lt;0,0,C37-D37)))&lt;0.00068287037037037,"",IF(OR(D37="Congé",D37="OFF",C37="",D37="Congé spécial"),"",IF(D37&gt;F37,D37-C37,IF(C37-D37&lt;0,0,C37-D37))))</f>
        <v/>
      </c>
      <c r="J37" s="405">
        <f>IFERROR(IF($G37="","",IF($G37&gt;TIME(1,0,0),$G37-TIME(1,0,0),0)),"")</f>
        <v/>
      </c>
      <c r="K37" s="238">
        <f>IF(SUM(H37:J37)&lt;0.00068287037037037,0,SUM(H37:J37))</f>
        <v/>
      </c>
      <c r="L37" s="236">
        <f>IF(OR(F37="Congé",F37="OFF",M37="Abs",F37="Congé sans solde",F37="Férié",F37="Congé spécial",D37="Congé spécial"),0,IF(F37-E37&lt;0,0,IF(F37-E37&lt;=0.00068287037037037,0,F37-E37)))</f>
        <v/>
      </c>
      <c r="M37" s="239">
        <f>IF(AND(O37&lt;&gt;0,C37=""),"Abs",0)</f>
        <v/>
      </c>
      <c r="N37" s="254">
        <f>IFERROR(IF(OR(D37="OFF",D37="Congé",M37="Abs",D37="Congé sans solde",D37="Férié"),"",IF(O37-K37-L37&gt;O37,O37,IF(O37-K37-L37&lt;0,"",O37-K37-L37))),"")</f>
        <v/>
      </c>
      <c r="O37" s="241">
        <f>IF(AG37="2H Pause déjeuner",IF(F37-D37-0.0833333333333333&lt;0,F37-D37-0.0833333333333333+1,F37-D37-0.0833333333333333),IF(OR(AND(F37="OFF",D37="OFF"),AND(F37="Congé",D37="Congé"),AND(F37="Congé sans solde",D37="Congé sans solde"),AND(F37="Congé spécial",D37="Congé spécial"),AND(F37="Férié",D37="Férié"),AND(F37="OFF",D37="Congé"),AND(F37="OFF",D37="Congé sans solde"),AND(F37="OFF",D37="Congé spécial"),AND(F37="OFF",D37="Férié"),AND(F37="Congé",D37="OFF"),AND(F37="Congé",D37="Congé sans solde"),AND(F37="Congé",D37="Congé spécial"),AND(F37="Congé",D37="Férié"),AND(F37="Congé sans solde",D37="OFF"),AND(F37="Congé sans solde",D37="Congé"),AND(F37="Congé sans solde",D37="Congé spécial"),AND(F37="Congé sans solde",D37="Férié"),AND(F37="Congé spécial",D37="OFF"),AND(F37="Congé spécial",D37="Congé"),AND(F37="Congé spécial",D37="Congé sans solde"),AND(F37="Congé spécial",D37="Férié"),AND(F37="Férié",D37="OFF"),AND(F37="Férié",D37="Congé"),AND(F37="Férié",D37="Congé sans solde"),AND(F37="Férié",D37="Congé spécial")),0,IF(OR(F37="OFF",F37="Congé",F37="Congé spécial",F37="Congé sans solde",D37="OFF",D37="Congé",D37="Congé spécial",D37="Congé sans solde"),0.208333333333334,IF(AND(AG37="",F37-D37&lt;0),("24:00:00"-D37)+("00:00:00"+F37)-0.0416666666666667,IF(AND(OR(AG37="Allaitement",AG37="Sans déjeuner"),F37-D37&lt;0),("24:00:00"-D37)+("00:00:00"+F37),IF(AND(AG37="",F37-D37&gt;0.166666666666667),F37-D37-0.0416666666666667,IF(AND(OR(AG37="Allaitement",AG37="Sans déjeuner"),F37-D37&gt;0.166666666666667),F37-D37,F37-D37)))))))</f>
        <v/>
      </c>
      <c r="P37" s="242">
        <f>IFERROR(VLOOKUP($B37,Annuaire_roster!$B:$G,MATCH(P$1,Annuaire_roster!$B$1:$G$1,0),0),"-")</f>
        <v/>
      </c>
      <c r="Q37" s="255" t="n">
        <v>44762</v>
      </c>
      <c r="R37" s="248">
        <f>IF(M37="Abs",O37,0)</f>
        <v/>
      </c>
      <c r="S37" s="248">
        <f>SUM(R37,L37,I37,J37,W37,H37)</f>
        <v/>
      </c>
      <c r="T37" s="209">
        <f>"Sem - "&amp;WEEKNUM(Q37,21)</f>
        <v/>
      </c>
      <c r="U37" s="209">
        <f>PROPER(TEXT(Q37,"mmmm"))</f>
        <v/>
      </c>
      <c r="V37" s="256">
        <f>+TEXT(Q37,"aaa")</f>
        <v/>
      </c>
      <c r="W37" s="254" t="n"/>
      <c r="X37" s="257">
        <f>IFERROR(IF(M37="Abs",0,IF((D37-C37+E37-F37)&lt;0.000694444444444444,0,(D37-C37+E37-F37))),0)</f>
        <v/>
      </c>
      <c r="Y37" s="258">
        <f>IFERROR(VLOOKUP(B37,Annuaire_roster!B:E,4,0),"-")</f>
        <v/>
      </c>
      <c r="Z37" s="258">
        <f>IFERROR(VLOOKUP(B37,Annuaire_roster!B:F,3,0),"-")</f>
        <v/>
      </c>
      <c r="AA37" s="258">
        <f>IFERROR(VLOOKUP(B37,Annuaire_roster!B:I,6,0),"-")</f>
        <v/>
      </c>
      <c r="AB37" s="248">
        <f>IF(AND(D37="Congé",F37="Congé"),0.333333333333333,IF(OR(AND(D37="Congé",F37&lt;&gt;"Congé"),(AND(F37="Congé",D37&lt;&gt;"Congé"))),0.166666666666667,""))</f>
        <v/>
      </c>
      <c r="AC37" s="248">
        <f>IF(AND(D37="Congé sans solde",F37="Congé sans solde"),0.333333333333333,IF(OR(AND(D37="Congé sans solde",F37&lt;&gt;"Congé sans solde"),(AND(F37="Congé sans solde",D37&lt;&gt;"Congé sans solde"))),0.166666666666667,""))</f>
        <v/>
      </c>
      <c r="AD37" s="248">
        <f>IF(AND(D37="Congé spécial",F37="Congé spécial"),0.333333333333333,IF(OR(AND(D37="Congé spécial",F37&lt;&gt;"Congé décès"),(AND(F37="Congé spécial",D37&lt;&gt;"Congé spécial"))),0.166666666666667,""))</f>
        <v/>
      </c>
      <c r="AE37" s="259">
        <f>IF(AND(D37="Férié",F37="Férié"),0.333333333333333,IF(OR(AND(D37="Férié",F37&lt;&gt;"Férié"),(AND(F37="Férié",D37&lt;&gt;"Férié"))),0.166666666666667,""))</f>
        <v/>
      </c>
      <c r="AF37" s="259" t="n"/>
      <c r="AG37" s="248" t="n"/>
    </row>
    <row r="38" hidden="1" ht="12.75" customHeight="1" s="231">
      <c r="A38" s="253">
        <f>VLOOKUP(B38,Annuaire_roster!B:F,5,0)</f>
        <v/>
      </c>
      <c r="B38" s="233" t="inlineStr">
        <is>
          <t>AZHARI ABDELHAMID</t>
        </is>
      </c>
      <c r="C38" s="234">
        <f>IFERROR(IF(COUNTIFS(Connexions!$K:$K,$Q38,Connexions!$E:$E,VLOOKUP($B38,Mapping_Noms!$A:$B,2,0))=0,"",_xlfn.MINIFS(Connexions!$M:$M,Connexions!$K:$K,$Q38,Connexions!$E:$E,VLOOKUP($B38,Mapping_Noms!$A:$B,2,0))-TIME(1,0,0)),"")</f>
        <v/>
      </c>
      <c r="D38" s="234">
        <f t="array" ref="D38:D38">IFERROR(INDEX(Planning2[],MATCH(1,(Planning2[Nom]=B38)*(Planning2[Date]=Q38),0),3),"-")</f>
        <v/>
      </c>
      <c r="E38" s="235">
        <f>IFERROR(IF(COUNTIFS(Connexions!$K:$K,$Q38,Connexions!$E:$E,VLOOKUP($B38,Mapping_Noms!$A:$B,2,0))=0,"",_xlfn.MAXIFS(Connexions!$O:$O,Connexions!$K:$K,$Q38,Connexions!$E:$E,VLOOKUP($B38,Mapping_Noms!$A:$B,2,0))-TIME(1,0,0)),"")</f>
        <v/>
      </c>
      <c r="F38" s="235">
        <f t="array" ref="F38:F38">IFERROR(INDEX(Planning2[],MATCH(1,(Planning2[Nom]=B38)*(Planning2[Date]=Q38),0),4),"-")</f>
        <v/>
      </c>
      <c r="G38" s="405">
        <f>IFERROR(IF(OR(IFERROR(INDEX('Planning Pauses Dej'!$C:$C,MATCH($B38&amp;"|"&amp;TEXT($Q38,"YYYYMMDD"),'Planning Pauses Dej'!$F:$F,0)),"")="",IFERROR(INDEX('Planning Pauses Dej'!$D:$D,MATCH($B38&amp;"|"&amp;TEXT($Q38,"YYYYMMDD"),'Planning Pauses Dej'!$F:$F,0)),"")=""),"",_xlfn.MAXIFS(Connexions!$Q:$Q,Connexions!$K:$K,$Q38,Connexions!$E:$E,VLOOKUP($B38,Mapping_Noms!$A:$B,2,0),Connexions!$O:$O,"&lt;="&amp;(IFERROR(INDEX('Planning Pauses Dej'!$D:$D,MATCH($B38&amp;"|"&amp;TEXT($Q38,"YYYYMMDD"),'Planning Pauses Dej'!$F:$F,0)),"")+TIME(1,0,0)),Connexions!$P:$P,"&gt;="&amp;(IFERROR(INDEX('Planning Pauses Dej'!$C:$C,MATCH($B38&amp;"|"&amp;TEXT($Q38,"YYYYMMDD"),'Planning Pauses Dej'!$F:$F,0)),"")+TIME(1,0,0)))),"")</f>
        <v/>
      </c>
      <c r="H38" s="405">
        <f>IFERROR(IF(OR($G38="",IFERROR(INDEX('Planning Pauses Dej'!$C:$C,MATCH($B38&amp;"|"&amp;TEXT($Q38,"YYYYMMDD"),'Planning Pauses Dej'!$F:$F,0)),"")="",IFERROR(INDEX('Planning Pauses Dej'!$D:$D,MATCH($B38&amp;"|"&amp;TEXT($Q38,"YYYYMMDD"),'Planning Pauses Dej'!$F:$F,0)),"")=""),"",IF($G38&gt;(IFERROR(INDEX('Planning Pauses Dej'!$D:$D,MATCH($B38&amp;"|"&amp;TEXT($Q38,"YYYYMMDD"),'Planning Pauses Dej'!$F:$F,0)),"")-IFERROR(INDEX('Planning Pauses Dej'!$C:$C,MATCH($B38&amp;"|"&amp;TEXT($Q38,"YYYYMMDD"),'Planning Pauses Dej'!$F:$F,0)),"")),$G38-(IFERROR(INDEX('Planning Pauses Dej'!$D:$D,MATCH($B38&amp;"|"&amp;TEXT($Q38,"YYYYMMDD"),'Planning Pauses Dej'!$F:$F,0)),"")-IFERROR(INDEX('Planning Pauses Dej'!$C:$C,MATCH($B38&amp;"|"&amp;TEXT($Q38,"YYYYMMDD"),'Planning Pauses Dej'!$F:$F,0)),"")),0)),"")</f>
        <v/>
      </c>
      <c r="I38" s="251">
        <f>IF(IF(OR(C38="",D38="Congé",D38="OFF",D38="Congé spécial"),"",IF(D38&gt;F38,D38-C38,IF(C38-D38&lt;0,0,C38-D38)))&lt;0.00068287037037037,"",IF(OR(D38="Congé",D38="OFF",C38="",D38="Congé spécial"),"",IF(D38&gt;F38,D38-C38,IF(C38-D38&lt;0,0,C38-D38))))</f>
        <v/>
      </c>
      <c r="J38" s="405">
        <f>IFERROR(IF($G38="","",IF($G38&gt;TIME(1,0,0),$G38-TIME(1,0,0),0)),"")</f>
        <v/>
      </c>
      <c r="K38" s="238">
        <f>IF(SUM(H38:J38)&lt;0.00068287037037037,0,SUM(H38:J38))</f>
        <v/>
      </c>
      <c r="L38" s="236">
        <f>IF(OR(F38="Congé",F38="OFF",M38="Abs",F38="Congé sans solde",F38="Férié",F38="Congé spécial",D38="Congé spécial"),0,IF(F38-E38&lt;0,0,IF(F38-E38&lt;=0.00068287037037037,0,F38-E38)))</f>
        <v/>
      </c>
      <c r="M38" s="239">
        <f>IF(AND(O38&lt;&gt;0,C38=""),"Abs",0)</f>
        <v/>
      </c>
      <c r="N38" s="254">
        <f>IFERROR(IF(OR(D38="OFF",D38="Congé",M38="Abs",D38="Congé sans solde",D38="Férié"),"",IF(O38-K38-L38&gt;O38,O38,IF(O38-K38-L38&lt;0,"",O38-K38-L38))),"")</f>
        <v/>
      </c>
      <c r="O38" s="241">
        <f>IF(AG38="2H Pause déjeuner",IF(F38-D38-0.0833333333333333&lt;0,F38-D38-0.0833333333333333+1,F38-D38-0.0833333333333333),IF(OR(AND(F38="OFF",D38="OFF"),AND(F38="Congé",D38="Congé"),AND(F38="Congé sans solde",D38="Congé sans solde"),AND(F38="Congé spécial",D38="Congé spécial"),AND(F38="Férié",D38="Férié"),AND(F38="OFF",D38="Congé"),AND(F38="OFF",D38="Congé sans solde"),AND(F38="OFF",D38="Congé spécial"),AND(F38="OFF",D38="Férié"),AND(F38="Congé",D38="OFF"),AND(F38="Congé",D38="Congé sans solde"),AND(F38="Congé",D38="Congé spécial"),AND(F38="Congé",D38="Férié"),AND(F38="Congé sans solde",D38="OFF"),AND(F38="Congé sans solde",D38="Congé"),AND(F38="Congé sans solde",D38="Congé spécial"),AND(F38="Congé sans solde",D38="Férié"),AND(F38="Congé spécial",D38="OFF"),AND(F38="Congé spécial",D38="Congé"),AND(F38="Congé spécial",D38="Congé sans solde"),AND(F38="Congé spécial",D38="Férié"),AND(F38="Férié",D38="OFF"),AND(F38="Férié",D38="Congé"),AND(F38="Férié",D38="Congé sans solde"),AND(F38="Férié",D38="Congé spécial")),0,IF(OR(F38="OFF",F38="Congé",F38="Congé spécial",F38="Congé sans solde",D38="OFF",D38="Congé",D38="Congé spécial",D38="Congé sans solde"),0.208333333333334,IF(AND(AG38="",F38-D38&lt;0),("24:00:00"-D38)+("00:00:00"+F38)-0.0416666666666667,IF(AND(OR(AG38="Allaitement",AG38="Sans déjeuner"),F38-D38&lt;0),("24:00:00"-D38)+("00:00:00"+F38),IF(AND(AG38="",F38-D38&gt;0.166666666666667),F38-D38-0.0416666666666667,IF(AND(OR(AG38="Allaitement",AG38="Sans déjeuner"),F38-D38&gt;0.166666666666667),F38-D38,F38-D38)))))))</f>
        <v/>
      </c>
      <c r="P38" s="242">
        <f>IFERROR(VLOOKUP($B38,Annuaire_roster!$B:$G,MATCH(P$1,Annuaire_roster!$B$1:$G$1,0),0),"-")</f>
        <v/>
      </c>
      <c r="Q38" s="255" t="n">
        <v>44762</v>
      </c>
      <c r="R38" s="248">
        <f>IF(M38="Abs",O38,0)</f>
        <v/>
      </c>
      <c r="S38" s="248">
        <f>SUM(R38,L38,I38,J38,W38,H38)</f>
        <v/>
      </c>
      <c r="T38" s="209">
        <f>"Sem - "&amp;WEEKNUM(Q38,21)</f>
        <v/>
      </c>
      <c r="U38" s="209">
        <f>PROPER(TEXT(Q38,"mmmm"))</f>
        <v/>
      </c>
      <c r="V38" s="256">
        <f>+TEXT(Q38,"aaa")</f>
        <v/>
      </c>
      <c r="W38" s="254" t="n"/>
      <c r="X38" s="257">
        <f>IFERROR(IF(M38="Abs",0,IF((D38-C38+E38-F38)&lt;0.000694444444444444,0,(D38-C38+E38-F38))),0)</f>
        <v/>
      </c>
      <c r="Y38" s="258">
        <f>IFERROR(VLOOKUP(B38,Annuaire_roster!B:E,4,0),"-")</f>
        <v/>
      </c>
      <c r="Z38" s="258">
        <f>IFERROR(VLOOKUP(B38,Annuaire_roster!B:F,3,0),"-")</f>
        <v/>
      </c>
      <c r="AA38" s="258">
        <f>IFERROR(VLOOKUP(B38,Annuaire_roster!B:I,6,0),"-")</f>
        <v/>
      </c>
      <c r="AB38" s="248">
        <f>IF(AND(D38="Congé",F38="Congé"),0.333333333333333,IF(OR(AND(D38="Congé",F38&lt;&gt;"Congé"),(AND(F38="Congé",D38&lt;&gt;"Congé"))),0.166666666666667,""))</f>
        <v/>
      </c>
      <c r="AC38" s="248">
        <f>IF(AND(D38="Congé sans solde",F38="Congé sans solde"),0.333333333333333,IF(OR(AND(D38="Congé sans solde",F38&lt;&gt;"Congé sans solde"),(AND(F38="Congé sans solde",D38&lt;&gt;"Congé sans solde"))),0.166666666666667,""))</f>
        <v/>
      </c>
      <c r="AD38" s="248">
        <f>IF(AND(D38="Congé spécial",F38="Congé spécial"),0.333333333333333,IF(OR(AND(D38="Congé spécial",F38&lt;&gt;"Congé décès"),(AND(F38="Congé spécial",D38&lt;&gt;"Congé spécial"))),0.166666666666667,""))</f>
        <v/>
      </c>
      <c r="AE38" s="259">
        <f>IF(AND(D38="Férié",F38="Férié"),0.333333333333333,IF(OR(AND(D38="Férié",F38&lt;&gt;"Férié"),(AND(F38="Férié",D38&lt;&gt;"Férié"))),0.166666666666667,""))</f>
        <v/>
      </c>
      <c r="AF38" s="259" t="n"/>
      <c r="AG38" s="248" t="n"/>
    </row>
    <row r="39" hidden="1" ht="12.75" customHeight="1" s="231">
      <c r="A39" s="232">
        <f>VLOOKUP(B39,Annuaire_roster!B:F,5,0)</f>
        <v/>
      </c>
      <c r="B39" s="233" t="inlineStr">
        <is>
          <t>NIANG NDEYE ABSA</t>
        </is>
      </c>
      <c r="C39" s="234">
        <f>IFERROR(IF(COUNTIFS(Connexions!$K:$K,$Q39,Connexions!$E:$E,VLOOKUP($B39,Mapping_Noms!$A:$B,2,0))=0,"",_xlfn.MINIFS(Connexions!$M:$M,Connexions!$K:$K,$Q39,Connexions!$E:$E,VLOOKUP($B39,Mapping_Noms!$A:$B,2,0))-TIME(1,0,0)),"")</f>
        <v/>
      </c>
      <c r="D39" s="234">
        <f t="array" ref="D39:D39">IFERROR(INDEX(Planning2[],MATCH(1,(Planning2[Nom]=B39)*(Planning2[Date]=Q39),0),3),"-")</f>
        <v/>
      </c>
      <c r="E39" s="235">
        <f>IFERROR(IF(COUNTIFS(Connexions!$K:$K,$Q39,Connexions!$E:$E,VLOOKUP($B39,Mapping_Noms!$A:$B,2,0))=0,"",_xlfn.MAXIFS(Connexions!$O:$O,Connexions!$K:$K,$Q39,Connexions!$E:$E,VLOOKUP($B39,Mapping_Noms!$A:$B,2,0))-TIME(1,0,0)),"")</f>
        <v/>
      </c>
      <c r="F39" s="235">
        <f t="array" ref="F39:F39">IFERROR(INDEX(Planning2[],MATCH(1,(Planning2[Nom]=B39)*(Planning2[Date]=Q39),0),4),"-")</f>
        <v/>
      </c>
      <c r="G39" s="405">
        <f>IFERROR(IF(OR(IFERROR(INDEX('Planning Pauses Dej'!$C:$C,MATCH($B39&amp;"|"&amp;TEXT($Q39,"YYYYMMDD"),'Planning Pauses Dej'!$F:$F,0)),"")="",IFERROR(INDEX('Planning Pauses Dej'!$D:$D,MATCH($B39&amp;"|"&amp;TEXT($Q39,"YYYYMMDD"),'Planning Pauses Dej'!$F:$F,0)),"")=""),"",_xlfn.MAXIFS(Connexions!$Q:$Q,Connexions!$K:$K,$Q39,Connexions!$E:$E,VLOOKUP($B39,Mapping_Noms!$A:$B,2,0),Connexions!$O:$O,"&lt;="&amp;(IFERROR(INDEX('Planning Pauses Dej'!$D:$D,MATCH($B39&amp;"|"&amp;TEXT($Q39,"YYYYMMDD"),'Planning Pauses Dej'!$F:$F,0)),"")+TIME(1,0,0)),Connexions!$P:$P,"&gt;="&amp;(IFERROR(INDEX('Planning Pauses Dej'!$C:$C,MATCH($B39&amp;"|"&amp;TEXT($Q39,"YYYYMMDD"),'Planning Pauses Dej'!$F:$F,0)),"")+TIME(1,0,0)))),"")</f>
        <v/>
      </c>
      <c r="H39" s="405">
        <f>IFERROR(IF(OR($G39="",IFERROR(INDEX('Planning Pauses Dej'!$C:$C,MATCH($B39&amp;"|"&amp;TEXT($Q39,"YYYYMMDD"),'Planning Pauses Dej'!$F:$F,0)),"")="",IFERROR(INDEX('Planning Pauses Dej'!$D:$D,MATCH($B39&amp;"|"&amp;TEXT($Q39,"YYYYMMDD"),'Planning Pauses Dej'!$F:$F,0)),"")=""),"",IF($G39&gt;(IFERROR(INDEX('Planning Pauses Dej'!$D:$D,MATCH($B39&amp;"|"&amp;TEXT($Q39,"YYYYMMDD"),'Planning Pauses Dej'!$F:$F,0)),"")-IFERROR(INDEX('Planning Pauses Dej'!$C:$C,MATCH($B39&amp;"|"&amp;TEXT($Q39,"YYYYMMDD"),'Planning Pauses Dej'!$F:$F,0)),"")),$G39-(IFERROR(INDEX('Planning Pauses Dej'!$D:$D,MATCH($B39&amp;"|"&amp;TEXT($Q39,"YYYYMMDD"),'Planning Pauses Dej'!$F:$F,0)),"")-IFERROR(INDEX('Planning Pauses Dej'!$C:$C,MATCH($B39&amp;"|"&amp;TEXT($Q39,"YYYYMMDD"),'Planning Pauses Dej'!$F:$F,0)),"")),0)),"")</f>
        <v/>
      </c>
      <c r="I39" s="251">
        <f>IF(IF(OR(C39="",D39="Congé",D39="OFF",D39="Congé spécial"),"",IF(D39&gt;F39,D39-C39,IF(C39-D39&lt;0,0,C39-D39)))&lt;0.00068287037037037,"",IF(OR(D39="Congé",D39="OFF",C39="",D39="Congé spécial"),"",IF(D39&gt;F39,D39-C39,IF(C39-D39&lt;0,0,C39-D39))))</f>
        <v/>
      </c>
      <c r="J39" s="405">
        <f>IFERROR(IF($G39="","",IF($G39&gt;TIME(1,0,0),$G39-TIME(1,0,0),0)),"")</f>
        <v/>
      </c>
      <c r="K39" s="238">
        <f>IF(SUM(H39:J39)&lt;0.00068287037037037,0,SUM(H39:J39))</f>
        <v/>
      </c>
      <c r="L39" s="236">
        <f>IF(OR(F39="Congé",F39="OFF",M39="Abs",F39="Congé sans solde",F39="Férié",F39="Congé spécial",D39="Congé spécial"),0,IF(F39-E39&lt;0,0,IF(F39-E39&lt;=0.00068287037037037,0,F39-E39)))</f>
        <v/>
      </c>
      <c r="M39" s="239">
        <f>IF(AND(O39&lt;&gt;0,C39=""),"Abs",0)</f>
        <v/>
      </c>
      <c r="N39" s="240">
        <f>IFERROR(IF(OR(D39="OFF",D39="Congé",M39="Abs",D39="Congé sans solde",D39="Férié"),"",IF(O39-K39-L39&gt;O39,O39,IF(O39-K39-L39&lt;0,"",O39-K39-L39))),"")</f>
        <v/>
      </c>
      <c r="O39" s="241">
        <f>IF(AG39="2H Pause déjeuner",IF(F39-D39-0.0833333333333333&lt;0,F39-D39-0.0833333333333333+1,F39-D39-0.0833333333333333),IF(OR(AND(F39="OFF",D39="OFF"),AND(F39="Congé",D39="Congé"),AND(F39="Congé sans solde",D39="Congé sans solde"),AND(F39="Congé spécial",D39="Congé spécial"),AND(F39="Férié",D39="Férié"),AND(F39="OFF",D39="Congé"),AND(F39="OFF",D39="Congé sans solde"),AND(F39="OFF",D39="Congé spécial"),AND(F39="OFF",D39="Férié"),AND(F39="Congé",D39="OFF"),AND(F39="Congé",D39="Congé sans solde"),AND(F39="Congé",D39="Congé spécial"),AND(F39="Congé",D39="Férié"),AND(F39="Congé sans solde",D39="OFF"),AND(F39="Congé sans solde",D39="Congé"),AND(F39="Congé sans solde",D39="Congé spécial"),AND(F39="Congé sans solde",D39="Férié"),AND(F39="Congé spécial",D39="OFF"),AND(F39="Congé spécial",D39="Congé"),AND(F39="Congé spécial",D39="Congé sans solde"),AND(F39="Congé spécial",D39="Férié"),AND(F39="Férié",D39="OFF"),AND(F39="Férié",D39="Congé"),AND(F39="Férié",D39="Congé sans solde"),AND(F39="Férié",D39="Congé spécial")),0,IF(OR(F39="OFF",F39="Congé",F39="Congé spécial",F39="Congé sans solde",D39="OFF",D39="Congé",D39="Congé spécial",D39="Congé sans solde"),0.208333333333334,IF(AND(AG39="",F39-D39&lt;0),("24:00:00"-D39)+("00:00:00"+F39)-0.0416666666666667,IF(AND(OR(AG39="Allaitement",AG39="Sans déjeuner"),F39-D39&lt;0),("24:00:00"-D39)+("00:00:00"+F39),IF(AND(AG39="",F39-D39&gt;0.166666666666667),F39-D39-0.0416666666666667,IF(AND(OR(AG39="Allaitement",AG39="Sans déjeuner"),F39-D39&gt;0.166666666666667),F39-D39,F39-D39)))))))</f>
        <v/>
      </c>
      <c r="P39" s="242">
        <f>IFERROR(VLOOKUP($B39,Annuaire_roster!$B:$G,MATCH(P$1,Annuaire_roster!$B$1:$G$1,0),0),"-")</f>
        <v/>
      </c>
      <c r="Q39" s="243" t="n">
        <v>44762</v>
      </c>
      <c r="R39" s="244">
        <f>IF(M39="Abs",O39,0)</f>
        <v/>
      </c>
      <c r="S39" s="244">
        <f>SUM(R39,L39,I39,J39,W39,H39)</f>
        <v/>
      </c>
      <c r="T39" s="209">
        <f>"Sem - "&amp;WEEKNUM(Q39,21)</f>
        <v/>
      </c>
      <c r="U39" s="209">
        <f>PROPER(TEXT(Q39,"mmmm"))</f>
        <v/>
      </c>
      <c r="V39" s="245">
        <f>+TEXT(Q39,"aaa")</f>
        <v/>
      </c>
      <c r="W39" s="240" t="n"/>
      <c r="X39" s="246">
        <f>IFERROR(IF(M39="Abs",0,IF((D39-C39+E39-F39)&lt;0.000694444444444444,0,(D39-C39+E39-F39))),0)</f>
        <v/>
      </c>
      <c r="Y39" s="247">
        <f>IFERROR(VLOOKUP(B39,Annuaire_roster!B:E,4,0),"-")</f>
        <v/>
      </c>
      <c r="Z39" s="247">
        <f>IFERROR(VLOOKUP(B39,Annuaire_roster!B:F,3,0),"-")</f>
        <v/>
      </c>
      <c r="AA39" s="247">
        <f>IFERROR(VLOOKUP(B39,Annuaire_roster!B:I,6,0),"-")</f>
        <v/>
      </c>
      <c r="AB39" s="248">
        <f>IF(AND(D39="Congé",F39="Congé"),0.333333333333333,IF(OR(AND(D39="Congé",F39&lt;&gt;"Congé"),(AND(F39="Congé",D39&lt;&gt;"Congé"))),0.166666666666667,""))</f>
        <v/>
      </c>
      <c r="AC39" s="248">
        <f>IF(AND(D39="Congé sans solde",F39="Congé sans solde"),0.333333333333333,IF(OR(AND(D39="Congé sans solde",F39&lt;&gt;"Congé sans solde"),(AND(F39="Congé sans solde",D39&lt;&gt;"Congé sans solde"))),0.166666666666667,""))</f>
        <v/>
      </c>
      <c r="AD39" s="248">
        <f>IF(AND(D39="Congé spécial",F39="Congé spécial"),0.333333333333333,IF(OR(AND(D39="Congé spécial",F39&lt;&gt;"Congé décès"),(AND(F39="Congé spécial",D39&lt;&gt;"Congé spécial"))),0.166666666666667,""))</f>
        <v/>
      </c>
      <c r="AE39" s="249">
        <f>IF(AND(D39="Férié",F39="Férié"),0.333333333333333,IF(OR(AND(D39="Férié",F39&lt;&gt;"Férié"),(AND(F39="Férié",D39&lt;&gt;"Férié"))),0.166666666666667,""))</f>
        <v/>
      </c>
      <c r="AF39" s="249" t="n"/>
      <c r="AG39" s="244" t="n"/>
    </row>
    <row r="40" hidden="1" ht="12.75" customHeight="1" s="231">
      <c r="A40" s="253">
        <f>VLOOKUP(B40,Annuaire_roster!B:F,5,0)</f>
        <v/>
      </c>
      <c r="B40" s="233" t="inlineStr">
        <is>
          <t>NUNEZ LUCIEN BERNARD</t>
        </is>
      </c>
      <c r="C40" s="234">
        <f>IFERROR(IF(COUNTIFS(Connexions!$K:$K,$Q40,Connexions!$E:$E,VLOOKUP($B40,Mapping_Noms!$A:$B,2,0))=0,"",_xlfn.MINIFS(Connexions!$M:$M,Connexions!$K:$K,$Q40,Connexions!$E:$E,VLOOKUP($B40,Mapping_Noms!$A:$B,2,0))-TIME(1,0,0)),"")</f>
        <v/>
      </c>
      <c r="D40" s="234">
        <f t="array" ref="D40:D40">IFERROR(INDEX(Planning2[],MATCH(1,(Planning2[Nom]=B40)*(Planning2[Date]=Q40),0),3),"-")</f>
        <v/>
      </c>
      <c r="E40" s="235">
        <f>IFERROR(IF(COUNTIFS(Connexions!$K:$K,$Q40,Connexions!$E:$E,VLOOKUP($B40,Mapping_Noms!$A:$B,2,0))=0,"",_xlfn.MAXIFS(Connexions!$O:$O,Connexions!$K:$K,$Q40,Connexions!$E:$E,VLOOKUP($B40,Mapping_Noms!$A:$B,2,0))-TIME(1,0,0)),"")</f>
        <v/>
      </c>
      <c r="F40" s="235">
        <f t="array" ref="F40:F40">IFERROR(INDEX(Planning2[],MATCH(1,(Planning2[Nom]=B40)*(Planning2[Date]=Q40),0),4),"-")</f>
        <v/>
      </c>
      <c r="G40" s="405">
        <f>IFERROR(IF(OR(IFERROR(INDEX('Planning Pauses Dej'!$C:$C,MATCH($B40&amp;"|"&amp;TEXT($Q40,"YYYYMMDD"),'Planning Pauses Dej'!$F:$F,0)),"")="",IFERROR(INDEX('Planning Pauses Dej'!$D:$D,MATCH($B40&amp;"|"&amp;TEXT($Q40,"YYYYMMDD"),'Planning Pauses Dej'!$F:$F,0)),"")=""),"",_xlfn.MAXIFS(Connexions!$Q:$Q,Connexions!$K:$K,$Q40,Connexions!$E:$E,VLOOKUP($B40,Mapping_Noms!$A:$B,2,0),Connexions!$O:$O,"&lt;="&amp;(IFERROR(INDEX('Planning Pauses Dej'!$D:$D,MATCH($B40&amp;"|"&amp;TEXT($Q40,"YYYYMMDD"),'Planning Pauses Dej'!$F:$F,0)),"")+TIME(1,0,0)),Connexions!$P:$P,"&gt;="&amp;(IFERROR(INDEX('Planning Pauses Dej'!$C:$C,MATCH($B40&amp;"|"&amp;TEXT($Q40,"YYYYMMDD"),'Planning Pauses Dej'!$F:$F,0)),"")+TIME(1,0,0)))),"")</f>
        <v/>
      </c>
      <c r="H40" s="405">
        <f>IFERROR(IF(OR($G40="",IFERROR(INDEX('Planning Pauses Dej'!$C:$C,MATCH($B40&amp;"|"&amp;TEXT($Q40,"YYYYMMDD"),'Planning Pauses Dej'!$F:$F,0)),"")="",IFERROR(INDEX('Planning Pauses Dej'!$D:$D,MATCH($B40&amp;"|"&amp;TEXT($Q40,"YYYYMMDD"),'Planning Pauses Dej'!$F:$F,0)),"")=""),"",IF($G40&gt;(IFERROR(INDEX('Planning Pauses Dej'!$D:$D,MATCH($B40&amp;"|"&amp;TEXT($Q40,"YYYYMMDD"),'Planning Pauses Dej'!$F:$F,0)),"")-IFERROR(INDEX('Planning Pauses Dej'!$C:$C,MATCH($B40&amp;"|"&amp;TEXT($Q40,"YYYYMMDD"),'Planning Pauses Dej'!$F:$F,0)),"")),$G40-(IFERROR(INDEX('Planning Pauses Dej'!$D:$D,MATCH($B40&amp;"|"&amp;TEXT($Q40,"YYYYMMDD"),'Planning Pauses Dej'!$F:$F,0)),"")-IFERROR(INDEX('Planning Pauses Dej'!$C:$C,MATCH($B40&amp;"|"&amp;TEXT($Q40,"YYYYMMDD"),'Planning Pauses Dej'!$F:$F,0)),"")),0)),"")</f>
        <v/>
      </c>
      <c r="I40" s="251">
        <f>IF(IF(OR(C40="",D40="Congé",D40="OFF",D40="Congé spécial"),"",IF(D40&gt;F40,D40-C40,IF(C40-D40&lt;0,0,C40-D40)))&lt;0.00068287037037037,"",IF(OR(D40="Congé",D40="OFF",C40="",D40="Congé spécial"),"",IF(D40&gt;F40,D40-C40,IF(C40-D40&lt;0,0,C40-D40))))</f>
        <v/>
      </c>
      <c r="J40" s="405">
        <f>IFERROR(IF($G40="","",IF($G40&gt;TIME(1,0,0),$G40-TIME(1,0,0),0)),"")</f>
        <v/>
      </c>
      <c r="K40" s="238" t="n"/>
      <c r="L40" s="236">
        <f>IF(OR(F40="Congé",F40="OFF",M40="Abs",F40="Congé sans solde",F40="Férié",F40="Congé spécial",D40="Congé spécial"),0,IF(F40-E40&lt;0,0,IF(F40-E40&lt;=0.00068287037037037,0,F40-E40)))</f>
        <v/>
      </c>
      <c r="M40" s="239">
        <f>IF(AND(O40&lt;&gt;0,C40=""),"Abs",0)</f>
        <v/>
      </c>
      <c r="N40" s="254">
        <f>IFERROR(IF(OR(D40="OFF",D40="Congé",M40="Abs",D40="Congé sans solde",D40="Férié"),"",IF(O40-K40-L40&gt;O40,O40,IF(O40-K40-L40&lt;0,"",O40-K40-L40))),"")</f>
        <v/>
      </c>
      <c r="O40" s="241">
        <f>IF(AG40="2H Pause déjeuner",IF(F40-D40-0.0833333333333333&lt;0,F40-D40-0.0833333333333333+1,F40-D40-0.0833333333333333),IF(OR(AND(F40="OFF",D40="OFF"),AND(F40="Congé",D40="Congé"),AND(F40="Congé sans solde",D40="Congé sans solde"),AND(F40="Congé spécial",D40="Congé spécial"),AND(F40="Férié",D40="Férié"),AND(F40="OFF",D40="Congé"),AND(F40="OFF",D40="Congé sans solde"),AND(F40="OFF",D40="Congé spécial"),AND(F40="OFF",D40="Férié"),AND(F40="Congé",D40="OFF"),AND(F40="Congé",D40="Congé sans solde"),AND(F40="Congé",D40="Congé spécial"),AND(F40="Congé",D40="Férié"),AND(F40="Congé sans solde",D40="OFF"),AND(F40="Congé sans solde",D40="Congé"),AND(F40="Congé sans solde",D40="Congé spécial"),AND(F40="Congé sans solde",D40="Férié"),AND(F40="Congé spécial",D40="OFF"),AND(F40="Congé spécial",D40="Congé"),AND(F40="Congé spécial",D40="Congé sans solde"),AND(F40="Congé spécial",D40="Férié"),AND(F40="Férié",D40="OFF"),AND(F40="Férié",D40="Congé"),AND(F40="Férié",D40="Congé sans solde"),AND(F40="Férié",D40="Congé spécial")),0,IF(OR(F40="OFF",F40="Congé",F40="Congé spécial",F40="Congé sans solde",D40="OFF",D40="Congé",D40="Congé spécial",D40="Congé sans solde"),0.208333333333334,IF(AND(AG40="",F40-D40&lt;0),("24:00:00"-D40)+("00:00:00"+F40)-0.0416666666666667,IF(AND(OR(AG40="Allaitement",AG40="Sans déjeuner"),F40-D40&lt;0),("24:00:00"-D40)+("00:00:00"+F40),IF(AND(AG40="",F40-D40&gt;0.166666666666667),F40-D40-0.0416666666666667,IF(AND(OR(AG40="Allaitement",AG40="Sans déjeuner"),F40-D40&gt;0.166666666666667),F40-D40,F40-D40)))))))</f>
        <v/>
      </c>
      <c r="P40" s="242">
        <f>IFERROR(VLOOKUP($B40,Annuaire_roster!$B:$G,MATCH(P$1,Annuaire_roster!$B$1:$G$1,0),0),"-")</f>
        <v/>
      </c>
      <c r="Q40" s="255" t="n">
        <v>44762</v>
      </c>
      <c r="R40" s="248">
        <f>IF(M40="Abs",O40,0)</f>
        <v/>
      </c>
      <c r="S40" s="248">
        <f>SUM(R40,L40,I40,J40,W40,H40)</f>
        <v/>
      </c>
      <c r="T40" s="209">
        <f>"Sem - "&amp;WEEKNUM(Q40,21)</f>
        <v/>
      </c>
      <c r="U40" s="209">
        <f>PROPER(TEXT(Q40,"mmmm"))</f>
        <v/>
      </c>
      <c r="V40" s="256">
        <f>+TEXT(Q40,"aaa")</f>
        <v/>
      </c>
      <c r="W40" s="254" t="n"/>
      <c r="X40" s="257">
        <f>IFERROR(IF(M40="Abs",0,IF((D40-C40+E40-F40)&lt;0.000694444444444444,0,(D40-C40+E40-F40))),0)</f>
        <v/>
      </c>
      <c r="Y40" s="258">
        <f>IFERROR(VLOOKUP(B40,Annuaire_roster!B:E,4,0),"-")</f>
        <v/>
      </c>
      <c r="Z40" s="258">
        <f>IFERROR(VLOOKUP(B40,Annuaire_roster!B:F,3,0),"-")</f>
        <v/>
      </c>
      <c r="AA40" s="258">
        <f>IFERROR(VLOOKUP(B40,Annuaire_roster!B:I,6,0),"-")</f>
        <v/>
      </c>
      <c r="AB40" s="248">
        <f>IF(AND(D40="Congé",F40="Congé"),0.333333333333333,IF(OR(AND(D40="Congé",F40&lt;&gt;"Congé"),(AND(F40="Congé",D40&lt;&gt;"Congé"))),0.166666666666667,""))</f>
        <v/>
      </c>
      <c r="AC40" s="248">
        <f>IF(AND(D40="Congé sans solde",F40="Congé sans solde"),0.333333333333333,IF(OR(AND(D40="Congé sans solde",F40&lt;&gt;"Congé sans solde"),(AND(F40="Congé sans solde",D40&lt;&gt;"Congé sans solde"))),0.166666666666667,""))</f>
        <v/>
      </c>
      <c r="AD40" s="248">
        <f>IF(AND(D40="Congé spécial",F40="Congé spécial"),0.333333333333333,IF(OR(AND(D40="Congé spécial",F40&lt;&gt;"Congé décès"),(AND(F40="Congé spécial",D40&lt;&gt;"Congé spécial"))),0.166666666666667,""))</f>
        <v/>
      </c>
      <c r="AE40" s="259">
        <f>IF(AND(D40="Férié",F40="Férié"),0.333333333333333,IF(OR(AND(D40="Férié",F40&lt;&gt;"Férié"),(AND(F40="Férié",D40&lt;&gt;"Férié"))),0.166666666666667,""))</f>
        <v/>
      </c>
      <c r="AF40" s="249" t="n"/>
      <c r="AG40" s="248" t="n"/>
    </row>
    <row r="41" hidden="1" ht="12.75" customHeight="1" s="231">
      <c r="A41" s="232">
        <f>VLOOKUP(B41,Annuaire_roster!B:F,5,0)</f>
        <v/>
      </c>
      <c r="B41" s="233" t="inlineStr">
        <is>
          <t>GUEYE MOUHAMED</t>
        </is>
      </c>
      <c r="C41" s="234">
        <f>IFERROR(IF(COUNTIFS(Connexions!$K:$K,$Q41,Connexions!$E:$E,VLOOKUP($B41,Mapping_Noms!$A:$B,2,0))=0,"",_xlfn.MINIFS(Connexions!$M:$M,Connexions!$K:$K,$Q41,Connexions!$E:$E,VLOOKUP($B41,Mapping_Noms!$A:$B,2,0))-TIME(1,0,0)),"")</f>
        <v/>
      </c>
      <c r="D41" s="234">
        <f t="array" ref="D41:D41">IFERROR(INDEX(Planning2[],MATCH(1,(Planning2[Nom]=B41)*(Planning2[Date]=Q41),0),3),"-")</f>
        <v/>
      </c>
      <c r="E41" s="235">
        <f>IFERROR(IF(COUNTIFS(Connexions!$K:$K,$Q41,Connexions!$E:$E,VLOOKUP($B41,Mapping_Noms!$A:$B,2,0))=0,"",_xlfn.MAXIFS(Connexions!$O:$O,Connexions!$K:$K,$Q41,Connexions!$E:$E,VLOOKUP($B41,Mapping_Noms!$A:$B,2,0))-TIME(1,0,0)),"")</f>
        <v/>
      </c>
      <c r="F41" s="235">
        <f t="array" ref="F41:F41">IFERROR(INDEX(Planning2[],MATCH(1,(Planning2[Nom]=B41)*(Planning2[Date]=Q41),0),4),"-")</f>
        <v/>
      </c>
      <c r="G41" s="405">
        <f>IFERROR(IF(OR(IFERROR(INDEX('Planning Pauses Dej'!$C:$C,MATCH($B41&amp;"|"&amp;TEXT($Q41,"YYYYMMDD"),'Planning Pauses Dej'!$F:$F,0)),"")="",IFERROR(INDEX('Planning Pauses Dej'!$D:$D,MATCH($B41&amp;"|"&amp;TEXT($Q41,"YYYYMMDD"),'Planning Pauses Dej'!$F:$F,0)),"")=""),"",_xlfn.MAXIFS(Connexions!$Q:$Q,Connexions!$K:$K,$Q41,Connexions!$E:$E,VLOOKUP($B41,Mapping_Noms!$A:$B,2,0),Connexions!$O:$O,"&lt;="&amp;(IFERROR(INDEX('Planning Pauses Dej'!$D:$D,MATCH($B41&amp;"|"&amp;TEXT($Q41,"YYYYMMDD"),'Planning Pauses Dej'!$F:$F,0)),"")+TIME(1,0,0)),Connexions!$P:$P,"&gt;="&amp;(IFERROR(INDEX('Planning Pauses Dej'!$C:$C,MATCH($B41&amp;"|"&amp;TEXT($Q41,"YYYYMMDD"),'Planning Pauses Dej'!$F:$F,0)),"")+TIME(1,0,0)))),"")</f>
        <v/>
      </c>
      <c r="H41" s="405">
        <f>IFERROR(IF(OR($G41="",IFERROR(INDEX('Planning Pauses Dej'!$C:$C,MATCH($B41&amp;"|"&amp;TEXT($Q41,"YYYYMMDD"),'Planning Pauses Dej'!$F:$F,0)),"")="",IFERROR(INDEX('Planning Pauses Dej'!$D:$D,MATCH($B41&amp;"|"&amp;TEXT($Q41,"YYYYMMDD"),'Planning Pauses Dej'!$F:$F,0)),"")=""),"",IF($G41&gt;(IFERROR(INDEX('Planning Pauses Dej'!$D:$D,MATCH($B41&amp;"|"&amp;TEXT($Q41,"YYYYMMDD"),'Planning Pauses Dej'!$F:$F,0)),"")-IFERROR(INDEX('Planning Pauses Dej'!$C:$C,MATCH($B41&amp;"|"&amp;TEXT($Q41,"YYYYMMDD"),'Planning Pauses Dej'!$F:$F,0)),"")),$G41-(IFERROR(INDEX('Planning Pauses Dej'!$D:$D,MATCH($B41&amp;"|"&amp;TEXT($Q41,"YYYYMMDD"),'Planning Pauses Dej'!$F:$F,0)),"")-IFERROR(INDEX('Planning Pauses Dej'!$C:$C,MATCH($B41&amp;"|"&amp;TEXT($Q41,"YYYYMMDD"),'Planning Pauses Dej'!$F:$F,0)),"")),0)),"")</f>
        <v/>
      </c>
      <c r="I41" s="251">
        <f>IF(IF(OR(C41="",D41="Congé",D41="OFF",D41="Congé spécial"),"",IF(D41&gt;F41,D41-C41,IF(C41-D41&lt;0,0,C41-D41)))&lt;0.00068287037037037,"",IF(OR(D41="Congé",D41="OFF",C41="",D41="Congé spécial"),"",IF(D41&gt;F41,D41-C41,IF(C41-D41&lt;0,0,C41-D41))))</f>
        <v/>
      </c>
      <c r="J41" s="405">
        <f>IFERROR(IF($G41="","",IF($G41&gt;TIME(1,0,0),$G41-TIME(1,0,0),0)),"")</f>
        <v/>
      </c>
      <c r="K41" s="238">
        <f>IF(SUM(H41:J41)&lt;0.00068287037037037,0,SUM(H41:J41))</f>
        <v/>
      </c>
      <c r="L41" s="236">
        <f>IF(OR(F41="Congé",F41="OFF",M41="Abs",F41="Congé sans solde",F41="Férié",F41="Congé spécial",D41="Congé spécial"),0,IF(F41-E41&lt;0,0,IF(F41-E41&lt;=0.00068287037037037,0,F41-E41)))</f>
        <v/>
      </c>
      <c r="M41" s="239">
        <f>IF(AND(O41&lt;&gt;0,C41=""),"Abs",0)</f>
        <v/>
      </c>
      <c r="N41" s="240">
        <f>IFERROR(IF(OR(D41="OFF",D41="Congé",M41="Abs",D41="Congé sans solde",D41="Férié"),"",IF(O41-K41-L41&gt;O41,O41,IF(O41-K41-L41&lt;0,"",O41-K41-L41))),"")</f>
        <v/>
      </c>
      <c r="O41" s="241">
        <f>IF(AG41="2H Pause déjeuner",IF(F41-D41-0.0833333333333333&lt;0,F41-D41-0.0833333333333333+1,F41-D41-0.0833333333333333),IF(OR(AND(F41="OFF",D41="OFF"),AND(F41="Congé",D41="Congé"),AND(F41="Congé sans solde",D41="Congé sans solde"),AND(F41="Congé spécial",D41="Congé spécial"),AND(F41="Férié",D41="Férié"),AND(F41="OFF",D41="Congé"),AND(F41="OFF",D41="Congé sans solde"),AND(F41="OFF",D41="Congé spécial"),AND(F41="OFF",D41="Férié"),AND(F41="Congé",D41="OFF"),AND(F41="Congé",D41="Congé sans solde"),AND(F41="Congé",D41="Congé spécial"),AND(F41="Congé",D41="Férié"),AND(F41="Congé sans solde",D41="OFF"),AND(F41="Congé sans solde",D41="Congé"),AND(F41="Congé sans solde",D41="Congé spécial"),AND(F41="Congé sans solde",D41="Férié"),AND(F41="Congé spécial",D41="OFF"),AND(F41="Congé spécial",D41="Congé"),AND(F41="Congé spécial",D41="Congé sans solde"),AND(F41="Congé spécial",D41="Férié"),AND(F41="Férié",D41="OFF"),AND(F41="Férié",D41="Congé"),AND(F41="Férié",D41="Congé sans solde"),AND(F41="Férié",D41="Congé spécial")),0,IF(OR(F41="OFF",F41="Congé",F41="Congé spécial",F41="Congé sans solde",D41="OFF",D41="Congé",D41="Congé spécial",D41="Congé sans solde"),0.208333333333334,IF(AND(AG41="",F41-D41&lt;0),("24:00:00"-D41)+("00:00:00"+F41)-0.0416666666666667,IF(AND(OR(AG41="Allaitement",AG41="Sans déjeuner"),F41-D41&lt;0),("24:00:00"-D41)+("00:00:00"+F41),IF(AND(AG41="",F41-D41&gt;0.166666666666667),F41-D41-0.0416666666666667,IF(AND(OR(AG41="Allaitement",AG41="Sans déjeuner"),F41-D41&gt;0.166666666666667),F41-D41,F41-D41)))))))</f>
        <v/>
      </c>
      <c r="P41" s="242">
        <f>IFERROR(VLOOKUP($B41,Annuaire_roster!$B:$G,MATCH(P$1,Annuaire_roster!$B$1:$G$1,0),0),"-")</f>
        <v/>
      </c>
      <c r="Q41" s="243" t="n">
        <v>44762</v>
      </c>
      <c r="R41" s="244">
        <f>IF(M41="Abs",O41,0)</f>
        <v/>
      </c>
      <c r="S41" s="244">
        <f>SUM(R41,L41,I41,J41,W41,H41)</f>
        <v/>
      </c>
      <c r="T41" s="209">
        <f>"Sem - "&amp;WEEKNUM(Q41,21)</f>
        <v/>
      </c>
      <c r="U41" s="209">
        <f>PROPER(TEXT(Q41,"mmmm"))</f>
        <v/>
      </c>
      <c r="V41" s="245">
        <f>+TEXT(Q41,"aaa")</f>
        <v/>
      </c>
      <c r="W41" s="240" t="n"/>
      <c r="X41" s="246">
        <f>IFERROR(IF(M41="Abs",0,IF((D41-C41+E41-F41)&lt;0.000694444444444444,0,(D41-C41+E41-F41))),0)</f>
        <v/>
      </c>
      <c r="Y41" s="247">
        <f>IFERROR(VLOOKUP(B41,Annuaire_roster!B:E,4,0),"-")</f>
        <v/>
      </c>
      <c r="Z41" s="247">
        <f>IFERROR(VLOOKUP(B41,Annuaire_roster!B:F,3,0),"-")</f>
        <v/>
      </c>
      <c r="AA41" s="247">
        <f>IFERROR(VLOOKUP(B41,Annuaire_roster!B:I,6,0),"-")</f>
        <v/>
      </c>
      <c r="AB41" s="248">
        <f>IF(AND(D41="Congé",F41="Congé"),0.333333333333333,IF(OR(AND(D41="Congé",F41&lt;&gt;"Congé"),(AND(F41="Congé",D41&lt;&gt;"Congé"))),0.166666666666667,""))</f>
        <v/>
      </c>
      <c r="AC41" s="248">
        <f>IF(AND(D41="Congé sans solde",F41="Congé sans solde"),0.333333333333333,IF(OR(AND(D41="Congé sans solde",F41&lt;&gt;"Congé sans solde"),(AND(F41="Congé sans solde",D41&lt;&gt;"Congé sans solde"))),0.166666666666667,""))</f>
        <v/>
      </c>
      <c r="AD41" s="248">
        <f>IF(AND(D41="Congé spécial",F41="Congé spécial"),0.333333333333333,IF(OR(AND(D41="Congé spécial",F41&lt;&gt;"Congé décès"),(AND(F41="Congé spécial",D41&lt;&gt;"Congé spécial"))),0.166666666666667,""))</f>
        <v/>
      </c>
      <c r="AE41" s="249">
        <f>IF(AND(D41="Férié",F41="Férié"),0.333333333333333,IF(OR(AND(D41="Férié",F41&lt;&gt;"Férié"),(AND(F41="Férié",D41&lt;&gt;"Férié"))),0.166666666666667,""))</f>
        <v/>
      </c>
      <c r="AF41" s="249" t="n"/>
      <c r="AG41" s="244" t="n"/>
    </row>
    <row r="42" hidden="1" ht="12.75" customHeight="1" s="231">
      <c r="A42" s="253">
        <f>VLOOKUP(B42,Annuaire_roster!B:F,5,0)</f>
        <v/>
      </c>
      <c r="B42" s="233" t="inlineStr">
        <is>
          <t>DIOUF OUSSMANE</t>
        </is>
      </c>
      <c r="C42" s="234">
        <f>IFERROR(IF(COUNTIFS(Connexions!$K:$K,$Q42,Connexions!$E:$E,VLOOKUP($B42,Mapping_Noms!$A:$B,2,0))=0,"",_xlfn.MINIFS(Connexions!$M:$M,Connexions!$K:$K,$Q42,Connexions!$E:$E,VLOOKUP($B42,Mapping_Noms!$A:$B,2,0))-TIME(1,0,0)),"")</f>
        <v/>
      </c>
      <c r="D42" s="234">
        <f t="array" ref="D42:D42">IFERROR(INDEX(Planning2[],MATCH(1,(Planning2[Nom]=B42)*(Planning2[Date]=Q42),0),3),"-")</f>
        <v/>
      </c>
      <c r="E42" s="235">
        <f>IFERROR(IF(COUNTIFS(Connexions!$K:$K,$Q42,Connexions!$E:$E,VLOOKUP($B42,Mapping_Noms!$A:$B,2,0))=0,"",_xlfn.MAXIFS(Connexions!$O:$O,Connexions!$K:$K,$Q42,Connexions!$E:$E,VLOOKUP($B42,Mapping_Noms!$A:$B,2,0))-TIME(1,0,0)),"")</f>
        <v/>
      </c>
      <c r="F42" s="235">
        <f t="array" ref="F42:F42">IFERROR(INDEX(Planning2[],MATCH(1,(Planning2[Nom]=B42)*(Planning2[Date]=Q42),0),4),"-")</f>
        <v/>
      </c>
      <c r="G42" s="405">
        <f>IFERROR(IF(OR(IFERROR(INDEX('Planning Pauses Dej'!$C:$C,MATCH($B42&amp;"|"&amp;TEXT($Q42,"YYYYMMDD"),'Planning Pauses Dej'!$F:$F,0)),"")="",IFERROR(INDEX('Planning Pauses Dej'!$D:$D,MATCH($B42&amp;"|"&amp;TEXT($Q42,"YYYYMMDD"),'Planning Pauses Dej'!$F:$F,0)),"")=""),"",_xlfn.MAXIFS(Connexions!$Q:$Q,Connexions!$K:$K,$Q42,Connexions!$E:$E,VLOOKUP($B42,Mapping_Noms!$A:$B,2,0),Connexions!$O:$O,"&lt;="&amp;(IFERROR(INDEX('Planning Pauses Dej'!$D:$D,MATCH($B42&amp;"|"&amp;TEXT($Q42,"YYYYMMDD"),'Planning Pauses Dej'!$F:$F,0)),"")+TIME(1,0,0)),Connexions!$P:$P,"&gt;="&amp;(IFERROR(INDEX('Planning Pauses Dej'!$C:$C,MATCH($B42&amp;"|"&amp;TEXT($Q42,"YYYYMMDD"),'Planning Pauses Dej'!$F:$F,0)),"")+TIME(1,0,0)))),"")</f>
        <v/>
      </c>
      <c r="H42" s="405">
        <f>IFERROR(IF(OR($G42="",IFERROR(INDEX('Planning Pauses Dej'!$C:$C,MATCH($B42&amp;"|"&amp;TEXT($Q42,"YYYYMMDD"),'Planning Pauses Dej'!$F:$F,0)),"")="",IFERROR(INDEX('Planning Pauses Dej'!$D:$D,MATCH($B42&amp;"|"&amp;TEXT($Q42,"YYYYMMDD"),'Planning Pauses Dej'!$F:$F,0)),"")=""),"",IF($G42&gt;(IFERROR(INDEX('Planning Pauses Dej'!$D:$D,MATCH($B42&amp;"|"&amp;TEXT($Q42,"YYYYMMDD"),'Planning Pauses Dej'!$F:$F,0)),"")-IFERROR(INDEX('Planning Pauses Dej'!$C:$C,MATCH($B42&amp;"|"&amp;TEXT($Q42,"YYYYMMDD"),'Planning Pauses Dej'!$F:$F,0)),"")),$G42-(IFERROR(INDEX('Planning Pauses Dej'!$D:$D,MATCH($B42&amp;"|"&amp;TEXT($Q42,"YYYYMMDD"),'Planning Pauses Dej'!$F:$F,0)),"")-IFERROR(INDEX('Planning Pauses Dej'!$C:$C,MATCH($B42&amp;"|"&amp;TEXT($Q42,"YYYYMMDD"),'Planning Pauses Dej'!$F:$F,0)),"")),0)),"")</f>
        <v/>
      </c>
      <c r="I42" s="251">
        <f>IF(IF(OR(C42="",D42="Congé",D42="OFF",D42="Congé spécial"),"",IF(D42&gt;F42,D42-C42,IF(C42-D42&lt;0,0,C42-D42)))&lt;0.00068287037037037,"",IF(OR(D42="Congé",D42="OFF",C42="",D42="Congé spécial"),"",IF(D42&gt;F42,D42-C42,IF(C42-D42&lt;0,0,C42-D42))))</f>
        <v/>
      </c>
      <c r="J42" s="405">
        <f>IFERROR(IF($G42="","",IF($G42&gt;TIME(1,0,0),$G42-TIME(1,0,0),0)),"")</f>
        <v/>
      </c>
      <c r="K42" s="238">
        <f>IF(SUM(H42:J42)&lt;0.00068287037037037,0,SUM(H42:J42))</f>
        <v/>
      </c>
      <c r="L42" s="236">
        <f>IF(OR(F42="Congé",F42="OFF",M42="Abs",F42="Congé sans solde",F42="Férié",F42="Congé spécial",D42="Congé spécial"),0,IF(F42-E42&lt;0,0,IF(F42-E42&lt;=0.00068287037037037,0,F42-E42)))</f>
        <v/>
      </c>
      <c r="M42" s="239">
        <f>IF(AND(O42&lt;&gt;0,C42=""),"Abs",0)</f>
        <v/>
      </c>
      <c r="N42" s="254">
        <f>IFERROR(IF(OR(D42="OFF",D42="Congé",M42="Abs",D42="Congé sans solde",D42="Férié"),"",IF(O42-K42-L42&gt;O42,O42,IF(O42-K42-L42&lt;0,"",O42-K42-L42))),"")</f>
        <v/>
      </c>
      <c r="O42" s="241">
        <f>IF(AG42="2H Pause déjeuner",IF(F42-D42-0.0833333333333333&lt;0,F42-D42-0.0833333333333333+1,F42-D42-0.0833333333333333),IF(OR(AND(F42="OFF",D42="OFF"),AND(F42="Congé",D42="Congé"),AND(F42="Congé sans solde",D42="Congé sans solde"),AND(F42="Congé spécial",D42="Congé spécial"),AND(F42="Férié",D42="Férié"),AND(F42="OFF",D42="Congé"),AND(F42="OFF",D42="Congé sans solde"),AND(F42="OFF",D42="Congé spécial"),AND(F42="OFF",D42="Férié"),AND(F42="Congé",D42="OFF"),AND(F42="Congé",D42="Congé sans solde"),AND(F42="Congé",D42="Congé spécial"),AND(F42="Congé",D42="Férié"),AND(F42="Congé sans solde",D42="OFF"),AND(F42="Congé sans solde",D42="Congé"),AND(F42="Congé sans solde",D42="Congé spécial"),AND(F42="Congé sans solde",D42="Férié"),AND(F42="Congé spécial",D42="OFF"),AND(F42="Congé spécial",D42="Congé"),AND(F42="Congé spécial",D42="Congé sans solde"),AND(F42="Congé spécial",D42="Férié"),AND(F42="Férié",D42="OFF"),AND(F42="Férié",D42="Congé"),AND(F42="Férié",D42="Congé sans solde"),AND(F42="Férié",D42="Congé spécial")),0,IF(OR(F42="OFF",F42="Congé",F42="Congé spécial",F42="Congé sans solde",D42="OFF",D42="Congé",D42="Congé spécial",D42="Congé sans solde"),0.208333333333334,IF(AND(AG42="",F42-D42&lt;0),("24:00:00"-D42)+("00:00:00"+F42)-0.0416666666666667,IF(AND(OR(AG42="Allaitement",AG42="Sans déjeuner"),F42-D42&lt;0),("24:00:00"-D42)+("00:00:00"+F42),IF(AND(AG42="",F42-D42&gt;0.166666666666667),F42-D42-0.0416666666666667,IF(AND(OR(AG42="Allaitement",AG42="Sans déjeuner"),F42-D42&gt;0.166666666666667),F42-D42,F42-D42)))))))</f>
        <v/>
      </c>
      <c r="P42" s="242">
        <f>IFERROR(VLOOKUP($B42,Annuaire_roster!$B:$G,MATCH(P$1,Annuaire_roster!$B$1:$G$1,0),0),"-")</f>
        <v/>
      </c>
      <c r="Q42" s="255" t="n">
        <v>44762</v>
      </c>
      <c r="R42" s="248">
        <f>IF(M42="Abs",O42,0)</f>
        <v/>
      </c>
      <c r="S42" s="248">
        <f>SUM(R42,L42,I42,J42,W42,H42)</f>
        <v/>
      </c>
      <c r="T42" s="209">
        <f>"Sem - "&amp;WEEKNUM(Q42,21)</f>
        <v/>
      </c>
      <c r="U42" s="209">
        <f>PROPER(TEXT(Q42,"mmmm"))</f>
        <v/>
      </c>
      <c r="V42" s="256">
        <f>+TEXT(Q42,"aaa")</f>
        <v/>
      </c>
      <c r="W42" s="254" t="n"/>
      <c r="X42" s="257">
        <f>IFERROR(IF(M42="Abs",0,IF((D42-C42+E42-F42)&lt;0.000694444444444444,0,(D42-C42+E42-F42))),0)</f>
        <v/>
      </c>
      <c r="Y42" s="258">
        <f>IFERROR(VLOOKUP(B42,Annuaire_roster!B:E,4,0),"-")</f>
        <v/>
      </c>
      <c r="Z42" s="258">
        <f>IFERROR(VLOOKUP(B42,Annuaire_roster!B:F,3,0),"-")</f>
        <v/>
      </c>
      <c r="AA42" s="258">
        <f>IFERROR(VLOOKUP(B42,Annuaire_roster!B:I,6,0),"-")</f>
        <v/>
      </c>
      <c r="AB42" s="248">
        <f>IF(AND(D42="Congé",F42="Congé"),0.333333333333333,IF(OR(AND(D42="Congé",F42&lt;&gt;"Congé"),(AND(F42="Congé",D42&lt;&gt;"Congé"))),0.166666666666667,""))</f>
        <v/>
      </c>
      <c r="AC42" s="248">
        <f>IF(AND(D42="Congé sans solde",F42="Congé sans solde"),0.333333333333333,IF(OR(AND(D42="Congé sans solde",F42&lt;&gt;"Congé sans solde"),(AND(F42="Congé sans solde",D42&lt;&gt;"Congé sans solde"))),0.166666666666667,""))</f>
        <v/>
      </c>
      <c r="AD42" s="248">
        <f>IF(AND(D42="Congé spécial",F42="Congé spécial"),0.333333333333333,IF(OR(AND(D42="Congé spécial",F42&lt;&gt;"Congé décès"),(AND(F42="Congé spécial",D42&lt;&gt;"Congé spécial"))),0.166666666666667,""))</f>
        <v/>
      </c>
      <c r="AE42" s="259">
        <f>IF(AND(D42="Férié",F42="Férié"),0.333333333333333,IF(OR(AND(D42="Férié",F42&lt;&gt;"Férié"),(AND(F42="Férié",D42&lt;&gt;"Férié"))),0.166666666666667,""))</f>
        <v/>
      </c>
      <c r="AF42" s="249" t="n"/>
      <c r="AG42" s="248" t="n"/>
    </row>
    <row r="43" hidden="1" ht="12.75" customHeight="1" s="231">
      <c r="A43" s="232">
        <f>VLOOKUP(B43,Annuaire_roster!B:F,5,0)</f>
        <v/>
      </c>
      <c r="B43" s="233" t="inlineStr">
        <is>
          <t>BOULHROUD SALMA</t>
        </is>
      </c>
      <c r="C43" s="234">
        <f>IFERROR(IF(COUNTIFS(Connexions!$K:$K,$Q43,Connexions!$E:$E,VLOOKUP($B43,Mapping_Noms!$A:$B,2,0))=0,"",_xlfn.MINIFS(Connexions!$M:$M,Connexions!$K:$K,$Q43,Connexions!$E:$E,VLOOKUP($B43,Mapping_Noms!$A:$B,2,0))-TIME(1,0,0)),"")</f>
        <v/>
      </c>
      <c r="D43" s="234">
        <f t="array" ref="D43:D43">IFERROR(INDEX(Planning2[],MATCH(1,(Planning2[Nom]=B43)*(Planning2[Date]=Q43),0),3),"-")</f>
        <v/>
      </c>
      <c r="E43" s="235">
        <f>IFERROR(IF(COUNTIFS(Connexions!$K:$K,$Q43,Connexions!$E:$E,VLOOKUP($B43,Mapping_Noms!$A:$B,2,0))=0,"",_xlfn.MAXIFS(Connexions!$O:$O,Connexions!$K:$K,$Q43,Connexions!$E:$E,VLOOKUP($B43,Mapping_Noms!$A:$B,2,0))-TIME(1,0,0)),"")</f>
        <v/>
      </c>
      <c r="F43" s="235">
        <f t="array" ref="F43:F43">IFERROR(INDEX(Planning2[],MATCH(1,(Planning2[Nom]=B43)*(Planning2[Date]=Q43),0),4),"-")</f>
        <v/>
      </c>
      <c r="G43" s="405">
        <f>IFERROR(IF(OR(IFERROR(INDEX('Planning Pauses Dej'!$C:$C,MATCH($B43&amp;"|"&amp;TEXT($Q43,"YYYYMMDD"),'Planning Pauses Dej'!$F:$F,0)),"")="",IFERROR(INDEX('Planning Pauses Dej'!$D:$D,MATCH($B43&amp;"|"&amp;TEXT($Q43,"YYYYMMDD"),'Planning Pauses Dej'!$F:$F,0)),"")=""),"",_xlfn.MAXIFS(Connexions!$Q:$Q,Connexions!$K:$K,$Q43,Connexions!$E:$E,VLOOKUP($B43,Mapping_Noms!$A:$B,2,0),Connexions!$O:$O,"&lt;="&amp;(IFERROR(INDEX('Planning Pauses Dej'!$D:$D,MATCH($B43&amp;"|"&amp;TEXT($Q43,"YYYYMMDD"),'Planning Pauses Dej'!$F:$F,0)),"")+TIME(1,0,0)),Connexions!$P:$P,"&gt;="&amp;(IFERROR(INDEX('Planning Pauses Dej'!$C:$C,MATCH($B43&amp;"|"&amp;TEXT($Q43,"YYYYMMDD"),'Planning Pauses Dej'!$F:$F,0)),"")+TIME(1,0,0)))),"")</f>
        <v/>
      </c>
      <c r="H43" s="405">
        <f>IFERROR(IF(OR($G43="",IFERROR(INDEX('Planning Pauses Dej'!$C:$C,MATCH($B43&amp;"|"&amp;TEXT($Q43,"YYYYMMDD"),'Planning Pauses Dej'!$F:$F,0)),"")="",IFERROR(INDEX('Planning Pauses Dej'!$D:$D,MATCH($B43&amp;"|"&amp;TEXT($Q43,"YYYYMMDD"),'Planning Pauses Dej'!$F:$F,0)),"")=""),"",IF($G43&gt;(IFERROR(INDEX('Planning Pauses Dej'!$D:$D,MATCH($B43&amp;"|"&amp;TEXT($Q43,"YYYYMMDD"),'Planning Pauses Dej'!$F:$F,0)),"")-IFERROR(INDEX('Planning Pauses Dej'!$C:$C,MATCH($B43&amp;"|"&amp;TEXT($Q43,"YYYYMMDD"),'Planning Pauses Dej'!$F:$F,0)),"")),$G43-(IFERROR(INDEX('Planning Pauses Dej'!$D:$D,MATCH($B43&amp;"|"&amp;TEXT($Q43,"YYYYMMDD"),'Planning Pauses Dej'!$F:$F,0)),"")-IFERROR(INDEX('Planning Pauses Dej'!$C:$C,MATCH($B43&amp;"|"&amp;TEXT($Q43,"YYYYMMDD"),'Planning Pauses Dej'!$F:$F,0)),"")),0)),"")</f>
        <v/>
      </c>
      <c r="I43" s="251">
        <f>IF(IF(OR(C43="",D43="Congé",D43="OFF",D43="Congé spécial"),"",IF(D43&gt;F43,D43-C43,IF(C43-D43&lt;0,0,C43-D43)))&lt;0.00068287037037037,"",IF(OR(D43="Congé",D43="OFF",C43="",D43="Congé spécial"),"",IF(D43&gt;F43,D43-C43,IF(C43-D43&lt;0,0,C43-D43))))</f>
        <v/>
      </c>
      <c r="J43" s="405">
        <f>IFERROR(IF($G43="","",IF($G43&gt;TIME(1,0,0),$G43-TIME(1,0,0),0)),"")</f>
        <v/>
      </c>
      <c r="K43" s="238">
        <f>IF(SUM(H43:J43)&lt;0.00068287037037037,0,SUM(H43:J43))</f>
        <v/>
      </c>
      <c r="L43" s="236">
        <f>IF(OR(F43="Congé",F43="OFF",M43="Abs",F43="Congé sans solde",F43="Férié",F43="Congé spécial",D43="Congé spécial"),0,IF(F43-E43&lt;0,0,IF(F43-E43&lt;=0.00068287037037037,0,F43-E43)))</f>
        <v/>
      </c>
      <c r="M43" s="239">
        <f>IF(AND(O43&lt;&gt;0,C43=""),"Abs",0)</f>
        <v/>
      </c>
      <c r="N43" s="240">
        <f>IFERROR(IF(OR(D43="OFF",D43="Congé",M43="Abs",D43="Congé sans solde",D43="Férié"),"",IF(O43-K43-L43&gt;O43,O43,IF(O43-K43-L43&lt;0,"",O43-K43-L43))),"")</f>
        <v/>
      </c>
      <c r="O43" s="241">
        <f>IF(AG43="2H Pause déjeuner",IF(F43-D43-0.0833333333333333&lt;0,F43-D43-0.0833333333333333+1,F43-D43-0.0833333333333333),IF(OR(AND(F43="OFF",D43="OFF"),AND(F43="Congé",D43="Congé"),AND(F43="Congé sans solde",D43="Congé sans solde"),AND(F43="Congé spécial",D43="Congé spécial"),AND(F43="Férié",D43="Férié"),AND(F43="OFF",D43="Congé"),AND(F43="OFF",D43="Congé sans solde"),AND(F43="OFF",D43="Congé spécial"),AND(F43="OFF",D43="Férié"),AND(F43="Congé",D43="OFF"),AND(F43="Congé",D43="Congé sans solde"),AND(F43="Congé",D43="Congé spécial"),AND(F43="Congé",D43="Férié"),AND(F43="Congé sans solde",D43="OFF"),AND(F43="Congé sans solde",D43="Congé"),AND(F43="Congé sans solde",D43="Congé spécial"),AND(F43="Congé sans solde",D43="Férié"),AND(F43="Congé spécial",D43="OFF"),AND(F43="Congé spécial",D43="Congé"),AND(F43="Congé spécial",D43="Congé sans solde"),AND(F43="Congé spécial",D43="Férié"),AND(F43="Férié",D43="OFF"),AND(F43="Férié",D43="Congé"),AND(F43="Férié",D43="Congé sans solde"),AND(F43="Férié",D43="Congé spécial")),0,IF(OR(F43="OFF",F43="Congé",F43="Congé spécial",F43="Congé sans solde",D43="OFF",D43="Congé",D43="Congé spécial",D43="Congé sans solde"),0.208333333333334,IF(AND(AG43="",F43-D43&lt;0),("24:00:00"-D43)+("00:00:00"+F43)-0.0416666666666667,IF(AND(OR(AG43="Allaitement",AG43="Sans déjeuner"),F43-D43&lt;0),("24:00:00"-D43)+("00:00:00"+F43),IF(AND(AG43="",F43-D43&gt;0.166666666666667),F43-D43-0.0416666666666667,IF(AND(OR(AG43="Allaitement",AG43="Sans déjeuner"),F43-D43&gt;0.166666666666667),F43-D43,F43-D43)))))))</f>
        <v/>
      </c>
      <c r="P43" s="242">
        <f>IFERROR(VLOOKUP($B43,Annuaire_roster!$B:$G,MATCH(P$1,Annuaire_roster!$B$1:$G$1,0),0),"-")</f>
        <v/>
      </c>
      <c r="Q43" s="243" t="n">
        <v>44762</v>
      </c>
      <c r="R43" s="244">
        <f>IF(M43="Abs",O43,0)</f>
        <v/>
      </c>
      <c r="S43" s="244">
        <f>SUM(R43,L43,I43,J43,W43,H43)</f>
        <v/>
      </c>
      <c r="T43" s="209">
        <f>"Sem - "&amp;WEEKNUM(Q43,21)</f>
        <v/>
      </c>
      <c r="U43" s="209">
        <f>PROPER(TEXT(Q43,"mmmm"))</f>
        <v/>
      </c>
      <c r="V43" s="245">
        <f>+TEXT(Q43,"aaa")</f>
        <v/>
      </c>
      <c r="W43" s="240" t="n"/>
      <c r="X43" s="246">
        <f>IFERROR(IF(M43="Abs",0,IF((D43-C43+E43-F43)&lt;0.000694444444444444,0,(D43-C43+E43-F43))),0)</f>
        <v/>
      </c>
      <c r="Y43" s="247">
        <f>IFERROR(VLOOKUP(B43,Annuaire_roster!B:E,4,0),"-")</f>
        <v/>
      </c>
      <c r="Z43" s="247">
        <f>IFERROR(VLOOKUP(B43,Annuaire_roster!B:F,3,0),"-")</f>
        <v/>
      </c>
      <c r="AA43" s="247">
        <f>IFERROR(VLOOKUP(B43,Annuaire_roster!B:I,6,0),"-")</f>
        <v/>
      </c>
      <c r="AB43" s="248">
        <f>IF(AND(D43="Congé",F43="Congé"),0.333333333333333,IF(OR(AND(D43="Congé",F43&lt;&gt;"Congé"),(AND(F43="Congé",D43&lt;&gt;"Congé"))),0.166666666666667,""))</f>
        <v/>
      </c>
      <c r="AC43" s="248">
        <f>IF(AND(D43="Congé sans solde",F43="Congé sans solde"),0.333333333333333,IF(OR(AND(D43="Congé sans solde",F43&lt;&gt;"Congé sans solde"),(AND(F43="Congé sans solde",D43&lt;&gt;"Congé sans solde"))),0.166666666666667,""))</f>
        <v/>
      </c>
      <c r="AD43" s="248">
        <f>IF(AND(D43="Congé spécial",F43="Congé spécial"),0.333333333333333,IF(OR(AND(D43="Congé spécial",F43&lt;&gt;"Congé décès"),(AND(F43="Congé spécial",D43&lt;&gt;"Congé spécial"))),0.166666666666667,""))</f>
        <v/>
      </c>
      <c r="AE43" s="249">
        <f>IF(AND(D43="Férié",F43="Férié"),0.333333333333333,IF(OR(AND(D43="Férié",F43&lt;&gt;"Férié"),(AND(F43="Férié",D43&lt;&gt;"Férié"))),0.166666666666667,""))</f>
        <v/>
      </c>
      <c r="AF43" s="249" t="n"/>
      <c r="AG43" s="244" t="n"/>
    </row>
    <row r="44" hidden="1" ht="12.75" customHeight="1" s="231">
      <c r="A44" s="232">
        <f>VLOOKUP(B44,Annuaire_roster!B:F,5,0)</f>
        <v/>
      </c>
      <c r="B44" s="233" t="inlineStr">
        <is>
          <t>SECK DIARRA</t>
        </is>
      </c>
      <c r="C44" s="234">
        <f>IFERROR(IF(COUNTIFS(Connexions!$K:$K,$Q44,Connexions!$E:$E,VLOOKUP($B44,Mapping_Noms!$A:$B,2,0))=0,"",_xlfn.MINIFS(Connexions!$M:$M,Connexions!$K:$K,$Q44,Connexions!$E:$E,VLOOKUP($B44,Mapping_Noms!$A:$B,2,0))-TIME(1,0,0)),"")</f>
        <v/>
      </c>
      <c r="D44" s="234">
        <f t="array" ref="D44:D44">IFERROR(INDEX(Planning2[],MATCH(1,(Planning2[Nom]=B44)*(Planning2[Date]=Q44),0),3),"-")</f>
        <v/>
      </c>
      <c r="E44" s="235">
        <f>IFERROR(IF(COUNTIFS(Connexions!$K:$K,$Q44,Connexions!$E:$E,VLOOKUP($B44,Mapping_Noms!$A:$B,2,0))=0,"",_xlfn.MAXIFS(Connexions!$O:$O,Connexions!$K:$K,$Q44,Connexions!$E:$E,VLOOKUP($B44,Mapping_Noms!$A:$B,2,0))-TIME(1,0,0)),"")</f>
        <v/>
      </c>
      <c r="F44" s="235">
        <f t="array" ref="F44:F44">IFERROR(INDEX(Planning2[],MATCH(1,(Planning2[Nom]=B44)*(Planning2[Date]=Q44),0),4),"-")</f>
        <v/>
      </c>
      <c r="G44" s="405">
        <f>IFERROR(IF(OR(IFERROR(INDEX('Planning Pauses Dej'!$C:$C,MATCH($B44&amp;"|"&amp;TEXT($Q44,"YYYYMMDD"),'Planning Pauses Dej'!$F:$F,0)),"")="",IFERROR(INDEX('Planning Pauses Dej'!$D:$D,MATCH($B44&amp;"|"&amp;TEXT($Q44,"YYYYMMDD"),'Planning Pauses Dej'!$F:$F,0)),"")=""),"",_xlfn.MAXIFS(Connexions!$Q:$Q,Connexions!$K:$K,$Q44,Connexions!$E:$E,VLOOKUP($B44,Mapping_Noms!$A:$B,2,0),Connexions!$O:$O,"&lt;="&amp;(IFERROR(INDEX('Planning Pauses Dej'!$D:$D,MATCH($B44&amp;"|"&amp;TEXT($Q44,"YYYYMMDD"),'Planning Pauses Dej'!$F:$F,0)),"")+TIME(1,0,0)),Connexions!$P:$P,"&gt;="&amp;(IFERROR(INDEX('Planning Pauses Dej'!$C:$C,MATCH($B44&amp;"|"&amp;TEXT($Q44,"YYYYMMDD"),'Planning Pauses Dej'!$F:$F,0)),"")+TIME(1,0,0)))),"")</f>
        <v/>
      </c>
      <c r="H44" s="405">
        <f>IFERROR(IF(OR($G44="",IFERROR(INDEX('Planning Pauses Dej'!$C:$C,MATCH($B44&amp;"|"&amp;TEXT($Q44,"YYYYMMDD"),'Planning Pauses Dej'!$F:$F,0)),"")="",IFERROR(INDEX('Planning Pauses Dej'!$D:$D,MATCH($B44&amp;"|"&amp;TEXT($Q44,"YYYYMMDD"),'Planning Pauses Dej'!$F:$F,0)),"")=""),"",IF($G44&gt;(IFERROR(INDEX('Planning Pauses Dej'!$D:$D,MATCH($B44&amp;"|"&amp;TEXT($Q44,"YYYYMMDD"),'Planning Pauses Dej'!$F:$F,0)),"")-IFERROR(INDEX('Planning Pauses Dej'!$C:$C,MATCH($B44&amp;"|"&amp;TEXT($Q44,"YYYYMMDD"),'Planning Pauses Dej'!$F:$F,0)),"")),$G44-(IFERROR(INDEX('Planning Pauses Dej'!$D:$D,MATCH($B44&amp;"|"&amp;TEXT($Q44,"YYYYMMDD"),'Planning Pauses Dej'!$F:$F,0)),"")-IFERROR(INDEX('Planning Pauses Dej'!$C:$C,MATCH($B44&amp;"|"&amp;TEXT($Q44,"YYYYMMDD"),'Planning Pauses Dej'!$F:$F,0)),"")),0)),"")</f>
        <v/>
      </c>
      <c r="I44" s="251">
        <f>IF(IF(OR(C44="",D44="Congé",D44="OFF",D44="Congé spécial"),"",IF(D44&gt;F44,D44-C44,IF(C44-D44&lt;0,0,C44-D44)))&lt;0.00068287037037037,"",IF(OR(D44="Congé",D44="OFF",C44="",D44="Congé spécial"),"",IF(D44&gt;F44,D44-C44,IF(C44-D44&lt;0,0,C44-D44))))</f>
        <v/>
      </c>
      <c r="J44" s="405">
        <f>IFERROR(IF($G44="","",IF($G44&gt;TIME(1,0,0),$G44-TIME(1,0,0),0)),"")</f>
        <v/>
      </c>
      <c r="K44" s="238">
        <f>IF(SUM(H44:J44)&lt;0.00068287037037037,0,SUM(H44:J44))</f>
        <v/>
      </c>
      <c r="L44" s="236">
        <f>IF(OR(F44="Congé",F44="OFF",M44="Abs",F44="Congé sans solde",F44="Férié",F44="Congé spécial",D44="Congé spécial"),0,IF(F44-E44&lt;0,0,IF(F44-E44&lt;=0.00068287037037037,0,F44-E44)))</f>
        <v/>
      </c>
      <c r="M44" s="239">
        <f>IF(AND(O44&lt;&gt;0,C44=""),"Abs",0)</f>
        <v/>
      </c>
      <c r="N44" s="240">
        <f>IFERROR(IF(OR(D44="OFF",D44="Congé",M44="Abs",D44="Congé sans solde",D44="Férié"),"",IF(O44-K44-L44&gt;O44,O44,IF(O44-K44-L44&lt;0,"",O44-K44-L44))),"")</f>
        <v/>
      </c>
      <c r="O44" s="241">
        <f>IF(AG44="2H Pause déjeuner",IF(F44-D44-0.0833333333333333&lt;0,F44-D44-0.0833333333333333+1,F44-D44-0.0833333333333333),IF(OR(AND(F44="OFF",D44="OFF"),AND(F44="Congé",D44="Congé"),AND(F44="Congé sans solde",D44="Congé sans solde"),AND(F44="Congé spécial",D44="Congé spécial"),AND(F44="Férié",D44="Férié"),AND(F44="OFF",D44="Congé"),AND(F44="OFF",D44="Congé sans solde"),AND(F44="OFF",D44="Congé spécial"),AND(F44="OFF",D44="Férié"),AND(F44="Congé",D44="OFF"),AND(F44="Congé",D44="Congé sans solde"),AND(F44="Congé",D44="Congé spécial"),AND(F44="Congé",D44="Férié"),AND(F44="Congé sans solde",D44="OFF"),AND(F44="Congé sans solde",D44="Congé"),AND(F44="Congé sans solde",D44="Congé spécial"),AND(F44="Congé sans solde",D44="Férié"),AND(F44="Congé spécial",D44="OFF"),AND(F44="Congé spécial",D44="Congé"),AND(F44="Congé spécial",D44="Congé sans solde"),AND(F44="Congé spécial",D44="Férié"),AND(F44="Férié",D44="OFF"),AND(F44="Férié",D44="Congé"),AND(F44="Férié",D44="Congé sans solde"),AND(F44="Férié",D44="Congé spécial")),0,IF(OR(F44="OFF",F44="Congé",F44="Congé spécial",F44="Congé sans solde",D44="OFF",D44="Congé",D44="Congé spécial",D44="Congé sans solde"),0.208333333333334,IF(AND(AG44="",F44-D44&lt;0),("24:00:00"-D44)+("00:00:00"+F44)-0.0416666666666667,IF(AND(OR(AG44="Allaitement",AG44="Sans déjeuner"),F44-D44&lt;0),("24:00:00"-D44)+("00:00:00"+F44),IF(AND(AG44="",F44-D44&gt;0.166666666666667),F44-D44-0.0416666666666667,IF(AND(OR(AG44="Allaitement",AG44="Sans déjeuner"),F44-D44&gt;0.166666666666667),F44-D44,F44-D44)))))))</f>
        <v/>
      </c>
      <c r="P44" s="242">
        <f>IFERROR(VLOOKUP($B44,Annuaire_roster!$B:$G,MATCH(P$1,Annuaire_roster!$B$1:$G$1,0),0),"-")</f>
        <v/>
      </c>
      <c r="Q44" s="243" t="n">
        <v>44762</v>
      </c>
      <c r="R44" s="244">
        <f>IF(M44="Abs",O44,0)</f>
        <v/>
      </c>
      <c r="S44" s="244">
        <f>SUM(R44,L44,I44,J44,W44,H44)</f>
        <v/>
      </c>
      <c r="T44" s="209">
        <f>"Sem - "&amp;WEEKNUM(Q44,21)</f>
        <v/>
      </c>
      <c r="U44" s="209">
        <f>PROPER(TEXT(Q44,"mmmm"))</f>
        <v/>
      </c>
      <c r="V44" s="245">
        <f>+TEXT(Q44,"aaa")</f>
        <v/>
      </c>
      <c r="W44" s="240" t="n"/>
      <c r="X44" s="246">
        <f>IFERROR(IF(M44="Abs",0,IF((D44-C44+E44-F44)&lt;0.000694444444444444,0,(D44-C44+E44-F44))),0)</f>
        <v/>
      </c>
      <c r="Y44" s="247">
        <f>IFERROR(VLOOKUP(B44,Annuaire_roster!B:E,4,0),"-")</f>
        <v/>
      </c>
      <c r="Z44" s="247">
        <f>IFERROR(VLOOKUP(B44,Annuaire_roster!B:F,3,0),"-")</f>
        <v/>
      </c>
      <c r="AA44" s="247">
        <f>IFERROR(VLOOKUP(B44,Annuaire_roster!B:I,6,0),"-")</f>
        <v/>
      </c>
      <c r="AB44" s="248">
        <f>IF(AND(D44="Congé",F44="Congé"),0.333333333333333,IF(OR(AND(D44="Congé",F44&lt;&gt;"Congé"),(AND(F44="Congé",D44&lt;&gt;"Congé"))),0.166666666666667,""))</f>
        <v/>
      </c>
      <c r="AC44" s="248">
        <f>IF(AND(D44="Congé sans solde",F44="Congé sans solde"),0.333333333333333,IF(OR(AND(D44="Congé sans solde",F44&lt;&gt;"Congé sans solde"),(AND(F44="Congé sans solde",D44&lt;&gt;"Congé sans solde"))),0.166666666666667,""))</f>
        <v/>
      </c>
      <c r="AD44" s="248">
        <f>IF(AND(D44="Congé spécial",F44="Congé spécial"),0.333333333333333,IF(OR(AND(D44="Congé spécial",F44&lt;&gt;"Congé décès"),(AND(F44="Congé spécial",D44&lt;&gt;"Congé spécial"))),0.166666666666667,""))</f>
        <v/>
      </c>
      <c r="AE44" s="249">
        <f>IF(AND(D44="Férié",F44="Férié"),0.333333333333333,IF(OR(AND(D44="Férié",F44&lt;&gt;"Férié"),(AND(F44="Férié",D44&lt;&gt;"Férié"))),0.166666666666667,""))</f>
        <v/>
      </c>
      <c r="AF44" s="249" t="n"/>
      <c r="AG44" s="244" t="n"/>
    </row>
    <row r="45" hidden="1" ht="12.75" customHeight="1" s="231">
      <c r="A45" s="232">
        <f>VLOOKUP(B45,Annuaire_roster!B:F,5,0)</f>
        <v/>
      </c>
      <c r="B45" s="233" t="inlineStr">
        <is>
          <t>GUEYE GORA</t>
        </is>
      </c>
      <c r="C45" s="234">
        <f>IFERROR(IF(COUNTIFS(Connexions!$K:$K,$Q45,Connexions!$E:$E,VLOOKUP($B45,Mapping_Noms!$A:$B,2,0))=0,"",_xlfn.MINIFS(Connexions!$M:$M,Connexions!$K:$K,$Q45,Connexions!$E:$E,VLOOKUP($B45,Mapping_Noms!$A:$B,2,0))-TIME(1,0,0)),"")</f>
        <v/>
      </c>
      <c r="D45" s="234">
        <f t="array" ref="D45:D45">IFERROR(INDEX(Planning2[],MATCH(1,(Planning2[Nom]=B45)*(Planning2[Date]=Q45),0),3),"-")</f>
        <v/>
      </c>
      <c r="E45" s="235">
        <f>IFERROR(IF(COUNTIFS(Connexions!$K:$K,$Q45,Connexions!$E:$E,VLOOKUP($B45,Mapping_Noms!$A:$B,2,0))=0,"",_xlfn.MAXIFS(Connexions!$O:$O,Connexions!$K:$K,$Q45,Connexions!$E:$E,VLOOKUP($B45,Mapping_Noms!$A:$B,2,0))-TIME(1,0,0)),"")</f>
        <v/>
      </c>
      <c r="F45" s="235">
        <f t="array" ref="F45:F45">IFERROR(INDEX(Planning2[],MATCH(1,(Planning2[Nom]=B45)*(Planning2[Date]=Q45),0),4),"-")</f>
        <v/>
      </c>
      <c r="G45" s="405">
        <f>IFERROR(IF(OR(IFERROR(INDEX('Planning Pauses Dej'!$C:$C,MATCH($B45&amp;"|"&amp;TEXT($Q45,"YYYYMMDD"),'Planning Pauses Dej'!$F:$F,0)),"")="",IFERROR(INDEX('Planning Pauses Dej'!$D:$D,MATCH($B45&amp;"|"&amp;TEXT($Q45,"YYYYMMDD"),'Planning Pauses Dej'!$F:$F,0)),"")=""),"",_xlfn.MAXIFS(Connexions!$Q:$Q,Connexions!$K:$K,$Q45,Connexions!$E:$E,VLOOKUP($B45,Mapping_Noms!$A:$B,2,0),Connexions!$O:$O,"&lt;="&amp;(IFERROR(INDEX('Planning Pauses Dej'!$D:$D,MATCH($B45&amp;"|"&amp;TEXT($Q45,"YYYYMMDD"),'Planning Pauses Dej'!$F:$F,0)),"")+TIME(1,0,0)),Connexions!$P:$P,"&gt;="&amp;(IFERROR(INDEX('Planning Pauses Dej'!$C:$C,MATCH($B45&amp;"|"&amp;TEXT($Q45,"YYYYMMDD"),'Planning Pauses Dej'!$F:$F,0)),"")+TIME(1,0,0)))),"")</f>
        <v/>
      </c>
      <c r="H45" s="405">
        <f>IFERROR(IF(OR($G45="",IFERROR(INDEX('Planning Pauses Dej'!$C:$C,MATCH($B45&amp;"|"&amp;TEXT($Q45,"YYYYMMDD"),'Planning Pauses Dej'!$F:$F,0)),"")="",IFERROR(INDEX('Planning Pauses Dej'!$D:$D,MATCH($B45&amp;"|"&amp;TEXT($Q45,"YYYYMMDD"),'Planning Pauses Dej'!$F:$F,0)),"")=""),"",IF($G45&gt;(IFERROR(INDEX('Planning Pauses Dej'!$D:$D,MATCH($B45&amp;"|"&amp;TEXT($Q45,"YYYYMMDD"),'Planning Pauses Dej'!$F:$F,0)),"")-IFERROR(INDEX('Planning Pauses Dej'!$C:$C,MATCH($B45&amp;"|"&amp;TEXT($Q45,"YYYYMMDD"),'Planning Pauses Dej'!$F:$F,0)),"")),$G45-(IFERROR(INDEX('Planning Pauses Dej'!$D:$D,MATCH($B45&amp;"|"&amp;TEXT($Q45,"YYYYMMDD"),'Planning Pauses Dej'!$F:$F,0)),"")-IFERROR(INDEX('Planning Pauses Dej'!$C:$C,MATCH($B45&amp;"|"&amp;TEXT($Q45,"YYYYMMDD"),'Planning Pauses Dej'!$F:$F,0)),"")),0)),"")</f>
        <v/>
      </c>
      <c r="I45" s="251">
        <f>IF(IF(OR(C45="",D45="Congé",D45="OFF",D45="Congé spécial"),"",IF(D45&gt;F45,D45-C45,IF(C45-D45&lt;0,0,C45-D45)))&lt;0.00068287037037037,"",IF(OR(D45="Congé",D45="OFF",C45="",D45="Congé spécial"),"",IF(D45&gt;F45,D45-C45,IF(C45-D45&lt;0,0,C45-D45))))</f>
        <v/>
      </c>
      <c r="J45" s="405">
        <f>IFERROR(IF($G45="","",IF($G45&gt;TIME(1,0,0),$G45-TIME(1,0,0),0)),"")</f>
        <v/>
      </c>
      <c r="K45" s="238">
        <f>IF(SUM(H45:J45)&lt;0.00068287037037037,0,SUM(H45:J45))</f>
        <v/>
      </c>
      <c r="L45" s="236">
        <f>IF(OR(F45="Congé",F45="OFF",M45="Abs",F45="Congé sans solde",F45="Férié",F45="Congé spécial",D45="Congé spécial"),0,IF(F45-E45&lt;0,0,IF(F45-E45&lt;=0.00068287037037037,0,F45-E45)))</f>
        <v/>
      </c>
      <c r="M45" s="239">
        <f>IF(AND(O45&lt;&gt;0,C45=""),"Abs",0)</f>
        <v/>
      </c>
      <c r="N45" s="240">
        <f>IFERROR(IF(OR(D45="OFF",D45="Congé",M45="Abs",D45="Congé sans solde",D45="Férié"),"",IF(O45-K45-L45&gt;O45,O45,IF(O45-K45-L45&lt;0,"",O45-K45-L45))),"")</f>
        <v/>
      </c>
      <c r="O45" s="241">
        <f>IF(AG45="2H Pause déjeuner",IF(F45-D45-0.0833333333333333&lt;0,F45-D45-0.0833333333333333+1,F45-D45-0.0833333333333333),IF(OR(AND(F45="OFF",D45="OFF"),AND(F45="Congé",D45="Congé"),AND(F45="Congé sans solde",D45="Congé sans solde"),AND(F45="Congé spécial",D45="Congé spécial"),AND(F45="Férié",D45="Férié"),AND(F45="OFF",D45="Congé"),AND(F45="OFF",D45="Congé sans solde"),AND(F45="OFF",D45="Congé spécial"),AND(F45="OFF",D45="Férié"),AND(F45="Congé",D45="OFF"),AND(F45="Congé",D45="Congé sans solde"),AND(F45="Congé",D45="Congé spécial"),AND(F45="Congé",D45="Férié"),AND(F45="Congé sans solde",D45="OFF"),AND(F45="Congé sans solde",D45="Congé"),AND(F45="Congé sans solde",D45="Congé spécial"),AND(F45="Congé sans solde",D45="Férié"),AND(F45="Congé spécial",D45="OFF"),AND(F45="Congé spécial",D45="Congé"),AND(F45="Congé spécial",D45="Congé sans solde"),AND(F45="Congé spécial",D45="Férié"),AND(F45="Férié",D45="OFF"),AND(F45="Férié",D45="Congé"),AND(F45="Férié",D45="Congé sans solde"),AND(F45="Férié",D45="Congé spécial")),0,IF(OR(F45="OFF",F45="Congé",F45="Congé spécial",F45="Congé sans solde",D45="OFF",D45="Congé",D45="Congé spécial",D45="Congé sans solde"),0.208333333333334,IF(AND(AG45="",F45-D45&lt;0),("24:00:00"-D45)+("00:00:00"+F45)-0.0416666666666667,IF(AND(OR(AG45="Allaitement",AG45="Sans déjeuner"),F45-D45&lt;0),("24:00:00"-D45)+("00:00:00"+F45),IF(AND(AG45="",F45-D45&gt;0.166666666666667),F45-D45-0.0416666666666667,IF(AND(OR(AG45="Allaitement",AG45="Sans déjeuner"),F45-D45&gt;0.166666666666667),F45-D45,F45-D45)))))))</f>
        <v/>
      </c>
      <c r="P45" s="242">
        <f>IFERROR(VLOOKUP($B45,Annuaire_roster!$B:$G,MATCH(P$1,Annuaire_roster!$B$1:$G$1,0),0),"-")</f>
        <v/>
      </c>
      <c r="Q45" s="243" t="n">
        <v>44762</v>
      </c>
      <c r="R45" s="244">
        <f>IF(M45="Abs",O45,0)</f>
        <v/>
      </c>
      <c r="S45" s="244">
        <f>SUM(R45,L45,I45,J45,W45,H45)</f>
        <v/>
      </c>
      <c r="T45" s="209">
        <f>"Sem - "&amp;WEEKNUM(Q45,21)</f>
        <v/>
      </c>
      <c r="U45" s="209">
        <f>PROPER(TEXT(Q45,"mmmm"))</f>
        <v/>
      </c>
      <c r="V45" s="245">
        <f>+TEXT(Q45,"aaa")</f>
        <v/>
      </c>
      <c r="W45" s="240" t="n"/>
      <c r="X45" s="246">
        <f>IFERROR(IF(M45="Abs",0,IF((D45-C45+E45-F45)&lt;0.000694444444444444,0,(D45-C45+E45-F45))),0)</f>
        <v/>
      </c>
      <c r="Y45" s="247">
        <f>IFERROR(VLOOKUP(B45,Annuaire_roster!B:E,4,0),"-")</f>
        <v/>
      </c>
      <c r="Z45" s="247">
        <f>IFERROR(VLOOKUP(B45,Annuaire_roster!B:F,3,0),"-")</f>
        <v/>
      </c>
      <c r="AA45" s="247">
        <f>IFERROR(VLOOKUP(B45,Annuaire_roster!B:I,6,0),"-")</f>
        <v/>
      </c>
      <c r="AB45" s="248">
        <f>IF(AND(D45="Congé",F45="Congé"),0.333333333333333,IF(OR(AND(D45="Congé",F45&lt;&gt;"Congé"),(AND(F45="Congé",D45&lt;&gt;"Congé"))),0.166666666666667,""))</f>
        <v/>
      </c>
      <c r="AC45" s="248">
        <f>IF(AND(D45="Congé sans solde",F45="Congé sans solde"),0.333333333333333,IF(OR(AND(D45="Congé sans solde",F45&lt;&gt;"Congé sans solde"),(AND(F45="Congé sans solde",D45&lt;&gt;"Congé sans solde"))),0.166666666666667,""))</f>
        <v/>
      </c>
      <c r="AD45" s="248">
        <f>IF(AND(D45="Congé spécial",F45="Congé spécial"),0.333333333333333,IF(OR(AND(D45="Congé spécial",F45&lt;&gt;"Congé décès"),(AND(F45="Congé spécial",D45&lt;&gt;"Congé spécial"))),0.166666666666667,""))</f>
        <v/>
      </c>
      <c r="AE45" s="249">
        <f>IF(AND(D45="Férié",F45="Férié"),0.333333333333333,IF(OR(AND(D45="Férié",F45&lt;&gt;"Férié"),(AND(F45="Férié",D45&lt;&gt;"Férié"))),0.166666666666667,""))</f>
        <v/>
      </c>
      <c r="AF45" s="249" t="n"/>
      <c r="AG45" s="244" t="n"/>
    </row>
    <row r="46" hidden="1" ht="12.75" customHeight="1" s="231">
      <c r="A46" s="253">
        <f>VLOOKUP(B46,Annuaire_roster!B:F,5,0)</f>
        <v/>
      </c>
      <c r="B46" s="233" t="inlineStr">
        <is>
          <t>SOUOUD ZAKARIA</t>
        </is>
      </c>
      <c r="C46" s="234">
        <f>IFERROR(IF(COUNTIFS(Connexions!$K:$K,$Q46,Connexions!$E:$E,VLOOKUP($B46,Mapping_Noms!$A:$B,2,0))=0,"",_xlfn.MINIFS(Connexions!$M:$M,Connexions!$K:$K,$Q46,Connexions!$E:$E,VLOOKUP($B46,Mapping_Noms!$A:$B,2,0))-TIME(1,0,0)),"")</f>
        <v/>
      </c>
      <c r="D46" s="234">
        <f t="array" ref="D46:D46">IFERROR(INDEX(Planning2[],MATCH(1,(Planning2[Nom]=B46)*(Planning2[Date]=Q46),0),3),"-")</f>
        <v/>
      </c>
      <c r="E46" s="235">
        <f>IFERROR(IF(COUNTIFS(Connexions!$K:$K,$Q46,Connexions!$E:$E,VLOOKUP($B46,Mapping_Noms!$A:$B,2,0))=0,"",_xlfn.MAXIFS(Connexions!$O:$O,Connexions!$K:$K,$Q46,Connexions!$E:$E,VLOOKUP($B46,Mapping_Noms!$A:$B,2,0))-TIME(1,0,0)),"")</f>
        <v/>
      </c>
      <c r="F46" s="235">
        <f t="array" ref="F46:F46">IFERROR(INDEX(Planning2[],MATCH(1,(Planning2[Nom]=B46)*(Planning2[Date]=Q46),0),4),"-")</f>
        <v/>
      </c>
      <c r="G46" s="405">
        <f>IFERROR(IF(OR(IFERROR(INDEX('Planning Pauses Dej'!$C:$C,MATCH($B46&amp;"|"&amp;TEXT($Q46,"YYYYMMDD"),'Planning Pauses Dej'!$F:$F,0)),"")="",IFERROR(INDEX('Planning Pauses Dej'!$D:$D,MATCH($B46&amp;"|"&amp;TEXT($Q46,"YYYYMMDD"),'Planning Pauses Dej'!$F:$F,0)),"")=""),"",_xlfn.MAXIFS(Connexions!$Q:$Q,Connexions!$K:$K,$Q46,Connexions!$E:$E,VLOOKUP($B46,Mapping_Noms!$A:$B,2,0),Connexions!$O:$O,"&lt;="&amp;(IFERROR(INDEX('Planning Pauses Dej'!$D:$D,MATCH($B46&amp;"|"&amp;TEXT($Q46,"YYYYMMDD"),'Planning Pauses Dej'!$F:$F,0)),"")+TIME(1,0,0)),Connexions!$P:$P,"&gt;="&amp;(IFERROR(INDEX('Planning Pauses Dej'!$C:$C,MATCH($B46&amp;"|"&amp;TEXT($Q46,"YYYYMMDD"),'Planning Pauses Dej'!$F:$F,0)),"")+TIME(1,0,0)))),"")</f>
        <v/>
      </c>
      <c r="H46" s="405">
        <f>IFERROR(IF(OR($G46="",IFERROR(INDEX('Planning Pauses Dej'!$C:$C,MATCH($B46&amp;"|"&amp;TEXT($Q46,"YYYYMMDD"),'Planning Pauses Dej'!$F:$F,0)),"")="",IFERROR(INDEX('Planning Pauses Dej'!$D:$D,MATCH($B46&amp;"|"&amp;TEXT($Q46,"YYYYMMDD"),'Planning Pauses Dej'!$F:$F,0)),"")=""),"",IF($G46&gt;(IFERROR(INDEX('Planning Pauses Dej'!$D:$D,MATCH($B46&amp;"|"&amp;TEXT($Q46,"YYYYMMDD"),'Planning Pauses Dej'!$F:$F,0)),"")-IFERROR(INDEX('Planning Pauses Dej'!$C:$C,MATCH($B46&amp;"|"&amp;TEXT($Q46,"YYYYMMDD"),'Planning Pauses Dej'!$F:$F,0)),"")),$G46-(IFERROR(INDEX('Planning Pauses Dej'!$D:$D,MATCH($B46&amp;"|"&amp;TEXT($Q46,"YYYYMMDD"),'Planning Pauses Dej'!$F:$F,0)),"")-IFERROR(INDEX('Planning Pauses Dej'!$C:$C,MATCH($B46&amp;"|"&amp;TEXT($Q46,"YYYYMMDD"),'Planning Pauses Dej'!$F:$F,0)),"")),0)),"")</f>
        <v/>
      </c>
      <c r="I46" s="251">
        <f>IF(IF(OR(C46="",D46="Congé",D46="OFF",D46="Congé spécial"),"",IF(D46&gt;F46,D46-C46,IF(C46-D46&lt;0,0,C46-D46)))&lt;0.00068287037037037,"",IF(OR(D46="Congé",D46="OFF",C46="",D46="Congé spécial"),"",IF(D46&gt;F46,D46-C46,IF(C46-D46&lt;0,0,C46-D46))))</f>
        <v/>
      </c>
      <c r="J46" s="405">
        <f>IFERROR(IF($G46="","",IF($G46&gt;TIME(1,0,0),$G46-TIME(1,0,0),0)),"")</f>
        <v/>
      </c>
      <c r="K46" s="238">
        <f>IF(SUM(H46:J46)&lt;0.00068287037037037,0,SUM(H46:J46))</f>
        <v/>
      </c>
      <c r="L46" s="236">
        <f>IF(OR(F46="Congé",F46="OFF",M46="Abs",F46="Congé sans solde",F46="Férié",F46="Congé spécial",D46="Congé spécial"),0,IF(F46-E46&lt;0,0,IF(F46-E46&lt;=0.00068287037037037,0,F46-E46)))</f>
        <v/>
      </c>
      <c r="M46" s="239">
        <f>IF(AND(O46&lt;&gt;0,C46=""),"Abs",0)</f>
        <v/>
      </c>
      <c r="N46" s="254">
        <f>IFERROR(IF(OR(D46="OFF",D46="Congé",M46="Abs",D46="Congé sans solde",D46="Férié"),"",IF(O46-K46-L46&gt;O46,O46,IF(O46-K46-L46&lt;0,"",O46-K46-L46))),"")</f>
        <v/>
      </c>
      <c r="O46" s="241">
        <f>IF(AG46="2H Pause déjeuner",IF(F46-D46-0.0833333333333333&lt;0,F46-D46-0.0833333333333333+1,F46-D46-0.0833333333333333),IF(OR(AND(F46="OFF",D46="OFF"),AND(F46="Congé",D46="Congé"),AND(F46="Congé sans solde",D46="Congé sans solde"),AND(F46="Congé spécial",D46="Congé spécial"),AND(F46="Férié",D46="Férié"),AND(F46="OFF",D46="Congé"),AND(F46="OFF",D46="Congé sans solde"),AND(F46="OFF",D46="Congé spécial"),AND(F46="OFF",D46="Férié"),AND(F46="Congé",D46="OFF"),AND(F46="Congé",D46="Congé sans solde"),AND(F46="Congé",D46="Congé spécial"),AND(F46="Congé",D46="Férié"),AND(F46="Congé sans solde",D46="OFF"),AND(F46="Congé sans solde",D46="Congé"),AND(F46="Congé sans solde",D46="Congé spécial"),AND(F46="Congé sans solde",D46="Férié"),AND(F46="Congé spécial",D46="OFF"),AND(F46="Congé spécial",D46="Congé"),AND(F46="Congé spécial",D46="Congé sans solde"),AND(F46="Congé spécial",D46="Férié"),AND(F46="Férié",D46="OFF"),AND(F46="Férié",D46="Congé"),AND(F46="Férié",D46="Congé sans solde"),AND(F46="Férié",D46="Congé spécial")),0,IF(OR(F46="OFF",F46="Congé",F46="Congé spécial",F46="Congé sans solde",D46="OFF",D46="Congé",D46="Congé spécial",D46="Congé sans solde"),0.208333333333334,IF(AND(AG46="",F46-D46&lt;0),("24:00:00"-D46)+("00:00:00"+F46)-0.0416666666666667,IF(AND(OR(AG46="Allaitement",AG46="Sans déjeuner"),F46-D46&lt;0),("24:00:00"-D46)+("00:00:00"+F46),IF(AND(AG46="",F46-D46&gt;0.166666666666667),F46-D46-0.0416666666666667,IF(AND(OR(AG46="Allaitement",AG46="Sans déjeuner"),F46-D46&gt;0.166666666666667),F46-D46,F46-D46)))))))</f>
        <v/>
      </c>
      <c r="P46" s="242">
        <f>IFERROR(VLOOKUP($B46,Annuaire_roster!$B:$G,MATCH(P$1,Annuaire_roster!$B$1:$G$1,0),0),"-")</f>
        <v/>
      </c>
      <c r="Q46" s="255" t="n">
        <v>44762</v>
      </c>
      <c r="R46" s="248">
        <f>IF(M46="Abs",O46,0)</f>
        <v/>
      </c>
      <c r="S46" s="248">
        <f>SUM(R46,L46,I46,J46,W46,H46)</f>
        <v/>
      </c>
      <c r="T46" s="209">
        <f>"Sem - "&amp;WEEKNUM(Q46,21)</f>
        <v/>
      </c>
      <c r="U46" s="209">
        <f>PROPER(TEXT(Q46,"mmmm"))</f>
        <v/>
      </c>
      <c r="V46" s="256">
        <f>+TEXT(Q46,"aaa")</f>
        <v/>
      </c>
      <c r="W46" s="254" t="n"/>
      <c r="X46" s="257">
        <f>IFERROR(IF(M46="Abs",0,IF((D46-C46+E46-F46)&lt;0.000694444444444444,0,(D46-C46+E46-F46))),0)</f>
        <v/>
      </c>
      <c r="Y46" s="258">
        <f>IFERROR(VLOOKUP(B46,Annuaire_roster!B:E,4,0),"-")</f>
        <v/>
      </c>
      <c r="Z46" s="258">
        <f>IFERROR(VLOOKUP(B46,Annuaire_roster!B:F,3,0),"-")</f>
        <v/>
      </c>
      <c r="AA46" s="258">
        <f>IFERROR(VLOOKUP(B46,Annuaire_roster!B:I,6,0),"-")</f>
        <v/>
      </c>
      <c r="AB46" s="248">
        <f>IF(AND(D46="Congé",F46="Congé"),0.333333333333333,IF(OR(AND(D46="Congé",F46&lt;&gt;"Congé"),(AND(F46="Congé",D46&lt;&gt;"Congé"))),0.166666666666667,""))</f>
        <v/>
      </c>
      <c r="AC46" s="248">
        <f>IF(AND(D46="Congé sans solde",F46="Congé sans solde"),0.333333333333333,IF(OR(AND(D46="Congé sans solde",F46&lt;&gt;"Congé sans solde"),(AND(F46="Congé sans solde",D46&lt;&gt;"Congé sans solde"))),0.166666666666667,""))</f>
        <v/>
      </c>
      <c r="AD46" s="248">
        <f>IF(AND(D46="Congé spécial",F46="Congé spécial"),0.333333333333333,IF(OR(AND(D46="Congé spécial",F46&lt;&gt;"Congé décès"),(AND(F46="Congé spécial",D46&lt;&gt;"Congé spécial"))),0.166666666666667,""))</f>
        <v/>
      </c>
      <c r="AE46" s="259">
        <f>IF(AND(D46="Férié",F46="Férié"),0.333333333333333,IF(OR(AND(D46="Férié",F46&lt;&gt;"Férié"),(AND(F46="Férié",D46&lt;&gt;"Férié"))),0.166666666666667,""))</f>
        <v/>
      </c>
      <c r="AF46" s="259" t="n"/>
      <c r="AG46" s="248" t="n"/>
    </row>
    <row r="47" hidden="1" ht="12.75" customHeight="1" s="231">
      <c r="A47" s="232">
        <f>VLOOKUP(B47,Annuaire_roster!B:F,5,0)</f>
        <v/>
      </c>
      <c r="B47" s="233" t="inlineStr">
        <is>
          <t>TOURE ABIBOU</t>
        </is>
      </c>
      <c r="C47" s="234">
        <f>IFERROR(IF(COUNTIFS(Connexions!$K:$K,$Q47,Connexions!$E:$E,VLOOKUP($B47,Mapping_Noms!$A:$B,2,0))=0,"",_xlfn.MINIFS(Connexions!$M:$M,Connexions!$K:$K,$Q47,Connexions!$E:$E,VLOOKUP($B47,Mapping_Noms!$A:$B,2,0))-TIME(1,0,0)),"")</f>
        <v/>
      </c>
      <c r="D47" s="234">
        <f t="array" ref="D47:D47">IFERROR(INDEX(Planning2[],MATCH(1,(Planning2[Nom]=B47)*(Planning2[Date]=Q47),0),3),"-")</f>
        <v/>
      </c>
      <c r="E47" s="235">
        <f>IFERROR(IF(COUNTIFS(Connexions!$K:$K,$Q47,Connexions!$E:$E,VLOOKUP($B47,Mapping_Noms!$A:$B,2,0))=0,"",_xlfn.MAXIFS(Connexions!$O:$O,Connexions!$K:$K,$Q47,Connexions!$E:$E,VLOOKUP($B47,Mapping_Noms!$A:$B,2,0))-TIME(1,0,0)),"")</f>
        <v/>
      </c>
      <c r="F47" s="235">
        <f t="array" ref="F47:F47">IFERROR(INDEX(Planning2[],MATCH(1,(Planning2[Nom]=B47)*(Planning2[Date]=Q47),0),4),"-")</f>
        <v/>
      </c>
      <c r="G47" s="405">
        <f>IFERROR(IF(OR(IFERROR(INDEX('Planning Pauses Dej'!$C:$C,MATCH($B47&amp;"|"&amp;TEXT($Q47,"YYYYMMDD"),'Planning Pauses Dej'!$F:$F,0)),"")="",IFERROR(INDEX('Planning Pauses Dej'!$D:$D,MATCH($B47&amp;"|"&amp;TEXT($Q47,"YYYYMMDD"),'Planning Pauses Dej'!$F:$F,0)),"")=""),"",_xlfn.MAXIFS(Connexions!$Q:$Q,Connexions!$K:$K,$Q47,Connexions!$E:$E,VLOOKUP($B47,Mapping_Noms!$A:$B,2,0),Connexions!$O:$O,"&lt;="&amp;(IFERROR(INDEX('Planning Pauses Dej'!$D:$D,MATCH($B47&amp;"|"&amp;TEXT($Q47,"YYYYMMDD"),'Planning Pauses Dej'!$F:$F,0)),"")+TIME(1,0,0)),Connexions!$P:$P,"&gt;="&amp;(IFERROR(INDEX('Planning Pauses Dej'!$C:$C,MATCH($B47&amp;"|"&amp;TEXT($Q47,"YYYYMMDD"),'Planning Pauses Dej'!$F:$F,0)),"")+TIME(1,0,0)))),"")</f>
        <v/>
      </c>
      <c r="H47" s="405">
        <f>IFERROR(IF(OR($G47="",IFERROR(INDEX('Planning Pauses Dej'!$C:$C,MATCH($B47&amp;"|"&amp;TEXT($Q47,"YYYYMMDD"),'Planning Pauses Dej'!$F:$F,0)),"")="",IFERROR(INDEX('Planning Pauses Dej'!$D:$D,MATCH($B47&amp;"|"&amp;TEXT($Q47,"YYYYMMDD"),'Planning Pauses Dej'!$F:$F,0)),"")=""),"",IF($G47&gt;(IFERROR(INDEX('Planning Pauses Dej'!$D:$D,MATCH($B47&amp;"|"&amp;TEXT($Q47,"YYYYMMDD"),'Planning Pauses Dej'!$F:$F,0)),"")-IFERROR(INDEX('Planning Pauses Dej'!$C:$C,MATCH($B47&amp;"|"&amp;TEXT($Q47,"YYYYMMDD"),'Planning Pauses Dej'!$F:$F,0)),"")),$G47-(IFERROR(INDEX('Planning Pauses Dej'!$D:$D,MATCH($B47&amp;"|"&amp;TEXT($Q47,"YYYYMMDD"),'Planning Pauses Dej'!$F:$F,0)),"")-IFERROR(INDEX('Planning Pauses Dej'!$C:$C,MATCH($B47&amp;"|"&amp;TEXT($Q47,"YYYYMMDD"),'Planning Pauses Dej'!$F:$F,0)),"")),0)),"")</f>
        <v/>
      </c>
      <c r="I47" s="251">
        <f>IF(IF(OR(C47="",D47="Congé",D47="OFF",D47="Congé spécial"),"",IF(D47&gt;F47,D47-C47,IF(C47-D47&lt;0,0,C47-D47)))&lt;0.00068287037037037,"",IF(OR(D47="Congé",D47="OFF",C47="",D47="Congé spécial"),"",IF(D47&gt;F47,D47-C47,IF(C47-D47&lt;0,0,C47-D47))))</f>
        <v/>
      </c>
      <c r="J47" s="405">
        <f>IFERROR(IF($G47="","",IF($G47&gt;TIME(1,0,0),$G47-TIME(1,0,0),0)),"")</f>
        <v/>
      </c>
      <c r="K47" s="238">
        <f>IF(SUM(H47:J47)&lt;0.00068287037037037,0,SUM(H47:J47))</f>
        <v/>
      </c>
      <c r="L47" s="236">
        <f>IF(OR(F47="Congé",F47="OFF",M47="Abs",F47="Congé sans solde",F47="Férié",F47="Congé spécial",D47="Congé spécial"),0,IF(F47-E47&lt;0,0,IF(F47-E47&lt;=0.00068287037037037,0,F47-E47)))</f>
        <v/>
      </c>
      <c r="M47" s="239">
        <f>IF(AND(O47&lt;&gt;0,C47=""),"Abs",0)</f>
        <v/>
      </c>
      <c r="N47" s="240">
        <f>IFERROR(IF(OR(D47="OFF",D47="Congé",M47="Abs",D47="Congé sans solde",D47="Férié"),"",IF(O47-K47-L47&gt;O47,O47,IF(O47-K47-L47&lt;0,"",O47-K47-L47))),"")</f>
        <v/>
      </c>
      <c r="O47" s="241">
        <f>IF(AG47="2H Pause déjeuner",IF(F47-D47-0.0833333333333333&lt;0,F47-D47-0.0833333333333333+1,F47-D47-0.0833333333333333),IF(OR(AND(F47="OFF",D47="OFF"),AND(F47="Congé",D47="Congé"),AND(F47="Congé sans solde",D47="Congé sans solde"),AND(F47="Congé spécial",D47="Congé spécial"),AND(F47="Férié",D47="Férié"),AND(F47="OFF",D47="Congé"),AND(F47="OFF",D47="Congé sans solde"),AND(F47="OFF",D47="Congé spécial"),AND(F47="OFF",D47="Férié"),AND(F47="Congé",D47="OFF"),AND(F47="Congé",D47="Congé sans solde"),AND(F47="Congé",D47="Congé spécial"),AND(F47="Congé",D47="Férié"),AND(F47="Congé sans solde",D47="OFF"),AND(F47="Congé sans solde",D47="Congé"),AND(F47="Congé sans solde",D47="Congé spécial"),AND(F47="Congé sans solde",D47="Férié"),AND(F47="Congé spécial",D47="OFF"),AND(F47="Congé spécial",D47="Congé"),AND(F47="Congé spécial",D47="Congé sans solde"),AND(F47="Congé spécial",D47="Férié"),AND(F47="Férié",D47="OFF"),AND(F47="Férié",D47="Congé"),AND(F47="Férié",D47="Congé sans solde"),AND(F47="Férié",D47="Congé spécial")),0,IF(OR(F47="OFF",F47="Congé",F47="Congé spécial",F47="Congé sans solde",D47="OFF",D47="Congé",D47="Congé spécial",D47="Congé sans solde"),0.208333333333334,IF(AND(AG47="",F47-D47&lt;0),("24:00:00"-D47)+("00:00:00"+F47)-0.0416666666666667,IF(AND(OR(AG47="Allaitement",AG47="Sans déjeuner"),F47-D47&lt;0),("24:00:00"-D47)+("00:00:00"+F47),IF(AND(AG47="",F47-D47&gt;0.166666666666667),F47-D47-0.0416666666666667,IF(AND(OR(AG47="Allaitement",AG47="Sans déjeuner"),F47-D47&gt;0.166666666666667),F47-D47,F47-D47)))))))</f>
        <v/>
      </c>
      <c r="P47" s="242">
        <f>IFERROR(VLOOKUP($B47,Annuaire_roster!$B:$G,MATCH(P$1,Annuaire_roster!$B$1:$G$1,0),0),"-")</f>
        <v/>
      </c>
      <c r="Q47" s="243" t="n">
        <v>44762</v>
      </c>
      <c r="R47" s="244">
        <f>IF(M47="Abs",O47,0)</f>
        <v/>
      </c>
      <c r="S47" s="244">
        <f>SUM(R47,L47,I47,J47,W47,H47)</f>
        <v/>
      </c>
      <c r="T47" s="209">
        <f>"Sem - "&amp;WEEKNUM(Q47,21)</f>
        <v/>
      </c>
      <c r="U47" s="209">
        <f>PROPER(TEXT(Q47,"mmmm"))</f>
        <v/>
      </c>
      <c r="V47" s="245">
        <f>+TEXT(Q47,"aaa")</f>
        <v/>
      </c>
      <c r="W47" s="240" t="n"/>
      <c r="X47" s="246">
        <f>IFERROR(IF(M47="Abs",0,IF((D47-C47+E47-F47)&lt;0.000694444444444444,0,(D47-C47+E47-F47))),0)</f>
        <v/>
      </c>
      <c r="Y47" s="247">
        <f>IFERROR(VLOOKUP(B47,Annuaire_roster!B:E,4,0),"-")</f>
        <v/>
      </c>
      <c r="Z47" s="247">
        <f>IFERROR(VLOOKUP(B47,Annuaire_roster!B:F,3,0),"-")</f>
        <v/>
      </c>
      <c r="AA47" s="247">
        <f>IFERROR(VLOOKUP(B47,Annuaire_roster!B:I,6,0),"-")</f>
        <v/>
      </c>
      <c r="AB47" s="248">
        <f>IF(AND(D47="Congé",F47="Congé"),0.333333333333333,IF(OR(AND(D47="Congé",F47&lt;&gt;"Congé"),(AND(F47="Congé",D47&lt;&gt;"Congé"))),0.166666666666667,""))</f>
        <v/>
      </c>
      <c r="AC47" s="248">
        <f>IF(AND(D47="Congé sans solde",F47="Congé sans solde"),0.333333333333333,IF(OR(AND(D47="Congé sans solde",F47&lt;&gt;"Congé sans solde"),(AND(F47="Congé sans solde",D47&lt;&gt;"Congé sans solde"))),0.166666666666667,""))</f>
        <v/>
      </c>
      <c r="AD47" s="248">
        <f>IF(AND(D47="Congé spécial",F47="Congé spécial"),0.333333333333333,IF(OR(AND(D47="Congé spécial",F47&lt;&gt;"Congé décès"),(AND(F47="Congé spécial",D47&lt;&gt;"Congé spécial"))),0.166666666666667,""))</f>
        <v/>
      </c>
      <c r="AE47" s="249">
        <f>IF(AND(D47="Férié",F47="Férié"),0.333333333333333,IF(OR(AND(D47="Férié",F47&lt;&gt;"Férié"),(AND(F47="Férié",D47&lt;&gt;"Férié"))),0.166666666666667,""))</f>
        <v/>
      </c>
      <c r="AF47" s="249" t="n"/>
      <c r="AG47" s="244" t="n"/>
    </row>
    <row r="48" hidden="1" ht="12.75" customHeight="1" s="231">
      <c r="A48" s="232">
        <f>VLOOKUP(B48,Annuaire_roster!B:F,5,0)</f>
        <v/>
      </c>
      <c r="B48" s="233" t="inlineStr">
        <is>
          <t>BOURABAA HASSAN</t>
        </is>
      </c>
      <c r="C48" s="234">
        <f>IFERROR(IF(COUNTIFS(Connexions!$K:$K,$Q48,Connexions!$E:$E,VLOOKUP($B48,Mapping_Noms!$A:$B,2,0))=0,"",_xlfn.MINIFS(Connexions!$M:$M,Connexions!$K:$K,$Q48,Connexions!$E:$E,VLOOKUP($B48,Mapping_Noms!$A:$B,2,0))-TIME(1,0,0)),"")</f>
        <v/>
      </c>
      <c r="D48" s="234">
        <f t="array" ref="D48:D48">IFERROR(INDEX(Planning2[],MATCH(1,(Planning2[Nom]=B48)*(Planning2[Date]=Q48),0),3),"-")</f>
        <v/>
      </c>
      <c r="E48" s="235">
        <f>IFERROR(IF(COUNTIFS(Connexions!$K:$K,$Q48,Connexions!$E:$E,VLOOKUP($B48,Mapping_Noms!$A:$B,2,0))=0,"",_xlfn.MAXIFS(Connexions!$O:$O,Connexions!$K:$K,$Q48,Connexions!$E:$E,VLOOKUP($B48,Mapping_Noms!$A:$B,2,0))-TIME(1,0,0)),"")</f>
        <v/>
      </c>
      <c r="F48" s="235">
        <f t="array" ref="F48:F48">IFERROR(INDEX(Planning2[],MATCH(1,(Planning2[Nom]=B48)*(Planning2[Date]=Q48),0),4),"-")</f>
        <v/>
      </c>
      <c r="G48" s="405">
        <f>IFERROR(IF(OR(IFERROR(INDEX('Planning Pauses Dej'!$C:$C,MATCH($B48&amp;"|"&amp;TEXT($Q48,"YYYYMMDD"),'Planning Pauses Dej'!$F:$F,0)),"")="",IFERROR(INDEX('Planning Pauses Dej'!$D:$D,MATCH($B48&amp;"|"&amp;TEXT($Q48,"YYYYMMDD"),'Planning Pauses Dej'!$F:$F,0)),"")=""),"",_xlfn.MAXIFS(Connexions!$Q:$Q,Connexions!$K:$K,$Q48,Connexions!$E:$E,VLOOKUP($B48,Mapping_Noms!$A:$B,2,0),Connexions!$O:$O,"&lt;="&amp;(IFERROR(INDEX('Planning Pauses Dej'!$D:$D,MATCH($B48&amp;"|"&amp;TEXT($Q48,"YYYYMMDD"),'Planning Pauses Dej'!$F:$F,0)),"")+TIME(1,0,0)),Connexions!$P:$P,"&gt;="&amp;(IFERROR(INDEX('Planning Pauses Dej'!$C:$C,MATCH($B48&amp;"|"&amp;TEXT($Q48,"YYYYMMDD"),'Planning Pauses Dej'!$F:$F,0)),"")+TIME(1,0,0)))),"")</f>
        <v/>
      </c>
      <c r="H48" s="405">
        <f>IFERROR(IF(OR($G48="",IFERROR(INDEX('Planning Pauses Dej'!$C:$C,MATCH($B48&amp;"|"&amp;TEXT($Q48,"YYYYMMDD"),'Planning Pauses Dej'!$F:$F,0)),"")="",IFERROR(INDEX('Planning Pauses Dej'!$D:$D,MATCH($B48&amp;"|"&amp;TEXT($Q48,"YYYYMMDD"),'Planning Pauses Dej'!$F:$F,0)),"")=""),"",IF($G48&gt;(IFERROR(INDEX('Planning Pauses Dej'!$D:$D,MATCH($B48&amp;"|"&amp;TEXT($Q48,"YYYYMMDD"),'Planning Pauses Dej'!$F:$F,0)),"")-IFERROR(INDEX('Planning Pauses Dej'!$C:$C,MATCH($B48&amp;"|"&amp;TEXT($Q48,"YYYYMMDD"),'Planning Pauses Dej'!$F:$F,0)),"")),$G48-(IFERROR(INDEX('Planning Pauses Dej'!$D:$D,MATCH($B48&amp;"|"&amp;TEXT($Q48,"YYYYMMDD"),'Planning Pauses Dej'!$F:$F,0)),"")-IFERROR(INDEX('Planning Pauses Dej'!$C:$C,MATCH($B48&amp;"|"&amp;TEXT($Q48,"YYYYMMDD"),'Planning Pauses Dej'!$F:$F,0)),"")),0)),"")</f>
        <v/>
      </c>
      <c r="I48" s="251">
        <f>IF(IF(OR(C48="",D48="Congé",D48="OFF",D48="Congé spécial"),"",IF(D48&gt;F48,D48-C48,IF(C48-D48&lt;0,0,C48-D48)))&lt;0.00068287037037037,"",IF(OR(D48="Congé",D48="OFF",C48="",D48="Congé spécial"),"",IF(D48&gt;F48,D48-C48,IF(C48-D48&lt;0,0,C48-D48))))</f>
        <v/>
      </c>
      <c r="J48" s="405">
        <f>IFERROR(IF($G48="","",IF($G48&gt;TIME(1,0,0),$G48-TIME(1,0,0),0)),"")</f>
        <v/>
      </c>
      <c r="K48" s="238">
        <f>IF(SUM(H48:J48)&lt;0.00068287037037037,0,SUM(H48:J48))</f>
        <v/>
      </c>
      <c r="L48" s="236">
        <f>IF(OR(F48="Congé",F48="OFF",M48="Abs",F48="Congé sans solde",F48="Férié",F48="Congé spécial",D48="Congé spécial"),0,IF(F48-E48&lt;0,0,IF(F48-E48&lt;=0.00068287037037037,0,F48-E48)))</f>
        <v/>
      </c>
      <c r="M48" s="239">
        <f>IF(AND(O48&lt;&gt;0,C48=""),"Abs",0)</f>
        <v/>
      </c>
      <c r="N48" s="240">
        <f>IFERROR(IF(OR(D48="OFF",D48="Congé",M48="Abs",D48="Congé sans solde",D48="Férié"),"",IF(O48-K48-L48&gt;O48,O48,IF(O48-K48-L48&lt;0,"",O48-K48-L48))),"")</f>
        <v/>
      </c>
      <c r="O48" s="241">
        <f>IF(AG48="2H Pause déjeuner",IF(F48-D48-0.0833333333333333&lt;0,F48-D48-0.0833333333333333+1,F48-D48-0.0833333333333333),IF(OR(AND(F48="OFF",D48="OFF"),AND(F48="Congé",D48="Congé"),AND(F48="Congé sans solde",D48="Congé sans solde"),AND(F48="Congé spécial",D48="Congé spécial"),AND(F48="Férié",D48="Férié"),AND(F48="OFF",D48="Congé"),AND(F48="OFF",D48="Congé sans solde"),AND(F48="OFF",D48="Congé spécial"),AND(F48="OFF",D48="Férié"),AND(F48="Congé",D48="OFF"),AND(F48="Congé",D48="Congé sans solde"),AND(F48="Congé",D48="Congé spécial"),AND(F48="Congé",D48="Férié"),AND(F48="Congé sans solde",D48="OFF"),AND(F48="Congé sans solde",D48="Congé"),AND(F48="Congé sans solde",D48="Congé spécial"),AND(F48="Congé sans solde",D48="Férié"),AND(F48="Congé spécial",D48="OFF"),AND(F48="Congé spécial",D48="Congé"),AND(F48="Congé spécial",D48="Congé sans solde"),AND(F48="Congé spécial",D48="Férié"),AND(F48="Férié",D48="OFF"),AND(F48="Férié",D48="Congé"),AND(F48="Férié",D48="Congé sans solde"),AND(F48="Férié",D48="Congé spécial")),0,IF(OR(F48="OFF",F48="Congé",F48="Congé spécial",F48="Congé sans solde",D48="OFF",D48="Congé",D48="Congé spécial",D48="Congé sans solde"),0.208333333333334,IF(AND(AG48="",F48-D48&lt;0),("24:00:00"-D48)+("00:00:00"+F48)-0.0416666666666667,IF(AND(OR(AG48="Allaitement",AG48="Sans déjeuner"),F48-D48&lt;0),("24:00:00"-D48)+("00:00:00"+F48),IF(AND(AG48="",F48-D48&gt;0.166666666666667),F48-D48-0.0416666666666667,IF(AND(OR(AG48="Allaitement",AG48="Sans déjeuner"),F48-D48&gt;0.166666666666667),F48-D48,F48-D48)))))))</f>
        <v/>
      </c>
      <c r="P48" s="242">
        <f>IFERROR(VLOOKUP($B48,Annuaire_roster!$B:$G,MATCH(P$1,Annuaire_roster!$B$1:$G$1,0),0),"-")</f>
        <v/>
      </c>
      <c r="Q48" s="243" t="n">
        <v>44762</v>
      </c>
      <c r="R48" s="244">
        <f>IF(M48="Abs",O48,0)</f>
        <v/>
      </c>
      <c r="S48" s="244">
        <f>SUM(R48,L48,I48,J48,W48,H48)</f>
        <v/>
      </c>
      <c r="T48" s="209">
        <f>"Sem - "&amp;WEEKNUM(Q48,21)</f>
        <v/>
      </c>
      <c r="U48" s="209">
        <f>PROPER(TEXT(Q48,"mmmm"))</f>
        <v/>
      </c>
      <c r="V48" s="245">
        <f>+TEXT(Q48,"aaa")</f>
        <v/>
      </c>
      <c r="W48" s="240" t="n"/>
      <c r="X48" s="246">
        <f>IFERROR(IF(M48="Abs",0,IF((D48-C48+E48-F48)&lt;0.000694444444444444,0,(D48-C48+E48-F48))),0)</f>
        <v/>
      </c>
      <c r="Y48" s="247">
        <f>IFERROR(VLOOKUP(B48,Annuaire_roster!B:E,4,0),"-")</f>
        <v/>
      </c>
      <c r="Z48" s="247">
        <f>IFERROR(VLOOKUP(B48,Annuaire_roster!B:F,3,0),"-")</f>
        <v/>
      </c>
      <c r="AA48" s="247">
        <f>IFERROR(VLOOKUP(B48,Annuaire_roster!B:I,6,0),"-")</f>
        <v/>
      </c>
      <c r="AB48" s="248">
        <f>IF(AND(D48="Congé",F48="Congé"),0.333333333333333,IF(OR(AND(D48="Congé",F48&lt;&gt;"Congé"),(AND(F48="Congé",D48&lt;&gt;"Congé"))),0.166666666666667,""))</f>
        <v/>
      </c>
      <c r="AC48" s="248">
        <f>IF(AND(D48="Congé sans solde",F48="Congé sans solde"),0.333333333333333,IF(OR(AND(D48="Congé sans solde",F48&lt;&gt;"Congé sans solde"),(AND(F48="Congé sans solde",D48&lt;&gt;"Congé sans solde"))),0.166666666666667,""))</f>
        <v/>
      </c>
      <c r="AD48" s="248">
        <f>IF(AND(D48="Congé spécial",F48="Congé spécial"),0.333333333333333,IF(OR(AND(D48="Congé spécial",F48&lt;&gt;"Congé décès"),(AND(F48="Congé spécial",D48&lt;&gt;"Congé spécial"))),0.166666666666667,""))</f>
        <v/>
      </c>
      <c r="AE48" s="249">
        <f>IF(AND(D48="Férié",F48="Férié"),0.333333333333333,IF(OR(AND(D48="Férié",F48&lt;&gt;"Férié"),(AND(F48="Férié",D48&lt;&gt;"Férié"))),0.166666666666667,""))</f>
        <v/>
      </c>
      <c r="AF48" s="249" t="n"/>
      <c r="AG48" s="244" t="n"/>
    </row>
    <row r="49" hidden="1" ht="12.75" customHeight="1" s="231">
      <c r="A49" s="232">
        <f>VLOOKUP(B49,Annuaire_roster!B:F,5,0)</f>
        <v/>
      </c>
      <c r="B49" s="233" t="inlineStr">
        <is>
          <t>NEMMAOUI MOUNIRA</t>
        </is>
      </c>
      <c r="C49" s="234">
        <f>IFERROR(IF(COUNTIFS(Connexions!$K:$K,$Q49,Connexions!$E:$E,VLOOKUP($B49,Mapping_Noms!$A:$B,2,0))=0,"",_xlfn.MINIFS(Connexions!$M:$M,Connexions!$K:$K,$Q49,Connexions!$E:$E,VLOOKUP($B49,Mapping_Noms!$A:$B,2,0))-TIME(1,0,0)),"")</f>
        <v/>
      </c>
      <c r="D49" s="234">
        <f t="array" ref="D49:D49">IFERROR(INDEX(Planning2[],MATCH(1,(Planning2[Nom]=B49)*(Planning2[Date]=Q49),0),3),"-")</f>
        <v/>
      </c>
      <c r="E49" s="235">
        <f>IFERROR(IF(COUNTIFS(Connexions!$K:$K,$Q49,Connexions!$E:$E,VLOOKUP($B49,Mapping_Noms!$A:$B,2,0))=0,"",_xlfn.MAXIFS(Connexions!$O:$O,Connexions!$K:$K,$Q49,Connexions!$E:$E,VLOOKUP($B49,Mapping_Noms!$A:$B,2,0))-TIME(1,0,0)),"")</f>
        <v/>
      </c>
      <c r="F49" s="235">
        <f t="array" ref="F49:F49">IFERROR(INDEX(Planning2[],MATCH(1,(Planning2[Nom]=B49)*(Planning2[Date]=Q49),0),4),"-")</f>
        <v/>
      </c>
      <c r="G49" s="405">
        <f>IFERROR(IF(OR(IFERROR(INDEX('Planning Pauses Dej'!$C:$C,MATCH($B49&amp;"|"&amp;TEXT($Q49,"YYYYMMDD"),'Planning Pauses Dej'!$F:$F,0)),"")="",IFERROR(INDEX('Planning Pauses Dej'!$D:$D,MATCH($B49&amp;"|"&amp;TEXT($Q49,"YYYYMMDD"),'Planning Pauses Dej'!$F:$F,0)),"")=""),"",_xlfn.MAXIFS(Connexions!$Q:$Q,Connexions!$K:$K,$Q49,Connexions!$E:$E,VLOOKUP($B49,Mapping_Noms!$A:$B,2,0),Connexions!$O:$O,"&lt;="&amp;(IFERROR(INDEX('Planning Pauses Dej'!$D:$D,MATCH($B49&amp;"|"&amp;TEXT($Q49,"YYYYMMDD"),'Planning Pauses Dej'!$F:$F,0)),"")+TIME(1,0,0)),Connexions!$P:$P,"&gt;="&amp;(IFERROR(INDEX('Planning Pauses Dej'!$C:$C,MATCH($B49&amp;"|"&amp;TEXT($Q49,"YYYYMMDD"),'Planning Pauses Dej'!$F:$F,0)),"")+TIME(1,0,0)))),"")</f>
        <v/>
      </c>
      <c r="H49" s="405">
        <f>IFERROR(IF(OR($G49="",IFERROR(INDEX('Planning Pauses Dej'!$C:$C,MATCH($B49&amp;"|"&amp;TEXT($Q49,"YYYYMMDD"),'Planning Pauses Dej'!$F:$F,0)),"")="",IFERROR(INDEX('Planning Pauses Dej'!$D:$D,MATCH($B49&amp;"|"&amp;TEXT($Q49,"YYYYMMDD"),'Planning Pauses Dej'!$F:$F,0)),"")=""),"",IF($G49&gt;(IFERROR(INDEX('Planning Pauses Dej'!$D:$D,MATCH($B49&amp;"|"&amp;TEXT($Q49,"YYYYMMDD"),'Planning Pauses Dej'!$F:$F,0)),"")-IFERROR(INDEX('Planning Pauses Dej'!$C:$C,MATCH($B49&amp;"|"&amp;TEXT($Q49,"YYYYMMDD"),'Planning Pauses Dej'!$F:$F,0)),"")),$G49-(IFERROR(INDEX('Planning Pauses Dej'!$D:$D,MATCH($B49&amp;"|"&amp;TEXT($Q49,"YYYYMMDD"),'Planning Pauses Dej'!$F:$F,0)),"")-IFERROR(INDEX('Planning Pauses Dej'!$C:$C,MATCH($B49&amp;"|"&amp;TEXT($Q49,"YYYYMMDD"),'Planning Pauses Dej'!$F:$F,0)),"")),0)),"")</f>
        <v/>
      </c>
      <c r="I49" s="251">
        <f>IF(IF(OR(C49="",D49="Congé",D49="OFF",D49="Congé spécial"),"",IF(D49&gt;F49,D49-C49,IF(C49-D49&lt;0,0,C49-D49)))&lt;0.00068287037037037,"",IF(OR(D49="Congé",D49="OFF",C49="",D49="Congé spécial"),"",IF(D49&gt;F49,D49-C49,IF(C49-D49&lt;0,0,C49-D49))))</f>
        <v/>
      </c>
      <c r="J49" s="405">
        <f>IFERROR(IF($G49="","",IF($G49&gt;TIME(1,0,0),$G49-TIME(1,0,0),0)),"")</f>
        <v/>
      </c>
      <c r="K49" s="238">
        <f>IF(SUM(H49:J49)&lt;0.00068287037037037,0,SUM(H49:J49))</f>
        <v/>
      </c>
      <c r="L49" s="236">
        <f>IF(OR(F49="Congé",F49="OFF",M49="Abs",F49="Congé sans solde",F49="Férié",F49="Congé spécial",D49="Congé spécial"),0,IF(F49-E49&lt;0,0,IF(F49-E49&lt;=0.00068287037037037,0,F49-E49)))</f>
        <v/>
      </c>
      <c r="M49" s="239">
        <f>IF(AND(O49&lt;&gt;0,C49=""),"Abs",0)</f>
        <v/>
      </c>
      <c r="N49" s="240">
        <f>IFERROR(IF(OR(D49="OFF",D49="Congé",M49="Abs",D49="Congé sans solde",D49="Férié"),"",IF(O49-K49-L49&gt;O49,O49,IF(O49-K49-L49&lt;0,"",O49-K49-L49))),"")</f>
        <v/>
      </c>
      <c r="O49" s="241">
        <f>IF(AG49="2H Pause déjeuner",IF(F49-D49-0.0833333333333333&lt;0,F49-D49-0.0833333333333333+1,F49-D49-0.0833333333333333),IF(OR(AND(F49="OFF",D49="OFF"),AND(F49="Congé",D49="Congé"),AND(F49="Congé sans solde",D49="Congé sans solde"),AND(F49="Congé spécial",D49="Congé spécial"),AND(F49="Férié",D49="Férié"),AND(F49="OFF",D49="Congé"),AND(F49="OFF",D49="Congé sans solde"),AND(F49="OFF",D49="Congé spécial"),AND(F49="OFF",D49="Férié"),AND(F49="Congé",D49="OFF"),AND(F49="Congé",D49="Congé sans solde"),AND(F49="Congé",D49="Congé spécial"),AND(F49="Congé",D49="Férié"),AND(F49="Congé sans solde",D49="OFF"),AND(F49="Congé sans solde",D49="Congé"),AND(F49="Congé sans solde",D49="Congé spécial"),AND(F49="Congé sans solde",D49="Férié"),AND(F49="Congé spécial",D49="OFF"),AND(F49="Congé spécial",D49="Congé"),AND(F49="Congé spécial",D49="Congé sans solde"),AND(F49="Congé spécial",D49="Férié"),AND(F49="Férié",D49="OFF"),AND(F49="Férié",D49="Congé"),AND(F49="Férié",D49="Congé sans solde"),AND(F49="Férié",D49="Congé spécial")),0,IF(OR(F49="OFF",F49="Congé",F49="Congé spécial",F49="Congé sans solde",D49="OFF",D49="Congé",D49="Congé spécial",D49="Congé sans solde"),0.208333333333334,IF(AND(AG49="",F49-D49&lt;0),("24:00:00"-D49)+("00:00:00"+F49)-0.0416666666666667,IF(AND(OR(AG49="Allaitement",AG49="Sans déjeuner"),F49-D49&lt;0),("24:00:00"-D49)+("00:00:00"+F49),IF(AND(AG49="",F49-D49&gt;0.166666666666667),F49-D49-0.0416666666666667,IF(AND(OR(AG49="Allaitement",AG49="Sans déjeuner"),F49-D49&gt;0.166666666666667),F49-D49,F49-D49)))))))</f>
        <v/>
      </c>
      <c r="P49" s="242">
        <f>IFERROR(VLOOKUP($B49,Annuaire_roster!$B:$G,MATCH(P$1,Annuaire_roster!$B$1:$G$1,0),0),"-")</f>
        <v/>
      </c>
      <c r="Q49" s="243" t="n">
        <v>44762</v>
      </c>
      <c r="R49" s="244">
        <f>IF(M49="Abs",O49,0)</f>
        <v/>
      </c>
      <c r="S49" s="244">
        <f>SUM(R49,L49,I49,J49,W49,H49)</f>
        <v/>
      </c>
      <c r="T49" s="209">
        <f>"Sem - "&amp;WEEKNUM(Q49,21)</f>
        <v/>
      </c>
      <c r="U49" s="209">
        <f>PROPER(TEXT(Q49,"mmmm"))</f>
        <v/>
      </c>
      <c r="V49" s="245">
        <f>+TEXT(Q49,"aaa")</f>
        <v/>
      </c>
      <c r="W49" s="240" t="n"/>
      <c r="X49" s="246">
        <f>IFERROR(IF(M49="Abs",0,IF((D49-C49+E49-F49)&lt;0.000694444444444444,0,(D49-C49+E49-F49))),0)</f>
        <v/>
      </c>
      <c r="Y49" s="247">
        <f>IFERROR(VLOOKUP(B49,Annuaire_roster!B:E,4,0),"-")</f>
        <v/>
      </c>
      <c r="Z49" s="247">
        <f>IFERROR(VLOOKUP(B49,Annuaire_roster!B:F,3,0),"-")</f>
        <v/>
      </c>
      <c r="AA49" s="247">
        <f>IFERROR(VLOOKUP(B49,Annuaire_roster!B:I,6,0),"-")</f>
        <v/>
      </c>
      <c r="AB49" s="248">
        <f>IF(AND(D49="Congé",F49="Congé"),0.333333333333333,IF(OR(AND(D49="Congé",F49&lt;&gt;"Congé"),(AND(F49="Congé",D49&lt;&gt;"Congé"))),0.166666666666667,""))</f>
        <v/>
      </c>
      <c r="AC49" s="248">
        <f>IF(AND(D49="Congé sans solde",F49="Congé sans solde"),0.333333333333333,IF(OR(AND(D49="Congé sans solde",F49&lt;&gt;"Congé sans solde"),(AND(F49="Congé sans solde",D49&lt;&gt;"Congé sans solde"))),0.166666666666667,""))</f>
        <v/>
      </c>
      <c r="AD49" s="248">
        <f>IF(AND(D49="Congé spécial",F49="Congé spécial"),0.333333333333333,IF(OR(AND(D49="Congé spécial",F49&lt;&gt;"Congé décès"),(AND(F49="Congé spécial",D49&lt;&gt;"Congé spécial"))),0.166666666666667,""))</f>
        <v/>
      </c>
      <c r="AE49" s="249">
        <f>IF(AND(D49="Férié",F49="Férié"),0.333333333333333,IF(OR(AND(D49="Férié",F49&lt;&gt;"Férié"),(AND(F49="Férié",D49&lt;&gt;"Férié"))),0.166666666666667,""))</f>
        <v/>
      </c>
      <c r="AF49" s="259" t="n"/>
      <c r="AG49" s="244" t="n"/>
    </row>
    <row r="50" hidden="1" ht="12.75" customHeight="1" s="231">
      <c r="A50" s="232">
        <f>VLOOKUP(B50,Annuaire_roster!B:F,5,0)</f>
        <v/>
      </c>
      <c r="B50" s="233" t="inlineStr">
        <is>
          <t>LAFDIL NADA</t>
        </is>
      </c>
      <c r="C50" s="234">
        <f>IFERROR(IF(COUNTIFS(Connexions!$K:$K,$Q50,Connexions!$E:$E,VLOOKUP($B50,Mapping_Noms!$A:$B,2,0))=0,"",_xlfn.MINIFS(Connexions!$M:$M,Connexions!$K:$K,$Q50,Connexions!$E:$E,VLOOKUP($B50,Mapping_Noms!$A:$B,2,0))-TIME(1,0,0)),"")</f>
        <v/>
      </c>
      <c r="D50" s="234">
        <f t="array" ref="D50:D50">IFERROR(INDEX(Planning2[],MATCH(1,(Planning2[Nom]=B50)*(Planning2[Date]=Q50),0),3),"-")</f>
        <v/>
      </c>
      <c r="E50" s="235">
        <f>IFERROR(IF(COUNTIFS(Connexions!$K:$K,$Q50,Connexions!$E:$E,VLOOKUP($B50,Mapping_Noms!$A:$B,2,0))=0,"",_xlfn.MAXIFS(Connexions!$O:$O,Connexions!$K:$K,$Q50,Connexions!$E:$E,VLOOKUP($B50,Mapping_Noms!$A:$B,2,0))-TIME(1,0,0)),"")</f>
        <v/>
      </c>
      <c r="F50" s="235">
        <f t="array" ref="F50:F50">IFERROR(INDEX(Planning2[],MATCH(1,(Planning2[Nom]=B50)*(Planning2[Date]=Q50),0),4),"-")</f>
        <v/>
      </c>
      <c r="G50" s="405">
        <f>IFERROR(IF(OR(IFERROR(INDEX('Planning Pauses Dej'!$C:$C,MATCH($B50&amp;"|"&amp;TEXT($Q50,"YYYYMMDD"),'Planning Pauses Dej'!$F:$F,0)),"")="",IFERROR(INDEX('Planning Pauses Dej'!$D:$D,MATCH($B50&amp;"|"&amp;TEXT($Q50,"YYYYMMDD"),'Planning Pauses Dej'!$F:$F,0)),"")=""),"",_xlfn.MAXIFS(Connexions!$Q:$Q,Connexions!$K:$K,$Q50,Connexions!$E:$E,VLOOKUP($B50,Mapping_Noms!$A:$B,2,0),Connexions!$O:$O,"&lt;="&amp;(IFERROR(INDEX('Planning Pauses Dej'!$D:$D,MATCH($B50&amp;"|"&amp;TEXT($Q50,"YYYYMMDD"),'Planning Pauses Dej'!$F:$F,0)),"")+TIME(1,0,0)),Connexions!$P:$P,"&gt;="&amp;(IFERROR(INDEX('Planning Pauses Dej'!$C:$C,MATCH($B50&amp;"|"&amp;TEXT($Q50,"YYYYMMDD"),'Planning Pauses Dej'!$F:$F,0)),"")+TIME(1,0,0)))),"")</f>
        <v/>
      </c>
      <c r="H50" s="405">
        <f>IFERROR(IF(OR($G50="",IFERROR(INDEX('Planning Pauses Dej'!$C:$C,MATCH($B50&amp;"|"&amp;TEXT($Q50,"YYYYMMDD"),'Planning Pauses Dej'!$F:$F,0)),"")="",IFERROR(INDEX('Planning Pauses Dej'!$D:$D,MATCH($B50&amp;"|"&amp;TEXT($Q50,"YYYYMMDD"),'Planning Pauses Dej'!$F:$F,0)),"")=""),"",IF($G50&gt;(IFERROR(INDEX('Planning Pauses Dej'!$D:$D,MATCH($B50&amp;"|"&amp;TEXT($Q50,"YYYYMMDD"),'Planning Pauses Dej'!$F:$F,0)),"")-IFERROR(INDEX('Planning Pauses Dej'!$C:$C,MATCH($B50&amp;"|"&amp;TEXT($Q50,"YYYYMMDD"),'Planning Pauses Dej'!$F:$F,0)),"")),$G50-(IFERROR(INDEX('Planning Pauses Dej'!$D:$D,MATCH($B50&amp;"|"&amp;TEXT($Q50,"YYYYMMDD"),'Planning Pauses Dej'!$F:$F,0)),"")-IFERROR(INDEX('Planning Pauses Dej'!$C:$C,MATCH($B50&amp;"|"&amp;TEXT($Q50,"YYYYMMDD"),'Planning Pauses Dej'!$F:$F,0)),"")),0)),"")</f>
        <v/>
      </c>
      <c r="I50" s="251">
        <f>IF(IF(OR(C50="",D50="Congé",D50="OFF",D50="Congé spécial"),"",IF(D50&gt;F50,D50-C50,IF(C50-D50&lt;0,0,C50-D50)))&lt;0.00068287037037037,"",IF(OR(D50="Congé",D50="OFF",C50="",D50="Congé spécial"),"",IF(D50&gt;F50,D50-C50,IF(C50-D50&lt;0,0,C50-D50))))</f>
        <v/>
      </c>
      <c r="J50" s="405">
        <f>IFERROR(IF($G50="","",IF($G50&gt;TIME(1,0,0),$G50-TIME(1,0,0),0)),"")</f>
        <v/>
      </c>
      <c r="K50" s="238">
        <f>IF(SUM(H50:J50)&lt;0.00068287037037037,0,SUM(H50:J50))</f>
        <v/>
      </c>
      <c r="L50" s="236">
        <f>IF(OR(F50="Congé",F50="OFF",M50="Abs",F50="Congé sans solde",F50="Férié",F50="Congé spécial",D50="Congé spécial"),0,IF(F50-E50&lt;0,0,IF(F50-E50&lt;=0.00068287037037037,0,F50-E50)))</f>
        <v/>
      </c>
      <c r="M50" s="239">
        <f>IF(AND(O50&lt;&gt;0,C50=""),"Abs",0)</f>
        <v/>
      </c>
      <c r="N50" s="240">
        <f>IFERROR(IF(OR(D50="OFF",D50="Congé",M50="Abs",D50="Congé sans solde",D50="Férié"),"",IF(O50-K50-L50&gt;O50,O50,IF(O50-K50-L50&lt;0,"",O50-K50-L50))),"")</f>
        <v/>
      </c>
      <c r="O50" s="241">
        <f>IF(AG50="2H Pause déjeuner",IF(F50-D50-0.0833333333333333&lt;0,F50-D50-0.0833333333333333+1,F50-D50-0.0833333333333333),IF(OR(AND(F50="OFF",D50="OFF"),AND(F50="Congé",D50="Congé"),AND(F50="Congé sans solde",D50="Congé sans solde"),AND(F50="Congé spécial",D50="Congé spécial"),AND(F50="Férié",D50="Férié"),AND(F50="OFF",D50="Congé"),AND(F50="OFF",D50="Congé sans solde"),AND(F50="OFF",D50="Congé spécial"),AND(F50="OFF",D50="Férié"),AND(F50="Congé",D50="OFF"),AND(F50="Congé",D50="Congé sans solde"),AND(F50="Congé",D50="Congé spécial"),AND(F50="Congé",D50="Férié"),AND(F50="Congé sans solde",D50="OFF"),AND(F50="Congé sans solde",D50="Congé"),AND(F50="Congé sans solde",D50="Congé spécial"),AND(F50="Congé sans solde",D50="Férié"),AND(F50="Congé spécial",D50="OFF"),AND(F50="Congé spécial",D50="Congé"),AND(F50="Congé spécial",D50="Congé sans solde"),AND(F50="Congé spécial",D50="Férié"),AND(F50="Férié",D50="OFF"),AND(F50="Férié",D50="Congé"),AND(F50="Férié",D50="Congé sans solde"),AND(F50="Férié",D50="Congé spécial")),0,IF(OR(F50="OFF",F50="Congé",F50="Congé spécial",F50="Congé sans solde",D50="OFF",D50="Congé",D50="Congé spécial",D50="Congé sans solde"),0.208333333333334,IF(AND(AG50="",F50-D50&lt;0),("24:00:00"-D50)+("00:00:00"+F50)-0.0416666666666667,IF(AND(OR(AG50="Allaitement",AG50="Sans déjeuner"),F50-D50&lt;0),("24:00:00"-D50)+("00:00:00"+F50),IF(AND(AG50="",F50-D50&gt;0.166666666666667),F50-D50-0.0416666666666667,IF(AND(OR(AG50="Allaitement",AG50="Sans déjeuner"),F50-D50&gt;0.166666666666667),F50-D50,F50-D50)))))))</f>
        <v/>
      </c>
      <c r="P50" s="242">
        <f>IFERROR(VLOOKUP($B50,Annuaire_roster!$B:$G,MATCH(P$1,Annuaire_roster!$B$1:$G$1,0),0),"-")</f>
        <v/>
      </c>
      <c r="Q50" s="243" t="n">
        <v>44762</v>
      </c>
      <c r="R50" s="244">
        <f>IF(M50="Abs",O50,0)</f>
        <v/>
      </c>
      <c r="S50" s="244">
        <f>SUM(R50,L50,I50,J50,W50,H50)</f>
        <v/>
      </c>
      <c r="T50" s="209">
        <f>"Sem - "&amp;WEEKNUM(Q50,21)</f>
        <v/>
      </c>
      <c r="U50" s="209">
        <f>PROPER(TEXT(Q50,"mmmm"))</f>
        <v/>
      </c>
      <c r="V50" s="245">
        <f>+TEXT(Q50,"aaa")</f>
        <v/>
      </c>
      <c r="W50" s="240" t="n"/>
      <c r="X50" s="246">
        <f>IFERROR(IF(M50="Abs",0,IF((D50-C50+E50-F50)&lt;0.000694444444444444,0,(D50-C50+E50-F50))),0)</f>
        <v/>
      </c>
      <c r="Y50" s="247">
        <f>IFERROR(VLOOKUP(B50,Annuaire_roster!B:E,4,0),"-")</f>
        <v/>
      </c>
      <c r="Z50" s="247">
        <f>IFERROR(VLOOKUP(B50,Annuaire_roster!B:F,3,0),"-")</f>
        <v/>
      </c>
      <c r="AA50" s="247">
        <f>IFERROR(VLOOKUP(B50,Annuaire_roster!B:I,6,0),"-")</f>
        <v/>
      </c>
      <c r="AB50" s="248">
        <f>IF(AND(D50="Congé",F50="Congé"),0.333333333333333,IF(OR(AND(D50="Congé",F50&lt;&gt;"Congé"),(AND(F50="Congé",D50&lt;&gt;"Congé"))),0.166666666666667,""))</f>
        <v/>
      </c>
      <c r="AC50" s="248">
        <f>IF(AND(D50="Congé sans solde",F50="Congé sans solde"),0.333333333333333,IF(OR(AND(D50="Congé sans solde",F50&lt;&gt;"Congé sans solde"),(AND(F50="Congé sans solde",D50&lt;&gt;"Congé sans solde"))),0.166666666666667,""))</f>
        <v/>
      </c>
      <c r="AD50" s="248">
        <f>IF(AND(D50="Congé spécial",F50="Congé spécial"),0.333333333333333,IF(OR(AND(D50="Congé spécial",F50&lt;&gt;"Congé décès"),(AND(F50="Congé spécial",D50&lt;&gt;"Congé spécial"))),0.166666666666667,""))</f>
        <v/>
      </c>
      <c r="AE50" s="249">
        <f>IF(AND(D50="Férié",F50="Férié"),0.333333333333333,IF(OR(AND(D50="Férié",F50&lt;&gt;"Férié"),(AND(F50="Férié",D50&lt;&gt;"Férié"))),0.166666666666667,""))</f>
        <v/>
      </c>
      <c r="AF50" s="249" t="n"/>
      <c r="AG50" s="244" t="n"/>
    </row>
    <row r="51" hidden="1" ht="12.75" customHeight="1" s="231">
      <c r="A51" s="232">
        <f>VLOOKUP(B51,Annuaire_roster!B:F,5,0)</f>
        <v/>
      </c>
      <c r="B51" s="233" t="inlineStr">
        <is>
          <t>EL HARROUCHI CHAIMAE</t>
        </is>
      </c>
      <c r="C51" s="234">
        <f>IFERROR(IF(COUNTIFS(Connexions!$K:$K,$Q51,Connexions!$E:$E,VLOOKUP($B51,Mapping_Noms!$A:$B,2,0))=0,"",_xlfn.MINIFS(Connexions!$M:$M,Connexions!$K:$K,$Q51,Connexions!$E:$E,VLOOKUP($B51,Mapping_Noms!$A:$B,2,0))-TIME(1,0,0)),"")</f>
        <v/>
      </c>
      <c r="D51" s="234">
        <f t="array" ref="D51:D51">IFERROR(INDEX(Planning2[],MATCH(1,(Planning2[Nom]=B51)*(Planning2[Date]=Q51),0),3),"-")</f>
        <v/>
      </c>
      <c r="E51" s="235">
        <f>IFERROR(IF(COUNTIFS(Connexions!$K:$K,$Q51,Connexions!$E:$E,VLOOKUP($B51,Mapping_Noms!$A:$B,2,0))=0,"",_xlfn.MAXIFS(Connexions!$O:$O,Connexions!$K:$K,$Q51,Connexions!$E:$E,VLOOKUP($B51,Mapping_Noms!$A:$B,2,0))-TIME(1,0,0)),"")</f>
        <v/>
      </c>
      <c r="F51" s="235">
        <f t="array" ref="F51:F51">IFERROR(INDEX(Planning2[],MATCH(1,(Planning2[Nom]=B51)*(Planning2[Date]=Q51),0),4),"-")</f>
        <v/>
      </c>
      <c r="G51" s="405">
        <f>IFERROR(IF(OR(IFERROR(INDEX('Planning Pauses Dej'!$C:$C,MATCH($B51&amp;"|"&amp;TEXT($Q51,"YYYYMMDD"),'Planning Pauses Dej'!$F:$F,0)),"")="",IFERROR(INDEX('Planning Pauses Dej'!$D:$D,MATCH($B51&amp;"|"&amp;TEXT($Q51,"YYYYMMDD"),'Planning Pauses Dej'!$F:$F,0)),"")=""),"",_xlfn.MAXIFS(Connexions!$Q:$Q,Connexions!$K:$K,$Q51,Connexions!$E:$E,VLOOKUP($B51,Mapping_Noms!$A:$B,2,0),Connexions!$O:$O,"&lt;="&amp;(IFERROR(INDEX('Planning Pauses Dej'!$D:$D,MATCH($B51&amp;"|"&amp;TEXT($Q51,"YYYYMMDD"),'Planning Pauses Dej'!$F:$F,0)),"")+TIME(1,0,0)),Connexions!$P:$P,"&gt;="&amp;(IFERROR(INDEX('Planning Pauses Dej'!$C:$C,MATCH($B51&amp;"|"&amp;TEXT($Q51,"YYYYMMDD"),'Planning Pauses Dej'!$F:$F,0)),"")+TIME(1,0,0)))),"")</f>
        <v/>
      </c>
      <c r="H51" s="405">
        <f>IFERROR(IF(OR($G51="",IFERROR(INDEX('Planning Pauses Dej'!$C:$C,MATCH($B51&amp;"|"&amp;TEXT($Q51,"YYYYMMDD"),'Planning Pauses Dej'!$F:$F,0)),"")="",IFERROR(INDEX('Planning Pauses Dej'!$D:$D,MATCH($B51&amp;"|"&amp;TEXT($Q51,"YYYYMMDD"),'Planning Pauses Dej'!$F:$F,0)),"")=""),"",IF($G51&gt;(IFERROR(INDEX('Planning Pauses Dej'!$D:$D,MATCH($B51&amp;"|"&amp;TEXT($Q51,"YYYYMMDD"),'Planning Pauses Dej'!$F:$F,0)),"")-IFERROR(INDEX('Planning Pauses Dej'!$C:$C,MATCH($B51&amp;"|"&amp;TEXT($Q51,"YYYYMMDD"),'Planning Pauses Dej'!$F:$F,0)),"")),$G51-(IFERROR(INDEX('Planning Pauses Dej'!$D:$D,MATCH($B51&amp;"|"&amp;TEXT($Q51,"YYYYMMDD"),'Planning Pauses Dej'!$F:$F,0)),"")-IFERROR(INDEX('Planning Pauses Dej'!$C:$C,MATCH($B51&amp;"|"&amp;TEXT($Q51,"YYYYMMDD"),'Planning Pauses Dej'!$F:$F,0)),"")),0)),"")</f>
        <v/>
      </c>
      <c r="I51" s="251">
        <f>IF(IF(OR(C51="",D51="Congé",D51="OFF",D51="Congé spécial"),"",IF(D51&gt;F51,D51-C51,IF(C51-D51&lt;0,0,C51-D51)))&lt;0.00068287037037037,"",IF(OR(D51="Congé",D51="OFF",C51="",D51="Congé spécial"),"",IF(D51&gt;F51,D51-C51,IF(C51-D51&lt;0,0,C51-D51))))</f>
        <v/>
      </c>
      <c r="J51" s="405">
        <f>IFERROR(IF($G51="","",IF($G51&gt;TIME(1,0,0),$G51-TIME(1,0,0),0)),"")</f>
        <v/>
      </c>
      <c r="K51" s="238">
        <f>IF(SUM(H51:J51)&lt;0.00068287037037037,0,SUM(H51:J51))</f>
        <v/>
      </c>
      <c r="L51" s="236">
        <f>IF(OR(F51="Congé",F51="OFF",M51="Abs",F51="Congé sans solde",F51="Férié",F51="Congé spécial",D51="Congé spécial"),0,IF(F51-E51&lt;0,0,IF(F51-E51&lt;=0.00068287037037037,0,F51-E51)))</f>
        <v/>
      </c>
      <c r="M51" s="239">
        <f>IF(AND(O51&lt;&gt;0,C51=""),"Abs",0)</f>
        <v/>
      </c>
      <c r="N51" s="240">
        <f>IFERROR(IF(OR(D51="OFF",D51="Congé",M51="Abs",D51="Congé sans solde",D51="Férié"),"",IF(O51-K51-L51&gt;O51,O51,IF(O51-K51-L51&lt;0,"",O51-K51-L51))),"")</f>
        <v/>
      </c>
      <c r="O51" s="241">
        <f>IF(AG51="2H Pause déjeuner",IF(F51-D51-0.0833333333333333&lt;0,F51-D51-0.0833333333333333+1,F51-D51-0.0833333333333333),IF(OR(AND(F51="OFF",D51="OFF"),AND(F51="Congé",D51="Congé"),AND(F51="Congé sans solde",D51="Congé sans solde"),AND(F51="Congé spécial",D51="Congé spécial"),AND(F51="Férié",D51="Férié"),AND(F51="OFF",D51="Congé"),AND(F51="OFF",D51="Congé sans solde"),AND(F51="OFF",D51="Congé spécial"),AND(F51="OFF",D51="Férié"),AND(F51="Congé",D51="OFF"),AND(F51="Congé",D51="Congé sans solde"),AND(F51="Congé",D51="Congé spécial"),AND(F51="Congé",D51="Férié"),AND(F51="Congé sans solde",D51="OFF"),AND(F51="Congé sans solde",D51="Congé"),AND(F51="Congé sans solde",D51="Congé spécial"),AND(F51="Congé sans solde",D51="Férié"),AND(F51="Congé spécial",D51="OFF"),AND(F51="Congé spécial",D51="Congé"),AND(F51="Congé spécial",D51="Congé sans solde"),AND(F51="Congé spécial",D51="Férié"),AND(F51="Férié",D51="OFF"),AND(F51="Férié",D51="Congé"),AND(F51="Férié",D51="Congé sans solde"),AND(F51="Férié",D51="Congé spécial")),0,IF(OR(F51="OFF",F51="Congé",F51="Congé spécial",F51="Congé sans solde",D51="OFF",D51="Congé",D51="Congé spécial",D51="Congé sans solde"),0.208333333333334,IF(AND(AG51="",F51-D51&lt;0),("24:00:00"-D51)+("00:00:00"+F51)-0.0416666666666667,IF(AND(OR(AG51="Allaitement",AG51="Sans déjeuner"),F51-D51&lt;0),("24:00:00"-D51)+("00:00:00"+F51),IF(AND(AG51="",F51-D51&gt;0.166666666666667),F51-D51-0.0416666666666667,IF(AND(OR(AG51="Allaitement",AG51="Sans déjeuner"),F51-D51&gt;0.166666666666667),F51-D51,F51-D51)))))))</f>
        <v/>
      </c>
      <c r="P51" s="242">
        <f>IFERROR(VLOOKUP($B51,Annuaire_roster!$B:$G,MATCH(P$1,Annuaire_roster!$B$1:$G$1,0),0),"-")</f>
        <v/>
      </c>
      <c r="Q51" s="243" t="n">
        <v>44762</v>
      </c>
      <c r="R51" s="244">
        <f>IF(M51="Abs",O51,0)</f>
        <v/>
      </c>
      <c r="S51" s="244">
        <f>SUM(R51,L51,I51,J51,W51,H51)</f>
        <v/>
      </c>
      <c r="T51" s="209">
        <f>"Sem - "&amp;WEEKNUM(Q51,21)</f>
        <v/>
      </c>
      <c r="U51" s="209">
        <f>PROPER(TEXT(Q51,"mmmm"))</f>
        <v/>
      </c>
      <c r="V51" s="245">
        <f>+TEXT(Q51,"aaa")</f>
        <v/>
      </c>
      <c r="W51" s="240" t="n"/>
      <c r="X51" s="246">
        <f>IFERROR(IF(M51="Abs",0,IF((D51-C51+E51-F51)&lt;0.000694444444444444,0,(D51-C51+E51-F51))),0)</f>
        <v/>
      </c>
      <c r="Y51" s="247">
        <f>IFERROR(VLOOKUP(B51,Annuaire_roster!B:E,4,0),"-")</f>
        <v/>
      </c>
      <c r="Z51" s="247">
        <f>IFERROR(VLOOKUP(B51,Annuaire_roster!B:F,3,0),"-")</f>
        <v/>
      </c>
      <c r="AA51" s="247">
        <f>IFERROR(VLOOKUP(B51,Annuaire_roster!B:I,6,0),"-")</f>
        <v/>
      </c>
      <c r="AB51" s="248">
        <f>IF(AND(D51="Congé",F51="Congé"),0.333333333333333,IF(OR(AND(D51="Congé",F51&lt;&gt;"Congé"),(AND(F51="Congé",D51&lt;&gt;"Congé"))),0.166666666666667,""))</f>
        <v/>
      </c>
      <c r="AC51" s="248">
        <f>IF(AND(D51="Congé sans solde",F51="Congé sans solde"),0.333333333333333,IF(OR(AND(D51="Congé sans solde",F51&lt;&gt;"Congé sans solde"),(AND(F51="Congé sans solde",D51&lt;&gt;"Congé sans solde"))),0.166666666666667,""))</f>
        <v/>
      </c>
      <c r="AD51" s="248">
        <f>IF(AND(D51="Congé spécial",F51="Congé spécial"),0.333333333333333,IF(OR(AND(D51="Congé spécial",F51&lt;&gt;"Congé décès"),(AND(F51="Congé spécial",D51&lt;&gt;"Congé spécial"))),0.166666666666667,""))</f>
        <v/>
      </c>
      <c r="AE51" s="249">
        <f>IF(AND(D51="Férié",F51="Férié"),0.333333333333333,IF(OR(AND(D51="Férié",F51&lt;&gt;"Férié"),(AND(F51="Férié",D51&lt;&gt;"Férié"))),0.166666666666667,""))</f>
        <v/>
      </c>
      <c r="AF51" s="249" t="n"/>
      <c r="AG51" s="244" t="n"/>
    </row>
    <row r="52" hidden="1" ht="12.75" customHeight="1" s="231">
      <c r="A52" s="253">
        <f>VLOOKUP(B52,Annuaire_roster!B:F,5,0)</f>
        <v/>
      </c>
      <c r="B52" s="233" t="inlineStr">
        <is>
          <t>AINELKITANE ZINEB</t>
        </is>
      </c>
      <c r="C52" s="234">
        <f>IFERROR(IF(COUNTIFS(Connexions!$K:$K,$Q52,Connexions!$E:$E,VLOOKUP($B52,Mapping_Noms!$A:$B,2,0))=0,"",_xlfn.MINIFS(Connexions!$M:$M,Connexions!$K:$K,$Q52,Connexions!$E:$E,VLOOKUP($B52,Mapping_Noms!$A:$B,2,0))-TIME(1,0,0)),"")</f>
        <v/>
      </c>
      <c r="D52" s="234">
        <f t="array" ref="D52:D52">IFERROR(INDEX(Planning2[],MATCH(1,(Planning2[Nom]=B52)*(Planning2[Date]=Q52),0),3),"-")</f>
        <v/>
      </c>
      <c r="E52" s="235">
        <f>IFERROR(IF(COUNTIFS(Connexions!$K:$K,$Q52,Connexions!$E:$E,VLOOKUP($B52,Mapping_Noms!$A:$B,2,0))=0,"",_xlfn.MAXIFS(Connexions!$O:$O,Connexions!$K:$K,$Q52,Connexions!$E:$E,VLOOKUP($B52,Mapping_Noms!$A:$B,2,0))-TIME(1,0,0)),"")</f>
        <v/>
      </c>
      <c r="F52" s="235">
        <f t="array" ref="F52:F52">IFERROR(INDEX(Planning2[],MATCH(1,(Planning2[Nom]=B52)*(Planning2[Date]=Q52),0),4),"-")</f>
        <v/>
      </c>
      <c r="G52" s="405">
        <f>IFERROR(IF(OR(IFERROR(INDEX('Planning Pauses Dej'!$C:$C,MATCH($B52&amp;"|"&amp;TEXT($Q52,"YYYYMMDD"),'Planning Pauses Dej'!$F:$F,0)),"")="",IFERROR(INDEX('Planning Pauses Dej'!$D:$D,MATCH($B52&amp;"|"&amp;TEXT($Q52,"YYYYMMDD"),'Planning Pauses Dej'!$F:$F,0)),"")=""),"",_xlfn.MAXIFS(Connexions!$Q:$Q,Connexions!$K:$K,$Q52,Connexions!$E:$E,VLOOKUP($B52,Mapping_Noms!$A:$B,2,0),Connexions!$O:$O,"&lt;="&amp;(IFERROR(INDEX('Planning Pauses Dej'!$D:$D,MATCH($B52&amp;"|"&amp;TEXT($Q52,"YYYYMMDD"),'Planning Pauses Dej'!$F:$F,0)),"")+TIME(1,0,0)),Connexions!$P:$P,"&gt;="&amp;(IFERROR(INDEX('Planning Pauses Dej'!$C:$C,MATCH($B52&amp;"|"&amp;TEXT($Q52,"YYYYMMDD"),'Planning Pauses Dej'!$F:$F,0)),"")+TIME(1,0,0)))),"")</f>
        <v/>
      </c>
      <c r="H52" s="405">
        <f>IFERROR(IF(OR($G52="",IFERROR(INDEX('Planning Pauses Dej'!$C:$C,MATCH($B52&amp;"|"&amp;TEXT($Q52,"YYYYMMDD"),'Planning Pauses Dej'!$F:$F,0)),"")="",IFERROR(INDEX('Planning Pauses Dej'!$D:$D,MATCH($B52&amp;"|"&amp;TEXT($Q52,"YYYYMMDD"),'Planning Pauses Dej'!$F:$F,0)),"")=""),"",IF($G52&gt;(IFERROR(INDEX('Planning Pauses Dej'!$D:$D,MATCH($B52&amp;"|"&amp;TEXT($Q52,"YYYYMMDD"),'Planning Pauses Dej'!$F:$F,0)),"")-IFERROR(INDEX('Planning Pauses Dej'!$C:$C,MATCH($B52&amp;"|"&amp;TEXT($Q52,"YYYYMMDD"),'Planning Pauses Dej'!$F:$F,0)),"")),$G52-(IFERROR(INDEX('Planning Pauses Dej'!$D:$D,MATCH($B52&amp;"|"&amp;TEXT($Q52,"YYYYMMDD"),'Planning Pauses Dej'!$F:$F,0)),"")-IFERROR(INDEX('Planning Pauses Dej'!$C:$C,MATCH($B52&amp;"|"&amp;TEXT($Q52,"YYYYMMDD"),'Planning Pauses Dej'!$F:$F,0)),"")),0)),"")</f>
        <v/>
      </c>
      <c r="I52" s="251">
        <f>IF(IF(OR(C52="",D52="Congé",D52="OFF",D52="Congé spécial"),"",IF(D52&gt;F52,D52-C52,IF(C52-D52&lt;0,0,C52-D52)))&lt;0.00068287037037037,"",IF(OR(D52="Congé",D52="OFF",C52="",D52="Congé spécial"),"",IF(D52&gt;F52,D52-C52,IF(C52-D52&lt;0,0,C52-D52))))</f>
        <v/>
      </c>
      <c r="J52" s="405">
        <f>IFERROR(IF($G52="","",IF($G52&gt;TIME(1,0,0),$G52-TIME(1,0,0),0)),"")</f>
        <v/>
      </c>
      <c r="K52" s="238">
        <f>IF(SUM(H52:J52)&lt;0.00068287037037037,0,SUM(H52:J52))</f>
        <v/>
      </c>
      <c r="L52" s="236">
        <f>IF(OR(F52="Congé",F52="OFF",M52="Abs",F52="Congé sans solde",F52="Férié",F52="Congé spécial",D52="Congé spécial"),0,IF(F52-E52&lt;0,0,IF(F52-E52&lt;=0.00068287037037037,0,F52-E52)))</f>
        <v/>
      </c>
      <c r="M52" s="239">
        <f>IF(AND(O52&lt;&gt;0,C52=""),"Abs",0)</f>
        <v/>
      </c>
      <c r="N52" s="254">
        <f>IFERROR(IF(OR(D52="OFF",D52="Congé",M52="Abs",D52="Congé sans solde",D52="Férié"),"",IF(O52-K52-L52&gt;O52,O52,IF(O52-K52-L52&lt;0,"",O52-K52-L52))),"")</f>
        <v/>
      </c>
      <c r="O52" s="241">
        <f>IF(AG52="2H Pause déjeuner",IF(F52-D52-0.0833333333333333&lt;0,F52-D52-0.0833333333333333+1,F52-D52-0.0833333333333333),IF(OR(AND(F52="OFF",D52="OFF"),AND(F52="Congé",D52="Congé"),AND(F52="Congé sans solde",D52="Congé sans solde"),AND(F52="Congé spécial",D52="Congé spécial"),AND(F52="Férié",D52="Férié"),AND(F52="OFF",D52="Congé"),AND(F52="OFF",D52="Congé sans solde"),AND(F52="OFF",D52="Congé spécial"),AND(F52="OFF",D52="Férié"),AND(F52="Congé",D52="OFF"),AND(F52="Congé",D52="Congé sans solde"),AND(F52="Congé",D52="Congé spécial"),AND(F52="Congé",D52="Férié"),AND(F52="Congé sans solde",D52="OFF"),AND(F52="Congé sans solde",D52="Congé"),AND(F52="Congé sans solde",D52="Congé spécial"),AND(F52="Congé sans solde",D52="Férié"),AND(F52="Congé spécial",D52="OFF"),AND(F52="Congé spécial",D52="Congé"),AND(F52="Congé spécial",D52="Congé sans solde"),AND(F52="Congé spécial",D52="Férié"),AND(F52="Férié",D52="OFF"),AND(F52="Férié",D52="Congé"),AND(F52="Férié",D52="Congé sans solde"),AND(F52="Férié",D52="Congé spécial")),0,IF(OR(F52="OFF",F52="Congé",F52="Congé spécial",F52="Congé sans solde",D52="OFF",D52="Congé",D52="Congé spécial",D52="Congé sans solde"),0.208333333333334,IF(AND(AG52="",F52-D52&lt;0),("24:00:00"-D52)+("00:00:00"+F52)-0.0416666666666667,IF(AND(OR(AG52="Allaitement",AG52="Sans déjeuner"),F52-D52&lt;0),("24:00:00"-D52)+("00:00:00"+F52),IF(AND(AG52="",F52-D52&gt;0.166666666666667),F52-D52-0.0416666666666667,IF(AND(OR(AG52="Allaitement",AG52="Sans déjeuner"),F52-D52&gt;0.166666666666667),F52-D52,F52-D52)))))))</f>
        <v/>
      </c>
      <c r="P52" s="242">
        <f>IFERROR(VLOOKUP($B52,Annuaire_roster!$B:$G,MATCH(P$1,Annuaire_roster!$B$1:$G$1,0),0),"-")</f>
        <v/>
      </c>
      <c r="Q52" s="255" t="n">
        <v>44762</v>
      </c>
      <c r="R52" s="248">
        <f>IF(M52="Abs",O52,0)</f>
        <v/>
      </c>
      <c r="S52" s="248">
        <f>SUM(R52,L52,I52,J52,W52,H52)</f>
        <v/>
      </c>
      <c r="T52" s="209">
        <f>"Sem - "&amp;WEEKNUM(Q52,21)</f>
        <v/>
      </c>
      <c r="U52" s="209">
        <f>PROPER(TEXT(Q52,"mmmm"))</f>
        <v/>
      </c>
      <c r="V52" s="256">
        <f>+TEXT(Q52,"aaa")</f>
        <v/>
      </c>
      <c r="W52" s="254" t="n"/>
      <c r="X52" s="257">
        <f>IFERROR(IF(M52="Abs",0,IF((D52-C52+E52-F52)&lt;0.000694444444444444,0,(D52-C52+E52-F52))),0)</f>
        <v/>
      </c>
      <c r="Y52" s="258">
        <f>IFERROR(VLOOKUP(B52,Annuaire_roster!B:E,4,0),"-")</f>
        <v/>
      </c>
      <c r="Z52" s="258">
        <f>IFERROR(VLOOKUP(B52,Annuaire_roster!B:F,3,0),"-")</f>
        <v/>
      </c>
      <c r="AA52" s="258">
        <f>IFERROR(VLOOKUP(B52,Annuaire_roster!B:I,6,0),"-")</f>
        <v/>
      </c>
      <c r="AB52" s="248">
        <f>IF(AND(D52="Congé",F52="Congé"),0.333333333333333,IF(OR(AND(D52="Congé",F52&lt;&gt;"Congé"),(AND(F52="Congé",D52&lt;&gt;"Congé"))),0.166666666666667,""))</f>
        <v/>
      </c>
      <c r="AC52" s="248">
        <f>IF(AND(D52="Congé sans solde",F52="Congé sans solde"),0.333333333333333,IF(OR(AND(D52="Congé sans solde",F52&lt;&gt;"Congé sans solde"),(AND(F52="Congé sans solde",D52&lt;&gt;"Congé sans solde"))),0.166666666666667,""))</f>
        <v/>
      </c>
      <c r="AD52" s="248">
        <f>IF(AND(D52="Congé spécial",F52="Congé spécial"),0.333333333333333,IF(OR(AND(D52="Congé spécial",F52&lt;&gt;"Congé décès"),(AND(F52="Congé spécial",D52&lt;&gt;"Congé spécial"))),0.166666666666667,""))</f>
        <v/>
      </c>
      <c r="AE52" s="259">
        <f>IF(AND(D52="Férié",F52="Férié"),0.333333333333333,IF(OR(AND(D52="Férié",F52&lt;&gt;"Férié"),(AND(F52="Férié",D52&lt;&gt;"Férié"))),0.166666666666667,""))</f>
        <v/>
      </c>
      <c r="AF52" s="259" t="n"/>
      <c r="AG52" s="248" t="n"/>
    </row>
    <row r="53" hidden="1" ht="12.75" customHeight="1" s="231">
      <c r="A53" s="253">
        <f>VLOOKUP(B53,Annuaire_roster!B:F,5,0)</f>
        <v/>
      </c>
      <c r="B53" s="233" t="inlineStr">
        <is>
          <t>EL HOUSSAINI HOUDA</t>
        </is>
      </c>
      <c r="C53" s="234">
        <f>IFERROR(IF(COUNTIFS(Connexions!$K:$K,$Q53,Connexions!$E:$E,VLOOKUP($B53,Mapping_Noms!$A:$B,2,0))=0,"",_xlfn.MINIFS(Connexions!$M:$M,Connexions!$K:$K,$Q53,Connexions!$E:$E,VLOOKUP($B53,Mapping_Noms!$A:$B,2,0))-TIME(1,0,0)),"")</f>
        <v/>
      </c>
      <c r="D53" s="234">
        <f t="array" ref="D53:D53">IFERROR(INDEX(Planning2[],MATCH(1,(Planning2[Nom]=B53)*(Planning2[Date]=Q53),0),3),"-")</f>
        <v/>
      </c>
      <c r="E53" s="235">
        <f>IFERROR(IF(COUNTIFS(Connexions!$K:$K,$Q53,Connexions!$E:$E,VLOOKUP($B53,Mapping_Noms!$A:$B,2,0))=0,"",_xlfn.MAXIFS(Connexions!$O:$O,Connexions!$K:$K,$Q53,Connexions!$E:$E,VLOOKUP($B53,Mapping_Noms!$A:$B,2,0))-TIME(1,0,0)),"")</f>
        <v/>
      </c>
      <c r="F53" s="235">
        <f t="array" ref="F53:F53">IFERROR(INDEX(Planning2[],MATCH(1,(Planning2[Nom]=B53)*(Planning2[Date]=Q53),0),4),"-")</f>
        <v/>
      </c>
      <c r="G53" s="405">
        <f>IFERROR(IF(OR(IFERROR(INDEX('Planning Pauses Dej'!$C:$C,MATCH($B53&amp;"|"&amp;TEXT($Q53,"YYYYMMDD"),'Planning Pauses Dej'!$F:$F,0)),"")="",IFERROR(INDEX('Planning Pauses Dej'!$D:$D,MATCH($B53&amp;"|"&amp;TEXT($Q53,"YYYYMMDD"),'Planning Pauses Dej'!$F:$F,0)),"")=""),"",_xlfn.MAXIFS(Connexions!$Q:$Q,Connexions!$K:$K,$Q53,Connexions!$E:$E,VLOOKUP($B53,Mapping_Noms!$A:$B,2,0),Connexions!$O:$O,"&lt;="&amp;(IFERROR(INDEX('Planning Pauses Dej'!$D:$D,MATCH($B53&amp;"|"&amp;TEXT($Q53,"YYYYMMDD"),'Planning Pauses Dej'!$F:$F,0)),"")+TIME(1,0,0)),Connexions!$P:$P,"&gt;="&amp;(IFERROR(INDEX('Planning Pauses Dej'!$C:$C,MATCH($B53&amp;"|"&amp;TEXT($Q53,"YYYYMMDD"),'Planning Pauses Dej'!$F:$F,0)),"")+TIME(1,0,0)))),"")</f>
        <v/>
      </c>
      <c r="H53" s="405">
        <f>IFERROR(IF(OR($G53="",IFERROR(INDEX('Planning Pauses Dej'!$C:$C,MATCH($B53&amp;"|"&amp;TEXT($Q53,"YYYYMMDD"),'Planning Pauses Dej'!$F:$F,0)),"")="",IFERROR(INDEX('Planning Pauses Dej'!$D:$D,MATCH($B53&amp;"|"&amp;TEXT($Q53,"YYYYMMDD"),'Planning Pauses Dej'!$F:$F,0)),"")=""),"",IF($G53&gt;(IFERROR(INDEX('Planning Pauses Dej'!$D:$D,MATCH($B53&amp;"|"&amp;TEXT($Q53,"YYYYMMDD"),'Planning Pauses Dej'!$F:$F,0)),"")-IFERROR(INDEX('Planning Pauses Dej'!$C:$C,MATCH($B53&amp;"|"&amp;TEXT($Q53,"YYYYMMDD"),'Planning Pauses Dej'!$F:$F,0)),"")),$G53-(IFERROR(INDEX('Planning Pauses Dej'!$D:$D,MATCH($B53&amp;"|"&amp;TEXT($Q53,"YYYYMMDD"),'Planning Pauses Dej'!$F:$F,0)),"")-IFERROR(INDEX('Planning Pauses Dej'!$C:$C,MATCH($B53&amp;"|"&amp;TEXT($Q53,"YYYYMMDD"),'Planning Pauses Dej'!$F:$F,0)),"")),0)),"")</f>
        <v/>
      </c>
      <c r="I53" s="251">
        <f>IF(IF(OR(C53="",D53="Congé",D53="OFF",D53="Congé spécial"),"",IF(D53&gt;F53,D53-C53,IF(C53-D53&lt;0,0,C53-D53)))&lt;0.00068287037037037,"",IF(OR(D53="Congé",D53="OFF",C53="",D53="Congé spécial"),"",IF(D53&gt;F53,D53-C53,IF(C53-D53&lt;0,0,C53-D53))))</f>
        <v/>
      </c>
      <c r="J53" s="405">
        <f>IFERROR(IF($G53="","",IF($G53&gt;TIME(1,0,0),$G53-TIME(1,0,0),0)),"")</f>
        <v/>
      </c>
      <c r="K53" s="238">
        <f>IF(SUM(H53:J53)&lt;0.00068287037037037,0,SUM(H53:J53))</f>
        <v/>
      </c>
      <c r="L53" s="236">
        <f>IF(OR(F53="Congé",F53="OFF",M53="Abs",F53="Congé sans solde",F53="Férié",F53="Congé spécial",D53="Congé spécial"),0,IF(F53-E53&lt;0,0,IF(F53-E53&lt;=0.00068287037037037,0,F53-E53)))</f>
        <v/>
      </c>
      <c r="M53" s="239">
        <f>IF(AND(O53&lt;&gt;0,C53=""),"Abs",0)</f>
        <v/>
      </c>
      <c r="N53" s="254">
        <f>IFERROR(IF(OR(D53="OFF",D53="Congé",M53="Abs",D53="Congé sans solde",D53="Férié"),"",IF(O53-K53-L53&gt;O53,O53,IF(O53-K53-L53&lt;0,"",O53-K53-L53))),"")</f>
        <v/>
      </c>
      <c r="O53" s="241">
        <f>IF(AG53="2H Pause déjeuner",IF(F53-D53-0.0833333333333333&lt;0,F53-D53-0.0833333333333333+1,F53-D53-0.0833333333333333),IF(OR(AND(F53="OFF",D53="OFF"),AND(F53="Congé",D53="Congé"),AND(F53="Congé sans solde",D53="Congé sans solde"),AND(F53="Congé spécial",D53="Congé spécial"),AND(F53="Férié",D53="Férié"),AND(F53="OFF",D53="Congé"),AND(F53="OFF",D53="Congé sans solde"),AND(F53="OFF",D53="Congé spécial"),AND(F53="OFF",D53="Férié"),AND(F53="Congé",D53="OFF"),AND(F53="Congé",D53="Congé sans solde"),AND(F53="Congé",D53="Congé spécial"),AND(F53="Congé",D53="Férié"),AND(F53="Congé sans solde",D53="OFF"),AND(F53="Congé sans solde",D53="Congé"),AND(F53="Congé sans solde",D53="Congé spécial"),AND(F53="Congé sans solde",D53="Férié"),AND(F53="Congé spécial",D53="OFF"),AND(F53="Congé spécial",D53="Congé"),AND(F53="Congé spécial",D53="Congé sans solde"),AND(F53="Congé spécial",D53="Férié"),AND(F53="Férié",D53="OFF"),AND(F53="Férié",D53="Congé"),AND(F53="Férié",D53="Congé sans solde"),AND(F53="Férié",D53="Congé spécial")),0,IF(OR(F53="OFF",F53="Congé",F53="Congé spécial",F53="Congé sans solde",D53="OFF",D53="Congé",D53="Congé spécial",D53="Congé sans solde"),0.208333333333334,IF(AND(AG53="",F53-D53&lt;0),("24:00:00"-D53)+("00:00:00"+F53)-0.0416666666666667,IF(AND(OR(AG53="Allaitement",AG53="Sans déjeuner"),F53-D53&lt;0),("24:00:00"-D53)+("00:00:00"+F53),IF(AND(AG53="",F53-D53&gt;0.166666666666667),F53-D53-0.0416666666666667,IF(AND(OR(AG53="Allaitement",AG53="Sans déjeuner"),F53-D53&gt;0.166666666666667),F53-D53,F53-D53)))))))</f>
        <v/>
      </c>
      <c r="P53" s="242">
        <f>IFERROR(VLOOKUP($B53,Annuaire_roster!$B:$G,MATCH(P$1,Annuaire_roster!$B$1:$G$1,0),0),"-")</f>
        <v/>
      </c>
      <c r="Q53" s="255" t="n">
        <v>44762</v>
      </c>
      <c r="R53" s="248">
        <f>IF(M53="Abs",O53,0)</f>
        <v/>
      </c>
      <c r="S53" s="248">
        <f>SUM(R53,L53,I53,J53,W53,H53)</f>
        <v/>
      </c>
      <c r="T53" s="209">
        <f>"Sem - "&amp;WEEKNUM(Q53,21)</f>
        <v/>
      </c>
      <c r="U53" s="209">
        <f>PROPER(TEXT(Q53,"mmmm"))</f>
        <v/>
      </c>
      <c r="V53" s="256">
        <f>+TEXT(Q53,"aaa")</f>
        <v/>
      </c>
      <c r="W53" s="254" t="n"/>
      <c r="X53" s="257">
        <f>IFERROR(IF(M53="Abs",0,IF((D53-C53+E53-F53)&lt;0.000694444444444444,0,(D53-C53+E53-F53))),0)</f>
        <v/>
      </c>
      <c r="Y53" s="258">
        <f>IFERROR(VLOOKUP(B53,Annuaire_roster!B:E,4,0),"-")</f>
        <v/>
      </c>
      <c r="Z53" s="258">
        <f>IFERROR(VLOOKUP(B53,Annuaire_roster!B:F,3,0),"-")</f>
        <v/>
      </c>
      <c r="AA53" s="258">
        <f>IFERROR(VLOOKUP(B53,Annuaire_roster!B:I,6,0),"-")</f>
        <v/>
      </c>
      <c r="AB53" s="248">
        <f>IF(AND(D53="Congé",F53="Congé"),0.333333333333333,IF(OR(AND(D53="Congé",F53&lt;&gt;"Congé"),(AND(F53="Congé",D53&lt;&gt;"Congé"))),0.166666666666667,""))</f>
        <v/>
      </c>
      <c r="AC53" s="248">
        <f>IF(AND(D53="Congé sans solde",F53="Congé sans solde"),0.333333333333333,IF(OR(AND(D53="Congé sans solde",F53&lt;&gt;"Congé sans solde"),(AND(F53="Congé sans solde",D53&lt;&gt;"Congé sans solde"))),0.166666666666667,""))</f>
        <v/>
      </c>
      <c r="AD53" s="248">
        <f>IF(AND(D53="Congé spécial",F53="Congé spécial"),0.333333333333333,IF(OR(AND(D53="Congé spécial",F53&lt;&gt;"Congé décès"),(AND(F53="Congé spécial",D53&lt;&gt;"Congé spécial"))),0.166666666666667,""))</f>
        <v/>
      </c>
      <c r="AE53" s="259">
        <f>IF(AND(D53="Férié",F53="Férié"),0.333333333333333,IF(OR(AND(D53="Férié",F53&lt;&gt;"Férié"),(AND(F53="Férié",D53&lt;&gt;"Férié"))),0.166666666666667,""))</f>
        <v/>
      </c>
      <c r="AF53" s="259" t="n"/>
      <c r="AG53" s="248" t="n"/>
    </row>
    <row r="54" hidden="1" ht="12.75" customHeight="1" s="231">
      <c r="A54" s="253">
        <f>VLOOKUP(B54,Annuaire_roster!B:F,5,0)</f>
        <v/>
      </c>
      <c r="B54" s="233" t="inlineStr">
        <is>
          <t xml:space="preserve">DERKAOUI AMAL </t>
        </is>
      </c>
      <c r="C54" s="234">
        <f>IFERROR(IF(COUNTIFS(Connexions!$K:$K,$Q54,Connexions!$E:$E,VLOOKUP($B54,Mapping_Noms!$A:$B,2,0))=0,"",_xlfn.MINIFS(Connexions!$M:$M,Connexions!$K:$K,$Q54,Connexions!$E:$E,VLOOKUP($B54,Mapping_Noms!$A:$B,2,0))-TIME(1,0,0)),"")</f>
        <v/>
      </c>
      <c r="D54" s="234">
        <f t="array" ref="D54:D54">IFERROR(INDEX(Planning2[],MATCH(1,(Planning2[Nom]=B54)*(Planning2[Date]=Q54),0),3),"-")</f>
        <v/>
      </c>
      <c r="E54" s="235">
        <f>IFERROR(IF(COUNTIFS(Connexions!$K:$K,$Q54,Connexions!$E:$E,VLOOKUP($B54,Mapping_Noms!$A:$B,2,0))=0,"",_xlfn.MAXIFS(Connexions!$O:$O,Connexions!$K:$K,$Q54,Connexions!$E:$E,VLOOKUP($B54,Mapping_Noms!$A:$B,2,0))-TIME(1,0,0)),"")</f>
        <v/>
      </c>
      <c r="F54" s="235">
        <f t="array" ref="F54:F54">IFERROR(INDEX(Planning2[],MATCH(1,(Planning2[Nom]=B54)*(Planning2[Date]=Q54),0),4),"-")</f>
        <v/>
      </c>
      <c r="G54" s="405">
        <f>IFERROR(IF(OR(IFERROR(INDEX('Planning Pauses Dej'!$C:$C,MATCH($B54&amp;"|"&amp;TEXT($Q54,"YYYYMMDD"),'Planning Pauses Dej'!$F:$F,0)),"")="",IFERROR(INDEX('Planning Pauses Dej'!$D:$D,MATCH($B54&amp;"|"&amp;TEXT($Q54,"YYYYMMDD"),'Planning Pauses Dej'!$F:$F,0)),"")=""),"",_xlfn.MAXIFS(Connexions!$Q:$Q,Connexions!$K:$K,$Q54,Connexions!$E:$E,VLOOKUP($B54,Mapping_Noms!$A:$B,2,0),Connexions!$O:$O,"&lt;="&amp;(IFERROR(INDEX('Planning Pauses Dej'!$D:$D,MATCH($B54&amp;"|"&amp;TEXT($Q54,"YYYYMMDD"),'Planning Pauses Dej'!$F:$F,0)),"")+TIME(1,0,0)),Connexions!$P:$P,"&gt;="&amp;(IFERROR(INDEX('Planning Pauses Dej'!$C:$C,MATCH($B54&amp;"|"&amp;TEXT($Q54,"YYYYMMDD"),'Planning Pauses Dej'!$F:$F,0)),"")+TIME(1,0,0)))),"")</f>
        <v/>
      </c>
      <c r="H54" s="405">
        <f>IFERROR(IF(OR($G54="",IFERROR(INDEX('Planning Pauses Dej'!$C:$C,MATCH($B54&amp;"|"&amp;TEXT($Q54,"YYYYMMDD"),'Planning Pauses Dej'!$F:$F,0)),"")="",IFERROR(INDEX('Planning Pauses Dej'!$D:$D,MATCH($B54&amp;"|"&amp;TEXT($Q54,"YYYYMMDD"),'Planning Pauses Dej'!$F:$F,0)),"")=""),"",IF($G54&gt;(IFERROR(INDEX('Planning Pauses Dej'!$D:$D,MATCH($B54&amp;"|"&amp;TEXT($Q54,"YYYYMMDD"),'Planning Pauses Dej'!$F:$F,0)),"")-IFERROR(INDEX('Planning Pauses Dej'!$C:$C,MATCH($B54&amp;"|"&amp;TEXT($Q54,"YYYYMMDD"),'Planning Pauses Dej'!$F:$F,0)),"")),$G54-(IFERROR(INDEX('Planning Pauses Dej'!$D:$D,MATCH($B54&amp;"|"&amp;TEXT($Q54,"YYYYMMDD"),'Planning Pauses Dej'!$F:$F,0)),"")-IFERROR(INDEX('Planning Pauses Dej'!$C:$C,MATCH($B54&amp;"|"&amp;TEXT($Q54,"YYYYMMDD"),'Planning Pauses Dej'!$F:$F,0)),"")),0)),"")</f>
        <v/>
      </c>
      <c r="I54" s="251">
        <f>IF(IF(OR(C54="",D54="Congé",D54="OFF",D54="Congé spécial"),"",IF(D54&gt;F54,D54-C54,IF(C54-D54&lt;0,0,C54-D54)))&lt;0.00068287037037037,"",IF(OR(D54="Congé",D54="OFF",C54="",D54="Congé spécial"),"",IF(D54&gt;F54,D54-C54,IF(C54-D54&lt;0,0,C54-D54))))</f>
        <v/>
      </c>
      <c r="J54" s="405">
        <f>IFERROR(IF($G54="","",IF($G54&gt;TIME(1,0,0),$G54-TIME(1,0,0),0)),"")</f>
        <v/>
      </c>
      <c r="K54" s="238">
        <f>IF(SUM(H54:J54)&lt;0.00068287037037037,0,SUM(H54:J54))</f>
        <v/>
      </c>
      <c r="L54" s="236">
        <f>IF(OR(F54="Congé",F54="OFF",M54="Abs",F54="Congé sans solde",F54="Férié",F54="Congé spécial",D54="Congé spécial"),0,IF(F54-E54&lt;0,0,IF(F54-E54&lt;=0.00068287037037037,0,F54-E54)))</f>
        <v/>
      </c>
      <c r="M54" s="239">
        <f>IF(AND(O54&lt;&gt;0,C54=""),"Abs",0)</f>
        <v/>
      </c>
      <c r="N54" s="254">
        <f>IFERROR(IF(OR(D54="OFF",D54="Congé",M54="Abs",D54="Congé sans solde",D54="Férié"),"",IF(O54-K54-L54&gt;O54,O54,IF(O54-K54-L54&lt;0,"",O54-K54-L54))),"")</f>
        <v/>
      </c>
      <c r="O54" s="241">
        <f>IF(AG54="2H Pause déjeuner",IF(F54-D54-0.0833333333333333&lt;0,F54-D54-0.0833333333333333+1,F54-D54-0.0833333333333333),IF(OR(AND(F54="OFF",D54="OFF"),AND(F54="Congé",D54="Congé"),AND(F54="Congé sans solde",D54="Congé sans solde"),AND(F54="Congé spécial",D54="Congé spécial"),AND(F54="Férié",D54="Férié"),AND(F54="OFF",D54="Congé"),AND(F54="OFF",D54="Congé sans solde"),AND(F54="OFF",D54="Congé spécial"),AND(F54="OFF",D54="Férié"),AND(F54="Congé",D54="OFF"),AND(F54="Congé",D54="Congé sans solde"),AND(F54="Congé",D54="Congé spécial"),AND(F54="Congé",D54="Férié"),AND(F54="Congé sans solde",D54="OFF"),AND(F54="Congé sans solde",D54="Congé"),AND(F54="Congé sans solde",D54="Congé spécial"),AND(F54="Congé sans solde",D54="Férié"),AND(F54="Congé spécial",D54="OFF"),AND(F54="Congé spécial",D54="Congé"),AND(F54="Congé spécial",D54="Congé sans solde"),AND(F54="Congé spécial",D54="Férié"),AND(F54="Férié",D54="OFF"),AND(F54="Férié",D54="Congé"),AND(F54="Férié",D54="Congé sans solde"),AND(F54="Férié",D54="Congé spécial")),0,IF(OR(F54="OFF",F54="Congé",F54="Congé spécial",F54="Congé sans solde",D54="OFF",D54="Congé",D54="Congé spécial",D54="Congé sans solde"),0.208333333333334,IF(AND(AG54="",F54-D54&lt;0),("24:00:00"-D54)+("00:00:00"+F54)-0.0416666666666667,IF(AND(OR(AG54="Allaitement",AG54="Sans déjeuner"),F54-D54&lt;0),("24:00:00"-D54)+("00:00:00"+F54),IF(AND(AG54="",F54-D54&gt;0.166666666666667),F54-D54-0.0416666666666667,IF(AND(OR(AG54="Allaitement",AG54="Sans déjeuner"),F54-D54&gt;0.166666666666667),F54-D54,F54-D54)))))))</f>
        <v/>
      </c>
      <c r="P54" s="242">
        <f>IFERROR(VLOOKUP($B54,Annuaire_roster!$B:$G,MATCH(P$1,Annuaire_roster!$B$1:$G$1,0),0),"-")</f>
        <v/>
      </c>
      <c r="Q54" s="255" t="n">
        <v>44762</v>
      </c>
      <c r="R54" s="248">
        <f>IF(M54="Abs",O54,0)</f>
        <v/>
      </c>
      <c r="S54" s="248">
        <f>SUM(R54,L54,I54,J54,W54,H54)</f>
        <v/>
      </c>
      <c r="T54" s="209">
        <f>"Sem - "&amp;WEEKNUM(Q54,21)</f>
        <v/>
      </c>
      <c r="U54" s="209">
        <f>PROPER(TEXT(Q54,"mmmm"))</f>
        <v/>
      </c>
      <c r="V54" s="256">
        <f>+TEXT(Q54,"aaa")</f>
        <v/>
      </c>
      <c r="W54" s="254" t="n"/>
      <c r="X54" s="257">
        <f>IFERROR(IF(M54="Abs",0,IF((D54-C54+E54-F54)&lt;0.000694444444444444,0,(D54-C54+E54-F54))),0)</f>
        <v/>
      </c>
      <c r="Y54" s="258">
        <f>IFERROR(VLOOKUP(B54,Annuaire_roster!B:E,4,0),"-")</f>
        <v/>
      </c>
      <c r="Z54" s="258">
        <f>IFERROR(VLOOKUP(B54,Annuaire_roster!B:F,3,0),"-")</f>
        <v/>
      </c>
      <c r="AA54" s="258">
        <f>IFERROR(VLOOKUP(B54,Annuaire_roster!B:I,6,0),"-")</f>
        <v/>
      </c>
      <c r="AB54" s="248">
        <f>IF(AND(D54="Congé",F54="Congé"),0.333333333333333,IF(OR(AND(D54="Congé",F54&lt;&gt;"Congé"),(AND(F54="Congé",D54&lt;&gt;"Congé"))),0.166666666666667,""))</f>
        <v/>
      </c>
      <c r="AC54" s="248">
        <f>IF(AND(D54="Congé sans solde",F54="Congé sans solde"),0.333333333333333,IF(OR(AND(D54="Congé sans solde",F54&lt;&gt;"Congé sans solde"),(AND(F54="Congé sans solde",D54&lt;&gt;"Congé sans solde"))),0.166666666666667,""))</f>
        <v/>
      </c>
      <c r="AD54" s="248">
        <f>IF(AND(D54="Congé spécial",F54="Congé spécial"),0.333333333333333,IF(OR(AND(D54="Congé spécial",F54&lt;&gt;"Congé décès"),(AND(F54="Congé spécial",D54&lt;&gt;"Congé spécial"))),0.166666666666667,""))</f>
        <v/>
      </c>
      <c r="AE54" s="259">
        <f>IF(AND(D54="Férié",F54="Férié"),0.333333333333333,IF(OR(AND(D54="Férié",F54&lt;&gt;"Férié"),(AND(F54="Férié",D54&lt;&gt;"Férié"))),0.166666666666667,""))</f>
        <v/>
      </c>
      <c r="AF54" s="259" t="n"/>
      <c r="AG54" s="248" t="n"/>
    </row>
    <row r="55" hidden="1" ht="12.75" customHeight="1" s="231">
      <c r="A55" s="232">
        <f>VLOOKUP(B55,Annuaire_roster!B:F,5,0)</f>
        <v/>
      </c>
      <c r="B55" s="233" t="inlineStr">
        <is>
          <t>RACHAD NAWAR</t>
        </is>
      </c>
      <c r="C55" s="234">
        <f>IFERROR(IF(COUNTIFS(Connexions!$K:$K,$Q55,Connexions!$E:$E,VLOOKUP($B55,Mapping_Noms!$A:$B,2,0))=0,"",_xlfn.MINIFS(Connexions!$M:$M,Connexions!$K:$K,$Q55,Connexions!$E:$E,VLOOKUP($B55,Mapping_Noms!$A:$B,2,0))-TIME(1,0,0)),"")</f>
        <v/>
      </c>
      <c r="D55" s="234">
        <f t="array" ref="D55:D55">IFERROR(INDEX(Planning2[],MATCH(1,(Planning2[Nom]=B55)*(Planning2[Date]=Q55),0),3),"-")</f>
        <v/>
      </c>
      <c r="E55" s="235">
        <f>IFERROR(IF(COUNTIFS(Connexions!$K:$K,$Q55,Connexions!$E:$E,VLOOKUP($B55,Mapping_Noms!$A:$B,2,0))=0,"",_xlfn.MAXIFS(Connexions!$O:$O,Connexions!$K:$K,$Q55,Connexions!$E:$E,VLOOKUP($B55,Mapping_Noms!$A:$B,2,0))-TIME(1,0,0)),"")</f>
        <v/>
      </c>
      <c r="F55" s="235">
        <f t="array" ref="F55:F55">IFERROR(INDEX(Planning2[],MATCH(1,(Planning2[Nom]=B55)*(Planning2[Date]=Q55),0),4),"-")</f>
        <v/>
      </c>
      <c r="G55" s="405">
        <f>IFERROR(IF(OR(IFERROR(INDEX('Planning Pauses Dej'!$C:$C,MATCH($B55&amp;"|"&amp;TEXT($Q55,"YYYYMMDD"),'Planning Pauses Dej'!$F:$F,0)),"")="",IFERROR(INDEX('Planning Pauses Dej'!$D:$D,MATCH($B55&amp;"|"&amp;TEXT($Q55,"YYYYMMDD"),'Planning Pauses Dej'!$F:$F,0)),"")=""),"",_xlfn.MAXIFS(Connexions!$Q:$Q,Connexions!$K:$K,$Q55,Connexions!$E:$E,VLOOKUP($B55,Mapping_Noms!$A:$B,2,0),Connexions!$O:$O,"&lt;="&amp;(IFERROR(INDEX('Planning Pauses Dej'!$D:$D,MATCH($B55&amp;"|"&amp;TEXT($Q55,"YYYYMMDD"),'Planning Pauses Dej'!$F:$F,0)),"")+TIME(1,0,0)),Connexions!$P:$P,"&gt;="&amp;(IFERROR(INDEX('Planning Pauses Dej'!$C:$C,MATCH($B55&amp;"|"&amp;TEXT($Q55,"YYYYMMDD"),'Planning Pauses Dej'!$F:$F,0)),"")+TIME(1,0,0)))),"")</f>
        <v/>
      </c>
      <c r="H55" s="405">
        <f>IFERROR(IF(OR($G55="",IFERROR(INDEX('Planning Pauses Dej'!$C:$C,MATCH($B55&amp;"|"&amp;TEXT($Q55,"YYYYMMDD"),'Planning Pauses Dej'!$F:$F,0)),"")="",IFERROR(INDEX('Planning Pauses Dej'!$D:$D,MATCH($B55&amp;"|"&amp;TEXT($Q55,"YYYYMMDD"),'Planning Pauses Dej'!$F:$F,0)),"")=""),"",IF($G55&gt;(IFERROR(INDEX('Planning Pauses Dej'!$D:$D,MATCH($B55&amp;"|"&amp;TEXT($Q55,"YYYYMMDD"),'Planning Pauses Dej'!$F:$F,0)),"")-IFERROR(INDEX('Planning Pauses Dej'!$C:$C,MATCH($B55&amp;"|"&amp;TEXT($Q55,"YYYYMMDD"),'Planning Pauses Dej'!$F:$F,0)),"")),$G55-(IFERROR(INDEX('Planning Pauses Dej'!$D:$D,MATCH($B55&amp;"|"&amp;TEXT($Q55,"YYYYMMDD"),'Planning Pauses Dej'!$F:$F,0)),"")-IFERROR(INDEX('Planning Pauses Dej'!$C:$C,MATCH($B55&amp;"|"&amp;TEXT($Q55,"YYYYMMDD"),'Planning Pauses Dej'!$F:$F,0)),"")),0)),"")</f>
        <v/>
      </c>
      <c r="I55" s="251">
        <f>IF(IF(OR(C55="",D55="Congé",D55="OFF",D55="Congé spécial"),"",IF(D55&gt;F55,D55-C55,IF(C55-D55&lt;0,0,C55-D55)))&lt;0.00068287037037037,"",IF(OR(D55="Congé",D55="OFF",C55="",D55="Congé spécial"),"",IF(D55&gt;F55,D55-C55,IF(C55-D55&lt;0,0,C55-D55))))</f>
        <v/>
      </c>
      <c r="J55" s="405">
        <f>IFERROR(IF($G55="","",IF($G55&gt;TIME(1,0,0),$G55-TIME(1,0,0),0)),"")</f>
        <v/>
      </c>
      <c r="K55" s="238">
        <f>IF(SUM(H55:J55)&lt;0.00068287037037037,0,SUM(H55:J55))</f>
        <v/>
      </c>
      <c r="L55" s="236">
        <f>IF(OR(F55="Congé",F55="OFF",M55="Abs",F55="Congé sans solde",F55="Férié",F55="Congé spécial",D55="Congé spécial"),0,IF(F55-E55&lt;0,0,IF(F55-E55&lt;=0.00068287037037037,0,F55-E55)))</f>
        <v/>
      </c>
      <c r="M55" s="239">
        <f>IF(AND(O55&lt;&gt;0,C55=""),"Abs",0)</f>
        <v/>
      </c>
      <c r="N55" s="240">
        <f>IFERROR(IF(OR(D55="OFF",D55="Congé",M55="Abs",D55="Congé sans solde",D55="Férié"),"",IF(O55-K55-L55&gt;O55,O55,IF(O55-K55-L55&lt;0,"",O55-K55-L55))),"")</f>
        <v/>
      </c>
      <c r="O55" s="241">
        <f>IF(AG55="2H Pause déjeuner",IF(F55-D55-0.0833333333333333&lt;0,F55-D55-0.0833333333333333+1,F55-D55-0.0833333333333333),IF(OR(AND(F55="OFF",D55="OFF"),AND(F55="Congé",D55="Congé"),AND(F55="Congé sans solde",D55="Congé sans solde"),AND(F55="Congé spécial",D55="Congé spécial"),AND(F55="Férié",D55="Férié"),AND(F55="OFF",D55="Congé"),AND(F55="OFF",D55="Congé sans solde"),AND(F55="OFF",D55="Congé spécial"),AND(F55="OFF",D55="Férié"),AND(F55="Congé",D55="OFF"),AND(F55="Congé",D55="Congé sans solde"),AND(F55="Congé",D55="Congé spécial"),AND(F55="Congé",D55="Férié"),AND(F55="Congé sans solde",D55="OFF"),AND(F55="Congé sans solde",D55="Congé"),AND(F55="Congé sans solde",D55="Congé spécial"),AND(F55="Congé sans solde",D55="Férié"),AND(F55="Congé spécial",D55="OFF"),AND(F55="Congé spécial",D55="Congé"),AND(F55="Congé spécial",D55="Congé sans solde"),AND(F55="Congé spécial",D55="Férié"),AND(F55="Férié",D55="OFF"),AND(F55="Férié",D55="Congé"),AND(F55="Férié",D55="Congé sans solde"),AND(F55="Férié",D55="Congé spécial")),0,IF(OR(F55="OFF",F55="Congé",F55="Congé spécial",F55="Congé sans solde",D55="OFF",D55="Congé",D55="Congé spécial",D55="Congé sans solde"),0.208333333333334,IF(AND(AG55="",F55-D55&lt;0),("24:00:00"-D55)+("00:00:00"+F55)-0.0416666666666667,IF(AND(OR(AG55="Allaitement",AG55="Sans déjeuner"),F55-D55&lt;0),("24:00:00"-D55)+("00:00:00"+F55),IF(AND(AG55="",F55-D55&gt;0.166666666666667),F55-D55-0.0416666666666667,IF(AND(OR(AG55="Allaitement",AG55="Sans déjeuner"),F55-D55&gt;0.166666666666667),F55-D55,F55-D55)))))))</f>
        <v/>
      </c>
      <c r="P55" s="242">
        <f>IFERROR(VLOOKUP($B55,Annuaire_roster!$B:$G,MATCH(P$1,Annuaire_roster!$B$1:$G$1,0),0),"-")</f>
        <v/>
      </c>
      <c r="Q55" s="243" t="n">
        <v>44762</v>
      </c>
      <c r="R55" s="244">
        <f>IF(M55="Abs",O55,0)</f>
        <v/>
      </c>
      <c r="S55" s="244">
        <f>SUM(R55,L55,I55,J55,W55,H55)</f>
        <v/>
      </c>
      <c r="T55" s="209">
        <f>"Sem - "&amp;WEEKNUM(Q55,21)</f>
        <v/>
      </c>
      <c r="U55" s="209">
        <f>PROPER(TEXT(Q55,"mmmm"))</f>
        <v/>
      </c>
      <c r="V55" s="245">
        <f>+TEXT(Q55,"aaa")</f>
        <v/>
      </c>
      <c r="W55" s="240" t="n"/>
      <c r="X55" s="246">
        <f>IFERROR(IF(M55="Abs",0,IF((D55-C55+E55-F55)&lt;0.000694444444444444,0,(D55-C55+E55-F55))),0)</f>
        <v/>
      </c>
      <c r="Y55" s="247">
        <f>IFERROR(VLOOKUP(B55,Annuaire_roster!B:E,4,0),"-")</f>
        <v/>
      </c>
      <c r="Z55" s="247">
        <f>IFERROR(VLOOKUP(B55,Annuaire_roster!B:F,3,0),"-")</f>
        <v/>
      </c>
      <c r="AA55" s="247">
        <f>IFERROR(VLOOKUP(B55,Annuaire_roster!B:I,6,0),"-")</f>
        <v/>
      </c>
      <c r="AB55" s="248">
        <f>IF(AND(D55="Congé",F55="Congé"),0.333333333333333,IF(OR(AND(D55="Congé",F55&lt;&gt;"Congé"),(AND(F55="Congé",D55&lt;&gt;"Congé"))),0.166666666666667,""))</f>
        <v/>
      </c>
      <c r="AC55" s="248">
        <f>IF(AND(D55="Congé sans solde",F55="Congé sans solde"),0.333333333333333,IF(OR(AND(D55="Congé sans solde",F55&lt;&gt;"Congé sans solde"),(AND(F55="Congé sans solde",D55&lt;&gt;"Congé sans solde"))),0.166666666666667,""))</f>
        <v/>
      </c>
      <c r="AD55" s="248">
        <f>IF(AND(D55="Congé spécial",F55="Congé spécial"),0.333333333333333,IF(OR(AND(D55="Congé spécial",F55&lt;&gt;"Congé décès"),(AND(F55="Congé spécial",D55&lt;&gt;"Congé spécial"))),0.166666666666667,""))</f>
        <v/>
      </c>
      <c r="AE55" s="249">
        <f>IF(AND(D55="Férié",F55="Férié"),0.333333333333333,IF(OR(AND(D55="Férié",F55&lt;&gt;"Férié"),(AND(F55="Férié",D55&lt;&gt;"Férié"))),0.166666666666667,""))</f>
        <v/>
      </c>
      <c r="AF55" s="259" t="n"/>
      <c r="AG55" s="244" t="n"/>
    </row>
    <row r="56" hidden="1" ht="12.75" customHeight="1" s="231">
      <c r="A56" s="232">
        <f>VLOOKUP(B56,Annuaire_roster!B:F,5,0)</f>
        <v/>
      </c>
      <c r="B56" s="233" t="inlineStr">
        <is>
          <t>QARBOUI Aymane</t>
        </is>
      </c>
      <c r="C56" s="234">
        <f>IFERROR(IF(COUNTIFS(Connexions!$K:$K,$Q56,Connexions!$E:$E,VLOOKUP($B56,Mapping_Noms!$A:$B,2,0))=0,"",_xlfn.MINIFS(Connexions!$M:$M,Connexions!$K:$K,$Q56,Connexions!$E:$E,VLOOKUP($B56,Mapping_Noms!$A:$B,2,0))-TIME(1,0,0)),"")</f>
        <v/>
      </c>
      <c r="D56" s="234">
        <f t="array" ref="D56:D56">IFERROR(INDEX(Planning2[],MATCH(1,(Planning2[Nom]=B56)*(Planning2[Date]=Q56),0),3),"-")</f>
        <v/>
      </c>
      <c r="E56" s="235">
        <f>IFERROR(IF(COUNTIFS(Connexions!$K:$K,$Q56,Connexions!$E:$E,VLOOKUP($B56,Mapping_Noms!$A:$B,2,0))=0,"",_xlfn.MAXIFS(Connexions!$O:$O,Connexions!$K:$K,$Q56,Connexions!$E:$E,VLOOKUP($B56,Mapping_Noms!$A:$B,2,0))-TIME(1,0,0)),"")</f>
        <v/>
      </c>
      <c r="F56" s="235">
        <f t="array" ref="F56:F56">IFERROR(INDEX(Planning2[],MATCH(1,(Planning2[Nom]=B56)*(Planning2[Date]=Q56),0),4),"-")</f>
        <v/>
      </c>
      <c r="G56" s="405">
        <f>IFERROR(IF(OR(IFERROR(INDEX('Planning Pauses Dej'!$C:$C,MATCH($B56&amp;"|"&amp;TEXT($Q56,"YYYYMMDD"),'Planning Pauses Dej'!$F:$F,0)),"")="",IFERROR(INDEX('Planning Pauses Dej'!$D:$D,MATCH($B56&amp;"|"&amp;TEXT($Q56,"YYYYMMDD"),'Planning Pauses Dej'!$F:$F,0)),"")=""),"",_xlfn.MAXIFS(Connexions!$Q:$Q,Connexions!$K:$K,$Q56,Connexions!$E:$E,VLOOKUP($B56,Mapping_Noms!$A:$B,2,0),Connexions!$O:$O,"&lt;="&amp;(IFERROR(INDEX('Planning Pauses Dej'!$D:$D,MATCH($B56&amp;"|"&amp;TEXT($Q56,"YYYYMMDD"),'Planning Pauses Dej'!$F:$F,0)),"")+TIME(1,0,0)),Connexions!$P:$P,"&gt;="&amp;(IFERROR(INDEX('Planning Pauses Dej'!$C:$C,MATCH($B56&amp;"|"&amp;TEXT($Q56,"YYYYMMDD"),'Planning Pauses Dej'!$F:$F,0)),"")+TIME(1,0,0)))),"")</f>
        <v/>
      </c>
      <c r="H56" s="405">
        <f>IFERROR(IF(OR($G56="",IFERROR(INDEX('Planning Pauses Dej'!$C:$C,MATCH($B56&amp;"|"&amp;TEXT($Q56,"YYYYMMDD"),'Planning Pauses Dej'!$F:$F,0)),"")="",IFERROR(INDEX('Planning Pauses Dej'!$D:$D,MATCH($B56&amp;"|"&amp;TEXT($Q56,"YYYYMMDD"),'Planning Pauses Dej'!$F:$F,0)),"")=""),"",IF($G56&gt;(IFERROR(INDEX('Planning Pauses Dej'!$D:$D,MATCH($B56&amp;"|"&amp;TEXT($Q56,"YYYYMMDD"),'Planning Pauses Dej'!$F:$F,0)),"")-IFERROR(INDEX('Planning Pauses Dej'!$C:$C,MATCH($B56&amp;"|"&amp;TEXT($Q56,"YYYYMMDD"),'Planning Pauses Dej'!$F:$F,0)),"")),$G56-(IFERROR(INDEX('Planning Pauses Dej'!$D:$D,MATCH($B56&amp;"|"&amp;TEXT($Q56,"YYYYMMDD"),'Planning Pauses Dej'!$F:$F,0)),"")-IFERROR(INDEX('Planning Pauses Dej'!$C:$C,MATCH($B56&amp;"|"&amp;TEXT($Q56,"YYYYMMDD"),'Planning Pauses Dej'!$F:$F,0)),"")),0)),"")</f>
        <v/>
      </c>
      <c r="I56" s="251">
        <f>IF(IF(OR(C56="",D56="Congé",D56="OFF",D56="Congé spécial"),"",IF(D56&gt;F56,D56-C56,IF(C56-D56&lt;0,0,C56-D56)))&lt;0.00068287037037037,"",IF(OR(D56="Congé",D56="OFF",C56="",D56="Congé spécial"),"",IF(D56&gt;F56,D56-C56,IF(C56-D56&lt;0,0,C56-D56))))</f>
        <v/>
      </c>
      <c r="J56" s="405">
        <f>IFERROR(IF($G56="","",IF($G56&gt;TIME(1,0,0),$G56-TIME(1,0,0),0)),"")</f>
        <v/>
      </c>
      <c r="K56" s="238">
        <f>IF(SUM(H56:J56)&lt;0.00068287037037037,0,SUM(H56:J56))</f>
        <v/>
      </c>
      <c r="L56" s="236">
        <f>IF(OR(F56="Congé",F56="OFF",M56="Abs",F56="Congé sans solde",F56="Férié",F56="Congé spécial",D56="Congé spécial"),0,IF(F56-E56&lt;0,0,IF(F56-E56&lt;=0.00068287037037037,0,F56-E56)))</f>
        <v/>
      </c>
      <c r="M56" s="239">
        <f>IF(AND(O56&lt;&gt;0,C56=""),"Abs",0)</f>
        <v/>
      </c>
      <c r="N56" s="240">
        <f>IFERROR(IF(OR(D56="OFF",D56="Congé",M56="Abs",D56="Congé sans solde",D56="Férié"),"",IF(O56-K56-L56&gt;O56,O56,IF(O56-K56-L56&lt;0,"",O56-K56-L56))),"")</f>
        <v/>
      </c>
      <c r="O56" s="241">
        <f>IF(AG56="2H Pause déjeuner",IF(F56-D56-0.0833333333333333&lt;0,F56-D56-0.0833333333333333+1,F56-D56-0.0833333333333333),IF(OR(AND(F56="OFF",D56="OFF"),AND(F56="Congé",D56="Congé"),AND(F56="Congé sans solde",D56="Congé sans solde"),AND(F56="Congé spécial",D56="Congé spécial"),AND(F56="Férié",D56="Férié"),AND(F56="OFF",D56="Congé"),AND(F56="OFF",D56="Congé sans solde"),AND(F56="OFF",D56="Congé spécial"),AND(F56="OFF",D56="Férié"),AND(F56="Congé",D56="OFF"),AND(F56="Congé",D56="Congé sans solde"),AND(F56="Congé",D56="Congé spécial"),AND(F56="Congé",D56="Férié"),AND(F56="Congé sans solde",D56="OFF"),AND(F56="Congé sans solde",D56="Congé"),AND(F56="Congé sans solde",D56="Congé spécial"),AND(F56="Congé sans solde",D56="Férié"),AND(F56="Congé spécial",D56="OFF"),AND(F56="Congé spécial",D56="Congé"),AND(F56="Congé spécial",D56="Congé sans solde"),AND(F56="Congé spécial",D56="Férié"),AND(F56="Férié",D56="OFF"),AND(F56="Férié",D56="Congé"),AND(F56="Férié",D56="Congé sans solde"),AND(F56="Férié",D56="Congé spécial")),0,IF(OR(F56="OFF",F56="Congé",F56="Congé spécial",F56="Congé sans solde",D56="OFF",D56="Congé",D56="Congé spécial",D56="Congé sans solde"),0.208333333333334,IF(AND(AG56="",F56-D56&lt;0),("24:00:00"-D56)+("00:00:00"+F56)-0.0416666666666667,IF(AND(OR(AG56="Allaitement",AG56="Sans déjeuner"),F56-D56&lt;0),("24:00:00"-D56)+("00:00:00"+F56),IF(AND(AG56="",F56-D56&gt;0.166666666666667),F56-D56-0.0416666666666667,IF(AND(OR(AG56="Allaitement",AG56="Sans déjeuner"),F56-D56&gt;0.166666666666667),F56-D56,F56-D56)))))))</f>
        <v/>
      </c>
      <c r="P56" s="242">
        <f>IFERROR(VLOOKUP($B56,Annuaire_roster!$B:$G,MATCH(P$1,Annuaire_roster!$B$1:$G$1,0),0),"-")</f>
        <v/>
      </c>
      <c r="Q56" s="243" t="n">
        <v>44762</v>
      </c>
      <c r="R56" s="244">
        <f>IF(M56="Abs",O56,0)</f>
        <v/>
      </c>
      <c r="S56" s="244">
        <f>SUM(R56,L56,I56,J56,W56,H56)</f>
        <v/>
      </c>
      <c r="T56" s="209">
        <f>"Sem - "&amp;WEEKNUM(Q56,21)</f>
        <v/>
      </c>
      <c r="U56" s="209">
        <f>PROPER(TEXT(Q56,"mmmm"))</f>
        <v/>
      </c>
      <c r="V56" s="245">
        <f>+TEXT(Q56,"aaa")</f>
        <v/>
      </c>
      <c r="W56" s="240" t="n"/>
      <c r="X56" s="246">
        <f>IFERROR(IF(M56="Abs",0,IF((D56-C56+E56-F56)&lt;0.000694444444444444,0,(D56-C56+E56-F56))),0)</f>
        <v/>
      </c>
      <c r="Y56" s="247">
        <f>IFERROR(VLOOKUP(B56,Annuaire_roster!B:E,4,0),"-")</f>
        <v/>
      </c>
      <c r="Z56" s="247">
        <f>IFERROR(VLOOKUP(B56,Annuaire_roster!B:F,3,0),"-")</f>
        <v/>
      </c>
      <c r="AA56" s="247">
        <f>IFERROR(VLOOKUP(B56,Annuaire_roster!B:I,6,0),"-")</f>
        <v/>
      </c>
      <c r="AB56" s="248">
        <f>IF(AND(D56="Congé",F56="Congé"),0.333333333333333,IF(OR(AND(D56="Congé",F56&lt;&gt;"Congé"),(AND(F56="Congé",D56&lt;&gt;"Congé"))),0.166666666666667,""))</f>
        <v/>
      </c>
      <c r="AC56" s="248">
        <f>IF(AND(D56="Congé sans solde",F56="Congé sans solde"),0.333333333333333,IF(OR(AND(D56="Congé sans solde",F56&lt;&gt;"Congé sans solde"),(AND(F56="Congé sans solde",D56&lt;&gt;"Congé sans solde"))),0.166666666666667,""))</f>
        <v/>
      </c>
      <c r="AD56" s="248">
        <f>IF(AND(D56="Congé spécial",F56="Congé spécial"),0.333333333333333,IF(OR(AND(D56="Congé spécial",F56&lt;&gt;"Congé décès"),(AND(F56="Congé spécial",D56&lt;&gt;"Congé spécial"))),0.166666666666667,""))</f>
        <v/>
      </c>
      <c r="AE56" s="249">
        <f>IF(AND(D56="Férié",F56="Férié"),0.333333333333333,IF(OR(AND(D56="Férié",F56&lt;&gt;"Férié"),(AND(F56="Férié",D56&lt;&gt;"Férié"))),0.166666666666667,""))</f>
        <v/>
      </c>
      <c r="AF56" s="249" t="n"/>
      <c r="AG56" s="244" t="n"/>
    </row>
    <row r="57" hidden="1" ht="12.75" customHeight="1" s="231">
      <c r="A57" s="232">
        <f>VLOOKUP(B57,Annuaire_roster!B:F,5,0)</f>
        <v/>
      </c>
      <c r="B57" s="233" t="inlineStr">
        <is>
          <t>MELLAHI YOUSSEF</t>
        </is>
      </c>
      <c r="C57" s="234">
        <f>IFERROR(IF(COUNTIFS(Connexions!$K:$K,$Q57,Connexions!$E:$E,VLOOKUP($B57,Mapping_Noms!$A:$B,2,0))=0,"",_xlfn.MINIFS(Connexions!$M:$M,Connexions!$K:$K,$Q57,Connexions!$E:$E,VLOOKUP($B57,Mapping_Noms!$A:$B,2,0))-TIME(1,0,0)),"")</f>
        <v/>
      </c>
      <c r="D57" s="234" t="n">
        <v>0.2916666666666667</v>
      </c>
      <c r="E57" s="235">
        <f>IFERROR(IF(COUNTIFS(Connexions!$K:$K,$Q57,Connexions!$E:$E,VLOOKUP($B57,Mapping_Noms!$A:$B,2,0))=0,"",_xlfn.MAXIFS(Connexions!$O:$O,Connexions!$K:$K,$Q57,Connexions!$E:$E,VLOOKUP($B57,Mapping_Noms!$A:$B,2,0))-TIME(1,0,0)),"")</f>
        <v/>
      </c>
      <c r="F57" s="235">
        <f t="array" ref="F57:F57">IFERROR(INDEX(Planning2[],MATCH(1,(Planning2[Nom]=B57)*(Planning2[Date]=Q57),0),4),"-")</f>
        <v/>
      </c>
      <c r="G57" s="405">
        <f>IFERROR(IF(OR(IFERROR(INDEX('Planning Pauses Dej'!$C:$C,MATCH($B57&amp;"|"&amp;TEXT($Q57,"YYYYMMDD"),'Planning Pauses Dej'!$F:$F,0)),"")="",IFERROR(INDEX('Planning Pauses Dej'!$D:$D,MATCH($B57&amp;"|"&amp;TEXT($Q57,"YYYYMMDD"),'Planning Pauses Dej'!$F:$F,0)),"")=""),"",_xlfn.MAXIFS(Connexions!$Q:$Q,Connexions!$K:$K,$Q57,Connexions!$E:$E,VLOOKUP($B57,Mapping_Noms!$A:$B,2,0),Connexions!$O:$O,"&lt;="&amp;(IFERROR(INDEX('Planning Pauses Dej'!$D:$D,MATCH($B57&amp;"|"&amp;TEXT($Q57,"YYYYMMDD"),'Planning Pauses Dej'!$F:$F,0)),"")+TIME(1,0,0)),Connexions!$P:$P,"&gt;="&amp;(IFERROR(INDEX('Planning Pauses Dej'!$C:$C,MATCH($B57&amp;"|"&amp;TEXT($Q57,"YYYYMMDD"),'Planning Pauses Dej'!$F:$F,0)),"")+TIME(1,0,0)))),"")</f>
        <v/>
      </c>
      <c r="H57" s="405">
        <f>IFERROR(IF(OR($G57="",IFERROR(INDEX('Planning Pauses Dej'!$C:$C,MATCH($B57&amp;"|"&amp;TEXT($Q57,"YYYYMMDD"),'Planning Pauses Dej'!$F:$F,0)),"")="",IFERROR(INDEX('Planning Pauses Dej'!$D:$D,MATCH($B57&amp;"|"&amp;TEXT($Q57,"YYYYMMDD"),'Planning Pauses Dej'!$F:$F,0)),"")=""),"",IF($G57&gt;(IFERROR(INDEX('Planning Pauses Dej'!$D:$D,MATCH($B57&amp;"|"&amp;TEXT($Q57,"YYYYMMDD"),'Planning Pauses Dej'!$F:$F,0)),"")-IFERROR(INDEX('Planning Pauses Dej'!$C:$C,MATCH($B57&amp;"|"&amp;TEXT($Q57,"YYYYMMDD"),'Planning Pauses Dej'!$F:$F,0)),"")),$G57-(IFERROR(INDEX('Planning Pauses Dej'!$D:$D,MATCH($B57&amp;"|"&amp;TEXT($Q57,"YYYYMMDD"),'Planning Pauses Dej'!$F:$F,0)),"")-IFERROR(INDEX('Planning Pauses Dej'!$C:$C,MATCH($B57&amp;"|"&amp;TEXT($Q57,"YYYYMMDD"),'Planning Pauses Dej'!$F:$F,0)),"")),0)),"")</f>
        <v/>
      </c>
      <c r="I57" s="251">
        <f>IF(IF(OR(C57="",D57="Congé",D57="OFF",D57="Congé spécial"),"",IF(D57&gt;F57,D57-C57,IF(C57-D57&lt;0,0,C57-D57)))&lt;0.00068287037037037,"",IF(OR(D57="Congé",D57="OFF",C57="",D57="Congé spécial"),"",IF(D57&gt;F57,D57-C57,IF(C57-D57&lt;0,0,C57-D57))))</f>
        <v/>
      </c>
      <c r="J57" s="405">
        <f>IFERROR(IF($G57="","",IF($G57&gt;TIME(1,0,0),$G57-TIME(1,0,0),0)),"")</f>
        <v/>
      </c>
      <c r="K57" s="238">
        <f>IF(SUM(H57:J57)&lt;0.00068287037037037,0,SUM(H57:J57))</f>
        <v/>
      </c>
      <c r="L57" s="236">
        <f>IF(OR(F57="Congé",F57="OFF",M57="Abs",F57="Congé sans solde",F57="Férié",F57="Congé spécial",D57="Congé spécial"),0,IF(F57-E57&lt;0,0,IF(F57-E57&lt;=0.00068287037037037,0,F57-E57)))</f>
        <v/>
      </c>
      <c r="M57" s="239">
        <f>IF(AND(O57&lt;&gt;0,C57=""),"Abs",0)</f>
        <v/>
      </c>
      <c r="N57" s="240">
        <f>IFERROR(IF(OR(D57="OFF",D57="Congé",M57="Abs",D57="Congé sans solde",D57="Férié"),"",IF(O57-K57-L57&gt;O57,O57,IF(O57-K57-L57&lt;0,"",O57-K57-L57))),"")</f>
        <v/>
      </c>
      <c r="O57" s="241">
        <f>IF(AG57="2H Pause déjeuner",IF(F57-D57-0.0833333333333333&lt;0,F57-D57-0.0833333333333333+1,F57-D57-0.0833333333333333),IF(OR(AND(F57="OFF",D57="OFF"),AND(F57="Congé",D57="Congé"),AND(F57="Congé sans solde",D57="Congé sans solde"),AND(F57="Congé spécial",D57="Congé spécial"),AND(F57="Férié",D57="Férié"),AND(F57="OFF",D57="Congé"),AND(F57="OFF",D57="Congé sans solde"),AND(F57="OFF",D57="Congé spécial"),AND(F57="OFF",D57="Férié"),AND(F57="Congé",D57="OFF"),AND(F57="Congé",D57="Congé sans solde"),AND(F57="Congé",D57="Congé spécial"),AND(F57="Congé",D57="Férié"),AND(F57="Congé sans solde",D57="OFF"),AND(F57="Congé sans solde",D57="Congé"),AND(F57="Congé sans solde",D57="Congé spécial"),AND(F57="Congé sans solde",D57="Férié"),AND(F57="Congé spécial",D57="OFF"),AND(F57="Congé spécial",D57="Congé"),AND(F57="Congé spécial",D57="Congé sans solde"),AND(F57="Congé spécial",D57="Férié"),AND(F57="Férié",D57="OFF"),AND(F57="Férié",D57="Congé"),AND(F57="Férié",D57="Congé sans solde"),AND(F57="Férié",D57="Congé spécial")),0,IF(OR(F57="OFF",F57="Congé",F57="Congé spécial",F57="Congé sans solde",D57="OFF",D57="Congé",D57="Congé spécial",D57="Congé sans solde"),0.208333333333334,IF(AND(AG57="",F57-D57&lt;0),("24:00:00"-D57)+("00:00:00"+F57)-0.0416666666666667,IF(AND(OR(AG57="Allaitement",AG57="Sans déjeuner"),F57-D57&lt;0),("24:00:00"-D57)+("00:00:00"+F57),IF(AND(AG57="",F57-D57&gt;0.166666666666667),F57-D57-0.0416666666666667,IF(AND(OR(AG57="Allaitement",AG57="Sans déjeuner"),F57-D57&gt;0.166666666666667),F57-D57,F57-D57)))))))</f>
        <v/>
      </c>
      <c r="P57" s="242">
        <f>IFERROR(VLOOKUP($B57,Annuaire_roster!$B:$G,MATCH(P$1,Annuaire_roster!$B$1:$G$1,0),0),"-")</f>
        <v/>
      </c>
      <c r="Q57" s="243" t="n">
        <v>44762</v>
      </c>
      <c r="R57" s="244">
        <f>IF(M57="Abs",O57,0)</f>
        <v/>
      </c>
      <c r="S57" s="244">
        <f>SUM(R57,L57,I57,J57,W57,H57)</f>
        <v/>
      </c>
      <c r="T57" s="209">
        <f>"Sem - "&amp;WEEKNUM(Q57,21)</f>
        <v/>
      </c>
      <c r="U57" s="209">
        <f>PROPER(TEXT(Q57,"mmmm"))</f>
        <v/>
      </c>
      <c r="V57" s="245">
        <f>+TEXT(Q57,"aaa")</f>
        <v/>
      </c>
      <c r="W57" s="240" t="n"/>
      <c r="X57" s="246">
        <f>IFERROR(IF(M57="Abs",0,IF((D57-C57+E57-F57)&lt;0.000694444444444444,0,(D57-C57+E57-F57))),0)</f>
        <v/>
      </c>
      <c r="Y57" s="247">
        <f>IFERROR(VLOOKUP(B57,Annuaire_roster!B:E,4,0),"-")</f>
        <v/>
      </c>
      <c r="Z57" s="247">
        <f>IFERROR(VLOOKUP(B57,Annuaire_roster!B:F,3,0),"-")</f>
        <v/>
      </c>
      <c r="AA57" s="247">
        <f>IFERROR(VLOOKUP(B57,Annuaire_roster!B:I,6,0),"-")</f>
        <v/>
      </c>
      <c r="AB57" s="248">
        <f>IF(AND(D57="Congé",F57="Congé"),0.333333333333333,IF(OR(AND(D57="Congé",F57&lt;&gt;"Congé"),(AND(F57="Congé",D57&lt;&gt;"Congé"))),0.166666666666667,""))</f>
        <v/>
      </c>
      <c r="AC57" s="248">
        <f>IF(AND(D57="Congé sans solde",F57="Congé sans solde"),0.333333333333333,IF(OR(AND(D57="Congé sans solde",F57&lt;&gt;"Congé sans solde"),(AND(F57="Congé sans solde",D57&lt;&gt;"Congé sans solde"))),0.166666666666667,""))</f>
        <v/>
      </c>
      <c r="AD57" s="248">
        <f>IF(AND(D57="Congé spécial",F57="Congé spécial"),0.333333333333333,IF(OR(AND(D57="Congé spécial",F57&lt;&gt;"Congé décès"),(AND(F57="Congé spécial",D57&lt;&gt;"Congé spécial"))),0.166666666666667,""))</f>
        <v/>
      </c>
      <c r="AE57" s="249">
        <f>IF(AND(D57="Férié",F57="Férié"),0.333333333333333,IF(OR(AND(D57="Férié",F57&lt;&gt;"Férié"),(AND(F57="Férié",D57&lt;&gt;"Férié"))),0.166666666666667,""))</f>
        <v/>
      </c>
      <c r="AF57" s="259" t="n"/>
      <c r="AG57" s="244" t="n"/>
    </row>
    <row r="58" hidden="1" ht="12.75" customHeight="1" s="231">
      <c r="A58" s="232">
        <f>VLOOKUP(B58,Annuaire_roster!B:F,5,0)</f>
        <v/>
      </c>
      <c r="B58" s="233" t="inlineStr">
        <is>
          <t xml:space="preserve">LALOUN MANAL </t>
        </is>
      </c>
      <c r="C58" s="234">
        <f>IFERROR(IF(COUNTIFS(Connexions!$K:$K,$Q58,Connexions!$E:$E,VLOOKUP($B58,Mapping_Noms!$A:$B,2,0))=0,"",_xlfn.MINIFS(Connexions!$M:$M,Connexions!$K:$K,$Q58,Connexions!$E:$E,VLOOKUP($B58,Mapping_Noms!$A:$B,2,0))-TIME(1,0,0)),"")</f>
        <v/>
      </c>
      <c r="D58" s="234">
        <f t="array" ref="D58:D58">IFERROR(INDEX(Planning2[],MATCH(1,(Planning2[Nom]=B58)*(Planning2[Date]=Q58),0),3),"-")</f>
        <v/>
      </c>
      <c r="E58" s="235">
        <f>IFERROR(IF(COUNTIFS(Connexions!$K:$K,$Q58,Connexions!$E:$E,VLOOKUP($B58,Mapping_Noms!$A:$B,2,0))=0,"",_xlfn.MAXIFS(Connexions!$O:$O,Connexions!$K:$K,$Q58,Connexions!$E:$E,VLOOKUP($B58,Mapping_Noms!$A:$B,2,0))-TIME(1,0,0)),"")</f>
        <v/>
      </c>
      <c r="F58" s="235">
        <f t="array" ref="F58:F58">IFERROR(INDEX(Planning2[],MATCH(1,(Planning2[Nom]=B58)*(Planning2[Date]=Q58),0),4),"-")</f>
        <v/>
      </c>
      <c r="G58" s="405">
        <f>IFERROR(IF(OR(IFERROR(INDEX('Planning Pauses Dej'!$C:$C,MATCH($B58&amp;"|"&amp;TEXT($Q58,"YYYYMMDD"),'Planning Pauses Dej'!$F:$F,0)),"")="",IFERROR(INDEX('Planning Pauses Dej'!$D:$D,MATCH($B58&amp;"|"&amp;TEXT($Q58,"YYYYMMDD"),'Planning Pauses Dej'!$F:$F,0)),"")=""),"",_xlfn.MAXIFS(Connexions!$Q:$Q,Connexions!$K:$K,$Q58,Connexions!$E:$E,VLOOKUP($B58,Mapping_Noms!$A:$B,2,0),Connexions!$O:$O,"&lt;="&amp;(IFERROR(INDEX('Planning Pauses Dej'!$D:$D,MATCH($B58&amp;"|"&amp;TEXT($Q58,"YYYYMMDD"),'Planning Pauses Dej'!$F:$F,0)),"")+TIME(1,0,0)),Connexions!$P:$P,"&gt;="&amp;(IFERROR(INDEX('Planning Pauses Dej'!$C:$C,MATCH($B58&amp;"|"&amp;TEXT($Q58,"YYYYMMDD"),'Planning Pauses Dej'!$F:$F,0)),"")+TIME(1,0,0)))),"")</f>
        <v/>
      </c>
      <c r="H58" s="405">
        <f>IFERROR(IF(OR($G58="",IFERROR(INDEX('Planning Pauses Dej'!$C:$C,MATCH($B58&amp;"|"&amp;TEXT($Q58,"YYYYMMDD"),'Planning Pauses Dej'!$F:$F,0)),"")="",IFERROR(INDEX('Planning Pauses Dej'!$D:$D,MATCH($B58&amp;"|"&amp;TEXT($Q58,"YYYYMMDD"),'Planning Pauses Dej'!$F:$F,0)),"")=""),"",IF($G58&gt;(IFERROR(INDEX('Planning Pauses Dej'!$D:$D,MATCH($B58&amp;"|"&amp;TEXT($Q58,"YYYYMMDD"),'Planning Pauses Dej'!$F:$F,0)),"")-IFERROR(INDEX('Planning Pauses Dej'!$C:$C,MATCH($B58&amp;"|"&amp;TEXT($Q58,"YYYYMMDD"),'Planning Pauses Dej'!$F:$F,0)),"")),$G58-(IFERROR(INDEX('Planning Pauses Dej'!$D:$D,MATCH($B58&amp;"|"&amp;TEXT($Q58,"YYYYMMDD"),'Planning Pauses Dej'!$F:$F,0)),"")-IFERROR(INDEX('Planning Pauses Dej'!$C:$C,MATCH($B58&amp;"|"&amp;TEXT($Q58,"YYYYMMDD"),'Planning Pauses Dej'!$F:$F,0)),"")),0)),"")</f>
        <v/>
      </c>
      <c r="I58" s="251">
        <f>IF(IF(OR(C58="",D58="Congé",D58="OFF",D58="Congé spécial"),"",IF(D58&gt;F58,D58-C58,IF(C58-D58&lt;0,0,C58-D58)))&lt;0.00068287037037037,"",IF(OR(D58="Congé",D58="OFF",C58="",D58="Congé spécial"),"",IF(D58&gt;F58,D58-C58,IF(C58-D58&lt;0,0,C58-D58))))</f>
        <v/>
      </c>
      <c r="J58" s="405">
        <f>IFERROR(IF($G58="","",IF($G58&gt;TIME(1,0,0),$G58-TIME(1,0,0),0)),"")</f>
        <v/>
      </c>
      <c r="K58" s="238">
        <f>IF(SUM(H58:J58)&lt;0.00068287037037037,0,SUM(H58:J58))</f>
        <v/>
      </c>
      <c r="L58" s="236">
        <f>IF(OR(F58="Congé",F58="OFF",M58="Abs",F58="Congé sans solde",F58="Férié",F58="Congé spécial",D58="Congé spécial"),0,IF(F58-E58&lt;0,0,IF(F58-E58&lt;=0.00068287037037037,0,F58-E58)))</f>
        <v/>
      </c>
      <c r="M58" s="239">
        <f>IF(AND(O58&lt;&gt;0,C58=""),"Abs",0)</f>
        <v/>
      </c>
      <c r="N58" s="240">
        <f>IFERROR(IF(OR(D58="OFF",D58="Congé",M58="Abs",D58="Congé sans solde",D58="Férié"),"",IF(O58-K58-L58&gt;O58,O58,IF(O58-K58-L58&lt;0,"",O58-K58-L58))),"")</f>
        <v/>
      </c>
      <c r="O58" s="241">
        <f>IF(AG58="2H Pause déjeuner",IF(F58-D58-0.0833333333333333&lt;0,F58-D58-0.0833333333333333+1,F58-D58-0.0833333333333333),IF(OR(AND(F58="OFF",D58="OFF"),AND(F58="Congé",D58="Congé"),AND(F58="Congé sans solde",D58="Congé sans solde"),AND(F58="Congé spécial",D58="Congé spécial"),AND(F58="Férié",D58="Férié"),AND(F58="OFF",D58="Congé"),AND(F58="OFF",D58="Congé sans solde"),AND(F58="OFF",D58="Congé spécial"),AND(F58="OFF",D58="Férié"),AND(F58="Congé",D58="OFF"),AND(F58="Congé",D58="Congé sans solde"),AND(F58="Congé",D58="Congé spécial"),AND(F58="Congé",D58="Férié"),AND(F58="Congé sans solde",D58="OFF"),AND(F58="Congé sans solde",D58="Congé"),AND(F58="Congé sans solde",D58="Congé spécial"),AND(F58="Congé sans solde",D58="Férié"),AND(F58="Congé spécial",D58="OFF"),AND(F58="Congé spécial",D58="Congé"),AND(F58="Congé spécial",D58="Congé sans solde"),AND(F58="Congé spécial",D58="Férié"),AND(F58="Férié",D58="OFF"),AND(F58="Férié",D58="Congé"),AND(F58="Férié",D58="Congé sans solde"),AND(F58="Férié",D58="Congé spécial")),0,IF(OR(F58="OFF",F58="Congé",F58="Congé spécial",F58="Congé sans solde",D58="OFF",D58="Congé",D58="Congé spécial",D58="Congé sans solde"),0.208333333333334,IF(AND(AG58="",F58-D58&lt;0),("24:00:00"-D58)+("00:00:00"+F58)-0.0416666666666667,IF(AND(OR(AG58="Allaitement",AG58="Sans déjeuner"),F58-D58&lt;0),("24:00:00"-D58)+("00:00:00"+F58),IF(AND(AG58="",F58-D58&gt;0.166666666666667),F58-D58-0.0416666666666667,IF(AND(OR(AG58="Allaitement",AG58="Sans déjeuner"),F58-D58&gt;0.166666666666667),F58-D58,F58-D58)))))))</f>
        <v/>
      </c>
      <c r="P58" s="242">
        <f>IFERROR(VLOOKUP($B58,Annuaire_roster!$B:$G,MATCH(P$1,Annuaire_roster!$B$1:$G$1,0),0),"-")</f>
        <v/>
      </c>
      <c r="Q58" s="243" t="n">
        <v>44762</v>
      </c>
      <c r="R58" s="244">
        <f>IF(M58="Abs",O58,0)</f>
        <v/>
      </c>
      <c r="S58" s="244">
        <f>SUM(R58,L58,I58,J58,W58,H58)</f>
        <v/>
      </c>
      <c r="T58" s="209">
        <f>"Sem - "&amp;WEEKNUM(Q58,21)</f>
        <v/>
      </c>
      <c r="U58" s="209">
        <f>PROPER(TEXT(Q58,"mmmm"))</f>
        <v/>
      </c>
      <c r="V58" s="245">
        <f>+TEXT(Q58,"aaa")</f>
        <v/>
      </c>
      <c r="W58" s="240" t="n"/>
      <c r="X58" s="246">
        <f>IFERROR(IF(M58="Abs",0,IF((D58-C58+E58-F58)&lt;0.000694444444444444,0,(D58-C58+E58-F58))),0)</f>
        <v/>
      </c>
      <c r="Y58" s="247">
        <f>IFERROR(VLOOKUP(B58,Annuaire_roster!B:E,4,0),"-")</f>
        <v/>
      </c>
      <c r="Z58" s="247">
        <f>IFERROR(VLOOKUP(B58,Annuaire_roster!B:F,3,0),"-")</f>
        <v/>
      </c>
      <c r="AA58" s="247">
        <f>IFERROR(VLOOKUP(B58,Annuaire_roster!B:I,6,0),"-")</f>
        <v/>
      </c>
      <c r="AB58" s="248">
        <f>IF(AND(D58="Congé",F58="Congé"),0.333333333333333,IF(OR(AND(D58="Congé",F58&lt;&gt;"Congé"),(AND(F58="Congé",D58&lt;&gt;"Congé"))),0.166666666666667,""))</f>
        <v/>
      </c>
      <c r="AC58" s="248">
        <f>IF(AND(D58="Congé sans solde",F58="Congé sans solde"),0.333333333333333,IF(OR(AND(D58="Congé sans solde",F58&lt;&gt;"Congé sans solde"),(AND(F58="Congé sans solde",D58&lt;&gt;"Congé sans solde"))),0.166666666666667,""))</f>
        <v/>
      </c>
      <c r="AD58" s="248">
        <f>IF(AND(D58="Congé spécial",F58="Congé spécial"),0.333333333333333,IF(OR(AND(D58="Congé spécial",F58&lt;&gt;"Congé décès"),(AND(F58="Congé spécial",D58&lt;&gt;"Congé spécial"))),0.166666666666667,""))</f>
        <v/>
      </c>
      <c r="AE58" s="249">
        <f>IF(AND(D58="Férié",F58="Férié"),0.333333333333333,IF(OR(AND(D58="Férié",F58&lt;&gt;"Férié"),(AND(F58="Férié",D58&lt;&gt;"Férié"))),0.166666666666667,""))</f>
        <v/>
      </c>
      <c r="AF58" s="249" t="n"/>
      <c r="AG58" s="244" t="n"/>
    </row>
    <row r="59" hidden="1" ht="12.75" customHeight="1" s="231">
      <c r="A59" s="253">
        <f>VLOOKUP(B59,Annuaire_roster!B:F,5,0)</f>
        <v/>
      </c>
      <c r="B59" s="233" t="inlineStr">
        <is>
          <t xml:space="preserve">EL HOUJJAJI Soufiane </t>
        </is>
      </c>
      <c r="C59" s="234">
        <f>IFERROR(IF(COUNTIFS(Connexions!$K:$K,$Q59,Connexions!$E:$E,VLOOKUP($B59,Mapping_Noms!$A:$B,2,0))=0,"",_xlfn.MINIFS(Connexions!$M:$M,Connexions!$K:$K,$Q59,Connexions!$E:$E,VLOOKUP($B59,Mapping_Noms!$A:$B,2,0))-TIME(1,0,0)),"")</f>
        <v/>
      </c>
      <c r="D59" s="234">
        <f t="array" ref="D59:D59">IFERROR(INDEX(Planning2[],MATCH(1,(Planning2[Nom]=B59)*(Planning2[Date]=Q59),0),3),"-")</f>
        <v/>
      </c>
      <c r="E59" s="235">
        <f>IFERROR(IF(COUNTIFS(Connexions!$K:$K,$Q59,Connexions!$E:$E,VLOOKUP($B59,Mapping_Noms!$A:$B,2,0))=0,"",_xlfn.MAXIFS(Connexions!$O:$O,Connexions!$K:$K,$Q59,Connexions!$E:$E,VLOOKUP($B59,Mapping_Noms!$A:$B,2,0))-TIME(1,0,0)),"")</f>
        <v/>
      </c>
      <c r="F59" s="235">
        <f t="array" ref="F59:F59">IFERROR(INDEX(Planning2[],MATCH(1,(Planning2[Nom]=B59)*(Planning2[Date]=Q59),0),4),"-")</f>
        <v/>
      </c>
      <c r="G59" s="405">
        <f>IFERROR(IF(OR(IFERROR(INDEX('Planning Pauses Dej'!$C:$C,MATCH($B59&amp;"|"&amp;TEXT($Q59,"YYYYMMDD"),'Planning Pauses Dej'!$F:$F,0)),"")="",IFERROR(INDEX('Planning Pauses Dej'!$D:$D,MATCH($B59&amp;"|"&amp;TEXT($Q59,"YYYYMMDD"),'Planning Pauses Dej'!$F:$F,0)),"")=""),"",_xlfn.MAXIFS(Connexions!$Q:$Q,Connexions!$K:$K,$Q59,Connexions!$E:$E,VLOOKUP($B59,Mapping_Noms!$A:$B,2,0),Connexions!$O:$O,"&lt;="&amp;(IFERROR(INDEX('Planning Pauses Dej'!$D:$D,MATCH($B59&amp;"|"&amp;TEXT($Q59,"YYYYMMDD"),'Planning Pauses Dej'!$F:$F,0)),"")+TIME(1,0,0)),Connexions!$P:$P,"&gt;="&amp;(IFERROR(INDEX('Planning Pauses Dej'!$C:$C,MATCH($B59&amp;"|"&amp;TEXT($Q59,"YYYYMMDD"),'Planning Pauses Dej'!$F:$F,0)),"")+TIME(1,0,0)))),"")</f>
        <v/>
      </c>
      <c r="H59" s="405">
        <f>IFERROR(IF(OR($G59="",IFERROR(INDEX('Planning Pauses Dej'!$C:$C,MATCH($B59&amp;"|"&amp;TEXT($Q59,"YYYYMMDD"),'Planning Pauses Dej'!$F:$F,0)),"")="",IFERROR(INDEX('Planning Pauses Dej'!$D:$D,MATCH($B59&amp;"|"&amp;TEXT($Q59,"YYYYMMDD"),'Planning Pauses Dej'!$F:$F,0)),"")=""),"",IF($G59&gt;(IFERROR(INDEX('Planning Pauses Dej'!$D:$D,MATCH($B59&amp;"|"&amp;TEXT($Q59,"YYYYMMDD"),'Planning Pauses Dej'!$F:$F,0)),"")-IFERROR(INDEX('Planning Pauses Dej'!$C:$C,MATCH($B59&amp;"|"&amp;TEXT($Q59,"YYYYMMDD"),'Planning Pauses Dej'!$F:$F,0)),"")),$G59-(IFERROR(INDEX('Planning Pauses Dej'!$D:$D,MATCH($B59&amp;"|"&amp;TEXT($Q59,"YYYYMMDD"),'Planning Pauses Dej'!$F:$F,0)),"")-IFERROR(INDEX('Planning Pauses Dej'!$C:$C,MATCH($B59&amp;"|"&amp;TEXT($Q59,"YYYYMMDD"),'Planning Pauses Dej'!$F:$F,0)),"")),0)),"")</f>
        <v/>
      </c>
      <c r="I59" s="251">
        <f>IF(IF(OR(C59="",D59="Congé",D59="OFF",D59="Congé spécial"),"",IF(D59&gt;F59,D59-C59,IF(C59-D59&lt;0,0,C59-D59)))&lt;0.00068287037037037,"",IF(OR(D59="Congé",D59="OFF",C59="",D59="Congé spécial"),"",IF(D59&gt;F59,D59-C59,IF(C59-D59&lt;0,0,C59-D59))))</f>
        <v/>
      </c>
      <c r="J59" s="405">
        <f>IFERROR(IF($G59="","",IF($G59&gt;TIME(1,0,0),$G59-TIME(1,0,0),0)),"")</f>
        <v/>
      </c>
      <c r="K59" s="238">
        <f>IF(SUM(H59:J59)&lt;0.00068287037037037,0,SUM(H59:J59))</f>
        <v/>
      </c>
      <c r="L59" s="236">
        <f>IF(OR(F59="Congé",F59="OFF",M59="Abs",F59="Congé sans solde",F59="Férié",F59="Congé spécial",D59="Congé spécial"),0,IF(F59-E59&lt;0,0,IF(F59-E59&lt;=0.00068287037037037,0,F59-E59)))</f>
        <v/>
      </c>
      <c r="M59" s="239">
        <f>IF(AND(O59&lt;&gt;0,C59=""),"Abs",0)</f>
        <v/>
      </c>
      <c r="N59" s="254">
        <f>IFERROR(IF(OR(D59="OFF",D59="Congé",M59="Abs",D59="Congé sans solde",D59="Férié"),"",IF(O59-K59-L59&gt;O59,O59,IF(O59-K59-L59&lt;0,"",O59-K59-L59))),"")</f>
        <v/>
      </c>
      <c r="O59" s="241">
        <f>IF(AG59="2H Pause déjeuner",IF(F59-D59-0.0833333333333333&lt;0,F59-D59-0.0833333333333333+1,F59-D59-0.0833333333333333),IF(OR(AND(F59="OFF",D59="OFF"),AND(F59="Congé",D59="Congé"),AND(F59="Congé sans solde",D59="Congé sans solde"),AND(F59="Congé spécial",D59="Congé spécial"),AND(F59="Férié",D59="Férié"),AND(F59="OFF",D59="Congé"),AND(F59="OFF",D59="Congé sans solde"),AND(F59="OFF",D59="Congé spécial"),AND(F59="OFF",D59="Férié"),AND(F59="Congé",D59="OFF"),AND(F59="Congé",D59="Congé sans solde"),AND(F59="Congé",D59="Congé spécial"),AND(F59="Congé",D59="Férié"),AND(F59="Congé sans solde",D59="OFF"),AND(F59="Congé sans solde",D59="Congé"),AND(F59="Congé sans solde",D59="Congé spécial"),AND(F59="Congé sans solde",D59="Férié"),AND(F59="Congé spécial",D59="OFF"),AND(F59="Congé spécial",D59="Congé"),AND(F59="Congé spécial",D59="Congé sans solde"),AND(F59="Congé spécial",D59="Férié"),AND(F59="Férié",D59="OFF"),AND(F59="Férié",D59="Congé"),AND(F59="Férié",D59="Congé sans solde"),AND(F59="Férié",D59="Congé spécial")),0,IF(OR(F59="OFF",F59="Congé",F59="Congé spécial",F59="Congé sans solde",D59="OFF",D59="Congé",D59="Congé spécial",D59="Congé sans solde"),0.208333333333334,IF(AND(AG59="",F59-D59&lt;0),("24:00:00"-D59)+("00:00:00"+F59)-0.0416666666666667,IF(AND(OR(AG59="Allaitement",AG59="Sans déjeuner"),F59-D59&lt;0),("24:00:00"-D59)+("00:00:00"+F59),IF(AND(AG59="",F59-D59&gt;0.166666666666667),F59-D59-0.0416666666666667,IF(AND(OR(AG59="Allaitement",AG59="Sans déjeuner"),F59-D59&gt;0.166666666666667),F59-D59,F59-D59)))))))</f>
        <v/>
      </c>
      <c r="P59" s="242">
        <f>IFERROR(VLOOKUP($B59,Annuaire_roster!$B:$G,MATCH(P$1,Annuaire_roster!$B$1:$G$1,0),0),"-")</f>
        <v/>
      </c>
      <c r="Q59" s="255" t="n">
        <v>44762</v>
      </c>
      <c r="R59" s="248">
        <f>IF(M59="Abs",O59,0)</f>
        <v/>
      </c>
      <c r="S59" s="248">
        <f>SUM(R59,L59,I59,J59,W59,H59)</f>
        <v/>
      </c>
      <c r="T59" s="209">
        <f>"Sem - "&amp;WEEKNUM(Q59,21)</f>
        <v/>
      </c>
      <c r="U59" s="209">
        <f>PROPER(TEXT(Q59,"mmmm"))</f>
        <v/>
      </c>
      <c r="V59" s="256">
        <f>+TEXT(Q59,"aaa")</f>
        <v/>
      </c>
      <c r="W59" s="254" t="n"/>
      <c r="X59" s="257">
        <f>IFERROR(IF(M59="Abs",0,IF((D59-C59+E59-F59)&lt;0.000694444444444444,0,(D59-C59+E59-F59))),0)</f>
        <v/>
      </c>
      <c r="Y59" s="258">
        <f>IFERROR(VLOOKUP(B59,Annuaire_roster!B:E,4,0),"-")</f>
        <v/>
      </c>
      <c r="Z59" s="258">
        <f>IFERROR(VLOOKUP(B59,Annuaire_roster!B:F,3,0),"-")</f>
        <v/>
      </c>
      <c r="AA59" s="258">
        <f>IFERROR(VLOOKUP(B59,Annuaire_roster!B:I,6,0),"-")</f>
        <v/>
      </c>
      <c r="AB59" s="248">
        <f>IF(AND(D59="Congé",F59="Congé"),0.333333333333333,IF(OR(AND(D59="Congé",F59&lt;&gt;"Congé"),(AND(F59="Congé",D59&lt;&gt;"Congé"))),0.166666666666667,""))</f>
        <v/>
      </c>
      <c r="AC59" s="248">
        <f>IF(AND(D59="Congé sans solde",F59="Congé sans solde"),0.333333333333333,IF(OR(AND(D59="Congé sans solde",F59&lt;&gt;"Congé sans solde"),(AND(F59="Congé sans solde",D59&lt;&gt;"Congé sans solde"))),0.166666666666667,""))</f>
        <v/>
      </c>
      <c r="AD59" s="248">
        <f>IF(AND(D59="Congé spécial",F59="Congé spécial"),0.333333333333333,IF(OR(AND(D59="Congé spécial",F59&lt;&gt;"Congé décès"),(AND(F59="Congé spécial",D59&lt;&gt;"Congé spécial"))),0.166666666666667,""))</f>
        <v/>
      </c>
      <c r="AE59" s="259">
        <f>IF(AND(D59="Férié",F59="Férié"),0.333333333333333,IF(OR(AND(D59="Férié",F59&lt;&gt;"Férié"),(AND(F59="Férié",D59&lt;&gt;"Férié"))),0.166666666666667,""))</f>
        <v/>
      </c>
      <c r="AF59" s="259" t="n"/>
      <c r="AG59" s="248" t="n"/>
    </row>
    <row r="60" hidden="1" ht="12.75" customHeight="1" s="231">
      <c r="A60" s="232">
        <f>VLOOKUP(B60,Annuaire_roster!B:F,5,0)</f>
        <v/>
      </c>
      <c r="B60" s="233" t="inlineStr">
        <is>
          <t>IHASSANE Ikram</t>
        </is>
      </c>
      <c r="C60" s="234">
        <f>IFERROR(IF(COUNTIFS(Connexions!$K:$K,$Q60,Connexions!$E:$E,VLOOKUP($B60,Mapping_Noms!$A:$B,2,0))=0,"",_xlfn.MINIFS(Connexions!$M:$M,Connexions!$K:$K,$Q60,Connexions!$E:$E,VLOOKUP($B60,Mapping_Noms!$A:$B,2,0))-TIME(1,0,0)),"")</f>
        <v/>
      </c>
      <c r="D60" s="234" t="n">
        <v>0.3333333333333333</v>
      </c>
      <c r="E60" s="235">
        <f>IFERROR(IF(COUNTIFS(Connexions!$K:$K,$Q60,Connexions!$E:$E,VLOOKUP($B60,Mapping_Noms!$A:$B,2,0))=0,"",_xlfn.MAXIFS(Connexions!$O:$O,Connexions!$K:$K,$Q60,Connexions!$E:$E,VLOOKUP($B60,Mapping_Noms!$A:$B,2,0))-TIME(1,0,0)),"")</f>
        <v/>
      </c>
      <c r="F60" s="235" t="n">
        <v>0.75</v>
      </c>
      <c r="G60" s="405">
        <f>IFERROR(IF(OR(IFERROR(INDEX('Planning Pauses Dej'!$C:$C,MATCH($B60&amp;"|"&amp;TEXT($Q60,"YYYYMMDD"),'Planning Pauses Dej'!$F:$F,0)),"")="",IFERROR(INDEX('Planning Pauses Dej'!$D:$D,MATCH($B60&amp;"|"&amp;TEXT($Q60,"YYYYMMDD"),'Planning Pauses Dej'!$F:$F,0)),"")=""),"",_xlfn.MAXIFS(Connexions!$Q:$Q,Connexions!$K:$K,$Q60,Connexions!$E:$E,VLOOKUP($B60,Mapping_Noms!$A:$B,2,0),Connexions!$O:$O,"&lt;="&amp;(IFERROR(INDEX('Planning Pauses Dej'!$D:$D,MATCH($B60&amp;"|"&amp;TEXT($Q60,"YYYYMMDD"),'Planning Pauses Dej'!$F:$F,0)),"")+TIME(1,0,0)),Connexions!$P:$P,"&gt;="&amp;(IFERROR(INDEX('Planning Pauses Dej'!$C:$C,MATCH($B60&amp;"|"&amp;TEXT($Q60,"YYYYMMDD"),'Planning Pauses Dej'!$F:$F,0)),"")+TIME(1,0,0)))),"")</f>
        <v/>
      </c>
      <c r="H60" s="405">
        <f>IFERROR(IF(OR($G60="",IFERROR(INDEX('Planning Pauses Dej'!$C:$C,MATCH($B60&amp;"|"&amp;TEXT($Q60,"YYYYMMDD"),'Planning Pauses Dej'!$F:$F,0)),"")="",IFERROR(INDEX('Planning Pauses Dej'!$D:$D,MATCH($B60&amp;"|"&amp;TEXT($Q60,"YYYYMMDD"),'Planning Pauses Dej'!$F:$F,0)),"")=""),"",IF($G60&gt;(IFERROR(INDEX('Planning Pauses Dej'!$D:$D,MATCH($B60&amp;"|"&amp;TEXT($Q60,"YYYYMMDD"),'Planning Pauses Dej'!$F:$F,0)),"")-IFERROR(INDEX('Planning Pauses Dej'!$C:$C,MATCH($B60&amp;"|"&amp;TEXT($Q60,"YYYYMMDD"),'Planning Pauses Dej'!$F:$F,0)),"")),$G60-(IFERROR(INDEX('Planning Pauses Dej'!$D:$D,MATCH($B60&amp;"|"&amp;TEXT($Q60,"YYYYMMDD"),'Planning Pauses Dej'!$F:$F,0)),"")-IFERROR(INDEX('Planning Pauses Dej'!$C:$C,MATCH($B60&amp;"|"&amp;TEXT($Q60,"YYYYMMDD"),'Planning Pauses Dej'!$F:$F,0)),"")),0)),"")</f>
        <v/>
      </c>
      <c r="I60" s="251">
        <f>IF(IF(OR(C60="",D60="Congé",D60="OFF",D60="Congé spécial"),"",IF(D60&gt;F60,D60-C60,IF(C60-D60&lt;0,0,C60-D60)))&lt;0.00068287037037037,"",IF(OR(D60="Congé",D60="OFF",C60="",D60="Congé spécial"),"",IF(D60&gt;F60,D60-C60,IF(C60-D60&lt;0,0,C60-D60))))</f>
        <v/>
      </c>
      <c r="J60" s="405">
        <f>IFERROR(IF($G60="","",IF($G60&gt;TIME(1,0,0),$G60-TIME(1,0,0),0)),"")</f>
        <v/>
      </c>
      <c r="K60" s="238">
        <f>IF(SUM(H60:J60)&lt;0.00068287037037037,0,SUM(H60:J60))</f>
        <v/>
      </c>
      <c r="L60" s="236">
        <f>IF(OR(F60="Congé",F60="OFF",M60="Abs",F60="Congé sans solde",F60="Férié",F60="Congé spécial",D60="Congé spécial"),0,IF(F60-E60&lt;0,0,IF(F60-E60&lt;=0.00068287037037037,0,F60-E60)))</f>
        <v/>
      </c>
      <c r="M60" s="239">
        <f>IF(AND(O60&lt;&gt;0,C60=""),"Abs",0)</f>
        <v/>
      </c>
      <c r="N60" s="240">
        <f>IFERROR(IF(OR(D60="OFF",D60="Congé",M60="Abs",D60="Congé sans solde",D60="Férié"),"",IF(O60-K60-L60&gt;O60,O60,IF(O60-K60-L60&lt;0,"",O60-K60-L60))),"")</f>
        <v/>
      </c>
      <c r="O60" s="241">
        <f>IF(AG60="2H Pause déjeuner",IF(F60-D60-0.0833333333333333&lt;0,F60-D60-0.0833333333333333+1,F60-D60-0.0833333333333333),IF(OR(AND(F60="OFF",D60="OFF"),AND(F60="Congé",D60="Congé"),AND(F60="Congé sans solde",D60="Congé sans solde"),AND(F60="Congé spécial",D60="Congé spécial"),AND(F60="Férié",D60="Férié"),AND(F60="OFF",D60="Congé"),AND(F60="OFF",D60="Congé sans solde"),AND(F60="OFF",D60="Congé spécial"),AND(F60="OFF",D60="Férié"),AND(F60="Congé",D60="OFF"),AND(F60="Congé",D60="Congé sans solde"),AND(F60="Congé",D60="Congé spécial"),AND(F60="Congé",D60="Férié"),AND(F60="Congé sans solde",D60="OFF"),AND(F60="Congé sans solde",D60="Congé"),AND(F60="Congé sans solde",D60="Congé spécial"),AND(F60="Congé sans solde",D60="Férié"),AND(F60="Congé spécial",D60="OFF"),AND(F60="Congé spécial",D60="Congé"),AND(F60="Congé spécial",D60="Congé sans solde"),AND(F60="Congé spécial",D60="Férié"),AND(F60="Férié",D60="OFF"),AND(F60="Férié",D60="Congé"),AND(F60="Férié",D60="Congé sans solde"),AND(F60="Férié",D60="Congé spécial")),0,IF(OR(F60="OFF",F60="Congé",F60="Congé spécial",F60="Congé sans solde",D60="OFF",D60="Congé",D60="Congé spécial",D60="Congé sans solde"),0.208333333333334,IF(AND(AG60="",F60-D60&lt;0),("24:00:00"-D60)+("00:00:00"+F60)-0.0416666666666667,IF(AND(OR(AG60="Allaitement",AG60="Sans déjeuner"),F60-D60&lt;0),("24:00:00"-D60)+("00:00:00"+F60),IF(AND(AG60="",F60-D60&gt;0.166666666666667),F60-D60-0.0416666666666667,IF(AND(OR(AG60="Allaitement",AG60="Sans déjeuner"),F60-D60&gt;0.166666666666667),F60-D60,F60-D60)))))))</f>
        <v/>
      </c>
      <c r="P60" s="242">
        <f>IFERROR(VLOOKUP($B60,Annuaire_roster!$B:$G,MATCH(P$1,Annuaire_roster!$B$1:$G$1,0),0),"-")</f>
        <v/>
      </c>
      <c r="Q60" s="243" t="n">
        <v>44762</v>
      </c>
      <c r="R60" s="244">
        <f>IF(M60="Abs",O60,0)</f>
        <v/>
      </c>
      <c r="S60" s="244">
        <f>SUM(R60,L60,I60,J60,W60,H60)</f>
        <v/>
      </c>
      <c r="T60" s="209">
        <f>"Sem - "&amp;WEEKNUM(Q60,21)</f>
        <v/>
      </c>
      <c r="U60" s="209">
        <f>PROPER(TEXT(Q60,"mmmm"))</f>
        <v/>
      </c>
      <c r="V60" s="245">
        <f>+TEXT(Q60,"aaa")</f>
        <v/>
      </c>
      <c r="W60" s="240" t="n"/>
      <c r="X60" s="246">
        <f>IFERROR(IF(M60="Abs",0,IF((D60-C60+E60-F60)&lt;0.000694444444444444,0,(D60-C60+E60-F60))),0)</f>
        <v/>
      </c>
      <c r="Y60" s="247">
        <f>IFERROR(VLOOKUP(B60,Annuaire_roster!B:E,4,0),"-")</f>
        <v/>
      </c>
      <c r="Z60" s="247">
        <f>IFERROR(VLOOKUP(B60,Annuaire_roster!B:F,3,0),"-")</f>
        <v/>
      </c>
      <c r="AA60" s="247">
        <f>IFERROR(VLOOKUP(B60,Annuaire_roster!B:I,6,0),"-")</f>
        <v/>
      </c>
      <c r="AB60" s="248">
        <f>IF(AND(D60="Congé",F60="Congé"),0.333333333333333,IF(OR(AND(D60="Congé",F60&lt;&gt;"Congé"),(AND(F60="Congé",D60&lt;&gt;"Congé"))),0.166666666666667,""))</f>
        <v/>
      </c>
      <c r="AC60" s="248">
        <f>IF(AND(D60="Congé sans solde",F60="Congé sans solde"),0.333333333333333,IF(OR(AND(D60="Congé sans solde",F60&lt;&gt;"Congé sans solde"),(AND(F60="Congé sans solde",D60&lt;&gt;"Congé sans solde"))),0.166666666666667,""))</f>
        <v/>
      </c>
      <c r="AD60" s="248">
        <f>IF(AND(D60="Congé spécial",F60="Congé spécial"),0.333333333333333,IF(OR(AND(D60="Congé spécial",F60&lt;&gt;"Congé décès"),(AND(F60="Congé spécial",D60&lt;&gt;"Congé spécial"))),0.166666666666667,""))</f>
        <v/>
      </c>
      <c r="AE60" s="249">
        <f>IF(AND(D60="Férié",F60="Férié"),0.333333333333333,IF(OR(AND(D60="Férié",F60&lt;&gt;"Férié"),(AND(F60="Férié",D60&lt;&gt;"Férié"))),0.166666666666667,""))</f>
        <v/>
      </c>
      <c r="AF60" s="259" t="n"/>
      <c r="AG60" s="244" t="n"/>
    </row>
    <row r="61" hidden="1" ht="12.75" customHeight="1" s="231">
      <c r="A61" s="232">
        <f>VLOOKUP(B61,Annuaire_roster!B:F,5,0)</f>
        <v/>
      </c>
      <c r="B61" s="233" t="inlineStr">
        <is>
          <t>EL-AOUAQUI BOUCHRA</t>
        </is>
      </c>
      <c r="C61" s="234">
        <f>IFERROR(IF(COUNTIFS(Connexions!$K:$K,$Q61,Connexions!$E:$E,VLOOKUP($B61,Mapping_Noms!$A:$B,2,0))=0,"",_xlfn.MINIFS(Connexions!$M:$M,Connexions!$K:$K,$Q61,Connexions!$E:$E,VLOOKUP($B61,Mapping_Noms!$A:$B,2,0))-TIME(1,0,0)),"")</f>
        <v/>
      </c>
      <c r="D61" s="234">
        <f t="array" ref="D61:D61">IFERROR(INDEX(Planning2[],MATCH(1,(Planning2[Nom]=B61)*(Planning2[Date]=Q61),0),3),"-")</f>
        <v/>
      </c>
      <c r="E61" s="235">
        <f>IFERROR(IF(COUNTIFS(Connexions!$K:$K,$Q61,Connexions!$E:$E,VLOOKUP($B61,Mapping_Noms!$A:$B,2,0))=0,"",_xlfn.MAXIFS(Connexions!$O:$O,Connexions!$K:$K,$Q61,Connexions!$E:$E,VLOOKUP($B61,Mapping_Noms!$A:$B,2,0))-TIME(1,0,0)),"")</f>
        <v/>
      </c>
      <c r="F61" s="235">
        <f t="array" ref="F61:F61">IFERROR(INDEX(Planning2[],MATCH(1,(Planning2[Nom]=B61)*(Planning2[Date]=Q61),0),4),"-")</f>
        <v/>
      </c>
      <c r="G61" s="405">
        <f>IFERROR(IF(OR(IFERROR(INDEX('Planning Pauses Dej'!$C:$C,MATCH($B61&amp;"|"&amp;TEXT($Q61,"YYYYMMDD"),'Planning Pauses Dej'!$F:$F,0)),"")="",IFERROR(INDEX('Planning Pauses Dej'!$D:$D,MATCH($B61&amp;"|"&amp;TEXT($Q61,"YYYYMMDD"),'Planning Pauses Dej'!$F:$F,0)),"")=""),"",_xlfn.MAXIFS(Connexions!$Q:$Q,Connexions!$K:$K,$Q61,Connexions!$E:$E,VLOOKUP($B61,Mapping_Noms!$A:$B,2,0),Connexions!$O:$O,"&lt;="&amp;(IFERROR(INDEX('Planning Pauses Dej'!$D:$D,MATCH($B61&amp;"|"&amp;TEXT($Q61,"YYYYMMDD"),'Planning Pauses Dej'!$F:$F,0)),"")+TIME(1,0,0)),Connexions!$P:$P,"&gt;="&amp;(IFERROR(INDEX('Planning Pauses Dej'!$C:$C,MATCH($B61&amp;"|"&amp;TEXT($Q61,"YYYYMMDD"),'Planning Pauses Dej'!$F:$F,0)),"")+TIME(1,0,0)))),"")</f>
        <v/>
      </c>
      <c r="H61" s="405">
        <f>IFERROR(IF(OR($G61="",IFERROR(INDEX('Planning Pauses Dej'!$C:$C,MATCH($B61&amp;"|"&amp;TEXT($Q61,"YYYYMMDD"),'Planning Pauses Dej'!$F:$F,0)),"")="",IFERROR(INDEX('Planning Pauses Dej'!$D:$D,MATCH($B61&amp;"|"&amp;TEXT($Q61,"YYYYMMDD"),'Planning Pauses Dej'!$F:$F,0)),"")=""),"",IF($G61&gt;(IFERROR(INDEX('Planning Pauses Dej'!$D:$D,MATCH($B61&amp;"|"&amp;TEXT($Q61,"YYYYMMDD"),'Planning Pauses Dej'!$F:$F,0)),"")-IFERROR(INDEX('Planning Pauses Dej'!$C:$C,MATCH($B61&amp;"|"&amp;TEXT($Q61,"YYYYMMDD"),'Planning Pauses Dej'!$F:$F,0)),"")),$G61-(IFERROR(INDEX('Planning Pauses Dej'!$D:$D,MATCH($B61&amp;"|"&amp;TEXT($Q61,"YYYYMMDD"),'Planning Pauses Dej'!$F:$F,0)),"")-IFERROR(INDEX('Planning Pauses Dej'!$C:$C,MATCH($B61&amp;"|"&amp;TEXT($Q61,"YYYYMMDD"),'Planning Pauses Dej'!$F:$F,0)),"")),0)),"")</f>
        <v/>
      </c>
      <c r="I61" s="251">
        <f>IF(IF(OR(C61="",D61="Congé",D61="OFF",D61="Congé spécial"),"",IF(D61&gt;F61,D61-C61,IF(C61-D61&lt;0,0,C61-D61)))&lt;0.00068287037037037,"",IF(OR(D61="Congé",D61="OFF",C61="",D61="Congé spécial"),"",IF(D61&gt;F61,D61-C61,IF(C61-D61&lt;0,0,C61-D61))))</f>
        <v/>
      </c>
      <c r="J61" s="405">
        <f>IFERROR(IF($G61="","",IF($G61&gt;TIME(1,0,0),$G61-TIME(1,0,0),0)),"")</f>
        <v/>
      </c>
      <c r="K61" s="238">
        <f>IF(SUM(H61:J61)&lt;0.00068287037037037,0,SUM(H61:J61))</f>
        <v/>
      </c>
      <c r="L61" s="236">
        <f>IF(OR(F61="Congé",F61="OFF",M61="Abs",F61="Congé sans solde",F61="Férié",F61="Congé spécial",D61="Congé spécial"),0,IF(F61-E61&lt;0,0,IF(F61-E61&lt;=0.00068287037037037,0,F61-E61)))</f>
        <v/>
      </c>
      <c r="M61" s="239">
        <f>IF(AND(O61&lt;&gt;0,C61=""),"Abs",0)</f>
        <v/>
      </c>
      <c r="N61" s="240">
        <f>IFERROR(IF(OR(D61="OFF",D61="Congé",M61="Abs",D61="Congé sans solde",D61="Férié"),"",IF(O61-K61-L61&gt;O61,O61,IF(O61-K61-L61&lt;0,"",O61-K61-L61))),"")</f>
        <v/>
      </c>
      <c r="O61" s="241">
        <f>IF(AG61="2H Pause déjeuner",IF(F61-D61-0.0833333333333333&lt;0,F61-D61-0.0833333333333333+1,F61-D61-0.0833333333333333),IF(OR(AND(F61="OFF",D61="OFF"),AND(F61="Congé",D61="Congé"),AND(F61="Congé sans solde",D61="Congé sans solde"),AND(F61="Congé spécial",D61="Congé spécial"),AND(F61="Férié",D61="Férié"),AND(F61="OFF",D61="Congé"),AND(F61="OFF",D61="Congé sans solde"),AND(F61="OFF",D61="Congé spécial"),AND(F61="OFF",D61="Férié"),AND(F61="Congé",D61="OFF"),AND(F61="Congé",D61="Congé sans solde"),AND(F61="Congé",D61="Congé spécial"),AND(F61="Congé",D61="Férié"),AND(F61="Congé sans solde",D61="OFF"),AND(F61="Congé sans solde",D61="Congé"),AND(F61="Congé sans solde",D61="Congé spécial"),AND(F61="Congé sans solde",D61="Férié"),AND(F61="Congé spécial",D61="OFF"),AND(F61="Congé spécial",D61="Congé"),AND(F61="Congé spécial",D61="Congé sans solde"),AND(F61="Congé spécial",D61="Férié"),AND(F61="Férié",D61="OFF"),AND(F61="Férié",D61="Congé"),AND(F61="Férié",D61="Congé sans solde"),AND(F61="Férié",D61="Congé spécial")),0,IF(OR(F61="OFF",F61="Congé",F61="Congé spécial",F61="Congé sans solde",D61="OFF",D61="Congé",D61="Congé spécial",D61="Congé sans solde"),0.208333333333334,IF(AND(AG61="",F61-D61&lt;0),("24:00:00"-D61)+("00:00:00"+F61)-0.0416666666666667,IF(AND(OR(AG61="Allaitement",AG61="Sans déjeuner"),F61-D61&lt;0),("24:00:00"-D61)+("00:00:00"+F61),IF(AND(AG61="",F61-D61&gt;0.166666666666667),F61-D61-0.0416666666666667,IF(AND(OR(AG61="Allaitement",AG61="Sans déjeuner"),F61-D61&gt;0.166666666666667),F61-D61,F61-D61)))))))</f>
        <v/>
      </c>
      <c r="P61" s="242">
        <f>IFERROR(VLOOKUP($B61,Annuaire_roster!$B:$G,MATCH(P$1,Annuaire_roster!$B$1:$G$1,0),0),"-")</f>
        <v/>
      </c>
      <c r="Q61" s="243" t="n">
        <v>44762</v>
      </c>
      <c r="R61" s="244">
        <f>IF(M61="Abs",O61,0)</f>
        <v/>
      </c>
      <c r="S61" s="244">
        <f>SUM(R61,L61,I61,J61,W61,H61)</f>
        <v/>
      </c>
      <c r="T61" s="209">
        <f>"Sem - "&amp;WEEKNUM(Q61,21)</f>
        <v/>
      </c>
      <c r="U61" s="209">
        <f>PROPER(TEXT(Q61,"mmmm"))</f>
        <v/>
      </c>
      <c r="V61" s="245">
        <f>+TEXT(Q61,"aaa")</f>
        <v/>
      </c>
      <c r="W61" s="240" t="n"/>
      <c r="X61" s="246">
        <f>IFERROR(IF(M61="Abs",0,IF((D61-C61+E61-F61)&lt;0.000694444444444444,0,(D61-C61+E61-F61))),0)</f>
        <v/>
      </c>
      <c r="Y61" s="247">
        <f>IFERROR(VLOOKUP(B61,Annuaire_roster!B:E,4,0),"-")</f>
        <v/>
      </c>
      <c r="Z61" s="247">
        <f>IFERROR(VLOOKUP(B61,Annuaire_roster!B:F,3,0),"-")</f>
        <v/>
      </c>
      <c r="AA61" s="247">
        <f>IFERROR(VLOOKUP(B61,Annuaire_roster!B:I,6,0),"-")</f>
        <v/>
      </c>
      <c r="AB61" s="248">
        <f>IF(AND(D61="Congé",F61="Congé"),0.333333333333333,IF(OR(AND(D61="Congé",F61&lt;&gt;"Congé"),(AND(F61="Congé",D61&lt;&gt;"Congé"))),0.166666666666667,""))</f>
        <v/>
      </c>
      <c r="AC61" s="248">
        <f>IF(AND(D61="Congé sans solde",F61="Congé sans solde"),0.333333333333333,IF(OR(AND(D61="Congé sans solde",F61&lt;&gt;"Congé sans solde"),(AND(F61="Congé sans solde",D61&lt;&gt;"Congé sans solde"))),0.166666666666667,""))</f>
        <v/>
      </c>
      <c r="AD61" s="248">
        <f>IF(AND(D61="Congé spécial",F61="Congé spécial"),0.333333333333333,IF(OR(AND(D61="Congé spécial",F61&lt;&gt;"Congé décès"),(AND(F61="Congé spécial",D61&lt;&gt;"Congé spécial"))),0.166666666666667,""))</f>
        <v/>
      </c>
      <c r="AE61" s="249">
        <f>IF(AND(D61="Férié",F61="Férié"),0.333333333333333,IF(OR(AND(D61="Férié",F61&lt;&gt;"Férié"),(AND(F61="Férié",D61&lt;&gt;"Férié"))),0.166666666666667,""))</f>
        <v/>
      </c>
      <c r="AF61" s="249" t="n"/>
      <c r="AG61" s="244" t="n"/>
    </row>
    <row r="62" hidden="1" ht="12.75" customHeight="1" s="231">
      <c r="A62" s="253">
        <f>VLOOKUP(B62,Annuaire_roster!B:F,5,0)</f>
        <v/>
      </c>
      <c r="B62" s="233" t="inlineStr">
        <is>
          <t>ZITOUNI LAMYA</t>
        </is>
      </c>
      <c r="C62" s="234">
        <f>IFERROR(IF(COUNTIFS(Connexions!$K:$K,$Q62,Connexions!$E:$E,VLOOKUP($B62,Mapping_Noms!$A:$B,2,0))=0,"",_xlfn.MINIFS(Connexions!$M:$M,Connexions!$K:$K,$Q62,Connexions!$E:$E,VLOOKUP($B62,Mapping_Noms!$A:$B,2,0))-TIME(1,0,0)),"")</f>
        <v/>
      </c>
      <c r="D62" s="234">
        <f t="array" ref="D62:D62">IFERROR(INDEX(Planning2[],MATCH(1,(Planning2[Nom]=B62)*(Planning2[Date]=Q62),0),3),"-")</f>
        <v/>
      </c>
      <c r="E62" s="235">
        <f>IFERROR(IF(COUNTIFS(Connexions!$K:$K,$Q62,Connexions!$E:$E,VLOOKUP($B62,Mapping_Noms!$A:$B,2,0))=0,"",_xlfn.MAXIFS(Connexions!$O:$O,Connexions!$K:$K,$Q62,Connexions!$E:$E,VLOOKUP($B62,Mapping_Noms!$A:$B,2,0))-TIME(1,0,0)),"")</f>
        <v/>
      </c>
      <c r="F62" s="235">
        <f t="array" ref="F62:F62">IFERROR(INDEX(Planning2[],MATCH(1,(Planning2[Nom]=B62)*(Planning2[Date]=Q62),0),4),"-")</f>
        <v/>
      </c>
      <c r="G62" s="405">
        <f>IFERROR(IF(OR(IFERROR(INDEX('Planning Pauses Dej'!$C:$C,MATCH($B62&amp;"|"&amp;TEXT($Q62,"YYYYMMDD"),'Planning Pauses Dej'!$F:$F,0)),"")="",IFERROR(INDEX('Planning Pauses Dej'!$D:$D,MATCH($B62&amp;"|"&amp;TEXT($Q62,"YYYYMMDD"),'Planning Pauses Dej'!$F:$F,0)),"")=""),"",_xlfn.MAXIFS(Connexions!$Q:$Q,Connexions!$K:$K,$Q62,Connexions!$E:$E,VLOOKUP($B62,Mapping_Noms!$A:$B,2,0),Connexions!$O:$O,"&lt;="&amp;(IFERROR(INDEX('Planning Pauses Dej'!$D:$D,MATCH($B62&amp;"|"&amp;TEXT($Q62,"YYYYMMDD"),'Planning Pauses Dej'!$F:$F,0)),"")+TIME(1,0,0)),Connexions!$P:$P,"&gt;="&amp;(IFERROR(INDEX('Planning Pauses Dej'!$C:$C,MATCH($B62&amp;"|"&amp;TEXT($Q62,"YYYYMMDD"),'Planning Pauses Dej'!$F:$F,0)),"")+TIME(1,0,0)))),"")</f>
        <v/>
      </c>
      <c r="H62" s="405">
        <f>IFERROR(IF(OR($G62="",IFERROR(INDEX('Planning Pauses Dej'!$C:$C,MATCH($B62&amp;"|"&amp;TEXT($Q62,"YYYYMMDD"),'Planning Pauses Dej'!$F:$F,0)),"")="",IFERROR(INDEX('Planning Pauses Dej'!$D:$D,MATCH($B62&amp;"|"&amp;TEXT($Q62,"YYYYMMDD"),'Planning Pauses Dej'!$F:$F,0)),"")=""),"",IF($G62&gt;(IFERROR(INDEX('Planning Pauses Dej'!$D:$D,MATCH($B62&amp;"|"&amp;TEXT($Q62,"YYYYMMDD"),'Planning Pauses Dej'!$F:$F,0)),"")-IFERROR(INDEX('Planning Pauses Dej'!$C:$C,MATCH($B62&amp;"|"&amp;TEXT($Q62,"YYYYMMDD"),'Planning Pauses Dej'!$F:$F,0)),"")),$G62-(IFERROR(INDEX('Planning Pauses Dej'!$D:$D,MATCH($B62&amp;"|"&amp;TEXT($Q62,"YYYYMMDD"),'Planning Pauses Dej'!$F:$F,0)),"")-IFERROR(INDEX('Planning Pauses Dej'!$C:$C,MATCH($B62&amp;"|"&amp;TEXT($Q62,"YYYYMMDD"),'Planning Pauses Dej'!$F:$F,0)),"")),0)),"")</f>
        <v/>
      </c>
      <c r="I62" s="251">
        <f>IF(IF(OR(C62="",D62="Congé",D62="OFF",D62="Congé spécial"),"",IF(D62&gt;F62,D62-C62,IF(C62-D62&lt;0,0,C62-D62)))&lt;0.00068287037037037,"",IF(OR(D62="Congé",D62="OFF",C62="",D62="Congé spécial"),"",IF(D62&gt;F62,D62-C62,IF(C62-D62&lt;0,0,C62-D62))))</f>
        <v/>
      </c>
      <c r="J62" s="405">
        <f>IFERROR(IF($G62="","",IF($G62&gt;TIME(1,0,0),$G62-TIME(1,0,0),0)),"")</f>
        <v/>
      </c>
      <c r="K62" s="238">
        <f>IF(SUM(H62:J62)&lt;0.00068287037037037,0,SUM(H62:J62))</f>
        <v/>
      </c>
      <c r="L62" s="236">
        <f>IF(OR(F62="Congé",F62="OFF",M62="Abs",F62="Congé sans solde",F62="Férié",F62="Congé spécial",D62="Congé spécial"),0,IF(F62-E62&lt;0,0,IF(F62-E62&lt;=0.00068287037037037,0,F62-E62)))</f>
        <v/>
      </c>
      <c r="M62" s="239">
        <f>IF(AND(O62&lt;&gt;0,C62=""),"Abs",0)</f>
        <v/>
      </c>
      <c r="N62" s="254">
        <f>IFERROR(IF(OR(D62="OFF",D62="Congé",M62="Abs",D62="Congé sans solde",D62="Férié"),"",IF(O62-K62-L62&gt;O62,O62,IF(O62-K62-L62&lt;0,"",O62-K62-L62))),"")</f>
        <v/>
      </c>
      <c r="O62" s="241">
        <f>IF(AG62="2H Pause déjeuner",IF(F62-D62-0.0833333333333333&lt;0,F62-D62-0.0833333333333333+1,F62-D62-0.0833333333333333),IF(OR(AND(F62="OFF",D62="OFF"),AND(F62="Congé",D62="Congé"),AND(F62="Congé sans solde",D62="Congé sans solde"),AND(F62="Congé spécial",D62="Congé spécial"),AND(F62="Férié",D62="Férié"),AND(F62="OFF",D62="Congé"),AND(F62="OFF",D62="Congé sans solde"),AND(F62="OFF",D62="Congé spécial"),AND(F62="OFF",D62="Férié"),AND(F62="Congé",D62="OFF"),AND(F62="Congé",D62="Congé sans solde"),AND(F62="Congé",D62="Congé spécial"),AND(F62="Congé",D62="Férié"),AND(F62="Congé sans solde",D62="OFF"),AND(F62="Congé sans solde",D62="Congé"),AND(F62="Congé sans solde",D62="Congé spécial"),AND(F62="Congé sans solde",D62="Férié"),AND(F62="Congé spécial",D62="OFF"),AND(F62="Congé spécial",D62="Congé"),AND(F62="Congé spécial",D62="Congé sans solde"),AND(F62="Congé spécial",D62="Férié"),AND(F62="Férié",D62="OFF"),AND(F62="Férié",D62="Congé"),AND(F62="Férié",D62="Congé sans solde"),AND(F62="Férié",D62="Congé spécial")),0,IF(OR(F62="OFF",F62="Congé",F62="Congé spécial",F62="Congé sans solde",D62="OFF",D62="Congé",D62="Congé spécial",D62="Congé sans solde"),0.208333333333334,IF(AND(AG62="",F62-D62&lt;0),("24:00:00"-D62)+("00:00:00"+F62)-0.0416666666666667,IF(AND(OR(AG62="Allaitement",AG62="Sans déjeuner"),F62-D62&lt;0),("24:00:00"-D62)+("00:00:00"+F62),IF(AND(AG62="",F62-D62&gt;0.166666666666667),F62-D62-0.0416666666666667,IF(AND(OR(AG62="Allaitement",AG62="Sans déjeuner"),F62-D62&gt;0.166666666666667),F62-D62,F62-D62)))))))</f>
        <v/>
      </c>
      <c r="P62" s="242">
        <f>IFERROR(VLOOKUP($B62,Annuaire_roster!$B:$G,MATCH(P$1,Annuaire_roster!$B$1:$G$1,0),0),"-")</f>
        <v/>
      </c>
      <c r="Q62" s="255" t="n">
        <v>44762</v>
      </c>
      <c r="R62" s="248">
        <f>IF(M62="Abs",O62,0)</f>
        <v/>
      </c>
      <c r="S62" s="248">
        <f>SUM(R62,L62,I62,J62,W62,H62)</f>
        <v/>
      </c>
      <c r="T62" s="209">
        <f>"Sem - "&amp;WEEKNUM(Q62,21)</f>
        <v/>
      </c>
      <c r="U62" s="209">
        <f>PROPER(TEXT(Q62,"mmmm"))</f>
        <v/>
      </c>
      <c r="V62" s="256">
        <f>+TEXT(Q62,"aaa")</f>
        <v/>
      </c>
      <c r="W62" s="254" t="n"/>
      <c r="X62" s="257">
        <f>IFERROR(IF(M62="Abs",0,IF((D62-C62+E62-F62)&lt;0.000694444444444444,0,(D62-C62+E62-F62))),0)</f>
        <v/>
      </c>
      <c r="Y62" s="258">
        <f>IFERROR(VLOOKUP(B62,Annuaire_roster!B:E,4,0),"-")</f>
        <v/>
      </c>
      <c r="Z62" s="258">
        <f>IFERROR(VLOOKUP(B62,Annuaire_roster!B:F,3,0),"-")</f>
        <v/>
      </c>
      <c r="AA62" s="258">
        <f>IFERROR(VLOOKUP(B62,Annuaire_roster!B:I,6,0),"-")</f>
        <v/>
      </c>
      <c r="AB62" s="248">
        <f>IF(AND(D62="Congé",F62="Congé"),0.333333333333333,IF(OR(AND(D62="Congé",F62&lt;&gt;"Congé"),(AND(F62="Congé",D62&lt;&gt;"Congé"))),0.166666666666667,""))</f>
        <v/>
      </c>
      <c r="AC62" s="248">
        <f>IF(AND(D62="Congé sans solde",F62="Congé sans solde"),0.333333333333333,IF(OR(AND(D62="Congé sans solde",F62&lt;&gt;"Congé sans solde"),(AND(F62="Congé sans solde",D62&lt;&gt;"Congé sans solde"))),0.166666666666667,""))</f>
        <v/>
      </c>
      <c r="AD62" s="248">
        <f>IF(AND(D62="Congé spécial",F62="Congé spécial"),0.333333333333333,IF(OR(AND(D62="Congé spécial",F62&lt;&gt;"Congé décès"),(AND(F62="Congé spécial",D62&lt;&gt;"Congé spécial"))),0.166666666666667,""))</f>
        <v/>
      </c>
      <c r="AE62" s="259">
        <f>IF(AND(D62="Férié",F62="Férié"),0.333333333333333,IF(OR(AND(D62="Férié",F62&lt;&gt;"Férié"),(AND(F62="Férié",D62&lt;&gt;"Férié"))),0.166666666666667,""))</f>
        <v/>
      </c>
      <c r="AF62" s="249" t="n"/>
      <c r="AG62" s="248" t="n"/>
    </row>
    <row r="63" hidden="1" ht="12.75" customHeight="1" s="231">
      <c r="A63" s="232">
        <f>VLOOKUP(B63,Annuaire_roster!B:F,5,0)</f>
        <v/>
      </c>
      <c r="B63" s="233" t="inlineStr">
        <is>
          <t>KANTAOUI SALMA</t>
        </is>
      </c>
      <c r="C63" s="234">
        <f>IFERROR(IF(COUNTIFS(Connexions!$K:$K,$Q63,Connexions!$E:$E,VLOOKUP($B63,Mapping_Noms!$A:$B,2,0))=0,"",_xlfn.MINIFS(Connexions!$M:$M,Connexions!$K:$K,$Q63,Connexions!$E:$E,VLOOKUP($B63,Mapping_Noms!$A:$B,2,0))-TIME(1,0,0)),"")</f>
        <v/>
      </c>
      <c r="D63" s="234">
        <f t="array" ref="D63:D63">IFERROR(INDEX(Planning2[],MATCH(1,(Planning2[Nom]=B63)*(Planning2[Date]=Q63),0),3),"-")</f>
        <v/>
      </c>
      <c r="E63" s="235">
        <f>IFERROR(IF(COUNTIFS(Connexions!$K:$K,$Q63,Connexions!$E:$E,VLOOKUP($B63,Mapping_Noms!$A:$B,2,0))=0,"",_xlfn.MAXIFS(Connexions!$O:$O,Connexions!$K:$K,$Q63,Connexions!$E:$E,VLOOKUP($B63,Mapping_Noms!$A:$B,2,0))-TIME(1,0,0)),"")</f>
        <v/>
      </c>
      <c r="F63" s="235">
        <f t="array" ref="F63:F63">IFERROR(INDEX(Planning2[],MATCH(1,(Planning2[Nom]=B63)*(Planning2[Date]=Q63),0),4),"-")</f>
        <v/>
      </c>
      <c r="G63" s="405">
        <f>IFERROR(IF(OR(IFERROR(INDEX('Planning Pauses Dej'!$C:$C,MATCH($B63&amp;"|"&amp;TEXT($Q63,"YYYYMMDD"),'Planning Pauses Dej'!$F:$F,0)),"")="",IFERROR(INDEX('Planning Pauses Dej'!$D:$D,MATCH($B63&amp;"|"&amp;TEXT($Q63,"YYYYMMDD"),'Planning Pauses Dej'!$F:$F,0)),"")=""),"",_xlfn.MAXIFS(Connexions!$Q:$Q,Connexions!$K:$K,$Q63,Connexions!$E:$E,VLOOKUP($B63,Mapping_Noms!$A:$B,2,0),Connexions!$O:$O,"&lt;="&amp;(IFERROR(INDEX('Planning Pauses Dej'!$D:$D,MATCH($B63&amp;"|"&amp;TEXT($Q63,"YYYYMMDD"),'Planning Pauses Dej'!$F:$F,0)),"")+TIME(1,0,0)),Connexions!$P:$P,"&gt;="&amp;(IFERROR(INDEX('Planning Pauses Dej'!$C:$C,MATCH($B63&amp;"|"&amp;TEXT($Q63,"YYYYMMDD"),'Planning Pauses Dej'!$F:$F,0)),"")+TIME(1,0,0)))),"")</f>
        <v/>
      </c>
      <c r="H63" s="405">
        <f>IFERROR(IF(OR($G63="",IFERROR(INDEX('Planning Pauses Dej'!$C:$C,MATCH($B63&amp;"|"&amp;TEXT($Q63,"YYYYMMDD"),'Planning Pauses Dej'!$F:$F,0)),"")="",IFERROR(INDEX('Planning Pauses Dej'!$D:$D,MATCH($B63&amp;"|"&amp;TEXT($Q63,"YYYYMMDD"),'Planning Pauses Dej'!$F:$F,0)),"")=""),"",IF($G63&gt;(IFERROR(INDEX('Planning Pauses Dej'!$D:$D,MATCH($B63&amp;"|"&amp;TEXT($Q63,"YYYYMMDD"),'Planning Pauses Dej'!$F:$F,0)),"")-IFERROR(INDEX('Planning Pauses Dej'!$C:$C,MATCH($B63&amp;"|"&amp;TEXT($Q63,"YYYYMMDD"),'Planning Pauses Dej'!$F:$F,0)),"")),$G63-(IFERROR(INDEX('Planning Pauses Dej'!$D:$D,MATCH($B63&amp;"|"&amp;TEXT($Q63,"YYYYMMDD"),'Planning Pauses Dej'!$F:$F,0)),"")-IFERROR(INDEX('Planning Pauses Dej'!$C:$C,MATCH($B63&amp;"|"&amp;TEXT($Q63,"YYYYMMDD"),'Planning Pauses Dej'!$F:$F,0)),"")),0)),"")</f>
        <v/>
      </c>
      <c r="I63" s="251">
        <f>IF(IF(OR(C63="",D63="Congé",D63="OFF",D63="Congé spécial"),"",IF(D63&gt;F63,D63-C63,IF(C63-D63&lt;0,0,C63-D63)))&lt;0.00068287037037037,"",IF(OR(D63="Congé",D63="OFF",C63="",D63="Congé spécial"),"",IF(D63&gt;F63,D63-C63,IF(C63-D63&lt;0,0,C63-D63))))</f>
        <v/>
      </c>
      <c r="J63" s="405">
        <f>IFERROR(IF($G63="","",IF($G63&gt;TIME(1,0,0),$G63-TIME(1,0,0),0)),"")</f>
        <v/>
      </c>
      <c r="K63" s="238">
        <f>IF(SUM(H63:J63)&lt;0.00068287037037037,0,SUM(H63:J63))</f>
        <v/>
      </c>
      <c r="L63" s="236">
        <f>IF(OR(F63="Congé",F63="OFF",M63="Abs",F63="Congé sans solde",F63="Férié",F63="Congé spécial",D63="Congé spécial"),0,IF(F63-E63&lt;0,0,IF(F63-E63&lt;=0.00068287037037037,0,F63-E63)))</f>
        <v/>
      </c>
      <c r="M63" s="239">
        <f>IF(AND(O63&lt;&gt;0,C63=""),"Abs",0)</f>
        <v/>
      </c>
      <c r="N63" s="240">
        <f>IFERROR(IF(OR(D63="OFF",D63="Congé",M63="Abs",D63="Congé sans solde",D63="Férié"),"",IF(O63-K63-L63&gt;O63,O63,IF(O63-K63-L63&lt;0,"",O63-K63-L63))),"")</f>
        <v/>
      </c>
      <c r="O63" s="241">
        <f>IF(AG63="2H Pause déjeuner",IF(F63-D63-0.0833333333333333&lt;0,F63-D63-0.0833333333333333+1,F63-D63-0.0833333333333333),IF(OR(AND(F63="OFF",D63="OFF"),AND(F63="Congé",D63="Congé"),AND(F63="Congé sans solde",D63="Congé sans solde"),AND(F63="Congé spécial",D63="Congé spécial"),AND(F63="Férié",D63="Férié"),AND(F63="OFF",D63="Congé"),AND(F63="OFF",D63="Congé sans solde"),AND(F63="OFF",D63="Congé spécial"),AND(F63="OFF",D63="Férié"),AND(F63="Congé",D63="OFF"),AND(F63="Congé",D63="Congé sans solde"),AND(F63="Congé",D63="Congé spécial"),AND(F63="Congé",D63="Férié"),AND(F63="Congé sans solde",D63="OFF"),AND(F63="Congé sans solde",D63="Congé"),AND(F63="Congé sans solde",D63="Congé spécial"),AND(F63="Congé sans solde",D63="Férié"),AND(F63="Congé spécial",D63="OFF"),AND(F63="Congé spécial",D63="Congé"),AND(F63="Congé spécial",D63="Congé sans solde"),AND(F63="Congé spécial",D63="Férié"),AND(F63="Férié",D63="OFF"),AND(F63="Férié",D63="Congé"),AND(F63="Férié",D63="Congé sans solde"),AND(F63="Férié",D63="Congé spécial")),0,IF(OR(F63="OFF",F63="Congé",F63="Congé spécial",F63="Congé sans solde",D63="OFF",D63="Congé",D63="Congé spécial",D63="Congé sans solde"),0.208333333333334,IF(AND(AG63="",F63-D63&lt;0),("24:00:00"-D63)+("00:00:00"+F63)-0.0416666666666667,IF(AND(OR(AG63="Allaitement",AG63="Sans déjeuner"),F63-D63&lt;0),("24:00:00"-D63)+("00:00:00"+F63),IF(AND(AG63="",F63-D63&gt;0.166666666666667),F63-D63-0.0416666666666667,IF(AND(OR(AG63="Allaitement",AG63="Sans déjeuner"),F63-D63&gt;0.166666666666667),F63-D63,F63-D63)))))))</f>
        <v/>
      </c>
      <c r="P63" s="242">
        <f>IFERROR(VLOOKUP($B63,Annuaire_roster!$B:$G,MATCH(P$1,Annuaire_roster!$B$1:$G$1,0),0),"-")</f>
        <v/>
      </c>
      <c r="Q63" s="243" t="n">
        <v>44762</v>
      </c>
      <c r="R63" s="244">
        <f>IF(M63="Abs",O63,0)</f>
        <v/>
      </c>
      <c r="S63" s="244">
        <f>SUM(R63,L63,I63,J63,W63,H63)</f>
        <v/>
      </c>
      <c r="T63" s="209">
        <f>"Sem - "&amp;WEEKNUM(Q63,21)</f>
        <v/>
      </c>
      <c r="U63" s="209">
        <f>PROPER(TEXT(Q63,"mmmm"))</f>
        <v/>
      </c>
      <c r="V63" s="245">
        <f>+TEXT(Q63,"aaa")</f>
        <v/>
      </c>
      <c r="W63" s="240" t="n"/>
      <c r="X63" s="246">
        <f>IFERROR(IF(M63="Abs",0,IF((D63-C63+E63-F63)&lt;0.000694444444444444,0,(D63-C63+E63-F63))),0)</f>
        <v/>
      </c>
      <c r="Y63" s="247">
        <f>IFERROR(VLOOKUP(B63,Annuaire_roster!B:E,4,0),"-")</f>
        <v/>
      </c>
      <c r="Z63" s="247">
        <f>IFERROR(VLOOKUP(B63,Annuaire_roster!B:F,3,0),"-")</f>
        <v/>
      </c>
      <c r="AA63" s="247">
        <f>IFERROR(VLOOKUP(B63,Annuaire_roster!B:I,6,0),"-")</f>
        <v/>
      </c>
      <c r="AB63" s="248">
        <f>IF(AND(D63="Congé",F63="Congé"),0.333333333333333,IF(OR(AND(D63="Congé",F63&lt;&gt;"Congé"),(AND(F63="Congé",D63&lt;&gt;"Congé"))),0.166666666666667,""))</f>
        <v/>
      </c>
      <c r="AC63" s="248">
        <f>IF(AND(D63="Congé sans solde",F63="Congé sans solde"),0.333333333333333,IF(OR(AND(D63="Congé sans solde",F63&lt;&gt;"Congé sans solde"),(AND(F63="Congé sans solde",D63&lt;&gt;"Congé sans solde"))),0.166666666666667,""))</f>
        <v/>
      </c>
      <c r="AD63" s="248">
        <f>IF(AND(D63="Congé spécial",F63="Congé spécial"),0.333333333333333,IF(OR(AND(D63="Congé spécial",F63&lt;&gt;"Congé décès"),(AND(F63="Congé spécial",D63&lt;&gt;"Congé spécial"))),0.166666666666667,""))</f>
        <v/>
      </c>
      <c r="AE63" s="249">
        <f>IF(AND(D63="Férié",F63="Férié"),0.333333333333333,IF(OR(AND(D63="Férié",F63&lt;&gt;"Férié"),(AND(F63="Férié",D63&lt;&gt;"Férié"))),0.166666666666667,""))</f>
        <v/>
      </c>
      <c r="AF63" s="259" t="n"/>
      <c r="AG63" s="244" t="n"/>
    </row>
    <row r="64" hidden="1" ht="12.75" customHeight="1" s="231">
      <c r="A64" s="253">
        <f>VLOOKUP(B64,Annuaire_roster!B:F,5,0)</f>
        <v/>
      </c>
      <c r="B64" s="233" t="inlineStr">
        <is>
          <t>ZIOUI DOUNIA</t>
        </is>
      </c>
      <c r="C64" s="234">
        <f>IFERROR(IF(COUNTIFS(Connexions!$K:$K,$Q64,Connexions!$E:$E,VLOOKUP($B64,Mapping_Noms!$A:$B,2,0))=0,"",_xlfn.MINIFS(Connexions!$M:$M,Connexions!$K:$K,$Q64,Connexions!$E:$E,VLOOKUP($B64,Mapping_Noms!$A:$B,2,0))-TIME(1,0,0)),"")</f>
        <v/>
      </c>
      <c r="D64" s="234">
        <f t="array" ref="D64:D64">IFERROR(INDEX(Planning2[],MATCH(1,(Planning2[Nom]=B64)*(Planning2[Date]=Q64),0),3),"-")</f>
        <v/>
      </c>
      <c r="E64" s="235">
        <f>IFERROR(IF(COUNTIFS(Connexions!$K:$K,$Q64,Connexions!$E:$E,VLOOKUP($B64,Mapping_Noms!$A:$B,2,0))=0,"",_xlfn.MAXIFS(Connexions!$O:$O,Connexions!$K:$K,$Q64,Connexions!$E:$E,VLOOKUP($B64,Mapping_Noms!$A:$B,2,0))-TIME(1,0,0)),"")</f>
        <v/>
      </c>
      <c r="F64" s="235">
        <f t="array" ref="F64:F64">IFERROR(INDEX(Planning2[],MATCH(1,(Planning2[Nom]=B64)*(Planning2[Date]=Q64),0),4),"-")</f>
        <v/>
      </c>
      <c r="G64" s="405">
        <f>IFERROR(IF(OR(IFERROR(INDEX('Planning Pauses Dej'!$C:$C,MATCH($B64&amp;"|"&amp;TEXT($Q64,"YYYYMMDD"),'Planning Pauses Dej'!$F:$F,0)),"")="",IFERROR(INDEX('Planning Pauses Dej'!$D:$D,MATCH($B64&amp;"|"&amp;TEXT($Q64,"YYYYMMDD"),'Planning Pauses Dej'!$F:$F,0)),"")=""),"",_xlfn.MAXIFS(Connexions!$Q:$Q,Connexions!$K:$K,$Q64,Connexions!$E:$E,VLOOKUP($B64,Mapping_Noms!$A:$B,2,0),Connexions!$O:$O,"&lt;="&amp;(IFERROR(INDEX('Planning Pauses Dej'!$D:$D,MATCH($B64&amp;"|"&amp;TEXT($Q64,"YYYYMMDD"),'Planning Pauses Dej'!$F:$F,0)),"")+TIME(1,0,0)),Connexions!$P:$P,"&gt;="&amp;(IFERROR(INDEX('Planning Pauses Dej'!$C:$C,MATCH($B64&amp;"|"&amp;TEXT($Q64,"YYYYMMDD"),'Planning Pauses Dej'!$F:$F,0)),"")+TIME(1,0,0)))),"")</f>
        <v/>
      </c>
      <c r="H64" s="405">
        <f>IFERROR(IF(OR($G64="",IFERROR(INDEX('Planning Pauses Dej'!$C:$C,MATCH($B64&amp;"|"&amp;TEXT($Q64,"YYYYMMDD"),'Planning Pauses Dej'!$F:$F,0)),"")="",IFERROR(INDEX('Planning Pauses Dej'!$D:$D,MATCH($B64&amp;"|"&amp;TEXT($Q64,"YYYYMMDD"),'Planning Pauses Dej'!$F:$F,0)),"")=""),"",IF($G64&gt;(IFERROR(INDEX('Planning Pauses Dej'!$D:$D,MATCH($B64&amp;"|"&amp;TEXT($Q64,"YYYYMMDD"),'Planning Pauses Dej'!$F:$F,0)),"")-IFERROR(INDEX('Planning Pauses Dej'!$C:$C,MATCH($B64&amp;"|"&amp;TEXT($Q64,"YYYYMMDD"),'Planning Pauses Dej'!$F:$F,0)),"")),$G64-(IFERROR(INDEX('Planning Pauses Dej'!$D:$D,MATCH($B64&amp;"|"&amp;TEXT($Q64,"YYYYMMDD"),'Planning Pauses Dej'!$F:$F,0)),"")-IFERROR(INDEX('Planning Pauses Dej'!$C:$C,MATCH($B64&amp;"|"&amp;TEXT($Q64,"YYYYMMDD"),'Planning Pauses Dej'!$F:$F,0)),"")),0)),"")</f>
        <v/>
      </c>
      <c r="I64" s="251">
        <f>IF(IF(OR(C64="",D64="Congé",D64="OFF",D64="Congé spécial"),"",IF(D64&gt;F64,D64-C64,IF(C64-D64&lt;0,0,C64-D64)))&lt;0.00068287037037037,"",IF(OR(D64="Congé",D64="OFF",C64="",D64="Congé spécial"),"",IF(D64&gt;F64,D64-C64,IF(C64-D64&lt;0,0,C64-D64))))</f>
        <v/>
      </c>
      <c r="J64" s="405">
        <f>IFERROR(IF($G64="","",IF($G64&gt;TIME(1,0,0),$G64-TIME(1,0,0),0)),"")</f>
        <v/>
      </c>
      <c r="K64" s="238">
        <f>IF(SUM(H64:J64)&lt;0.00068287037037037,0,SUM(H64:J64))</f>
        <v/>
      </c>
      <c r="L64" s="236">
        <f>IF(OR(F64="Congé",F64="OFF",M64="Abs",F64="Congé sans solde",F64="Férié",F64="Congé spécial",D64="Congé spécial"),0,IF(F64-E64&lt;0,0,IF(F64-E64&lt;=0.00068287037037037,0,F64-E64)))</f>
        <v/>
      </c>
      <c r="M64" s="239">
        <f>IF(AND(O64&lt;&gt;0,C64=""),"Abs",0)</f>
        <v/>
      </c>
      <c r="N64" s="254">
        <f>IFERROR(IF(OR(D64="OFF",D64="Congé",M64="Abs",D64="Congé sans solde",D64="Férié"),"",IF(O64-K64-L64&gt;O64,O64,IF(O64-K64-L64&lt;0,"",O64-K64-L64))),"")</f>
        <v/>
      </c>
      <c r="O64" s="241">
        <f>IF(AG64="2H Pause déjeuner",IF(F64-D64-0.0833333333333333&lt;0,F64-D64-0.0833333333333333+1,F64-D64-0.0833333333333333),IF(OR(AND(F64="OFF",D64="OFF"),AND(F64="Congé",D64="Congé"),AND(F64="Congé sans solde",D64="Congé sans solde"),AND(F64="Congé spécial",D64="Congé spécial"),AND(F64="Férié",D64="Férié"),AND(F64="OFF",D64="Congé"),AND(F64="OFF",D64="Congé sans solde"),AND(F64="OFF",D64="Congé spécial"),AND(F64="OFF",D64="Férié"),AND(F64="Congé",D64="OFF"),AND(F64="Congé",D64="Congé sans solde"),AND(F64="Congé",D64="Congé spécial"),AND(F64="Congé",D64="Férié"),AND(F64="Congé sans solde",D64="OFF"),AND(F64="Congé sans solde",D64="Congé"),AND(F64="Congé sans solde",D64="Congé spécial"),AND(F64="Congé sans solde",D64="Férié"),AND(F64="Congé spécial",D64="OFF"),AND(F64="Congé spécial",D64="Congé"),AND(F64="Congé spécial",D64="Congé sans solde"),AND(F64="Congé spécial",D64="Férié"),AND(F64="Férié",D64="OFF"),AND(F64="Férié",D64="Congé"),AND(F64="Férié",D64="Congé sans solde"),AND(F64="Férié",D64="Congé spécial")),0,IF(OR(F64="OFF",F64="Congé",F64="Congé spécial",F64="Congé sans solde",D64="OFF",D64="Congé",D64="Congé spécial",D64="Congé sans solde"),0.208333333333334,IF(AND(AG64="",F64-D64&lt;0),("24:00:00"-D64)+("00:00:00"+F64)-0.0416666666666667,IF(AND(OR(AG64="Allaitement",AG64="Sans déjeuner"),F64-D64&lt;0),("24:00:00"-D64)+("00:00:00"+F64),IF(AND(AG64="",F64-D64&gt;0.166666666666667),F64-D64-0.0416666666666667,IF(AND(OR(AG64="Allaitement",AG64="Sans déjeuner"),F64-D64&gt;0.166666666666667),F64-D64,F64-D64)))))))</f>
        <v/>
      </c>
      <c r="P64" s="242">
        <f>IFERROR(VLOOKUP($B64,Annuaire_roster!$B:$G,MATCH(P$1,Annuaire_roster!$B$1:$G$1,0),0),"-")</f>
        <v/>
      </c>
      <c r="Q64" s="255" t="n">
        <v>44762</v>
      </c>
      <c r="R64" s="248">
        <f>IF(M64="Abs",O64,0)</f>
        <v/>
      </c>
      <c r="S64" s="248">
        <f>SUM(R64,L64,I64,J64,W64,H64)</f>
        <v/>
      </c>
      <c r="T64" s="209">
        <f>"Sem - "&amp;WEEKNUM(Q64,21)</f>
        <v/>
      </c>
      <c r="U64" s="209">
        <f>PROPER(TEXT(Q64,"mmmm"))</f>
        <v/>
      </c>
      <c r="V64" s="256">
        <f>+TEXT(Q64,"aaa")</f>
        <v/>
      </c>
      <c r="W64" s="254" t="n"/>
      <c r="X64" s="257">
        <f>IFERROR(IF(M64="Abs",0,IF((D64-C64+E64-F64)&lt;0.000694444444444444,0,(D64-C64+E64-F64))),0)</f>
        <v/>
      </c>
      <c r="Y64" s="258">
        <f>IFERROR(VLOOKUP(B64,Annuaire_roster!B:E,4,0),"-")</f>
        <v/>
      </c>
      <c r="Z64" s="258">
        <f>IFERROR(VLOOKUP(B64,Annuaire_roster!B:F,3,0),"-")</f>
        <v/>
      </c>
      <c r="AA64" s="258">
        <f>IFERROR(VLOOKUP(B64,Annuaire_roster!B:I,6,0),"-")</f>
        <v/>
      </c>
      <c r="AB64" s="248">
        <f>IF(AND(D64="Congé",F64="Congé"),0.333333333333333,IF(OR(AND(D64="Congé",F64&lt;&gt;"Congé"),(AND(F64="Congé",D64&lt;&gt;"Congé"))),0.166666666666667,""))</f>
        <v/>
      </c>
      <c r="AC64" s="248">
        <f>IF(AND(D64="Congé sans solde",F64="Congé sans solde"),0.333333333333333,IF(OR(AND(D64="Congé sans solde",F64&lt;&gt;"Congé sans solde"),(AND(F64="Congé sans solde",D64&lt;&gt;"Congé sans solde"))),0.166666666666667,""))</f>
        <v/>
      </c>
      <c r="AD64" s="248">
        <f>IF(AND(D64="Congé spécial",F64="Congé spécial"),0.333333333333333,IF(OR(AND(D64="Congé spécial",F64&lt;&gt;"Congé décès"),(AND(F64="Congé spécial",D64&lt;&gt;"Congé spécial"))),0.166666666666667,""))</f>
        <v/>
      </c>
      <c r="AE64" s="259">
        <f>IF(AND(D64="Férié",F64="Férié"),0.333333333333333,IF(OR(AND(D64="Férié",F64&lt;&gt;"Férié"),(AND(F64="Férié",D64&lt;&gt;"Férié"))),0.166666666666667,""))</f>
        <v/>
      </c>
      <c r="AF64" s="249" t="n"/>
      <c r="AG64" s="248" t="n"/>
    </row>
    <row r="65" hidden="1" ht="12.75" customHeight="1" s="231">
      <c r="A65" s="253">
        <f>VLOOKUP(B65,Annuaire_roster!B:F,5,0)</f>
        <v/>
      </c>
      <c r="B65" s="233" t="inlineStr">
        <is>
          <t>BENSAR ANAS</t>
        </is>
      </c>
      <c r="C65" s="234">
        <f>IFERROR(IF(COUNTIFS(Connexions!$K:$K,$Q65,Connexions!$E:$E,VLOOKUP($B65,Mapping_Noms!$A:$B,2,0))=0,"",_xlfn.MINIFS(Connexions!$M:$M,Connexions!$K:$K,$Q65,Connexions!$E:$E,VLOOKUP($B65,Mapping_Noms!$A:$B,2,0))-TIME(1,0,0)),"")</f>
        <v/>
      </c>
      <c r="D65" s="234">
        <f t="array" ref="D65:D65">IFERROR(INDEX(Planning2[],MATCH(1,(Planning2[Nom]=B65)*(Planning2[Date]=Q65),0),3),"-")</f>
        <v/>
      </c>
      <c r="E65" s="235">
        <f>IFERROR(IF(COUNTIFS(Connexions!$K:$K,$Q65,Connexions!$E:$E,VLOOKUP($B65,Mapping_Noms!$A:$B,2,0))=0,"",_xlfn.MAXIFS(Connexions!$O:$O,Connexions!$K:$K,$Q65,Connexions!$E:$E,VLOOKUP($B65,Mapping_Noms!$A:$B,2,0))-TIME(1,0,0)),"")</f>
        <v/>
      </c>
      <c r="F65" s="235">
        <f t="array" ref="F65:F65">IFERROR(INDEX(Planning2[],MATCH(1,(Planning2[Nom]=B65)*(Planning2[Date]=Q65),0),4),"-")</f>
        <v/>
      </c>
      <c r="G65" s="405">
        <f>IFERROR(IF(OR(IFERROR(INDEX('Planning Pauses Dej'!$C:$C,MATCH($B65&amp;"|"&amp;TEXT($Q65,"YYYYMMDD"),'Planning Pauses Dej'!$F:$F,0)),"")="",IFERROR(INDEX('Planning Pauses Dej'!$D:$D,MATCH($B65&amp;"|"&amp;TEXT($Q65,"YYYYMMDD"),'Planning Pauses Dej'!$F:$F,0)),"")=""),"",_xlfn.MAXIFS(Connexions!$Q:$Q,Connexions!$K:$K,$Q65,Connexions!$E:$E,VLOOKUP($B65,Mapping_Noms!$A:$B,2,0),Connexions!$O:$O,"&lt;="&amp;(IFERROR(INDEX('Planning Pauses Dej'!$D:$D,MATCH($B65&amp;"|"&amp;TEXT($Q65,"YYYYMMDD"),'Planning Pauses Dej'!$F:$F,0)),"")+TIME(1,0,0)),Connexions!$P:$P,"&gt;="&amp;(IFERROR(INDEX('Planning Pauses Dej'!$C:$C,MATCH($B65&amp;"|"&amp;TEXT($Q65,"YYYYMMDD"),'Planning Pauses Dej'!$F:$F,0)),"")+TIME(1,0,0)))),"")</f>
        <v/>
      </c>
      <c r="H65" s="405">
        <f>IFERROR(IF(OR($G65="",IFERROR(INDEX('Planning Pauses Dej'!$C:$C,MATCH($B65&amp;"|"&amp;TEXT($Q65,"YYYYMMDD"),'Planning Pauses Dej'!$F:$F,0)),"")="",IFERROR(INDEX('Planning Pauses Dej'!$D:$D,MATCH($B65&amp;"|"&amp;TEXT($Q65,"YYYYMMDD"),'Planning Pauses Dej'!$F:$F,0)),"")=""),"",IF($G65&gt;(IFERROR(INDEX('Planning Pauses Dej'!$D:$D,MATCH($B65&amp;"|"&amp;TEXT($Q65,"YYYYMMDD"),'Planning Pauses Dej'!$F:$F,0)),"")-IFERROR(INDEX('Planning Pauses Dej'!$C:$C,MATCH($B65&amp;"|"&amp;TEXT($Q65,"YYYYMMDD"),'Planning Pauses Dej'!$F:$F,0)),"")),$G65-(IFERROR(INDEX('Planning Pauses Dej'!$D:$D,MATCH($B65&amp;"|"&amp;TEXT($Q65,"YYYYMMDD"),'Planning Pauses Dej'!$F:$F,0)),"")-IFERROR(INDEX('Planning Pauses Dej'!$C:$C,MATCH($B65&amp;"|"&amp;TEXT($Q65,"YYYYMMDD"),'Planning Pauses Dej'!$F:$F,0)),"")),0)),"")</f>
        <v/>
      </c>
      <c r="I65" s="251">
        <f>IF(IF(OR(C65="",D65="Congé",D65="OFF",D65="Congé spécial"),"",IF(D65&gt;F65,D65-C65,IF(C65-D65&lt;0,0,C65-D65)))&lt;0.00068287037037037,"",IF(OR(D65="Congé",D65="OFF",C65="",D65="Congé spécial"),"",IF(D65&gt;F65,D65-C65,IF(C65-D65&lt;0,0,C65-D65))))</f>
        <v/>
      </c>
      <c r="J65" s="405">
        <f>IFERROR(IF($G65="","",IF($G65&gt;TIME(1,0,0),$G65-TIME(1,0,0),0)),"")</f>
        <v/>
      </c>
      <c r="K65" s="238">
        <f>IF(SUM(H65:J65)&lt;0.00068287037037037,0,SUM(H65:J65))</f>
        <v/>
      </c>
      <c r="L65" s="236">
        <f>IF(OR(F65="Congé",F65="OFF",M65="Abs",F65="Congé sans solde",F65="Férié",F65="Congé spécial",D65="Congé spécial"),0,IF(F65-E65&lt;0,0,IF(F65-E65&lt;=0.00068287037037037,0,F65-E65)))</f>
        <v/>
      </c>
      <c r="M65" s="239">
        <f>IF(AND(O65&lt;&gt;0,C65=""),"Abs",0)</f>
        <v/>
      </c>
      <c r="N65" s="254">
        <f>IFERROR(IF(OR(D65="OFF",D65="Congé",M65="Abs",D65="Congé sans solde",D65="Férié"),"",IF(O65-K65-L65&gt;O65,O65,IF(O65-K65-L65&lt;0,"",O65-K65-L65))),"")</f>
        <v/>
      </c>
      <c r="O65" s="241">
        <f>IF(AG65="2H Pause déjeuner",IF(F65-D65-0.0833333333333333&lt;0,F65-D65-0.0833333333333333+1,F65-D65-0.0833333333333333),IF(OR(AND(F65="OFF",D65="OFF"),AND(F65="Congé",D65="Congé"),AND(F65="Congé sans solde",D65="Congé sans solde"),AND(F65="Congé spécial",D65="Congé spécial"),AND(F65="Férié",D65="Férié"),AND(F65="OFF",D65="Congé"),AND(F65="OFF",D65="Congé sans solde"),AND(F65="OFF",D65="Congé spécial"),AND(F65="OFF",D65="Férié"),AND(F65="Congé",D65="OFF"),AND(F65="Congé",D65="Congé sans solde"),AND(F65="Congé",D65="Congé spécial"),AND(F65="Congé",D65="Férié"),AND(F65="Congé sans solde",D65="OFF"),AND(F65="Congé sans solde",D65="Congé"),AND(F65="Congé sans solde",D65="Congé spécial"),AND(F65="Congé sans solde",D65="Férié"),AND(F65="Congé spécial",D65="OFF"),AND(F65="Congé spécial",D65="Congé"),AND(F65="Congé spécial",D65="Congé sans solde"),AND(F65="Congé spécial",D65="Férié"),AND(F65="Férié",D65="OFF"),AND(F65="Férié",D65="Congé"),AND(F65="Férié",D65="Congé sans solde"),AND(F65="Férié",D65="Congé spécial")),0,IF(OR(F65="OFF",F65="Congé",F65="Congé spécial",F65="Congé sans solde",D65="OFF",D65="Congé",D65="Congé spécial",D65="Congé sans solde"),0.208333333333334,IF(AND(AG65="",F65-D65&lt;0),("24:00:00"-D65)+("00:00:00"+F65)-0.0416666666666667,IF(AND(OR(AG65="Allaitement",AG65="Sans déjeuner"),F65-D65&lt;0),("24:00:00"-D65)+("00:00:00"+F65),IF(AND(AG65="",F65-D65&gt;0.166666666666667),F65-D65-0.0416666666666667,IF(AND(OR(AG65="Allaitement",AG65="Sans déjeuner"),F65-D65&gt;0.166666666666667),F65-D65,F65-D65)))))))</f>
        <v/>
      </c>
      <c r="P65" s="242">
        <f>IFERROR(VLOOKUP($B65,Annuaire_roster!$B:$G,MATCH(P$1,Annuaire_roster!$B$1:$G$1,0),0),"-")</f>
        <v/>
      </c>
      <c r="Q65" s="255" t="n">
        <v>44762</v>
      </c>
      <c r="R65" s="248">
        <f>IF(M65="Abs",O65,0)</f>
        <v/>
      </c>
      <c r="S65" s="248">
        <f>SUM(R65,L65,I65,J65,W65,H65)</f>
        <v/>
      </c>
      <c r="T65" s="209">
        <f>"Sem - "&amp;WEEKNUM(Q65,21)</f>
        <v/>
      </c>
      <c r="U65" s="209">
        <f>PROPER(TEXT(Q65,"mmmm"))</f>
        <v/>
      </c>
      <c r="V65" s="256">
        <f>+TEXT(Q65,"aaa")</f>
        <v/>
      </c>
      <c r="W65" s="254" t="n"/>
      <c r="X65" s="257">
        <f>IFERROR(IF(M65="Abs",0,IF((D65-C65+E65-F65)&lt;0.000694444444444444,0,(D65-C65+E65-F65))),0)</f>
        <v/>
      </c>
      <c r="Y65" s="258">
        <f>IFERROR(VLOOKUP(B65,Annuaire_roster!B:E,4,0),"-")</f>
        <v/>
      </c>
      <c r="Z65" s="258">
        <f>IFERROR(VLOOKUP(B65,Annuaire_roster!B:F,3,0),"-")</f>
        <v/>
      </c>
      <c r="AA65" s="258">
        <f>IFERROR(VLOOKUP(B65,Annuaire_roster!B:I,6,0),"-")</f>
        <v/>
      </c>
      <c r="AB65" s="248">
        <f>IF(AND(D65="Congé",F65="Congé"),0.333333333333333,IF(OR(AND(D65="Congé",F65&lt;&gt;"Congé"),(AND(F65="Congé",D65&lt;&gt;"Congé"))),0.166666666666667,""))</f>
        <v/>
      </c>
      <c r="AC65" s="248">
        <f>IF(AND(D65="Congé sans solde",F65="Congé sans solde"),0.333333333333333,IF(OR(AND(D65="Congé sans solde",F65&lt;&gt;"Congé sans solde"),(AND(F65="Congé sans solde",D65&lt;&gt;"Congé sans solde"))),0.166666666666667,""))</f>
        <v/>
      </c>
      <c r="AD65" s="248">
        <f>IF(AND(D65="Congé spécial",F65="Congé spécial"),0.333333333333333,IF(OR(AND(D65="Congé spécial",F65&lt;&gt;"Congé décès"),(AND(F65="Congé spécial",D65&lt;&gt;"Congé spécial"))),0.166666666666667,""))</f>
        <v/>
      </c>
      <c r="AE65" s="259">
        <f>IF(AND(D65="Férié",F65="Férié"),0.333333333333333,IF(OR(AND(D65="Férié",F65&lt;&gt;"Férié"),(AND(F65="Férié",D65&lt;&gt;"Férié"))),0.166666666666667,""))</f>
        <v/>
      </c>
      <c r="AF65" s="259" t="n"/>
      <c r="AG65" s="248" t="n"/>
    </row>
    <row r="66" hidden="1" ht="12.75" customHeight="1" s="231">
      <c r="A66" s="232">
        <f>VLOOKUP(B66,Annuaire_roster!B:F,5,0)</f>
        <v/>
      </c>
      <c r="B66" s="233" t="inlineStr">
        <is>
          <t>GUEYE MOUHAMED</t>
        </is>
      </c>
      <c r="C66" s="234">
        <f>IFERROR(IF(COUNTIFS(Connexions!$K:$K,$Q66,Connexions!$E:$E,VLOOKUP($B66,Mapping_Noms!$A:$B,2,0))=0,"",_xlfn.MINIFS(Connexions!$M:$M,Connexions!$K:$K,$Q66,Connexions!$E:$E,VLOOKUP($B66,Mapping_Noms!$A:$B,2,0))-TIME(1,0,0)),"")</f>
        <v/>
      </c>
      <c r="D66" s="234">
        <f t="array" ref="D66:D66">IFERROR(INDEX(Planning2[],MATCH(1,(Planning2[Nom]=B66)*(Planning2[Date]=Q66),0),3),"-")</f>
        <v/>
      </c>
      <c r="E66" s="235">
        <f>IFERROR(IF(COUNTIFS(Connexions!$K:$K,$Q66,Connexions!$E:$E,VLOOKUP($B66,Mapping_Noms!$A:$B,2,0))=0,"",_xlfn.MAXIFS(Connexions!$O:$O,Connexions!$K:$K,$Q66,Connexions!$E:$E,VLOOKUP($B66,Mapping_Noms!$A:$B,2,0))-TIME(1,0,0)),"")</f>
        <v/>
      </c>
      <c r="F66" s="235">
        <f t="array" ref="F66:F66">IFERROR(INDEX(Planning2[],MATCH(1,(Planning2[Nom]=B66)*(Planning2[Date]=Q66),0),4),"-")</f>
        <v/>
      </c>
      <c r="G66" s="405">
        <f>IFERROR(IF(OR(IFERROR(INDEX('Planning Pauses Dej'!$C:$C,MATCH($B66&amp;"|"&amp;TEXT($Q66,"YYYYMMDD"),'Planning Pauses Dej'!$F:$F,0)),"")="",IFERROR(INDEX('Planning Pauses Dej'!$D:$D,MATCH($B66&amp;"|"&amp;TEXT($Q66,"YYYYMMDD"),'Planning Pauses Dej'!$F:$F,0)),"")=""),"",_xlfn.MAXIFS(Connexions!$Q:$Q,Connexions!$K:$K,$Q66,Connexions!$E:$E,VLOOKUP($B66,Mapping_Noms!$A:$B,2,0),Connexions!$O:$O,"&lt;="&amp;(IFERROR(INDEX('Planning Pauses Dej'!$D:$D,MATCH($B66&amp;"|"&amp;TEXT($Q66,"YYYYMMDD"),'Planning Pauses Dej'!$F:$F,0)),"")+TIME(1,0,0)),Connexions!$P:$P,"&gt;="&amp;(IFERROR(INDEX('Planning Pauses Dej'!$C:$C,MATCH($B66&amp;"|"&amp;TEXT($Q66,"YYYYMMDD"),'Planning Pauses Dej'!$F:$F,0)),"")+TIME(1,0,0)))),"")</f>
        <v/>
      </c>
      <c r="H66" s="405">
        <f>IFERROR(IF(OR($G66="",IFERROR(INDEX('Planning Pauses Dej'!$C:$C,MATCH($B66&amp;"|"&amp;TEXT($Q66,"YYYYMMDD"),'Planning Pauses Dej'!$F:$F,0)),"")="",IFERROR(INDEX('Planning Pauses Dej'!$D:$D,MATCH($B66&amp;"|"&amp;TEXT($Q66,"YYYYMMDD"),'Planning Pauses Dej'!$F:$F,0)),"")=""),"",IF($G66&gt;(IFERROR(INDEX('Planning Pauses Dej'!$D:$D,MATCH($B66&amp;"|"&amp;TEXT($Q66,"YYYYMMDD"),'Planning Pauses Dej'!$F:$F,0)),"")-IFERROR(INDEX('Planning Pauses Dej'!$C:$C,MATCH($B66&amp;"|"&amp;TEXT($Q66,"YYYYMMDD"),'Planning Pauses Dej'!$F:$F,0)),"")),$G66-(IFERROR(INDEX('Planning Pauses Dej'!$D:$D,MATCH($B66&amp;"|"&amp;TEXT($Q66,"YYYYMMDD"),'Planning Pauses Dej'!$F:$F,0)),"")-IFERROR(INDEX('Planning Pauses Dej'!$C:$C,MATCH($B66&amp;"|"&amp;TEXT($Q66,"YYYYMMDD"),'Planning Pauses Dej'!$F:$F,0)),"")),0)),"")</f>
        <v/>
      </c>
      <c r="I66" s="251">
        <f>IF(IF(OR(C66="",D66="Congé",D66="OFF",D66="Congé spécial"),"",IF(D66&gt;F66,D66-C66,IF(C66-D66&lt;0,0,C66-D66)))&lt;0.00068287037037037,"",IF(OR(D66="Congé",D66="OFF",C66="",D66="Congé spécial"),"",IF(D66&gt;F66,D66-C66,IF(C66-D66&lt;0,0,C66-D66))))</f>
        <v/>
      </c>
      <c r="J66" s="405">
        <f>IFERROR(IF($G66="","",IF($G66&gt;TIME(1,0,0),$G66-TIME(1,0,0),0)),"")</f>
        <v/>
      </c>
      <c r="K66" s="238">
        <f>IF(SUM(H66:J66)&lt;0.00068287037037037,0,SUM(H66:J66))</f>
        <v/>
      </c>
      <c r="L66" s="236">
        <f>IF(OR(F66="Congé",F66="OFF",M66="Abs",F66="Congé sans solde",F66="Férié",F66="Congé spécial",D66="Congé spécial"),0,IF(F66-E66&lt;0,0,IF(F66-E66&lt;=0.00068287037037037,0,F66-E66)))</f>
        <v/>
      </c>
      <c r="M66" s="239">
        <f>IF(AND(O66&lt;&gt;0,C66=""),"Abs",0)</f>
        <v/>
      </c>
      <c r="N66" s="240">
        <f>IFERROR(IF(OR(D66="OFF",D66="Congé",M66="Abs",D66="Congé sans solde",D66="Férié"),"",IF(O66-K66-L66&gt;O66,O66,IF(O66-K66-L66&lt;0,"",O66-K66-L66))),"")</f>
        <v/>
      </c>
      <c r="O66" s="241">
        <f>IF(AG66="2H Pause déjeuner",IF(F66-D66-0.0833333333333333&lt;0,F66-D66-0.0833333333333333+1,F66-D66-0.0833333333333333),IF(OR(AND(F66="OFF",D66="OFF"),AND(F66="Congé",D66="Congé"),AND(F66="Congé sans solde",D66="Congé sans solde"),AND(F66="Congé spécial",D66="Congé spécial"),AND(F66="Férié",D66="Férié"),AND(F66="OFF",D66="Congé"),AND(F66="OFF",D66="Congé sans solde"),AND(F66="OFF",D66="Congé spécial"),AND(F66="OFF",D66="Férié"),AND(F66="Congé",D66="OFF"),AND(F66="Congé",D66="Congé sans solde"),AND(F66="Congé",D66="Congé spécial"),AND(F66="Congé",D66="Férié"),AND(F66="Congé sans solde",D66="OFF"),AND(F66="Congé sans solde",D66="Congé"),AND(F66="Congé sans solde",D66="Congé spécial"),AND(F66="Congé sans solde",D66="Férié"),AND(F66="Congé spécial",D66="OFF"),AND(F66="Congé spécial",D66="Congé"),AND(F66="Congé spécial",D66="Congé sans solde"),AND(F66="Congé spécial",D66="Férié"),AND(F66="Férié",D66="OFF"),AND(F66="Férié",D66="Congé"),AND(F66="Férié",D66="Congé sans solde"),AND(F66="Férié",D66="Congé spécial")),0,IF(OR(F66="OFF",F66="Congé",F66="Congé spécial",F66="Congé sans solde",D66="OFF",D66="Congé",D66="Congé spécial",D66="Congé sans solde"),0.208333333333334,IF(AND(AG66="",F66-D66&lt;0),("24:00:00"-D66)+("00:00:00"+F66)-0.0416666666666667,IF(AND(OR(AG66="Allaitement",AG66="Sans déjeuner"),F66-D66&lt;0),("24:00:00"-D66)+("00:00:00"+F66),IF(AND(AG66="",F66-D66&gt;0.166666666666667),F66-D66-0.0416666666666667,IF(AND(OR(AG66="Allaitement",AG66="Sans déjeuner"),F66-D66&gt;0.166666666666667),F66-D66,F66-D66)))))))</f>
        <v/>
      </c>
      <c r="P66" s="242">
        <f>IFERROR(VLOOKUP($B66,Annuaire_roster!$B:$G,MATCH(P$1,Annuaire_roster!$B$1:$G$1,0),0),"-")</f>
        <v/>
      </c>
      <c r="Q66" s="243" t="n">
        <v>44763</v>
      </c>
      <c r="R66" s="244">
        <f>IF(M66="Abs",O66,0)</f>
        <v/>
      </c>
      <c r="S66" s="244">
        <f>SUM(R66,L66,I66,J66,W66,H66)</f>
        <v/>
      </c>
      <c r="T66" s="209">
        <f>"Sem - "&amp;WEEKNUM(Q66,21)</f>
        <v/>
      </c>
      <c r="U66" s="209">
        <f>PROPER(TEXT(Q66,"mmmm"))</f>
        <v/>
      </c>
      <c r="V66" s="245">
        <f>+TEXT(Q66,"aaa")</f>
        <v/>
      </c>
      <c r="W66" s="240" t="n"/>
      <c r="X66" s="246">
        <f>IFERROR(IF(M66="Abs",0,IF((D66-C66+E66-F66)&lt;0.000694444444444444,0,(D66-C66+E66-F66))),0)</f>
        <v/>
      </c>
      <c r="Y66" s="247">
        <f>IFERROR(VLOOKUP(B66,Annuaire_roster!B:E,4,0),"-")</f>
        <v/>
      </c>
      <c r="Z66" s="247">
        <f>IFERROR(VLOOKUP(B66,Annuaire_roster!B:F,3,0),"-")</f>
        <v/>
      </c>
      <c r="AA66" s="247">
        <f>IFERROR(VLOOKUP(B66,Annuaire_roster!B:I,6,0),"-")</f>
        <v/>
      </c>
      <c r="AB66" s="248">
        <f>IF(AND(D66="Congé",F66="Congé"),0.333333333333333,IF(OR(AND(D66="Congé",F66&lt;&gt;"Congé"),(AND(F66="Congé",D66&lt;&gt;"Congé"))),0.166666666666667,""))</f>
        <v/>
      </c>
      <c r="AC66" s="248">
        <f>IF(AND(D66="Congé sans solde",F66="Congé sans solde"),0.333333333333333,IF(OR(AND(D66="Congé sans solde",F66&lt;&gt;"Congé sans solde"),(AND(F66="Congé sans solde",D66&lt;&gt;"Congé sans solde"))),0.166666666666667,""))</f>
        <v/>
      </c>
      <c r="AD66" s="248">
        <f>IF(AND(D66="Congé spécial",F66="Congé spécial"),0.333333333333333,IF(OR(AND(D66="Congé spécial",F66&lt;&gt;"Congé décès"),(AND(F66="Congé spécial",D66&lt;&gt;"Congé spécial"))),0.166666666666667,""))</f>
        <v/>
      </c>
      <c r="AE66" s="249">
        <f>IF(AND(D66="Férié",F66="Férié"),0.333333333333333,IF(OR(AND(D66="Férié",F66&lt;&gt;"Férié"),(AND(F66="Férié",D66&lt;&gt;"Férié"))),0.166666666666667,""))</f>
        <v/>
      </c>
      <c r="AF66" s="259" t="n"/>
      <c r="AG66" s="244" t="n"/>
    </row>
    <row r="67" hidden="1" ht="12.75" customHeight="1" s="231">
      <c r="A67" s="232">
        <f>VLOOKUP(B67,Annuaire_roster!B:F,5,0)</f>
        <v/>
      </c>
      <c r="B67" s="233" t="inlineStr">
        <is>
          <t>SIDIBE MOUSKEBA DALAFINA</t>
        </is>
      </c>
      <c r="C67" s="234">
        <f>IFERROR(IF(COUNTIFS(Connexions!$K:$K,$Q67,Connexions!$E:$E,VLOOKUP($B67,Mapping_Noms!$A:$B,2,0))=0,"",_xlfn.MINIFS(Connexions!$M:$M,Connexions!$K:$K,$Q67,Connexions!$E:$E,VLOOKUP($B67,Mapping_Noms!$A:$B,2,0))-TIME(1,0,0)),"")</f>
        <v/>
      </c>
      <c r="D67" s="234">
        <f t="array" ref="D67:D67">IFERROR(INDEX(Planning2[],MATCH(1,(Planning2[Nom]=B67)*(Planning2[Date]=Q67),0),3),"-")</f>
        <v/>
      </c>
      <c r="E67" s="235">
        <f>IFERROR(IF(COUNTIFS(Connexions!$K:$K,$Q67,Connexions!$E:$E,VLOOKUP($B67,Mapping_Noms!$A:$B,2,0))=0,"",_xlfn.MAXIFS(Connexions!$O:$O,Connexions!$K:$K,$Q67,Connexions!$E:$E,VLOOKUP($B67,Mapping_Noms!$A:$B,2,0))-TIME(1,0,0)),"")</f>
        <v/>
      </c>
      <c r="F67" s="235">
        <f t="array" ref="F67:F67">IFERROR(INDEX(Planning2[],MATCH(1,(Planning2[Nom]=B67)*(Planning2[Date]=Q67),0),4),"-")</f>
        <v/>
      </c>
      <c r="G67" s="405">
        <f>IFERROR(IF(OR(IFERROR(INDEX('Planning Pauses Dej'!$C:$C,MATCH($B67&amp;"|"&amp;TEXT($Q67,"YYYYMMDD"),'Planning Pauses Dej'!$F:$F,0)),"")="",IFERROR(INDEX('Planning Pauses Dej'!$D:$D,MATCH($B67&amp;"|"&amp;TEXT($Q67,"YYYYMMDD"),'Planning Pauses Dej'!$F:$F,0)),"")=""),"",_xlfn.MAXIFS(Connexions!$Q:$Q,Connexions!$K:$K,$Q67,Connexions!$E:$E,VLOOKUP($B67,Mapping_Noms!$A:$B,2,0),Connexions!$O:$O,"&lt;="&amp;(IFERROR(INDEX('Planning Pauses Dej'!$D:$D,MATCH($B67&amp;"|"&amp;TEXT($Q67,"YYYYMMDD"),'Planning Pauses Dej'!$F:$F,0)),"")+TIME(1,0,0)),Connexions!$P:$P,"&gt;="&amp;(IFERROR(INDEX('Planning Pauses Dej'!$C:$C,MATCH($B67&amp;"|"&amp;TEXT($Q67,"YYYYMMDD"),'Planning Pauses Dej'!$F:$F,0)),"")+TIME(1,0,0)))),"")</f>
        <v/>
      </c>
      <c r="H67" s="405">
        <f>IFERROR(IF(OR($G67="",IFERROR(INDEX('Planning Pauses Dej'!$C:$C,MATCH($B67&amp;"|"&amp;TEXT($Q67,"YYYYMMDD"),'Planning Pauses Dej'!$F:$F,0)),"")="",IFERROR(INDEX('Planning Pauses Dej'!$D:$D,MATCH($B67&amp;"|"&amp;TEXT($Q67,"YYYYMMDD"),'Planning Pauses Dej'!$F:$F,0)),"")=""),"",IF($G67&gt;(IFERROR(INDEX('Planning Pauses Dej'!$D:$D,MATCH($B67&amp;"|"&amp;TEXT($Q67,"YYYYMMDD"),'Planning Pauses Dej'!$F:$F,0)),"")-IFERROR(INDEX('Planning Pauses Dej'!$C:$C,MATCH($B67&amp;"|"&amp;TEXT($Q67,"YYYYMMDD"),'Planning Pauses Dej'!$F:$F,0)),"")),$G67-(IFERROR(INDEX('Planning Pauses Dej'!$D:$D,MATCH($B67&amp;"|"&amp;TEXT($Q67,"YYYYMMDD"),'Planning Pauses Dej'!$F:$F,0)),"")-IFERROR(INDEX('Planning Pauses Dej'!$C:$C,MATCH($B67&amp;"|"&amp;TEXT($Q67,"YYYYMMDD"),'Planning Pauses Dej'!$F:$F,0)),"")),0)),"")</f>
        <v/>
      </c>
      <c r="I67" s="251">
        <f>IF(IF(OR(C67="",D67="Congé",D67="OFF",D67="Congé spécial"),"",IF(D67&gt;F67,D67-C67,IF(C67-D67&lt;0,0,C67-D67)))&lt;0.00068287037037037,"",IF(OR(D67="Congé",D67="OFF",C67="",D67="Congé spécial"),"",IF(D67&gt;F67,D67-C67,IF(C67-D67&lt;0,0,C67-D67))))</f>
        <v/>
      </c>
      <c r="J67" s="405">
        <f>IFERROR(IF($G67="","",IF($G67&gt;TIME(1,0,0),$G67-TIME(1,0,0),0)),"")</f>
        <v/>
      </c>
      <c r="K67" s="238">
        <f>IF(SUM(H67:J67)&lt;0.00068287037037037,0,SUM(H67:J67))</f>
        <v/>
      </c>
      <c r="L67" s="236">
        <f>IF(OR(F67="Congé",F67="OFF",M67="Abs",F67="Congé sans solde",F67="Férié",F67="Congé spécial",D67="Congé spécial"),0,IF(F67-E67&lt;0,0,IF(F67-E67&lt;=0.00068287037037037,0,F67-E67)))</f>
        <v/>
      </c>
      <c r="M67" s="239">
        <f>IF(AND(O67&lt;&gt;0,C67=""),"Abs",0)</f>
        <v/>
      </c>
      <c r="N67" s="240">
        <f>IFERROR(IF(OR(D67="OFF",D67="Congé",M67="Abs",D67="Congé sans solde",D67="Férié"),"",IF(O67-K67-L67&gt;O67,O67,IF(O67-K67-L67&lt;0,"",O67-K67-L67))),"")</f>
        <v/>
      </c>
      <c r="O67" s="241">
        <f>IF(AG67="2H Pause déjeuner",IF(F67-D67-0.0833333333333333&lt;0,F67-D67-0.0833333333333333+1,F67-D67-0.0833333333333333),IF(OR(AND(F67="OFF",D67="OFF"),AND(F67="Congé",D67="Congé"),AND(F67="Congé sans solde",D67="Congé sans solde"),AND(F67="Congé spécial",D67="Congé spécial"),AND(F67="Férié",D67="Férié"),AND(F67="OFF",D67="Congé"),AND(F67="OFF",D67="Congé sans solde"),AND(F67="OFF",D67="Congé spécial"),AND(F67="OFF",D67="Férié"),AND(F67="Congé",D67="OFF"),AND(F67="Congé",D67="Congé sans solde"),AND(F67="Congé",D67="Congé spécial"),AND(F67="Congé",D67="Férié"),AND(F67="Congé sans solde",D67="OFF"),AND(F67="Congé sans solde",D67="Congé"),AND(F67="Congé sans solde",D67="Congé spécial"),AND(F67="Congé sans solde",D67="Férié"),AND(F67="Congé spécial",D67="OFF"),AND(F67="Congé spécial",D67="Congé"),AND(F67="Congé spécial",D67="Congé sans solde"),AND(F67="Congé spécial",D67="Férié"),AND(F67="Férié",D67="OFF"),AND(F67="Férié",D67="Congé"),AND(F67="Férié",D67="Congé sans solde"),AND(F67="Férié",D67="Congé spécial")),0,IF(OR(F67="OFF",F67="Congé",F67="Congé spécial",F67="Congé sans solde",D67="OFF",D67="Congé",D67="Congé spécial",D67="Congé sans solde"),0.208333333333334,IF(AND(AG67="",F67-D67&lt;0),("24:00:00"-D67)+("00:00:00"+F67)-0.0416666666666667,IF(AND(OR(AG67="Allaitement",AG67="Sans déjeuner"),F67-D67&lt;0),("24:00:00"-D67)+("00:00:00"+F67),IF(AND(AG67="",F67-D67&gt;0.166666666666667),F67-D67-0.0416666666666667,IF(AND(OR(AG67="Allaitement",AG67="Sans déjeuner"),F67-D67&gt;0.166666666666667),F67-D67,F67-D67)))))))</f>
        <v/>
      </c>
      <c r="P67" s="242">
        <f>IFERROR(VLOOKUP($B67,Annuaire_roster!$B:$G,MATCH(P$1,Annuaire_roster!$B$1:$G$1,0),0),"-")</f>
        <v/>
      </c>
      <c r="Q67" s="243" t="n">
        <v>44763</v>
      </c>
      <c r="R67" s="244">
        <f>IF(M67="Abs",O67,0)</f>
        <v/>
      </c>
      <c r="S67" s="244">
        <f>SUM(R67,L67,I67,J67,W67,H67)</f>
        <v/>
      </c>
      <c r="T67" s="209">
        <f>"Sem - "&amp;WEEKNUM(Q67,21)</f>
        <v/>
      </c>
      <c r="U67" s="209">
        <f>PROPER(TEXT(Q67,"mmmm"))</f>
        <v/>
      </c>
      <c r="V67" s="245">
        <f>+TEXT(Q67,"aaa")</f>
        <v/>
      </c>
      <c r="W67" s="240" t="n"/>
      <c r="X67" s="246">
        <f>IFERROR(IF(M67="Abs",0,IF((D67-C67+E67-F67)&lt;0.000694444444444444,0,(D67-C67+E67-F67))),0)</f>
        <v/>
      </c>
      <c r="Y67" s="247">
        <f>IFERROR(VLOOKUP(B67,Annuaire_roster!B:E,4,0),"-")</f>
        <v/>
      </c>
      <c r="Z67" s="247">
        <f>IFERROR(VLOOKUP(B67,Annuaire_roster!B:F,3,0),"-")</f>
        <v/>
      </c>
      <c r="AA67" s="247">
        <f>IFERROR(VLOOKUP(B67,Annuaire_roster!B:I,6,0),"-")</f>
        <v/>
      </c>
      <c r="AB67" s="248">
        <f>IF(AND(D67="Congé",F67="Congé"),0.333333333333333,IF(OR(AND(D67="Congé",F67&lt;&gt;"Congé"),(AND(F67="Congé",D67&lt;&gt;"Congé"))),0.166666666666667,""))</f>
        <v/>
      </c>
      <c r="AC67" s="248">
        <f>IF(AND(D67="Congé sans solde",F67="Congé sans solde"),0.333333333333333,IF(OR(AND(D67="Congé sans solde",F67&lt;&gt;"Congé sans solde"),(AND(F67="Congé sans solde",D67&lt;&gt;"Congé sans solde"))),0.166666666666667,""))</f>
        <v/>
      </c>
      <c r="AD67" s="248">
        <f>IF(AND(D67="Congé spécial",F67="Congé spécial"),0.333333333333333,IF(OR(AND(D67="Congé spécial",F67&lt;&gt;"Congé décès"),(AND(F67="Congé spécial",D67&lt;&gt;"Congé spécial"))),0.166666666666667,""))</f>
        <v/>
      </c>
      <c r="AE67" s="249">
        <f>IF(AND(D67="Férié",F67="Férié"),0.333333333333333,IF(OR(AND(D67="Férié",F67&lt;&gt;"Férié"),(AND(F67="Férié",D67&lt;&gt;"Férié"))),0.166666666666667,""))</f>
        <v/>
      </c>
      <c r="AF67" s="259" t="n"/>
      <c r="AG67" s="244" t="n"/>
    </row>
    <row r="68" hidden="1" ht="12.75" customHeight="1" s="231">
      <c r="A68" s="232">
        <f>VLOOKUP(B68,Annuaire_roster!B:F,5,0)</f>
        <v/>
      </c>
      <c r="B68" s="233" t="inlineStr">
        <is>
          <t>BOULHROUD SALMA</t>
        </is>
      </c>
      <c r="C68" s="234">
        <f>IFERROR(IF(COUNTIFS(Connexions!$K:$K,$Q68,Connexions!$E:$E,VLOOKUP($B68,Mapping_Noms!$A:$B,2,0))=0,"",_xlfn.MINIFS(Connexions!$M:$M,Connexions!$K:$K,$Q68,Connexions!$E:$E,VLOOKUP($B68,Mapping_Noms!$A:$B,2,0))-TIME(1,0,0)),"")</f>
        <v/>
      </c>
      <c r="D68" s="234">
        <f t="array" ref="D68:D68">IFERROR(INDEX(Planning2[],MATCH(1,(Planning2[Nom]=B68)*(Planning2[Date]=Q68),0),3),"-")</f>
        <v/>
      </c>
      <c r="E68" s="235">
        <f>IFERROR(IF(COUNTIFS(Connexions!$K:$K,$Q68,Connexions!$E:$E,VLOOKUP($B68,Mapping_Noms!$A:$B,2,0))=0,"",_xlfn.MAXIFS(Connexions!$O:$O,Connexions!$K:$K,$Q68,Connexions!$E:$E,VLOOKUP($B68,Mapping_Noms!$A:$B,2,0))-TIME(1,0,0)),"")</f>
        <v/>
      </c>
      <c r="F68" s="235">
        <f t="array" ref="F68:F68">IFERROR(INDEX(Planning2[],MATCH(1,(Planning2[Nom]=B68)*(Planning2[Date]=Q68),0),4),"-")</f>
        <v/>
      </c>
      <c r="G68" s="405">
        <f>IFERROR(IF(OR(IFERROR(INDEX('Planning Pauses Dej'!$C:$C,MATCH($B68&amp;"|"&amp;TEXT($Q68,"YYYYMMDD"),'Planning Pauses Dej'!$F:$F,0)),"")="",IFERROR(INDEX('Planning Pauses Dej'!$D:$D,MATCH($B68&amp;"|"&amp;TEXT($Q68,"YYYYMMDD"),'Planning Pauses Dej'!$F:$F,0)),"")=""),"",_xlfn.MAXIFS(Connexions!$Q:$Q,Connexions!$K:$K,$Q68,Connexions!$E:$E,VLOOKUP($B68,Mapping_Noms!$A:$B,2,0),Connexions!$O:$O,"&lt;="&amp;(IFERROR(INDEX('Planning Pauses Dej'!$D:$D,MATCH($B68&amp;"|"&amp;TEXT($Q68,"YYYYMMDD"),'Planning Pauses Dej'!$F:$F,0)),"")+TIME(1,0,0)),Connexions!$P:$P,"&gt;="&amp;(IFERROR(INDEX('Planning Pauses Dej'!$C:$C,MATCH($B68&amp;"|"&amp;TEXT($Q68,"YYYYMMDD"),'Planning Pauses Dej'!$F:$F,0)),"")+TIME(1,0,0)))),"")</f>
        <v/>
      </c>
      <c r="H68" s="405">
        <f>IFERROR(IF(OR($G68="",IFERROR(INDEX('Planning Pauses Dej'!$C:$C,MATCH($B68&amp;"|"&amp;TEXT($Q68,"YYYYMMDD"),'Planning Pauses Dej'!$F:$F,0)),"")="",IFERROR(INDEX('Planning Pauses Dej'!$D:$D,MATCH($B68&amp;"|"&amp;TEXT($Q68,"YYYYMMDD"),'Planning Pauses Dej'!$F:$F,0)),"")=""),"",IF($G68&gt;(IFERROR(INDEX('Planning Pauses Dej'!$D:$D,MATCH($B68&amp;"|"&amp;TEXT($Q68,"YYYYMMDD"),'Planning Pauses Dej'!$F:$F,0)),"")-IFERROR(INDEX('Planning Pauses Dej'!$C:$C,MATCH($B68&amp;"|"&amp;TEXT($Q68,"YYYYMMDD"),'Planning Pauses Dej'!$F:$F,0)),"")),$G68-(IFERROR(INDEX('Planning Pauses Dej'!$D:$D,MATCH($B68&amp;"|"&amp;TEXT($Q68,"YYYYMMDD"),'Planning Pauses Dej'!$F:$F,0)),"")-IFERROR(INDEX('Planning Pauses Dej'!$C:$C,MATCH($B68&amp;"|"&amp;TEXT($Q68,"YYYYMMDD"),'Planning Pauses Dej'!$F:$F,0)),"")),0)),"")</f>
        <v/>
      </c>
      <c r="I68" s="251">
        <f>IF(IF(OR(C68="",D68="Congé",D68="OFF",D68="Congé spécial"),"",IF(D68&gt;F68,D68-C68,IF(C68-D68&lt;0,0,C68-D68)))&lt;0.00068287037037037,"",IF(OR(D68="Congé",D68="OFF",C68="",D68="Congé spécial"),"",IF(D68&gt;F68,D68-C68,IF(C68-D68&lt;0,0,C68-D68))))</f>
        <v/>
      </c>
      <c r="J68" s="405">
        <f>IFERROR(IF($G68="","",IF($G68&gt;TIME(1,0,0),$G68-TIME(1,0,0),0)),"")</f>
        <v/>
      </c>
      <c r="K68" s="238">
        <f>IF(SUM(H68:J68)&lt;0.00068287037037037,0,SUM(H68:J68))</f>
        <v/>
      </c>
      <c r="L68" s="236">
        <f>IF(OR(F68="Congé",F68="OFF",M68="Abs",F68="Congé sans solde",F68="Férié",F68="Congé spécial",D68="Congé spécial"),0,IF(F68-E68&lt;0,0,IF(F68-E68&lt;=0.00068287037037037,0,F68-E68)))</f>
        <v/>
      </c>
      <c r="M68" s="239">
        <f>IF(AND(O68&lt;&gt;0,C68=""),"Abs",0)</f>
        <v/>
      </c>
      <c r="N68" s="240">
        <f>IFERROR(IF(OR(D68="OFF",D68="Congé",M68="Abs",D68="Congé sans solde",D68="Férié"),"",IF(O68-K68-L68&gt;O68,O68,IF(O68-K68-L68&lt;0,"",O68-K68-L68))),"")</f>
        <v/>
      </c>
      <c r="O68" s="241">
        <f>IF(AG68="2H Pause déjeuner",IF(F68-D68-0.0833333333333333&lt;0,F68-D68-0.0833333333333333+1,F68-D68-0.0833333333333333),IF(OR(AND(F68="OFF",D68="OFF"),AND(F68="Congé",D68="Congé"),AND(F68="Congé sans solde",D68="Congé sans solde"),AND(F68="Congé spécial",D68="Congé spécial"),AND(F68="Férié",D68="Férié"),AND(F68="OFF",D68="Congé"),AND(F68="OFF",D68="Congé sans solde"),AND(F68="OFF",D68="Congé spécial"),AND(F68="OFF",D68="Férié"),AND(F68="Congé",D68="OFF"),AND(F68="Congé",D68="Congé sans solde"),AND(F68="Congé",D68="Congé spécial"),AND(F68="Congé",D68="Férié"),AND(F68="Congé sans solde",D68="OFF"),AND(F68="Congé sans solde",D68="Congé"),AND(F68="Congé sans solde",D68="Congé spécial"),AND(F68="Congé sans solde",D68="Férié"),AND(F68="Congé spécial",D68="OFF"),AND(F68="Congé spécial",D68="Congé"),AND(F68="Congé spécial",D68="Congé sans solde"),AND(F68="Congé spécial",D68="Férié"),AND(F68="Férié",D68="OFF"),AND(F68="Férié",D68="Congé"),AND(F68="Férié",D68="Congé sans solde"),AND(F68="Férié",D68="Congé spécial")),0,IF(OR(F68="OFF",F68="Congé",F68="Congé spécial",F68="Congé sans solde",D68="OFF",D68="Congé",D68="Congé spécial",D68="Congé sans solde"),0.208333333333334,IF(AND(AG68="",F68-D68&lt;0),("24:00:00"-D68)+("00:00:00"+F68)-0.0416666666666667,IF(AND(OR(AG68="Allaitement",AG68="Sans déjeuner"),F68-D68&lt;0),("24:00:00"-D68)+("00:00:00"+F68),IF(AND(AG68="",F68-D68&gt;0.166666666666667),F68-D68-0.0416666666666667,IF(AND(OR(AG68="Allaitement",AG68="Sans déjeuner"),F68-D68&gt;0.166666666666667),F68-D68,F68-D68)))))))</f>
        <v/>
      </c>
      <c r="P68" s="242">
        <f>IFERROR(VLOOKUP($B68,Annuaire_roster!$B:$G,MATCH(P$1,Annuaire_roster!$B$1:$G$1,0),0),"-")</f>
        <v/>
      </c>
      <c r="Q68" s="243" t="n">
        <v>44763</v>
      </c>
      <c r="R68" s="244">
        <f>IF(M68="Abs",O68,0)</f>
        <v/>
      </c>
      <c r="S68" s="244">
        <f>SUM(R68,L68,I68,J68,W68,H68)</f>
        <v/>
      </c>
      <c r="T68" s="209">
        <f>"Sem - "&amp;WEEKNUM(Q68,21)</f>
        <v/>
      </c>
      <c r="U68" s="209">
        <f>PROPER(TEXT(Q68,"mmmm"))</f>
        <v/>
      </c>
      <c r="V68" s="245">
        <f>+TEXT(Q68,"aaa")</f>
        <v/>
      </c>
      <c r="W68" s="240" t="n"/>
      <c r="X68" s="246">
        <f>IFERROR(IF(M68="Abs",0,IF((D68-C68+E68-F68)&lt;0.000694444444444444,0,(D68-C68+E68-F68))),0)</f>
        <v/>
      </c>
      <c r="Y68" s="247">
        <f>IFERROR(VLOOKUP(B68,Annuaire_roster!B:E,4,0),"-")</f>
        <v/>
      </c>
      <c r="Z68" s="247">
        <f>IFERROR(VLOOKUP(B68,Annuaire_roster!B:F,3,0),"-")</f>
        <v/>
      </c>
      <c r="AA68" s="247">
        <f>IFERROR(VLOOKUP(B68,Annuaire_roster!B:I,6,0),"-")</f>
        <v/>
      </c>
      <c r="AB68" s="248">
        <f>IF(AND(D68="Congé",F68="Congé"),0.333333333333333,IF(OR(AND(D68="Congé",F68&lt;&gt;"Congé"),(AND(F68="Congé",D68&lt;&gt;"Congé"))),0.166666666666667,""))</f>
        <v/>
      </c>
      <c r="AC68" s="248">
        <f>IF(AND(D68="Congé sans solde",F68="Congé sans solde"),0.333333333333333,IF(OR(AND(D68="Congé sans solde",F68&lt;&gt;"Congé sans solde"),(AND(F68="Congé sans solde",D68&lt;&gt;"Congé sans solde"))),0.166666666666667,""))</f>
        <v/>
      </c>
      <c r="AD68" s="248">
        <f>IF(AND(D68="Congé spécial",F68="Congé spécial"),0.333333333333333,IF(OR(AND(D68="Congé spécial",F68&lt;&gt;"Congé décès"),(AND(F68="Congé spécial",D68&lt;&gt;"Congé spécial"))),0.166666666666667,""))</f>
        <v/>
      </c>
      <c r="AE68" s="249">
        <f>IF(AND(D68="Férié",F68="Férié"),0.333333333333333,IF(OR(AND(D68="Férié",F68&lt;&gt;"Férié"),(AND(F68="Férié",D68&lt;&gt;"Férié"))),0.166666666666667,""))</f>
        <v/>
      </c>
      <c r="AF68" s="249" t="n"/>
      <c r="AG68" s="244" t="n"/>
    </row>
    <row r="69" hidden="1" ht="12.75" customHeight="1" s="231">
      <c r="A69" s="232">
        <f>VLOOKUP(B69,Annuaire_roster!B:F,5,0)</f>
        <v/>
      </c>
      <c r="B69" s="233" t="inlineStr">
        <is>
          <t>AIT ADDI KHADIJA</t>
        </is>
      </c>
      <c r="C69" s="234">
        <f>IFERROR(IF(COUNTIFS(Connexions!$K:$K,$Q69,Connexions!$E:$E,VLOOKUP($B69,Mapping_Noms!$A:$B,2,0))=0,"",_xlfn.MINIFS(Connexions!$M:$M,Connexions!$K:$K,$Q69,Connexions!$E:$E,VLOOKUP($B69,Mapping_Noms!$A:$B,2,0))-TIME(1,0,0)),"")</f>
        <v/>
      </c>
      <c r="D69" s="234">
        <f t="array" ref="D69:D69">IFERROR(INDEX(Planning2[],MATCH(1,(Planning2[Nom]=B69)*(Planning2[Date]=Q69),0),3),"-")</f>
        <v/>
      </c>
      <c r="E69" s="235">
        <f>IFERROR(IF(COUNTIFS(Connexions!$K:$K,$Q69,Connexions!$E:$E,VLOOKUP($B69,Mapping_Noms!$A:$B,2,0))=0,"",_xlfn.MAXIFS(Connexions!$O:$O,Connexions!$K:$K,$Q69,Connexions!$E:$E,VLOOKUP($B69,Mapping_Noms!$A:$B,2,0))-TIME(1,0,0)),"")</f>
        <v/>
      </c>
      <c r="F69" s="235">
        <f t="array" ref="F69:F69">IFERROR(INDEX(Planning2[],MATCH(1,(Planning2[Nom]=B69)*(Planning2[Date]=Q69),0),4),"-")</f>
        <v/>
      </c>
      <c r="G69" s="405">
        <f>IFERROR(IF(OR(IFERROR(INDEX('Planning Pauses Dej'!$C:$C,MATCH($B69&amp;"|"&amp;TEXT($Q69,"YYYYMMDD"),'Planning Pauses Dej'!$F:$F,0)),"")="",IFERROR(INDEX('Planning Pauses Dej'!$D:$D,MATCH($B69&amp;"|"&amp;TEXT($Q69,"YYYYMMDD"),'Planning Pauses Dej'!$F:$F,0)),"")=""),"",_xlfn.MAXIFS(Connexions!$Q:$Q,Connexions!$K:$K,$Q69,Connexions!$E:$E,VLOOKUP($B69,Mapping_Noms!$A:$B,2,0),Connexions!$O:$O,"&lt;="&amp;(IFERROR(INDEX('Planning Pauses Dej'!$D:$D,MATCH($B69&amp;"|"&amp;TEXT($Q69,"YYYYMMDD"),'Planning Pauses Dej'!$F:$F,0)),"")+TIME(1,0,0)),Connexions!$P:$P,"&gt;="&amp;(IFERROR(INDEX('Planning Pauses Dej'!$C:$C,MATCH($B69&amp;"|"&amp;TEXT($Q69,"YYYYMMDD"),'Planning Pauses Dej'!$F:$F,0)),"")+TIME(1,0,0)))),"")</f>
        <v/>
      </c>
      <c r="H69" s="405">
        <f>IFERROR(IF(OR($G69="",IFERROR(INDEX('Planning Pauses Dej'!$C:$C,MATCH($B69&amp;"|"&amp;TEXT($Q69,"YYYYMMDD"),'Planning Pauses Dej'!$F:$F,0)),"")="",IFERROR(INDEX('Planning Pauses Dej'!$D:$D,MATCH($B69&amp;"|"&amp;TEXT($Q69,"YYYYMMDD"),'Planning Pauses Dej'!$F:$F,0)),"")=""),"",IF($G69&gt;(IFERROR(INDEX('Planning Pauses Dej'!$D:$D,MATCH($B69&amp;"|"&amp;TEXT($Q69,"YYYYMMDD"),'Planning Pauses Dej'!$F:$F,0)),"")-IFERROR(INDEX('Planning Pauses Dej'!$C:$C,MATCH($B69&amp;"|"&amp;TEXT($Q69,"YYYYMMDD"),'Planning Pauses Dej'!$F:$F,0)),"")),$G69-(IFERROR(INDEX('Planning Pauses Dej'!$D:$D,MATCH($B69&amp;"|"&amp;TEXT($Q69,"YYYYMMDD"),'Planning Pauses Dej'!$F:$F,0)),"")-IFERROR(INDEX('Planning Pauses Dej'!$C:$C,MATCH($B69&amp;"|"&amp;TEXT($Q69,"YYYYMMDD"),'Planning Pauses Dej'!$F:$F,0)),"")),0)),"")</f>
        <v/>
      </c>
      <c r="I69" s="251">
        <f>IF(IF(OR(C69="",D69="Congé",D69="OFF",D69="Congé spécial"),"",IF(D69&gt;F69,D69-C69,IF(C69-D69&lt;0,0,C69-D69)))&lt;0.00068287037037037,"",IF(OR(D69="Congé",D69="OFF",C69="",D69="Congé spécial"),"",IF(D69&gt;F69,D69-C69,IF(C69-D69&lt;0,0,C69-D69))))</f>
        <v/>
      </c>
      <c r="J69" s="405">
        <f>IFERROR(IF($G69="","",IF($G69&gt;TIME(1,0,0),$G69-TIME(1,0,0),0)),"")</f>
        <v/>
      </c>
      <c r="K69" s="238">
        <f>IF(SUM(H69:J69)&lt;0.00068287037037037,0,SUM(H69:J69))</f>
        <v/>
      </c>
      <c r="L69" s="236">
        <f>IF(OR(F69="Congé",F69="OFF",M69="Abs",F69="Congé sans solde",F69="Férié",F69="Congé spécial",D69="Congé spécial"),0,IF(F69-E69&lt;0,0,IF(F69-E69&lt;=0.00068287037037037,0,F69-E69)))</f>
        <v/>
      </c>
      <c r="M69" s="239">
        <f>IF(AND(O69&lt;&gt;0,C69=""),"Abs",0)</f>
        <v/>
      </c>
      <c r="N69" s="240">
        <f>IFERROR(IF(OR(D69="OFF",D69="Congé",M69="Abs",D69="Congé sans solde",D69="Férié"),"",IF(O69-K69-L69&gt;O69,O69,IF(O69-K69-L69&lt;0,"",O69-K69-L69))),"")</f>
        <v/>
      </c>
      <c r="O69" s="241">
        <f>IF(AG69="2H Pause déjeuner",IF(F69-D69-0.0833333333333333&lt;0,F69-D69-0.0833333333333333+1,F69-D69-0.0833333333333333),IF(OR(AND(F69="OFF",D69="OFF"),AND(F69="Congé",D69="Congé"),AND(F69="Congé sans solde",D69="Congé sans solde"),AND(F69="Congé spécial",D69="Congé spécial"),AND(F69="Férié",D69="Férié"),AND(F69="OFF",D69="Congé"),AND(F69="OFF",D69="Congé sans solde"),AND(F69="OFF",D69="Congé spécial"),AND(F69="OFF",D69="Férié"),AND(F69="Congé",D69="OFF"),AND(F69="Congé",D69="Congé sans solde"),AND(F69="Congé",D69="Congé spécial"),AND(F69="Congé",D69="Férié"),AND(F69="Congé sans solde",D69="OFF"),AND(F69="Congé sans solde",D69="Congé"),AND(F69="Congé sans solde",D69="Congé spécial"),AND(F69="Congé sans solde",D69="Férié"),AND(F69="Congé spécial",D69="OFF"),AND(F69="Congé spécial",D69="Congé"),AND(F69="Congé spécial",D69="Congé sans solde"),AND(F69="Congé spécial",D69="Férié"),AND(F69="Férié",D69="OFF"),AND(F69="Férié",D69="Congé"),AND(F69="Férié",D69="Congé sans solde"),AND(F69="Férié",D69="Congé spécial")),0,IF(OR(F69="OFF",F69="Congé",F69="Congé spécial",F69="Congé sans solde",D69="OFF",D69="Congé",D69="Congé spécial",D69="Congé sans solde"),0.208333333333334,IF(AND(AG69="",F69-D69&lt;0),("24:00:00"-D69)+("00:00:00"+F69)-0.0416666666666667,IF(AND(OR(AG69="Allaitement",AG69="Sans déjeuner"),F69-D69&lt;0),("24:00:00"-D69)+("00:00:00"+F69),IF(AND(AG69="",F69-D69&gt;0.166666666666667),F69-D69-0.0416666666666667,IF(AND(OR(AG69="Allaitement",AG69="Sans déjeuner"),F69-D69&gt;0.166666666666667),F69-D69,F69-D69)))))))</f>
        <v/>
      </c>
      <c r="P69" s="242">
        <f>IFERROR(VLOOKUP($B69,Annuaire_roster!$B:$G,MATCH(P$1,Annuaire_roster!$B$1:$G$1,0),0),"-")</f>
        <v/>
      </c>
      <c r="Q69" s="243" t="n">
        <v>44763</v>
      </c>
      <c r="R69" s="244">
        <f>IF(M69="Abs",O69,0)</f>
        <v/>
      </c>
      <c r="S69" s="244">
        <f>SUM(R69,L69,I69,J69,W69,H69)</f>
        <v/>
      </c>
      <c r="T69" s="209">
        <f>"Sem - "&amp;WEEKNUM(Q69,21)</f>
        <v/>
      </c>
      <c r="U69" s="209">
        <f>PROPER(TEXT(Q69,"mmmm"))</f>
        <v/>
      </c>
      <c r="V69" s="245">
        <f>+TEXT(Q69,"aaa")</f>
        <v/>
      </c>
      <c r="W69" s="240" t="n"/>
      <c r="X69" s="246">
        <f>IFERROR(IF(M69="Abs",0,IF((D69-C69+E69-F69)&lt;0.000694444444444444,0,(D69-C69+E69-F69))),0)</f>
        <v/>
      </c>
      <c r="Y69" s="247">
        <f>IFERROR(VLOOKUP(B69,Annuaire_roster!B:E,4,0),"-")</f>
        <v/>
      </c>
      <c r="Z69" s="247">
        <f>IFERROR(VLOOKUP(B69,Annuaire_roster!B:F,3,0),"-")</f>
        <v/>
      </c>
      <c r="AA69" s="247">
        <f>IFERROR(VLOOKUP(B69,Annuaire_roster!B:I,6,0),"-")</f>
        <v/>
      </c>
      <c r="AB69" s="248">
        <f>IF(AND(D69="Congé",F69="Congé"),0.333333333333333,IF(OR(AND(D69="Congé",F69&lt;&gt;"Congé"),(AND(F69="Congé",D69&lt;&gt;"Congé"))),0.166666666666667,""))</f>
        <v/>
      </c>
      <c r="AC69" s="248">
        <f>IF(AND(D69="Congé sans solde",F69="Congé sans solde"),0.333333333333333,IF(OR(AND(D69="Congé sans solde",F69&lt;&gt;"Congé sans solde"),(AND(F69="Congé sans solde",D69&lt;&gt;"Congé sans solde"))),0.166666666666667,""))</f>
        <v/>
      </c>
      <c r="AD69" s="248">
        <f>IF(AND(D69="Congé spécial",F69="Congé spécial"),0.333333333333333,IF(OR(AND(D69="Congé spécial",F69&lt;&gt;"Congé décès"),(AND(F69="Congé spécial",D69&lt;&gt;"Congé spécial"))),0.166666666666667,""))</f>
        <v/>
      </c>
      <c r="AE69" s="249">
        <f>IF(AND(D69="Férié",F69="Férié"),0.333333333333333,IF(OR(AND(D69="Férié",F69&lt;&gt;"Férié"),(AND(F69="Férié",D69&lt;&gt;"Férié"))),0.166666666666667,""))</f>
        <v/>
      </c>
      <c r="AF69" s="249" t="n"/>
      <c r="AG69" s="244" t="n"/>
    </row>
    <row r="70" hidden="1" ht="12.75" customFormat="1" customHeight="1" s="250">
      <c r="A70" s="232">
        <f>VLOOKUP(B70,Annuaire_roster!B:F,5,0)</f>
        <v/>
      </c>
      <c r="B70" s="233" t="inlineStr">
        <is>
          <t>EL HARROUCHI CHAIMAE</t>
        </is>
      </c>
      <c r="C70" s="234">
        <f>IFERROR(IF(COUNTIFS(Connexions!$K:$K,$Q70,Connexions!$E:$E,VLOOKUP($B70,Mapping_Noms!$A:$B,2,0))=0,"",_xlfn.MINIFS(Connexions!$M:$M,Connexions!$K:$K,$Q70,Connexions!$E:$E,VLOOKUP($B70,Mapping_Noms!$A:$B,2,0))-TIME(1,0,0)),"")</f>
        <v/>
      </c>
      <c r="D70" s="234">
        <f t="array" ref="D70:D70">IFERROR(INDEX(Planning2[],MATCH(1,(Planning2[Nom]=B70)*(Planning2[Date]=Q70),0),3),"-")</f>
        <v/>
      </c>
      <c r="E70" s="235">
        <f>IFERROR(IF(COUNTIFS(Connexions!$K:$K,$Q70,Connexions!$E:$E,VLOOKUP($B70,Mapping_Noms!$A:$B,2,0))=0,"",_xlfn.MAXIFS(Connexions!$O:$O,Connexions!$K:$K,$Q70,Connexions!$E:$E,VLOOKUP($B70,Mapping_Noms!$A:$B,2,0))-TIME(1,0,0)),"")</f>
        <v/>
      </c>
      <c r="F70" s="235">
        <f t="array" ref="F70:F70">IFERROR(INDEX(Planning2[],MATCH(1,(Planning2[Nom]=B70)*(Planning2[Date]=Q70),0),4),"-")</f>
        <v/>
      </c>
      <c r="G70" s="405">
        <f>IFERROR(IF(OR(IFERROR(INDEX('Planning Pauses Dej'!$C:$C,MATCH($B70&amp;"|"&amp;TEXT($Q70,"YYYYMMDD"),'Planning Pauses Dej'!$F:$F,0)),"")="",IFERROR(INDEX('Planning Pauses Dej'!$D:$D,MATCH($B70&amp;"|"&amp;TEXT($Q70,"YYYYMMDD"),'Planning Pauses Dej'!$F:$F,0)),"")=""),"",_xlfn.MAXIFS(Connexions!$Q:$Q,Connexions!$K:$K,$Q70,Connexions!$E:$E,VLOOKUP($B70,Mapping_Noms!$A:$B,2,0),Connexions!$O:$O,"&lt;="&amp;(IFERROR(INDEX('Planning Pauses Dej'!$D:$D,MATCH($B70&amp;"|"&amp;TEXT($Q70,"YYYYMMDD"),'Planning Pauses Dej'!$F:$F,0)),"")+TIME(1,0,0)),Connexions!$P:$P,"&gt;="&amp;(IFERROR(INDEX('Planning Pauses Dej'!$C:$C,MATCH($B70&amp;"|"&amp;TEXT($Q70,"YYYYMMDD"),'Planning Pauses Dej'!$F:$F,0)),"")+TIME(1,0,0)))),"")</f>
        <v/>
      </c>
      <c r="H70" s="405">
        <f>IFERROR(IF(OR($G70="",IFERROR(INDEX('Planning Pauses Dej'!$C:$C,MATCH($B70&amp;"|"&amp;TEXT($Q70,"YYYYMMDD"),'Planning Pauses Dej'!$F:$F,0)),"")="",IFERROR(INDEX('Planning Pauses Dej'!$D:$D,MATCH($B70&amp;"|"&amp;TEXT($Q70,"YYYYMMDD"),'Planning Pauses Dej'!$F:$F,0)),"")=""),"",IF($G70&gt;(IFERROR(INDEX('Planning Pauses Dej'!$D:$D,MATCH($B70&amp;"|"&amp;TEXT($Q70,"YYYYMMDD"),'Planning Pauses Dej'!$F:$F,0)),"")-IFERROR(INDEX('Planning Pauses Dej'!$C:$C,MATCH($B70&amp;"|"&amp;TEXT($Q70,"YYYYMMDD"),'Planning Pauses Dej'!$F:$F,0)),"")),$G70-(IFERROR(INDEX('Planning Pauses Dej'!$D:$D,MATCH($B70&amp;"|"&amp;TEXT($Q70,"YYYYMMDD"),'Planning Pauses Dej'!$F:$F,0)),"")-IFERROR(INDEX('Planning Pauses Dej'!$C:$C,MATCH($B70&amp;"|"&amp;TEXT($Q70,"YYYYMMDD"),'Planning Pauses Dej'!$F:$F,0)),"")),0)),"")</f>
        <v/>
      </c>
      <c r="I70" s="251">
        <f>IF(IF(OR(C70="",D70="Congé",D70="OFF",D70="Congé spécial"),"",IF(D70&gt;F70,D70-C70,IF(C70-D70&lt;0,0,C70-D70)))&lt;0.00068287037037037,"",IF(OR(D70="Congé",D70="OFF",C70="",D70="Congé spécial"),"",IF(D70&gt;F70,D70-C70,IF(C70-D70&lt;0,0,C70-D70))))</f>
        <v/>
      </c>
      <c r="J70" s="405">
        <f>IFERROR(IF($G70="","",IF($G70&gt;TIME(1,0,0),$G70-TIME(1,0,0),0)),"")</f>
        <v/>
      </c>
      <c r="K70" s="238">
        <f>IF(SUM(H70:J70)&lt;0.00068287037037037,0,SUM(H70:J70))</f>
        <v/>
      </c>
      <c r="L70" s="236">
        <f>IF(OR(F70="Congé",F70="OFF",M70="Abs",F70="Congé sans solde",F70="Férié",F70="Congé spécial",D70="Congé spécial"),0,IF(F70-E70&lt;0,0,IF(F70-E70&lt;=0.00068287037037037,0,F70-E70)))</f>
        <v/>
      </c>
      <c r="M70" s="239">
        <f>IF(AND(O70&lt;&gt;0,C70=""),"Abs",0)</f>
        <v/>
      </c>
      <c r="N70" s="240">
        <f>IFERROR(IF(OR(D70="OFF",D70="Congé",M70="Abs",D70="Congé sans solde",D70="Férié"),"",IF(O70-K70-L70&gt;O70,O70,IF(O70-K70-L70&lt;0,"",O70-K70-L70))),"")</f>
        <v/>
      </c>
      <c r="O70" s="241">
        <f>IF(AG70="2H Pause déjeuner",IF(F70-D70-0.0833333333333333&lt;0,F70-D70-0.0833333333333333+1,F70-D70-0.0833333333333333),IF(OR(AND(F70="OFF",D70="OFF"),AND(F70="Congé",D70="Congé"),AND(F70="Congé sans solde",D70="Congé sans solde"),AND(F70="Congé spécial",D70="Congé spécial"),AND(F70="Férié",D70="Férié"),AND(F70="OFF",D70="Congé"),AND(F70="OFF",D70="Congé sans solde"),AND(F70="OFF",D70="Congé spécial"),AND(F70="OFF",D70="Férié"),AND(F70="Congé",D70="OFF"),AND(F70="Congé",D70="Congé sans solde"),AND(F70="Congé",D70="Congé spécial"),AND(F70="Congé",D70="Férié"),AND(F70="Congé sans solde",D70="OFF"),AND(F70="Congé sans solde",D70="Congé"),AND(F70="Congé sans solde",D70="Congé spécial"),AND(F70="Congé sans solde",D70="Férié"),AND(F70="Congé spécial",D70="OFF"),AND(F70="Congé spécial",D70="Congé"),AND(F70="Congé spécial",D70="Congé sans solde"),AND(F70="Congé spécial",D70="Férié"),AND(F70="Férié",D70="OFF"),AND(F70="Férié",D70="Congé"),AND(F70="Férié",D70="Congé sans solde"),AND(F70="Férié",D70="Congé spécial")),0,IF(OR(F70="OFF",F70="Congé",F70="Congé spécial",F70="Congé sans solde",D70="OFF",D70="Congé",D70="Congé spécial",D70="Congé sans solde"),0.208333333333334,IF(AND(AG70="",F70-D70&lt;0),("24:00:00"-D70)+("00:00:00"+F70)-0.0416666666666667,IF(AND(OR(AG70="Allaitement",AG70="Sans déjeuner"),F70-D70&lt;0),("24:00:00"-D70)+("00:00:00"+F70),IF(AND(AG70="",F70-D70&gt;0.166666666666667),F70-D70-0.0416666666666667,IF(AND(OR(AG70="Allaitement",AG70="Sans déjeuner"),F70-D70&gt;0.166666666666667),F70-D70,F70-D70)))))))</f>
        <v/>
      </c>
      <c r="P70" s="242">
        <f>IFERROR(VLOOKUP($B70,Annuaire_roster!$B:$G,MATCH(P$1,Annuaire_roster!$B$1:$G$1,0),0),"-")</f>
        <v/>
      </c>
      <c r="Q70" s="243" t="n">
        <v>44763</v>
      </c>
      <c r="R70" s="244">
        <f>IF(M70="Abs",O70,0)</f>
        <v/>
      </c>
      <c r="S70" s="244">
        <f>SUM(R70,L70,I70,J70,W70,H70)</f>
        <v/>
      </c>
      <c r="T70" s="209">
        <f>"Sem - "&amp;WEEKNUM(Q70,21)</f>
        <v/>
      </c>
      <c r="U70" s="209">
        <f>PROPER(TEXT(Q70,"mmmm"))</f>
        <v/>
      </c>
      <c r="V70" s="245">
        <f>+TEXT(Q70,"aaa")</f>
        <v/>
      </c>
      <c r="W70" s="240" t="n"/>
      <c r="X70" s="246">
        <f>IFERROR(IF(M70="Abs",0,IF((D70-C70+E70-F70)&lt;0.000694444444444444,0,(D70-C70+E70-F70))),0)</f>
        <v/>
      </c>
      <c r="Y70" s="247">
        <f>IFERROR(VLOOKUP(B70,Annuaire_roster!B:E,4,0),"-")</f>
        <v/>
      </c>
      <c r="Z70" s="247">
        <f>IFERROR(VLOOKUP(B70,Annuaire_roster!B:F,3,0),"-")</f>
        <v/>
      </c>
      <c r="AA70" s="247">
        <f>IFERROR(VLOOKUP(B70,Annuaire_roster!B:I,6,0),"-")</f>
        <v/>
      </c>
      <c r="AB70" s="248">
        <f>IF(AND(D70="Congé",F70="Congé"),0.333333333333333,IF(OR(AND(D70="Congé",F70&lt;&gt;"Congé"),(AND(F70="Congé",D70&lt;&gt;"Congé"))),0.166666666666667,""))</f>
        <v/>
      </c>
      <c r="AC70" s="248">
        <f>IF(AND(D70="Congé sans solde",F70="Congé sans solde"),0.333333333333333,IF(OR(AND(D70="Congé sans solde",F70&lt;&gt;"Congé sans solde"),(AND(F70="Congé sans solde",D70&lt;&gt;"Congé sans solde"))),0.166666666666667,""))</f>
        <v/>
      </c>
      <c r="AD70" s="248">
        <f>IF(AND(D70="Congé spécial",F70="Congé spécial"),0.333333333333333,IF(OR(AND(D70="Congé spécial",F70&lt;&gt;"Congé décès"),(AND(F70="Congé spécial",D70&lt;&gt;"Congé spécial"))),0.166666666666667,""))</f>
        <v/>
      </c>
      <c r="AE70" s="249">
        <f>IF(AND(D70="Férié",F70="Férié"),0.333333333333333,IF(OR(AND(D70="Férié",F70&lt;&gt;"Férié"),(AND(F70="Férié",D70&lt;&gt;"Férié"))),0.166666666666667,""))</f>
        <v/>
      </c>
      <c r="AF70" s="249" t="n"/>
      <c r="AG70" s="244" t="n"/>
    </row>
    <row r="71" hidden="1" ht="12.75" customHeight="1" s="231">
      <c r="A71" s="232">
        <f>VLOOKUP(B71,Annuaire_roster!B:F,5,0)</f>
        <v/>
      </c>
      <c r="B71" s="233" t="inlineStr">
        <is>
          <t>DIOUF OUSSMANE</t>
        </is>
      </c>
      <c r="C71" s="234">
        <f>IFERROR(IF(COUNTIFS(Connexions!$K:$K,$Q71,Connexions!$E:$E,VLOOKUP($B71,Mapping_Noms!$A:$B,2,0))=0,"",_xlfn.MINIFS(Connexions!$M:$M,Connexions!$K:$K,$Q71,Connexions!$E:$E,VLOOKUP($B71,Mapping_Noms!$A:$B,2,0))-TIME(1,0,0)),"")</f>
        <v/>
      </c>
      <c r="D71" s="234">
        <f t="array" ref="D71:D71">IFERROR(INDEX(Planning2[],MATCH(1,(Planning2[Nom]=B71)*(Planning2[Date]=Q71),0),3),"-")</f>
        <v/>
      </c>
      <c r="E71" s="235">
        <f>IFERROR(IF(COUNTIFS(Connexions!$K:$K,$Q71,Connexions!$E:$E,VLOOKUP($B71,Mapping_Noms!$A:$B,2,0))=0,"",_xlfn.MAXIFS(Connexions!$O:$O,Connexions!$K:$K,$Q71,Connexions!$E:$E,VLOOKUP($B71,Mapping_Noms!$A:$B,2,0))-TIME(1,0,0)),"")</f>
        <v/>
      </c>
      <c r="F71" s="235">
        <f t="array" ref="F71:F71">IFERROR(INDEX(Planning2[],MATCH(1,(Planning2[Nom]=B71)*(Planning2[Date]=Q71),0),4),"-")</f>
        <v/>
      </c>
      <c r="G71" s="405">
        <f>IFERROR(IF(OR(IFERROR(INDEX('Planning Pauses Dej'!$C:$C,MATCH($B71&amp;"|"&amp;TEXT($Q71,"YYYYMMDD"),'Planning Pauses Dej'!$F:$F,0)),"")="",IFERROR(INDEX('Planning Pauses Dej'!$D:$D,MATCH($B71&amp;"|"&amp;TEXT($Q71,"YYYYMMDD"),'Planning Pauses Dej'!$F:$F,0)),"")=""),"",_xlfn.MAXIFS(Connexions!$Q:$Q,Connexions!$K:$K,$Q71,Connexions!$E:$E,VLOOKUP($B71,Mapping_Noms!$A:$B,2,0),Connexions!$O:$O,"&lt;="&amp;(IFERROR(INDEX('Planning Pauses Dej'!$D:$D,MATCH($B71&amp;"|"&amp;TEXT($Q71,"YYYYMMDD"),'Planning Pauses Dej'!$F:$F,0)),"")+TIME(1,0,0)),Connexions!$P:$P,"&gt;="&amp;(IFERROR(INDEX('Planning Pauses Dej'!$C:$C,MATCH($B71&amp;"|"&amp;TEXT($Q71,"YYYYMMDD"),'Planning Pauses Dej'!$F:$F,0)),"")+TIME(1,0,0)))),"")</f>
        <v/>
      </c>
      <c r="H71" s="405">
        <f>IFERROR(IF(OR($G71="",IFERROR(INDEX('Planning Pauses Dej'!$C:$C,MATCH($B71&amp;"|"&amp;TEXT($Q71,"YYYYMMDD"),'Planning Pauses Dej'!$F:$F,0)),"")="",IFERROR(INDEX('Planning Pauses Dej'!$D:$D,MATCH($B71&amp;"|"&amp;TEXT($Q71,"YYYYMMDD"),'Planning Pauses Dej'!$F:$F,0)),"")=""),"",IF($G71&gt;(IFERROR(INDEX('Planning Pauses Dej'!$D:$D,MATCH($B71&amp;"|"&amp;TEXT($Q71,"YYYYMMDD"),'Planning Pauses Dej'!$F:$F,0)),"")-IFERROR(INDEX('Planning Pauses Dej'!$C:$C,MATCH($B71&amp;"|"&amp;TEXT($Q71,"YYYYMMDD"),'Planning Pauses Dej'!$F:$F,0)),"")),$G71-(IFERROR(INDEX('Planning Pauses Dej'!$D:$D,MATCH($B71&amp;"|"&amp;TEXT($Q71,"YYYYMMDD"),'Planning Pauses Dej'!$F:$F,0)),"")-IFERROR(INDEX('Planning Pauses Dej'!$C:$C,MATCH($B71&amp;"|"&amp;TEXT($Q71,"YYYYMMDD"),'Planning Pauses Dej'!$F:$F,0)),"")),0)),"")</f>
        <v/>
      </c>
      <c r="I71" s="251">
        <f>IF(IF(OR(C71="",D71="Congé",D71="OFF",D71="Congé spécial"),"",IF(D71&gt;F71,D71-C71,IF(C71-D71&lt;0,0,C71-D71)))&lt;0.00068287037037037,"",IF(OR(D71="Congé",D71="OFF",C71="",D71="Congé spécial"),"",IF(D71&gt;F71,D71-C71,IF(C71-D71&lt;0,0,C71-D71))))</f>
        <v/>
      </c>
      <c r="J71" s="405">
        <f>IFERROR(IF($G71="","",IF($G71&gt;TIME(1,0,0),$G71-TIME(1,0,0),0)),"")</f>
        <v/>
      </c>
      <c r="K71" s="238">
        <f>IF(SUM(H71:J71)&lt;0.00068287037037037,0,SUM(H71:J71))</f>
        <v/>
      </c>
      <c r="L71" s="236">
        <f>IF(OR(F71="Congé",F71="OFF",M71="Abs",F71="Congé sans solde",F71="Férié",F71="Congé spécial",D71="Congé spécial"),0,IF(F71-E71&lt;0,0,IF(F71-E71&lt;=0.00068287037037037,0,F71-E71)))</f>
        <v/>
      </c>
      <c r="M71" s="239">
        <f>IF(AND(O71&lt;&gt;0,C71=""),"Abs",0)</f>
        <v/>
      </c>
      <c r="N71" s="240">
        <f>IFERROR(IF(OR(D71="OFF",D71="Congé",M71="Abs",D71="Congé sans solde",D71="Férié"),"",IF(O71-K71-L71&gt;O71,O71,IF(O71-K71-L71&lt;0,"",O71-K71-L71))),"")</f>
        <v/>
      </c>
      <c r="O71" s="241">
        <f>IF(AG71="2H Pause déjeuner",IF(F71-D71-0.0833333333333333&lt;0,F71-D71-0.0833333333333333+1,F71-D71-0.0833333333333333),IF(OR(AND(F71="OFF",D71="OFF"),AND(F71="Congé",D71="Congé"),AND(F71="Congé sans solde",D71="Congé sans solde"),AND(F71="Congé spécial",D71="Congé spécial"),AND(F71="Férié",D71="Férié"),AND(F71="OFF",D71="Congé"),AND(F71="OFF",D71="Congé sans solde"),AND(F71="OFF",D71="Congé spécial"),AND(F71="OFF",D71="Férié"),AND(F71="Congé",D71="OFF"),AND(F71="Congé",D71="Congé sans solde"),AND(F71="Congé",D71="Congé spécial"),AND(F71="Congé",D71="Férié"),AND(F71="Congé sans solde",D71="OFF"),AND(F71="Congé sans solde",D71="Congé"),AND(F71="Congé sans solde",D71="Congé spécial"),AND(F71="Congé sans solde",D71="Férié"),AND(F71="Congé spécial",D71="OFF"),AND(F71="Congé spécial",D71="Congé"),AND(F71="Congé spécial",D71="Congé sans solde"),AND(F71="Congé spécial",D71="Férié"),AND(F71="Férié",D71="OFF"),AND(F71="Férié",D71="Congé"),AND(F71="Férié",D71="Congé sans solde"),AND(F71="Férié",D71="Congé spécial")),0,IF(OR(F71="OFF",F71="Congé",F71="Congé spécial",F71="Congé sans solde",D71="OFF",D71="Congé",D71="Congé spécial",D71="Congé sans solde"),0.208333333333334,IF(AND(AG71="",F71-D71&lt;0),("24:00:00"-D71)+("00:00:00"+F71)-0.0416666666666667,IF(AND(OR(AG71="Allaitement",AG71="Sans déjeuner"),F71-D71&lt;0),("24:00:00"-D71)+("00:00:00"+F71),IF(AND(AG71="",F71-D71&gt;0.166666666666667),F71-D71-0.0416666666666667,IF(AND(OR(AG71="Allaitement",AG71="Sans déjeuner"),F71-D71&gt;0.166666666666667),F71-D71,F71-D71)))))))</f>
        <v/>
      </c>
      <c r="P71" s="242">
        <f>IFERROR(VLOOKUP($B71,Annuaire_roster!$B:$G,MATCH(P$1,Annuaire_roster!$B$1:$G$1,0),0),"-")</f>
        <v/>
      </c>
      <c r="Q71" s="243" t="n">
        <v>44763</v>
      </c>
      <c r="R71" s="244">
        <f>IF(M71="Abs",O71,0)</f>
        <v/>
      </c>
      <c r="S71" s="244">
        <f>SUM(R71,L71,I71,J71,W71,H71)</f>
        <v/>
      </c>
      <c r="T71" s="209">
        <f>"Sem - "&amp;WEEKNUM(Q71,21)</f>
        <v/>
      </c>
      <c r="U71" s="209">
        <f>PROPER(TEXT(Q71,"mmmm"))</f>
        <v/>
      </c>
      <c r="V71" s="245">
        <f>+TEXT(Q71,"aaa")</f>
        <v/>
      </c>
      <c r="W71" s="240" t="n"/>
      <c r="X71" s="246">
        <f>IFERROR(IF(M71="Abs",0,IF((D71-C71+E71-F71)&lt;0.000694444444444444,0,(D71-C71+E71-F71))),0)</f>
        <v/>
      </c>
      <c r="Y71" s="247">
        <f>IFERROR(VLOOKUP(B71,Annuaire_roster!B:E,4,0),"-")</f>
        <v/>
      </c>
      <c r="Z71" s="247">
        <f>IFERROR(VLOOKUP(B71,Annuaire_roster!B:F,3,0),"-")</f>
        <v/>
      </c>
      <c r="AA71" s="247">
        <f>IFERROR(VLOOKUP(B71,Annuaire_roster!B:I,6,0),"-")</f>
        <v/>
      </c>
      <c r="AB71" s="248">
        <f>IF(AND(D71="Congé",F71="Congé"),0.333333333333333,IF(OR(AND(D71="Congé",F71&lt;&gt;"Congé"),(AND(F71="Congé",D71&lt;&gt;"Congé"))),0.166666666666667,""))</f>
        <v/>
      </c>
      <c r="AC71" s="248">
        <f>IF(AND(D71="Congé sans solde",F71="Congé sans solde"),0.333333333333333,IF(OR(AND(D71="Congé sans solde",F71&lt;&gt;"Congé sans solde"),(AND(F71="Congé sans solde",D71&lt;&gt;"Congé sans solde"))),0.166666666666667,""))</f>
        <v/>
      </c>
      <c r="AD71" s="248">
        <f>IF(AND(D71="Congé spécial",F71="Congé spécial"),0.333333333333333,IF(OR(AND(D71="Congé spécial",F71&lt;&gt;"Congé décès"),(AND(F71="Congé spécial",D71&lt;&gt;"Congé spécial"))),0.166666666666667,""))</f>
        <v/>
      </c>
      <c r="AE71" s="249">
        <f>IF(AND(D71="Férié",F71="Férié"),0.333333333333333,IF(OR(AND(D71="Férié",F71&lt;&gt;"Férié"),(AND(F71="Férié",D71&lt;&gt;"Férié"))),0.166666666666667,""))</f>
        <v/>
      </c>
      <c r="AF71" s="249" t="n"/>
      <c r="AG71" s="244" t="n"/>
    </row>
    <row r="72" hidden="1" ht="12.75" customHeight="1" s="231">
      <c r="A72" s="232">
        <f>VLOOKUP(B72,Annuaire_roster!B:F,5,0)</f>
        <v/>
      </c>
      <c r="B72" s="233" t="inlineStr">
        <is>
          <t>RACHAD NAWAR</t>
        </is>
      </c>
      <c r="C72" s="234">
        <f>IFERROR(IF(COUNTIFS(Connexions!$K:$K,$Q72,Connexions!$E:$E,VLOOKUP($B72,Mapping_Noms!$A:$B,2,0))=0,"",_xlfn.MINIFS(Connexions!$M:$M,Connexions!$K:$K,$Q72,Connexions!$E:$E,VLOOKUP($B72,Mapping_Noms!$A:$B,2,0))-TIME(1,0,0)),"")</f>
        <v/>
      </c>
      <c r="D72" s="234">
        <f t="array" ref="D72:D72">IFERROR(INDEX(Planning2[],MATCH(1,(Planning2[Nom]=B72)*(Planning2[Date]=Q72),0),3),"-")</f>
        <v/>
      </c>
      <c r="E72" s="235">
        <f>IFERROR(IF(COUNTIFS(Connexions!$K:$K,$Q72,Connexions!$E:$E,VLOOKUP($B72,Mapping_Noms!$A:$B,2,0))=0,"",_xlfn.MAXIFS(Connexions!$O:$O,Connexions!$K:$K,$Q72,Connexions!$E:$E,VLOOKUP($B72,Mapping_Noms!$A:$B,2,0))-TIME(1,0,0)),"")</f>
        <v/>
      </c>
      <c r="F72" s="235">
        <f t="array" ref="F72:F72">IFERROR(INDEX(Planning2[],MATCH(1,(Planning2[Nom]=B72)*(Planning2[Date]=Q72),0),4),"-")</f>
        <v/>
      </c>
      <c r="G72" s="405">
        <f>IFERROR(IF(OR(IFERROR(INDEX('Planning Pauses Dej'!$C:$C,MATCH($B72&amp;"|"&amp;TEXT($Q72,"YYYYMMDD"),'Planning Pauses Dej'!$F:$F,0)),"")="",IFERROR(INDEX('Planning Pauses Dej'!$D:$D,MATCH($B72&amp;"|"&amp;TEXT($Q72,"YYYYMMDD"),'Planning Pauses Dej'!$F:$F,0)),"")=""),"",_xlfn.MAXIFS(Connexions!$Q:$Q,Connexions!$K:$K,$Q72,Connexions!$E:$E,VLOOKUP($B72,Mapping_Noms!$A:$B,2,0),Connexions!$O:$O,"&lt;="&amp;(IFERROR(INDEX('Planning Pauses Dej'!$D:$D,MATCH($B72&amp;"|"&amp;TEXT($Q72,"YYYYMMDD"),'Planning Pauses Dej'!$F:$F,0)),"")+TIME(1,0,0)),Connexions!$P:$P,"&gt;="&amp;(IFERROR(INDEX('Planning Pauses Dej'!$C:$C,MATCH($B72&amp;"|"&amp;TEXT($Q72,"YYYYMMDD"),'Planning Pauses Dej'!$F:$F,0)),"")+TIME(1,0,0)))),"")</f>
        <v/>
      </c>
      <c r="H72" s="405">
        <f>IFERROR(IF(OR($G72="",IFERROR(INDEX('Planning Pauses Dej'!$C:$C,MATCH($B72&amp;"|"&amp;TEXT($Q72,"YYYYMMDD"),'Planning Pauses Dej'!$F:$F,0)),"")="",IFERROR(INDEX('Planning Pauses Dej'!$D:$D,MATCH($B72&amp;"|"&amp;TEXT($Q72,"YYYYMMDD"),'Planning Pauses Dej'!$F:$F,0)),"")=""),"",IF($G72&gt;(IFERROR(INDEX('Planning Pauses Dej'!$D:$D,MATCH($B72&amp;"|"&amp;TEXT($Q72,"YYYYMMDD"),'Planning Pauses Dej'!$F:$F,0)),"")-IFERROR(INDEX('Planning Pauses Dej'!$C:$C,MATCH($B72&amp;"|"&amp;TEXT($Q72,"YYYYMMDD"),'Planning Pauses Dej'!$F:$F,0)),"")),$G72-(IFERROR(INDEX('Planning Pauses Dej'!$D:$D,MATCH($B72&amp;"|"&amp;TEXT($Q72,"YYYYMMDD"),'Planning Pauses Dej'!$F:$F,0)),"")-IFERROR(INDEX('Planning Pauses Dej'!$C:$C,MATCH($B72&amp;"|"&amp;TEXT($Q72,"YYYYMMDD"),'Planning Pauses Dej'!$F:$F,0)),"")),0)),"")</f>
        <v/>
      </c>
      <c r="I72" s="251">
        <f>IF(IF(OR(C72="",D72="Congé",D72="OFF",D72="Congé spécial"),"",IF(D72&gt;F72,D72-C72,IF(C72-D72&lt;0,0,C72-D72)))&lt;0.00068287037037037,"",IF(OR(D72="Congé",D72="OFF",C72="",D72="Congé spécial"),"",IF(D72&gt;F72,D72-C72,IF(C72-D72&lt;0,0,C72-D72))))</f>
        <v/>
      </c>
      <c r="J72" s="405">
        <f>IFERROR(IF($G72="","",IF($G72&gt;TIME(1,0,0),$G72-TIME(1,0,0),0)),"")</f>
        <v/>
      </c>
      <c r="K72" s="238">
        <f>IF(SUM(H72:J72)&lt;0.00068287037037037,0,SUM(H72:J72))</f>
        <v/>
      </c>
      <c r="L72" s="236">
        <f>IF(OR(F72="Congé",F72="OFF",M72="Abs",F72="Congé sans solde",F72="Férié",F72="Congé spécial",D72="Congé spécial"),0,IF(F72-E72&lt;0,0,IF(F72-E72&lt;=0.00068287037037037,0,F72-E72)))</f>
        <v/>
      </c>
      <c r="M72" s="239">
        <f>IF(AND(O72&lt;&gt;0,C72=""),"Abs",0)</f>
        <v/>
      </c>
      <c r="N72" s="240">
        <f>IFERROR(IF(OR(D72="OFF",D72="Congé",M72="Abs",D72="Congé sans solde",D72="Férié"),"",IF(O72-K72-L72&gt;O72,O72,IF(O72-K72-L72&lt;0,"",O72-K72-L72))),"")</f>
        <v/>
      </c>
      <c r="O72" s="241">
        <f>IF(AG72="2H Pause déjeuner",IF(F72-D72-0.0833333333333333&lt;0,F72-D72-0.0833333333333333+1,F72-D72-0.0833333333333333),IF(OR(AND(F72="OFF",D72="OFF"),AND(F72="Congé",D72="Congé"),AND(F72="Congé sans solde",D72="Congé sans solde"),AND(F72="Congé spécial",D72="Congé spécial"),AND(F72="Férié",D72="Férié"),AND(F72="OFF",D72="Congé"),AND(F72="OFF",D72="Congé sans solde"),AND(F72="OFF",D72="Congé spécial"),AND(F72="OFF",D72="Férié"),AND(F72="Congé",D72="OFF"),AND(F72="Congé",D72="Congé sans solde"),AND(F72="Congé",D72="Congé spécial"),AND(F72="Congé",D72="Férié"),AND(F72="Congé sans solde",D72="OFF"),AND(F72="Congé sans solde",D72="Congé"),AND(F72="Congé sans solde",D72="Congé spécial"),AND(F72="Congé sans solde",D72="Férié"),AND(F72="Congé spécial",D72="OFF"),AND(F72="Congé spécial",D72="Congé"),AND(F72="Congé spécial",D72="Congé sans solde"),AND(F72="Congé spécial",D72="Férié"),AND(F72="Férié",D72="OFF"),AND(F72="Férié",D72="Congé"),AND(F72="Férié",D72="Congé sans solde"),AND(F72="Férié",D72="Congé spécial")),0,IF(OR(F72="OFF",F72="Congé",F72="Congé spécial",F72="Congé sans solde",D72="OFF",D72="Congé",D72="Congé spécial",D72="Congé sans solde"),0.208333333333334,IF(AND(AG72="",F72-D72&lt;0),("24:00:00"-D72)+("00:00:00"+F72)-0.0416666666666667,IF(AND(OR(AG72="Allaitement",AG72="Sans déjeuner"),F72-D72&lt;0),("24:00:00"-D72)+("00:00:00"+F72),IF(AND(AG72="",F72-D72&gt;0.166666666666667),F72-D72-0.0416666666666667,IF(AND(OR(AG72="Allaitement",AG72="Sans déjeuner"),F72-D72&gt;0.166666666666667),F72-D72,F72-D72)))))))</f>
        <v/>
      </c>
      <c r="P72" s="242">
        <f>IFERROR(VLOOKUP($B72,Annuaire_roster!$B:$G,MATCH(P$1,Annuaire_roster!$B$1:$G$1,0),0),"-")</f>
        <v/>
      </c>
      <c r="Q72" s="243" t="n">
        <v>44763</v>
      </c>
      <c r="R72" s="244">
        <f>IF(M72="Abs",O72,0)</f>
        <v/>
      </c>
      <c r="S72" s="244">
        <f>SUM(R72,L72,I72,J72,W72,H72)</f>
        <v/>
      </c>
      <c r="T72" s="209">
        <f>"Sem - "&amp;WEEKNUM(Q72,21)</f>
        <v/>
      </c>
      <c r="U72" s="209">
        <f>PROPER(TEXT(Q72,"mmmm"))</f>
        <v/>
      </c>
      <c r="V72" s="245">
        <f>+TEXT(Q72,"aaa")</f>
        <v/>
      </c>
      <c r="W72" s="240" t="n"/>
      <c r="X72" s="246">
        <f>IFERROR(IF(M72="Abs",0,IF((D72-C72+E72-F72)&lt;0.000694444444444444,0,(D72-C72+E72-F72))),0)</f>
        <v/>
      </c>
      <c r="Y72" s="247">
        <f>IFERROR(VLOOKUP(B72,Annuaire_roster!B:E,4,0),"-")</f>
        <v/>
      </c>
      <c r="Z72" s="247">
        <f>IFERROR(VLOOKUP(B72,Annuaire_roster!B:F,3,0),"-")</f>
        <v/>
      </c>
      <c r="AA72" s="247">
        <f>IFERROR(VLOOKUP(B72,Annuaire_roster!B:I,6,0),"-")</f>
        <v/>
      </c>
      <c r="AB72" s="248">
        <f>IF(AND(D72="Congé",F72="Congé"),0.333333333333333,IF(OR(AND(D72="Congé",F72&lt;&gt;"Congé"),(AND(F72="Congé",D72&lt;&gt;"Congé"))),0.166666666666667,""))</f>
        <v/>
      </c>
      <c r="AC72" s="248">
        <f>IF(AND(D72="Congé sans solde",F72="Congé sans solde"),0.333333333333333,IF(OR(AND(D72="Congé sans solde",F72&lt;&gt;"Congé sans solde"),(AND(F72="Congé sans solde",D72&lt;&gt;"Congé sans solde"))),0.166666666666667,""))</f>
        <v/>
      </c>
      <c r="AD72" s="248">
        <f>IF(AND(D72="Congé spécial",F72="Congé spécial"),0.333333333333333,IF(OR(AND(D72="Congé spécial",F72&lt;&gt;"Congé décès"),(AND(F72="Congé spécial",D72&lt;&gt;"Congé spécial"))),0.166666666666667,""))</f>
        <v/>
      </c>
      <c r="AE72" s="249">
        <f>IF(AND(D72="Férié",F72="Férié"),0.333333333333333,IF(OR(AND(D72="Férié",F72&lt;&gt;"Férié"),(AND(F72="Férié",D72&lt;&gt;"Férié"))),0.166666666666667,""))</f>
        <v/>
      </c>
      <c r="AF72" s="259" t="n"/>
      <c r="AG72" s="244" t="n"/>
    </row>
    <row r="73" hidden="1" ht="12.75" customHeight="1" s="231">
      <c r="A73" s="253">
        <f>VLOOKUP(B73,Annuaire_roster!B:F,5,0)</f>
        <v/>
      </c>
      <c r="B73" s="233" t="inlineStr">
        <is>
          <t>ZIOUI DOUNIA</t>
        </is>
      </c>
      <c r="C73" s="234">
        <f>IFERROR(IF(COUNTIFS(Connexions!$K:$K,$Q73,Connexions!$E:$E,VLOOKUP($B73,Mapping_Noms!$A:$B,2,0))=0,"",_xlfn.MINIFS(Connexions!$M:$M,Connexions!$K:$K,$Q73,Connexions!$E:$E,VLOOKUP($B73,Mapping_Noms!$A:$B,2,0))-TIME(1,0,0)),"")</f>
        <v/>
      </c>
      <c r="D73" s="234">
        <f t="array" ref="D73:D73">IFERROR(INDEX(Planning2[],MATCH(1,(Planning2[Nom]=B73)*(Planning2[Date]=Q73),0),3),"-")</f>
        <v/>
      </c>
      <c r="E73" s="235">
        <f>IFERROR(IF(COUNTIFS(Connexions!$K:$K,$Q73,Connexions!$E:$E,VLOOKUP($B73,Mapping_Noms!$A:$B,2,0))=0,"",_xlfn.MAXIFS(Connexions!$O:$O,Connexions!$K:$K,$Q73,Connexions!$E:$E,VLOOKUP($B73,Mapping_Noms!$A:$B,2,0))-TIME(1,0,0)),"")</f>
        <v/>
      </c>
      <c r="F73" s="235">
        <f t="array" ref="F73:F73">IFERROR(INDEX(Planning2[],MATCH(1,(Planning2[Nom]=B73)*(Planning2[Date]=Q73),0),4),"-")</f>
        <v/>
      </c>
      <c r="G73" s="405">
        <f>IFERROR(IF(OR(IFERROR(INDEX('Planning Pauses Dej'!$C:$C,MATCH($B73&amp;"|"&amp;TEXT($Q73,"YYYYMMDD"),'Planning Pauses Dej'!$F:$F,0)),"")="",IFERROR(INDEX('Planning Pauses Dej'!$D:$D,MATCH($B73&amp;"|"&amp;TEXT($Q73,"YYYYMMDD"),'Planning Pauses Dej'!$F:$F,0)),"")=""),"",_xlfn.MAXIFS(Connexions!$Q:$Q,Connexions!$K:$K,$Q73,Connexions!$E:$E,VLOOKUP($B73,Mapping_Noms!$A:$B,2,0),Connexions!$O:$O,"&lt;="&amp;(IFERROR(INDEX('Planning Pauses Dej'!$D:$D,MATCH($B73&amp;"|"&amp;TEXT($Q73,"YYYYMMDD"),'Planning Pauses Dej'!$F:$F,0)),"")+TIME(1,0,0)),Connexions!$P:$P,"&gt;="&amp;(IFERROR(INDEX('Planning Pauses Dej'!$C:$C,MATCH($B73&amp;"|"&amp;TEXT($Q73,"YYYYMMDD"),'Planning Pauses Dej'!$F:$F,0)),"")+TIME(1,0,0)))),"")</f>
        <v/>
      </c>
      <c r="H73" s="405">
        <f>IFERROR(IF(OR($G73="",IFERROR(INDEX('Planning Pauses Dej'!$C:$C,MATCH($B73&amp;"|"&amp;TEXT($Q73,"YYYYMMDD"),'Planning Pauses Dej'!$F:$F,0)),"")="",IFERROR(INDEX('Planning Pauses Dej'!$D:$D,MATCH($B73&amp;"|"&amp;TEXT($Q73,"YYYYMMDD"),'Planning Pauses Dej'!$F:$F,0)),"")=""),"",IF($G73&gt;(IFERROR(INDEX('Planning Pauses Dej'!$D:$D,MATCH($B73&amp;"|"&amp;TEXT($Q73,"YYYYMMDD"),'Planning Pauses Dej'!$F:$F,0)),"")-IFERROR(INDEX('Planning Pauses Dej'!$C:$C,MATCH($B73&amp;"|"&amp;TEXT($Q73,"YYYYMMDD"),'Planning Pauses Dej'!$F:$F,0)),"")),$G73-(IFERROR(INDEX('Planning Pauses Dej'!$D:$D,MATCH($B73&amp;"|"&amp;TEXT($Q73,"YYYYMMDD"),'Planning Pauses Dej'!$F:$F,0)),"")-IFERROR(INDEX('Planning Pauses Dej'!$C:$C,MATCH($B73&amp;"|"&amp;TEXT($Q73,"YYYYMMDD"),'Planning Pauses Dej'!$F:$F,0)),"")),0)),"")</f>
        <v/>
      </c>
      <c r="I73" s="251">
        <f>IF(IF(OR(C73="",D73="Congé",D73="OFF",D73="Congé spécial"),"",IF(D73&gt;F73,D73-C73,IF(C73-D73&lt;0,0,C73-D73)))&lt;0.00068287037037037,"",IF(OR(D73="Congé",D73="OFF",C73="",D73="Congé spécial"),"",IF(D73&gt;F73,D73-C73,IF(C73-D73&lt;0,0,C73-D73))))</f>
        <v/>
      </c>
      <c r="J73" s="405">
        <f>IFERROR(IF($G73="","",IF($G73&gt;TIME(1,0,0),$G73-TIME(1,0,0),0)),"")</f>
        <v/>
      </c>
      <c r="K73" s="238">
        <f>IF(SUM(H73:J73)&lt;0.00068287037037037,0,SUM(H73:J73))</f>
        <v/>
      </c>
      <c r="L73" s="236">
        <f>IF(OR(F73="Congé",F73="OFF",M73="Abs",F73="Congé sans solde",F73="Férié",F73="Congé spécial",D73="Congé spécial"),0,IF(F73-E73&lt;0,0,IF(F73-E73&lt;=0.00068287037037037,0,F73-E73)))</f>
        <v/>
      </c>
      <c r="M73" s="239">
        <f>IF(AND(O73&lt;&gt;0,C73=""),"Abs",0)</f>
        <v/>
      </c>
      <c r="N73" s="240">
        <f>IFERROR(IF(OR(D73="OFF",D73="Congé",M73="Abs",D73="Congé sans solde",D73="Férié"),"",IF(O73-K73-L73&gt;O73,O73,IF(O73-K73-L73&lt;0,"",O73-K73-L73))),"")</f>
        <v/>
      </c>
      <c r="O73" s="241">
        <f>IF(AG73="2H Pause déjeuner",IF(F73-D73-0.0833333333333333&lt;0,F73-D73-0.0833333333333333+1,F73-D73-0.0833333333333333),IF(OR(AND(F73="OFF",D73="OFF"),AND(F73="Congé",D73="Congé"),AND(F73="Congé sans solde",D73="Congé sans solde"),AND(F73="Congé spécial",D73="Congé spécial"),AND(F73="Férié",D73="Férié"),AND(F73="OFF",D73="Congé"),AND(F73="OFF",D73="Congé sans solde"),AND(F73="OFF",D73="Congé spécial"),AND(F73="OFF",D73="Férié"),AND(F73="Congé",D73="OFF"),AND(F73="Congé",D73="Congé sans solde"),AND(F73="Congé",D73="Congé spécial"),AND(F73="Congé",D73="Férié"),AND(F73="Congé sans solde",D73="OFF"),AND(F73="Congé sans solde",D73="Congé"),AND(F73="Congé sans solde",D73="Congé spécial"),AND(F73="Congé sans solde",D73="Férié"),AND(F73="Congé spécial",D73="OFF"),AND(F73="Congé spécial",D73="Congé"),AND(F73="Congé spécial",D73="Congé sans solde"),AND(F73="Congé spécial",D73="Férié"),AND(F73="Férié",D73="OFF"),AND(F73="Férié",D73="Congé"),AND(F73="Férié",D73="Congé sans solde"),AND(F73="Férié",D73="Congé spécial")),0,IF(OR(F73="OFF",F73="Congé",F73="Congé spécial",F73="Congé sans solde",D73="OFF",D73="Congé",D73="Congé spécial",D73="Congé sans solde"),0.208333333333334,IF(AND(AG73="",F73-D73&lt;0),("24:00:00"-D73)+("00:00:00"+F73)-0.0416666666666667,IF(AND(OR(AG73="Allaitement",AG73="Sans déjeuner"),F73-D73&lt;0),("24:00:00"-D73)+("00:00:00"+F73),IF(AND(AG73="",F73-D73&gt;0.166666666666667),F73-D73-0.0416666666666667,IF(AND(OR(AG73="Allaitement",AG73="Sans déjeuner"),F73-D73&gt;0.166666666666667),F73-D73,F73-D73)))))))</f>
        <v/>
      </c>
      <c r="P73" s="242">
        <f>IFERROR(VLOOKUP($B73,Annuaire_roster!$B:$G,MATCH(P$1,Annuaire_roster!$B$1:$G$1,0),0),"-")</f>
        <v/>
      </c>
      <c r="Q73" s="255" t="n">
        <v>44763</v>
      </c>
      <c r="R73" s="248">
        <f>IF(M73="Abs",O73,0)</f>
        <v/>
      </c>
      <c r="S73" s="248">
        <f>SUM(R73,L73,I73,J73,W73,H73)</f>
        <v/>
      </c>
      <c r="T73" s="209">
        <f>"Sem - "&amp;WEEKNUM(Q73,21)</f>
        <v/>
      </c>
      <c r="U73" s="209">
        <f>PROPER(TEXT(Q73,"mmmm"))</f>
        <v/>
      </c>
      <c r="V73" s="256">
        <f>+TEXT(Q73,"aaa")</f>
        <v/>
      </c>
      <c r="W73" s="254" t="n"/>
      <c r="X73" s="257">
        <f>IFERROR(IF(M73="Abs",0,IF((D73-C73+E73-F73)&lt;0.000694444444444444,0,(D73-C73+E73-F73))),0)</f>
        <v/>
      </c>
      <c r="Y73" s="258">
        <f>IFERROR(VLOOKUP(B73,Annuaire_roster!B:E,4,0),"-")</f>
        <v/>
      </c>
      <c r="Z73" s="258">
        <f>IFERROR(VLOOKUP(B73,Annuaire_roster!B:F,3,0),"-")</f>
        <v/>
      </c>
      <c r="AA73" s="258">
        <f>IFERROR(VLOOKUP(B73,Annuaire_roster!B:I,6,0),"-")</f>
        <v/>
      </c>
      <c r="AB73" s="248">
        <f>IF(AND(D73="Congé",F73="Congé"),0.333333333333333,IF(OR(AND(D73="Congé",F73&lt;&gt;"Congé"),(AND(F73="Congé",D73&lt;&gt;"Congé"))),0.166666666666667,""))</f>
        <v/>
      </c>
      <c r="AC73" s="248">
        <f>IF(AND(D73="Congé sans solde",F73="Congé sans solde"),0.333333333333333,IF(OR(AND(D73="Congé sans solde",F73&lt;&gt;"Congé sans solde"),(AND(F73="Congé sans solde",D73&lt;&gt;"Congé sans solde"))),0.166666666666667,""))</f>
        <v/>
      </c>
      <c r="AD73" s="248">
        <f>IF(AND(D73="Congé spécial",F73="Congé spécial"),0.333333333333333,IF(OR(AND(D73="Congé spécial",F73&lt;&gt;"Congé décès"),(AND(F73="Congé spécial",D73&lt;&gt;"Congé spécial"))),0.166666666666667,""))</f>
        <v/>
      </c>
      <c r="AE73" s="259">
        <f>IF(AND(D73="Férié",F73="Férié"),0.333333333333333,IF(OR(AND(D73="Férié",F73&lt;&gt;"Férié"),(AND(F73="Férié",D73&lt;&gt;"Férié"))),0.166666666666667,""))</f>
        <v/>
      </c>
      <c r="AF73" s="249" t="n"/>
      <c r="AG73" s="248" t="n"/>
    </row>
    <row r="74" hidden="1" ht="12.75" customHeight="1" s="231">
      <c r="A74" s="232">
        <f>VLOOKUP(B74,Annuaire_roster!B:F,5,0)</f>
        <v/>
      </c>
      <c r="B74" s="233" t="inlineStr">
        <is>
          <t>QARBOUI Aymane</t>
        </is>
      </c>
      <c r="C74" s="234">
        <f>IFERROR(IF(COUNTIFS(Connexions!$K:$K,$Q74,Connexions!$E:$E,VLOOKUP($B74,Mapping_Noms!$A:$B,2,0))=0,"",_xlfn.MINIFS(Connexions!$M:$M,Connexions!$K:$K,$Q74,Connexions!$E:$E,VLOOKUP($B74,Mapping_Noms!$A:$B,2,0))-TIME(1,0,0)),"")</f>
        <v/>
      </c>
      <c r="D74" s="234">
        <f t="array" ref="D74:D74">IFERROR(INDEX(Planning2[],MATCH(1,(Planning2[Nom]=B74)*(Planning2[Date]=Q74),0),3),"-")</f>
        <v/>
      </c>
      <c r="E74" s="235">
        <f>IFERROR(IF(COUNTIFS(Connexions!$K:$K,$Q74,Connexions!$E:$E,VLOOKUP($B74,Mapping_Noms!$A:$B,2,0))=0,"",_xlfn.MAXIFS(Connexions!$O:$O,Connexions!$K:$K,$Q74,Connexions!$E:$E,VLOOKUP($B74,Mapping_Noms!$A:$B,2,0))-TIME(1,0,0)),"")</f>
        <v/>
      </c>
      <c r="F74" s="235">
        <f t="array" ref="F74:F74">IFERROR(INDEX(Planning2[],MATCH(1,(Planning2[Nom]=B74)*(Planning2[Date]=Q74),0),4),"-")</f>
        <v/>
      </c>
      <c r="G74" s="405">
        <f>IFERROR(IF(OR(IFERROR(INDEX('Planning Pauses Dej'!$C:$C,MATCH($B74&amp;"|"&amp;TEXT($Q74,"YYYYMMDD"),'Planning Pauses Dej'!$F:$F,0)),"")="",IFERROR(INDEX('Planning Pauses Dej'!$D:$D,MATCH($B74&amp;"|"&amp;TEXT($Q74,"YYYYMMDD"),'Planning Pauses Dej'!$F:$F,0)),"")=""),"",_xlfn.MAXIFS(Connexions!$Q:$Q,Connexions!$K:$K,$Q74,Connexions!$E:$E,VLOOKUP($B74,Mapping_Noms!$A:$B,2,0),Connexions!$O:$O,"&lt;="&amp;(IFERROR(INDEX('Planning Pauses Dej'!$D:$D,MATCH($B74&amp;"|"&amp;TEXT($Q74,"YYYYMMDD"),'Planning Pauses Dej'!$F:$F,0)),"")+TIME(1,0,0)),Connexions!$P:$P,"&gt;="&amp;(IFERROR(INDEX('Planning Pauses Dej'!$C:$C,MATCH($B74&amp;"|"&amp;TEXT($Q74,"YYYYMMDD"),'Planning Pauses Dej'!$F:$F,0)),"")+TIME(1,0,0)))),"")</f>
        <v/>
      </c>
      <c r="H74" s="405">
        <f>IFERROR(IF(OR($G74="",IFERROR(INDEX('Planning Pauses Dej'!$C:$C,MATCH($B74&amp;"|"&amp;TEXT($Q74,"YYYYMMDD"),'Planning Pauses Dej'!$F:$F,0)),"")="",IFERROR(INDEX('Planning Pauses Dej'!$D:$D,MATCH($B74&amp;"|"&amp;TEXT($Q74,"YYYYMMDD"),'Planning Pauses Dej'!$F:$F,0)),"")=""),"",IF($G74&gt;(IFERROR(INDEX('Planning Pauses Dej'!$D:$D,MATCH($B74&amp;"|"&amp;TEXT($Q74,"YYYYMMDD"),'Planning Pauses Dej'!$F:$F,0)),"")-IFERROR(INDEX('Planning Pauses Dej'!$C:$C,MATCH($B74&amp;"|"&amp;TEXT($Q74,"YYYYMMDD"),'Planning Pauses Dej'!$F:$F,0)),"")),$G74-(IFERROR(INDEX('Planning Pauses Dej'!$D:$D,MATCH($B74&amp;"|"&amp;TEXT($Q74,"YYYYMMDD"),'Planning Pauses Dej'!$F:$F,0)),"")-IFERROR(INDEX('Planning Pauses Dej'!$C:$C,MATCH($B74&amp;"|"&amp;TEXT($Q74,"YYYYMMDD"),'Planning Pauses Dej'!$F:$F,0)),"")),0)),"")</f>
        <v/>
      </c>
      <c r="I74" s="251">
        <f>IF(IF(OR(C74="",D74="Congé",D74="OFF",D74="Congé spécial"),"",IF(D74&gt;F74,D74-C74,IF(C74-D74&lt;0,0,C74-D74)))&lt;0.00068287037037037,"",IF(OR(D74="Congé",D74="OFF",C74="",D74="Congé spécial"),"",IF(D74&gt;F74,D74-C74,IF(C74-D74&lt;0,0,C74-D74))))</f>
        <v/>
      </c>
      <c r="J74" s="405">
        <f>IFERROR(IF($G74="","",IF($G74&gt;TIME(1,0,0),$G74-TIME(1,0,0),0)),"")</f>
        <v/>
      </c>
      <c r="K74" s="238">
        <f>IF(SUM(H74:J74)&lt;0.00068287037037037,0,SUM(H74:J74))</f>
        <v/>
      </c>
      <c r="L74" s="236">
        <f>IF(OR(F74="Congé",F74="OFF",M74="Abs",F74="Congé sans solde",F74="Férié",F74="Congé spécial",D74="Congé spécial"),0,IF(F74-E74&lt;0,0,IF(F74-E74&lt;=0.00068287037037037,0,F74-E74)))</f>
        <v/>
      </c>
      <c r="M74" s="239">
        <f>IF(AND(O74&lt;&gt;0,C74=""),"Abs",0)</f>
        <v/>
      </c>
      <c r="N74" s="240">
        <f>IFERROR(IF(OR(D74="OFF",D74="Congé",M74="Abs",D74="Congé sans solde",D74="Férié"),"",IF(O74-K74-L74&gt;O74,O74,IF(O74-K74-L74&lt;0,"",O74-K74-L74))),"")</f>
        <v/>
      </c>
      <c r="O74" s="241">
        <f>IF(AG74="2H Pause déjeuner",IF(F74-D74-0.0833333333333333&lt;0,F74-D74-0.0833333333333333+1,F74-D74-0.0833333333333333),IF(OR(AND(F74="OFF",D74="OFF"),AND(F74="Congé",D74="Congé"),AND(F74="Congé sans solde",D74="Congé sans solde"),AND(F74="Congé spécial",D74="Congé spécial"),AND(F74="Férié",D74="Férié"),AND(F74="OFF",D74="Congé"),AND(F74="OFF",D74="Congé sans solde"),AND(F74="OFF",D74="Congé spécial"),AND(F74="OFF",D74="Férié"),AND(F74="Congé",D74="OFF"),AND(F74="Congé",D74="Congé sans solde"),AND(F74="Congé",D74="Congé spécial"),AND(F74="Congé",D74="Férié"),AND(F74="Congé sans solde",D74="OFF"),AND(F74="Congé sans solde",D74="Congé"),AND(F74="Congé sans solde",D74="Congé spécial"),AND(F74="Congé sans solde",D74="Férié"),AND(F74="Congé spécial",D74="OFF"),AND(F74="Congé spécial",D74="Congé"),AND(F74="Congé spécial",D74="Congé sans solde"),AND(F74="Congé spécial",D74="Férié"),AND(F74="Férié",D74="OFF"),AND(F74="Férié",D74="Congé"),AND(F74="Férié",D74="Congé sans solde"),AND(F74="Férié",D74="Congé spécial")),0,IF(OR(F74="OFF",F74="Congé",F74="Congé spécial",F74="Congé sans solde",D74="OFF",D74="Congé",D74="Congé spécial",D74="Congé sans solde"),0.208333333333334,IF(AND(AG74="",F74-D74&lt;0),("24:00:00"-D74)+("00:00:00"+F74)-0.0416666666666667,IF(AND(OR(AG74="Allaitement",AG74="Sans déjeuner"),F74-D74&lt;0),("24:00:00"-D74)+("00:00:00"+F74),IF(AND(AG74="",F74-D74&gt;0.166666666666667),F74-D74-0.0416666666666667,IF(AND(OR(AG74="Allaitement",AG74="Sans déjeuner"),F74-D74&gt;0.166666666666667),F74-D74,F74-D74)))))))</f>
        <v/>
      </c>
      <c r="P74" s="242">
        <f>IFERROR(VLOOKUP($B74,Annuaire_roster!$B:$G,MATCH(P$1,Annuaire_roster!$B$1:$G$1,0),0),"-")</f>
        <v/>
      </c>
      <c r="Q74" s="243" t="n">
        <v>44763</v>
      </c>
      <c r="R74" s="244">
        <f>IF(M74="Abs",O74,0)</f>
        <v/>
      </c>
      <c r="S74" s="244">
        <f>SUM(R74,L74,I74,J74,W74,H74)</f>
        <v/>
      </c>
      <c r="T74" s="209">
        <f>"Sem - "&amp;WEEKNUM(Q74,21)</f>
        <v/>
      </c>
      <c r="U74" s="209">
        <f>PROPER(TEXT(Q74,"mmmm"))</f>
        <v/>
      </c>
      <c r="V74" s="245">
        <f>+TEXT(Q74,"aaa")</f>
        <v/>
      </c>
      <c r="W74" s="240" t="n"/>
      <c r="X74" s="246">
        <f>IFERROR(IF(M74="Abs",0,IF((D74-C74+E74-F74)&lt;0.000694444444444444,0,(D74-C74+E74-F74))),0)</f>
        <v/>
      </c>
      <c r="Y74" s="247">
        <f>IFERROR(VLOOKUP(B74,Annuaire_roster!B:E,4,0),"-")</f>
        <v/>
      </c>
      <c r="Z74" s="247">
        <f>IFERROR(VLOOKUP(B74,Annuaire_roster!B:F,3,0),"-")</f>
        <v/>
      </c>
      <c r="AA74" s="247">
        <f>IFERROR(VLOOKUP(B74,Annuaire_roster!B:I,6,0),"-")</f>
        <v/>
      </c>
      <c r="AB74" s="248">
        <f>IF(AND(D74="Congé",F74="Congé"),0.333333333333333,IF(OR(AND(D74="Congé",F74&lt;&gt;"Congé"),(AND(F74="Congé",D74&lt;&gt;"Congé"))),0.166666666666667,""))</f>
        <v/>
      </c>
      <c r="AC74" s="248">
        <f>IF(AND(D74="Congé sans solde",F74="Congé sans solde"),0.333333333333333,IF(OR(AND(D74="Congé sans solde",F74&lt;&gt;"Congé sans solde"),(AND(F74="Congé sans solde",D74&lt;&gt;"Congé sans solde"))),0.166666666666667,""))</f>
        <v/>
      </c>
      <c r="AD74" s="248">
        <f>IF(AND(D74="Congé spécial",F74="Congé spécial"),0.333333333333333,IF(OR(AND(D74="Congé spécial",F74&lt;&gt;"Congé décès"),(AND(F74="Congé spécial",D74&lt;&gt;"Congé spécial"))),0.166666666666667,""))</f>
        <v/>
      </c>
      <c r="AE74" s="249">
        <f>IF(AND(D74="Férié",F74="Férié"),0.333333333333333,IF(OR(AND(D74="Férié",F74&lt;&gt;"Férié"),(AND(F74="Férié",D74&lt;&gt;"Férié"))),0.166666666666667,""))</f>
        <v/>
      </c>
      <c r="AF74" s="249" t="n"/>
      <c r="AG74" s="244" t="n"/>
    </row>
    <row r="75" hidden="1" ht="12.75" customHeight="1" s="231">
      <c r="A75" s="232">
        <f>VLOOKUP(B75,Annuaire_roster!B:F,5,0)</f>
        <v/>
      </c>
      <c r="B75" s="233" t="inlineStr">
        <is>
          <t>LAFDIL NADA</t>
        </is>
      </c>
      <c r="C75" s="234">
        <f>IFERROR(IF(COUNTIFS(Connexions!$K:$K,$Q75,Connexions!$E:$E,VLOOKUP($B75,Mapping_Noms!$A:$B,2,0))=0,"",_xlfn.MINIFS(Connexions!$M:$M,Connexions!$K:$K,$Q75,Connexions!$E:$E,VLOOKUP($B75,Mapping_Noms!$A:$B,2,0))-TIME(1,0,0)),"")</f>
        <v/>
      </c>
      <c r="D75" s="234">
        <f t="array" ref="D75:D75">IFERROR(INDEX(Planning2[],MATCH(1,(Planning2[Nom]=B75)*(Planning2[Date]=Q75),0),3),"-")</f>
        <v/>
      </c>
      <c r="E75" s="235">
        <f>IFERROR(IF(COUNTIFS(Connexions!$K:$K,$Q75,Connexions!$E:$E,VLOOKUP($B75,Mapping_Noms!$A:$B,2,0))=0,"",_xlfn.MAXIFS(Connexions!$O:$O,Connexions!$K:$K,$Q75,Connexions!$E:$E,VLOOKUP($B75,Mapping_Noms!$A:$B,2,0))-TIME(1,0,0)),"")</f>
        <v/>
      </c>
      <c r="F75" s="235">
        <f t="array" ref="F75:F75">IFERROR(INDEX(Planning2[],MATCH(1,(Planning2[Nom]=B75)*(Planning2[Date]=Q75),0),4),"-")</f>
        <v/>
      </c>
      <c r="G75" s="405">
        <f>IFERROR(IF(OR(IFERROR(INDEX('Planning Pauses Dej'!$C:$C,MATCH($B75&amp;"|"&amp;TEXT($Q75,"YYYYMMDD"),'Planning Pauses Dej'!$F:$F,0)),"")="",IFERROR(INDEX('Planning Pauses Dej'!$D:$D,MATCH($B75&amp;"|"&amp;TEXT($Q75,"YYYYMMDD"),'Planning Pauses Dej'!$F:$F,0)),"")=""),"",_xlfn.MAXIFS(Connexions!$Q:$Q,Connexions!$K:$K,$Q75,Connexions!$E:$E,VLOOKUP($B75,Mapping_Noms!$A:$B,2,0),Connexions!$O:$O,"&lt;="&amp;(IFERROR(INDEX('Planning Pauses Dej'!$D:$D,MATCH($B75&amp;"|"&amp;TEXT($Q75,"YYYYMMDD"),'Planning Pauses Dej'!$F:$F,0)),"")+TIME(1,0,0)),Connexions!$P:$P,"&gt;="&amp;(IFERROR(INDEX('Planning Pauses Dej'!$C:$C,MATCH($B75&amp;"|"&amp;TEXT($Q75,"YYYYMMDD"),'Planning Pauses Dej'!$F:$F,0)),"")+TIME(1,0,0)))),"")</f>
        <v/>
      </c>
      <c r="H75" s="405">
        <f>IFERROR(IF(OR($G75="",IFERROR(INDEX('Planning Pauses Dej'!$C:$C,MATCH($B75&amp;"|"&amp;TEXT($Q75,"YYYYMMDD"),'Planning Pauses Dej'!$F:$F,0)),"")="",IFERROR(INDEX('Planning Pauses Dej'!$D:$D,MATCH($B75&amp;"|"&amp;TEXT($Q75,"YYYYMMDD"),'Planning Pauses Dej'!$F:$F,0)),"")=""),"",IF($G75&gt;(IFERROR(INDEX('Planning Pauses Dej'!$D:$D,MATCH($B75&amp;"|"&amp;TEXT($Q75,"YYYYMMDD"),'Planning Pauses Dej'!$F:$F,0)),"")-IFERROR(INDEX('Planning Pauses Dej'!$C:$C,MATCH($B75&amp;"|"&amp;TEXT($Q75,"YYYYMMDD"),'Planning Pauses Dej'!$F:$F,0)),"")),$G75-(IFERROR(INDEX('Planning Pauses Dej'!$D:$D,MATCH($B75&amp;"|"&amp;TEXT($Q75,"YYYYMMDD"),'Planning Pauses Dej'!$F:$F,0)),"")-IFERROR(INDEX('Planning Pauses Dej'!$C:$C,MATCH($B75&amp;"|"&amp;TEXT($Q75,"YYYYMMDD"),'Planning Pauses Dej'!$F:$F,0)),"")),0)),"")</f>
        <v/>
      </c>
      <c r="I75" s="251">
        <f>IF(IF(OR(C75="",D75="Congé",D75="OFF",D75="Congé spécial"),"",IF(D75&gt;F75,D75-C75,IF(C75-D75&lt;0,0,C75-D75)))&lt;0.00068287037037037,"",IF(OR(D75="Congé",D75="OFF",C75="",D75="Congé spécial"),"",IF(D75&gt;F75,D75-C75,IF(C75-D75&lt;0,0,C75-D75))))</f>
        <v/>
      </c>
      <c r="J75" s="405">
        <f>IFERROR(IF($G75="","",IF($G75&gt;TIME(1,0,0),$G75-TIME(1,0,0),0)),"")</f>
        <v/>
      </c>
      <c r="K75" s="238">
        <f>IF(SUM(H75:J75)&lt;0.00068287037037037,0,SUM(H75:J75))</f>
        <v/>
      </c>
      <c r="L75" s="236">
        <f>IF(OR(F75="Congé",F75="OFF",M75="Abs",F75="Congé sans solde",F75="Férié",F75="Congé spécial",D75="Congé spécial"),0,IF(F75-E75&lt;0,0,IF(F75-E75&lt;=0.00068287037037037,0,F75-E75)))</f>
        <v/>
      </c>
      <c r="M75" s="239">
        <f>IF(AND(O75&lt;&gt;0,C75=""),"Abs",0)</f>
        <v/>
      </c>
      <c r="N75" s="240">
        <f>IFERROR(IF(OR(D75="OFF",D75="Congé",M75="Abs",D75="Congé sans solde",D75="Férié"),"",IF(O75-K75-L75&gt;O75,O75,IF(O75-K75-L75&lt;0,"",O75-K75-L75))),"")</f>
        <v/>
      </c>
      <c r="O75" s="241">
        <f>IF(AG75="2H Pause déjeuner",IF(F75-D75-0.0833333333333333&lt;0,F75-D75-0.0833333333333333+1,F75-D75-0.0833333333333333),IF(OR(AND(F75="OFF",D75="OFF"),AND(F75="Congé",D75="Congé"),AND(F75="Congé sans solde",D75="Congé sans solde"),AND(F75="Congé spécial",D75="Congé spécial"),AND(F75="Férié",D75="Férié"),AND(F75="OFF",D75="Congé"),AND(F75="OFF",D75="Congé sans solde"),AND(F75="OFF",D75="Congé spécial"),AND(F75="OFF",D75="Férié"),AND(F75="Congé",D75="OFF"),AND(F75="Congé",D75="Congé sans solde"),AND(F75="Congé",D75="Congé spécial"),AND(F75="Congé",D75="Férié"),AND(F75="Congé sans solde",D75="OFF"),AND(F75="Congé sans solde",D75="Congé"),AND(F75="Congé sans solde",D75="Congé spécial"),AND(F75="Congé sans solde",D75="Férié"),AND(F75="Congé spécial",D75="OFF"),AND(F75="Congé spécial",D75="Congé"),AND(F75="Congé spécial",D75="Congé sans solde"),AND(F75="Congé spécial",D75="Férié"),AND(F75="Férié",D75="OFF"),AND(F75="Férié",D75="Congé"),AND(F75="Férié",D75="Congé sans solde"),AND(F75="Férié",D75="Congé spécial")),0,IF(OR(F75="OFF",F75="Congé",F75="Congé spécial",F75="Congé sans solde",D75="OFF",D75="Congé",D75="Congé spécial",D75="Congé sans solde"),0.208333333333334,IF(AND(AG75="",F75-D75&lt;0),("24:00:00"-D75)+("00:00:00"+F75)-0.0416666666666667,IF(AND(OR(AG75="Allaitement",AG75="Sans déjeuner"),F75-D75&lt;0),("24:00:00"-D75)+("00:00:00"+F75),IF(AND(AG75="",F75-D75&gt;0.166666666666667),F75-D75-0.0416666666666667,IF(AND(OR(AG75="Allaitement",AG75="Sans déjeuner"),F75-D75&gt;0.166666666666667),F75-D75,F75-D75)))))))</f>
        <v/>
      </c>
      <c r="P75" s="242">
        <f>IFERROR(VLOOKUP($B75,Annuaire_roster!$B:$G,MATCH(P$1,Annuaire_roster!$B$1:$G$1,0),0),"-")</f>
        <v/>
      </c>
      <c r="Q75" s="243" t="n">
        <v>44763</v>
      </c>
      <c r="R75" s="244">
        <f>IF(M75="Abs",O75,0)</f>
        <v/>
      </c>
      <c r="S75" s="244">
        <f>SUM(R75,L75,I75,J75,W75,H75)</f>
        <v/>
      </c>
      <c r="T75" s="209">
        <f>"Sem - "&amp;WEEKNUM(Q75,21)</f>
        <v/>
      </c>
      <c r="U75" s="209">
        <f>PROPER(TEXT(Q75,"mmmm"))</f>
        <v/>
      </c>
      <c r="V75" s="245">
        <f>+TEXT(Q75,"aaa")</f>
        <v/>
      </c>
      <c r="W75" s="240" t="n"/>
      <c r="X75" s="246">
        <f>IFERROR(IF(M75="Abs",0,IF((D75-C75+E75-F75)&lt;0.000694444444444444,0,(D75-C75+E75-F75))),0)</f>
        <v/>
      </c>
      <c r="Y75" s="247">
        <f>IFERROR(VLOOKUP(B75,Annuaire_roster!B:E,4,0),"-")</f>
        <v/>
      </c>
      <c r="Z75" s="247">
        <f>IFERROR(VLOOKUP(B75,Annuaire_roster!B:F,3,0),"-")</f>
        <v/>
      </c>
      <c r="AA75" s="247">
        <f>IFERROR(VLOOKUP(B75,Annuaire_roster!B:I,6,0),"-")</f>
        <v/>
      </c>
      <c r="AB75" s="248">
        <f>IF(AND(D75="Congé",F75="Congé"),0.333333333333333,IF(OR(AND(D75="Congé",F75&lt;&gt;"Congé"),(AND(F75="Congé",D75&lt;&gt;"Congé"))),0.166666666666667,""))</f>
        <v/>
      </c>
      <c r="AC75" s="248">
        <f>IF(AND(D75="Congé sans solde",F75="Congé sans solde"),0.333333333333333,IF(OR(AND(D75="Congé sans solde",F75&lt;&gt;"Congé sans solde"),(AND(F75="Congé sans solde",D75&lt;&gt;"Congé sans solde"))),0.166666666666667,""))</f>
        <v/>
      </c>
      <c r="AD75" s="248">
        <f>IF(AND(D75="Congé spécial",F75="Congé spécial"),0.333333333333333,IF(OR(AND(D75="Congé spécial",F75&lt;&gt;"Congé décès"),(AND(F75="Congé spécial",D75&lt;&gt;"Congé spécial"))),0.166666666666667,""))</f>
        <v/>
      </c>
      <c r="AE75" s="249">
        <f>IF(AND(D75="Férié",F75="Férié"),0.333333333333333,IF(OR(AND(D75="Férié",F75&lt;&gt;"Férié"),(AND(F75="Férié",D75&lt;&gt;"Férié"))),0.166666666666667,""))</f>
        <v/>
      </c>
      <c r="AF75" s="249" t="n"/>
      <c r="AG75" s="244" t="n"/>
    </row>
    <row r="76" hidden="1" ht="12.75" customHeight="1" s="231">
      <c r="A76" s="232">
        <f>VLOOKUP(B76,Annuaire_roster!B:F,5,0)</f>
        <v/>
      </c>
      <c r="B76" s="233" t="inlineStr">
        <is>
          <t>EL-AOUAQUI BOUCHRA</t>
        </is>
      </c>
      <c r="C76" s="234">
        <f>IFERROR(IF(COUNTIFS(Connexions!$K:$K,$Q76,Connexions!$E:$E,VLOOKUP($B76,Mapping_Noms!$A:$B,2,0))=0,"",_xlfn.MINIFS(Connexions!$M:$M,Connexions!$K:$K,$Q76,Connexions!$E:$E,VLOOKUP($B76,Mapping_Noms!$A:$B,2,0))-TIME(1,0,0)),"")</f>
        <v/>
      </c>
      <c r="D76" s="234">
        <f t="array" ref="D76:D76">IFERROR(INDEX(Planning2[],MATCH(1,(Planning2[Nom]=B76)*(Planning2[Date]=Q76),0),3),"-")</f>
        <v/>
      </c>
      <c r="E76" s="235">
        <f>IFERROR(IF(COUNTIFS(Connexions!$K:$K,$Q76,Connexions!$E:$E,VLOOKUP($B76,Mapping_Noms!$A:$B,2,0))=0,"",_xlfn.MAXIFS(Connexions!$O:$O,Connexions!$K:$K,$Q76,Connexions!$E:$E,VLOOKUP($B76,Mapping_Noms!$A:$B,2,0))-TIME(1,0,0)),"")</f>
        <v/>
      </c>
      <c r="F76" s="235">
        <f t="array" ref="F76:F76">IFERROR(INDEX(Planning2[],MATCH(1,(Planning2[Nom]=B76)*(Planning2[Date]=Q76),0),4),"-")</f>
        <v/>
      </c>
      <c r="G76" s="405">
        <f>IFERROR(IF(OR(IFERROR(INDEX('Planning Pauses Dej'!$C:$C,MATCH($B76&amp;"|"&amp;TEXT($Q76,"YYYYMMDD"),'Planning Pauses Dej'!$F:$F,0)),"")="",IFERROR(INDEX('Planning Pauses Dej'!$D:$D,MATCH($B76&amp;"|"&amp;TEXT($Q76,"YYYYMMDD"),'Planning Pauses Dej'!$F:$F,0)),"")=""),"",_xlfn.MAXIFS(Connexions!$Q:$Q,Connexions!$K:$K,$Q76,Connexions!$E:$E,VLOOKUP($B76,Mapping_Noms!$A:$B,2,0),Connexions!$O:$O,"&lt;="&amp;(IFERROR(INDEX('Planning Pauses Dej'!$D:$D,MATCH($B76&amp;"|"&amp;TEXT($Q76,"YYYYMMDD"),'Planning Pauses Dej'!$F:$F,0)),"")+TIME(1,0,0)),Connexions!$P:$P,"&gt;="&amp;(IFERROR(INDEX('Planning Pauses Dej'!$C:$C,MATCH($B76&amp;"|"&amp;TEXT($Q76,"YYYYMMDD"),'Planning Pauses Dej'!$F:$F,0)),"")+TIME(1,0,0)))),"")</f>
        <v/>
      </c>
      <c r="H76" s="405">
        <f>IFERROR(IF(OR($G76="",IFERROR(INDEX('Planning Pauses Dej'!$C:$C,MATCH($B76&amp;"|"&amp;TEXT($Q76,"YYYYMMDD"),'Planning Pauses Dej'!$F:$F,0)),"")="",IFERROR(INDEX('Planning Pauses Dej'!$D:$D,MATCH($B76&amp;"|"&amp;TEXT($Q76,"YYYYMMDD"),'Planning Pauses Dej'!$F:$F,0)),"")=""),"",IF($G76&gt;(IFERROR(INDEX('Planning Pauses Dej'!$D:$D,MATCH($B76&amp;"|"&amp;TEXT($Q76,"YYYYMMDD"),'Planning Pauses Dej'!$F:$F,0)),"")-IFERROR(INDEX('Planning Pauses Dej'!$C:$C,MATCH($B76&amp;"|"&amp;TEXT($Q76,"YYYYMMDD"),'Planning Pauses Dej'!$F:$F,0)),"")),$G76-(IFERROR(INDEX('Planning Pauses Dej'!$D:$D,MATCH($B76&amp;"|"&amp;TEXT($Q76,"YYYYMMDD"),'Planning Pauses Dej'!$F:$F,0)),"")-IFERROR(INDEX('Planning Pauses Dej'!$C:$C,MATCH($B76&amp;"|"&amp;TEXT($Q76,"YYYYMMDD"),'Planning Pauses Dej'!$F:$F,0)),"")),0)),"")</f>
        <v/>
      </c>
      <c r="I76" s="251">
        <f>IF(IF(OR(C76="",D76="Congé",D76="OFF",D76="Congé spécial"),"",IF(D76&gt;F76,D76-C76,IF(C76-D76&lt;0,0,C76-D76)))&lt;0.00068287037037037,"",IF(OR(D76="Congé",D76="OFF",C76="",D76="Congé spécial"),"",IF(D76&gt;F76,D76-C76,IF(C76-D76&lt;0,0,C76-D76))))</f>
        <v/>
      </c>
      <c r="J76" s="405">
        <f>IFERROR(IF($G76="","",IF($G76&gt;TIME(1,0,0),$G76-TIME(1,0,0),0)),"")</f>
        <v/>
      </c>
      <c r="K76" s="238">
        <f>IF(SUM(H76:J76)&lt;0.00068287037037037,0,SUM(H76:J76))</f>
        <v/>
      </c>
      <c r="L76" s="236">
        <f>IF(OR(F76="Congé",F76="OFF",M76="Abs",F76="Congé sans solde",F76="Férié",F76="Congé spécial",D76="Congé spécial"),0,IF(F76-E76&lt;0,0,IF(F76-E76&lt;=0.00068287037037037,0,F76-E76)))</f>
        <v/>
      </c>
      <c r="M76" s="239">
        <f>IF(AND(O76&lt;&gt;0,C76=""),"Abs",0)</f>
        <v/>
      </c>
      <c r="N76" s="240">
        <f>IFERROR(IF(OR(D76="OFF",D76="Congé",M76="Abs",D76="Congé sans solde",D76="Férié"),"",IF(O76-K76-L76&gt;O76,O76,IF(O76-K76-L76&lt;0,"",O76-K76-L76))),"")</f>
        <v/>
      </c>
      <c r="O76" s="241">
        <f>IF(AG76="2H Pause déjeuner",IF(F76-D76-0.0833333333333333&lt;0,F76-D76-0.0833333333333333+1,F76-D76-0.0833333333333333),IF(OR(AND(F76="OFF",D76="OFF"),AND(F76="Congé",D76="Congé"),AND(F76="Congé sans solde",D76="Congé sans solde"),AND(F76="Congé spécial",D76="Congé spécial"),AND(F76="Férié",D76="Férié"),AND(F76="OFF",D76="Congé"),AND(F76="OFF",D76="Congé sans solde"),AND(F76="OFF",D76="Congé spécial"),AND(F76="OFF",D76="Férié"),AND(F76="Congé",D76="OFF"),AND(F76="Congé",D76="Congé sans solde"),AND(F76="Congé",D76="Congé spécial"),AND(F76="Congé",D76="Férié"),AND(F76="Congé sans solde",D76="OFF"),AND(F76="Congé sans solde",D76="Congé"),AND(F76="Congé sans solde",D76="Congé spécial"),AND(F76="Congé sans solde",D76="Férié"),AND(F76="Congé spécial",D76="OFF"),AND(F76="Congé spécial",D76="Congé"),AND(F76="Congé spécial",D76="Congé sans solde"),AND(F76="Congé spécial",D76="Férié"),AND(F76="Férié",D76="OFF"),AND(F76="Férié",D76="Congé"),AND(F76="Férié",D76="Congé sans solde"),AND(F76="Férié",D76="Congé spécial")),0,IF(OR(F76="OFF",F76="Congé",F76="Congé spécial",F76="Congé sans solde",D76="OFF",D76="Congé",D76="Congé spécial",D76="Congé sans solde"),0.208333333333334,IF(AND(AG76="",F76-D76&lt;0),("24:00:00"-D76)+("00:00:00"+F76)-0.0416666666666667,IF(AND(OR(AG76="Allaitement",AG76="Sans déjeuner"),F76-D76&lt;0),("24:00:00"-D76)+("00:00:00"+F76),IF(AND(AG76="",F76-D76&gt;0.166666666666667),F76-D76-0.0416666666666667,IF(AND(OR(AG76="Allaitement",AG76="Sans déjeuner"),F76-D76&gt;0.166666666666667),F76-D76,F76-D76)))))))</f>
        <v/>
      </c>
      <c r="P76" s="242">
        <f>IFERROR(VLOOKUP($B76,Annuaire_roster!$B:$G,MATCH(P$1,Annuaire_roster!$B$1:$G$1,0),0),"-")</f>
        <v/>
      </c>
      <c r="Q76" s="243" t="n">
        <v>44763</v>
      </c>
      <c r="R76" s="244">
        <f>IF(M76="Abs",O76,0)</f>
        <v/>
      </c>
      <c r="S76" s="244">
        <f>SUM(R76,L76,I76,J76,W76,H76)</f>
        <v/>
      </c>
      <c r="T76" s="209">
        <f>"Sem - "&amp;WEEKNUM(Q76,21)</f>
        <v/>
      </c>
      <c r="U76" s="209">
        <f>PROPER(TEXT(Q76,"mmmm"))</f>
        <v/>
      </c>
      <c r="V76" s="245">
        <f>+TEXT(Q76,"aaa")</f>
        <v/>
      </c>
      <c r="W76" s="240" t="n"/>
      <c r="X76" s="246">
        <f>IFERROR(IF(M76="Abs",0,IF((D76-C76+E76-F76)&lt;0.000694444444444444,0,(D76-C76+E76-F76))),0)</f>
        <v/>
      </c>
      <c r="Y76" s="247">
        <f>IFERROR(VLOOKUP(B76,Annuaire_roster!B:E,4,0),"-")</f>
        <v/>
      </c>
      <c r="Z76" s="247">
        <f>IFERROR(VLOOKUP(B76,Annuaire_roster!B:F,3,0),"-")</f>
        <v/>
      </c>
      <c r="AA76" s="247">
        <f>IFERROR(VLOOKUP(B76,Annuaire_roster!B:I,6,0),"-")</f>
        <v/>
      </c>
      <c r="AB76" s="248">
        <f>IF(AND(D76="Congé",F76="Congé"),0.333333333333333,IF(OR(AND(D76="Congé",F76&lt;&gt;"Congé"),(AND(F76="Congé",D76&lt;&gt;"Congé"))),0.166666666666667,""))</f>
        <v/>
      </c>
      <c r="AC76" s="248">
        <f>IF(AND(D76="Congé sans solde",F76="Congé sans solde"),0.333333333333333,IF(OR(AND(D76="Congé sans solde",F76&lt;&gt;"Congé sans solde"),(AND(F76="Congé sans solde",D76&lt;&gt;"Congé sans solde"))),0.166666666666667,""))</f>
        <v/>
      </c>
      <c r="AD76" s="248">
        <f>IF(AND(D76="Congé spécial",F76="Congé spécial"),0.333333333333333,IF(OR(AND(D76="Congé spécial",F76&lt;&gt;"Congé décès"),(AND(F76="Congé spécial",D76&lt;&gt;"Congé spécial"))),0.166666666666667,""))</f>
        <v/>
      </c>
      <c r="AE76" s="249">
        <f>IF(AND(D76="Férié",F76="Férié"),0.333333333333333,IF(OR(AND(D76="Férié",F76&lt;&gt;"Férié"),(AND(F76="Férié",D76&lt;&gt;"Férié"))),0.166666666666667,""))</f>
        <v/>
      </c>
      <c r="AF76" s="249" t="n"/>
      <c r="AG76" s="244" t="n"/>
    </row>
    <row r="77" hidden="1" ht="13.5" customHeight="1" s="231">
      <c r="A77" s="232">
        <f>VLOOKUP(B77,Annuaire_roster!B:F,5,0)</f>
        <v/>
      </c>
      <c r="B77" s="233" t="inlineStr">
        <is>
          <t>ZITOUNI LAMYA</t>
        </is>
      </c>
      <c r="C77" s="234">
        <f>IFERROR(IF(COUNTIFS(Connexions!$K:$K,$Q77,Connexions!$E:$E,VLOOKUP($B77,Mapping_Noms!$A:$B,2,0))=0,"",_xlfn.MINIFS(Connexions!$M:$M,Connexions!$K:$K,$Q77,Connexions!$E:$E,VLOOKUP($B77,Mapping_Noms!$A:$B,2,0))-TIME(1,0,0)),"")</f>
        <v/>
      </c>
      <c r="D77" s="234">
        <f t="array" ref="D77:D77">IFERROR(INDEX(Planning2[],MATCH(1,(Planning2[Nom]=B77)*(Planning2[Date]=Q77),0),3),"-")</f>
        <v/>
      </c>
      <c r="E77" s="235">
        <f>IFERROR(IF(COUNTIFS(Connexions!$K:$K,$Q77,Connexions!$E:$E,VLOOKUP($B77,Mapping_Noms!$A:$B,2,0))=0,"",_xlfn.MAXIFS(Connexions!$O:$O,Connexions!$K:$K,$Q77,Connexions!$E:$E,VLOOKUP($B77,Mapping_Noms!$A:$B,2,0))-TIME(1,0,0)),"")</f>
        <v/>
      </c>
      <c r="F77" s="235">
        <f t="array" ref="F77:F77">IFERROR(INDEX(Planning2[],MATCH(1,(Planning2[Nom]=B77)*(Planning2[Date]=Q77),0),4),"-")</f>
        <v/>
      </c>
      <c r="G77" s="405">
        <f>IFERROR(IF(OR(IFERROR(INDEX('Planning Pauses Dej'!$C:$C,MATCH($B77&amp;"|"&amp;TEXT($Q77,"YYYYMMDD"),'Planning Pauses Dej'!$F:$F,0)),"")="",IFERROR(INDEX('Planning Pauses Dej'!$D:$D,MATCH($B77&amp;"|"&amp;TEXT($Q77,"YYYYMMDD"),'Planning Pauses Dej'!$F:$F,0)),"")=""),"",_xlfn.MAXIFS(Connexions!$Q:$Q,Connexions!$K:$K,$Q77,Connexions!$E:$E,VLOOKUP($B77,Mapping_Noms!$A:$B,2,0),Connexions!$O:$O,"&lt;="&amp;(IFERROR(INDEX('Planning Pauses Dej'!$D:$D,MATCH($B77&amp;"|"&amp;TEXT($Q77,"YYYYMMDD"),'Planning Pauses Dej'!$F:$F,0)),"")+TIME(1,0,0)),Connexions!$P:$P,"&gt;="&amp;(IFERROR(INDEX('Planning Pauses Dej'!$C:$C,MATCH($B77&amp;"|"&amp;TEXT($Q77,"YYYYMMDD"),'Planning Pauses Dej'!$F:$F,0)),"")+TIME(1,0,0)))),"")</f>
        <v/>
      </c>
      <c r="H77" s="405">
        <f>IFERROR(IF(OR($G77="",IFERROR(INDEX('Planning Pauses Dej'!$C:$C,MATCH($B77&amp;"|"&amp;TEXT($Q77,"YYYYMMDD"),'Planning Pauses Dej'!$F:$F,0)),"")="",IFERROR(INDEX('Planning Pauses Dej'!$D:$D,MATCH($B77&amp;"|"&amp;TEXT($Q77,"YYYYMMDD"),'Planning Pauses Dej'!$F:$F,0)),"")=""),"",IF($G77&gt;(IFERROR(INDEX('Planning Pauses Dej'!$D:$D,MATCH($B77&amp;"|"&amp;TEXT($Q77,"YYYYMMDD"),'Planning Pauses Dej'!$F:$F,0)),"")-IFERROR(INDEX('Planning Pauses Dej'!$C:$C,MATCH($B77&amp;"|"&amp;TEXT($Q77,"YYYYMMDD"),'Planning Pauses Dej'!$F:$F,0)),"")),$G77-(IFERROR(INDEX('Planning Pauses Dej'!$D:$D,MATCH($B77&amp;"|"&amp;TEXT($Q77,"YYYYMMDD"),'Planning Pauses Dej'!$F:$F,0)),"")-IFERROR(INDEX('Planning Pauses Dej'!$C:$C,MATCH($B77&amp;"|"&amp;TEXT($Q77,"YYYYMMDD"),'Planning Pauses Dej'!$F:$F,0)),"")),0)),"")</f>
        <v/>
      </c>
      <c r="I77" s="251">
        <f>IF(IF(OR(C77="",D77="Congé",D77="OFF",D77="Congé spécial"),"",IF(D77&gt;F77,D77-C77,IF(C77-D77&lt;0,0,C77-D77)))&lt;0.00068287037037037,"",IF(OR(D77="Congé",D77="OFF",C77="",D77="Congé spécial"),"",IF(D77&gt;F77,D77-C77,IF(C77-D77&lt;0,0,C77-D77))))</f>
        <v/>
      </c>
      <c r="J77" s="405">
        <f>IFERROR(IF($G77="","",IF($G77&gt;TIME(1,0,0),$G77-TIME(1,0,0),0)),"")</f>
        <v/>
      </c>
      <c r="K77" s="238">
        <f>IF(SUM(H77:J77)&lt;0.00068287037037037,0,SUM(H77:J77))</f>
        <v/>
      </c>
      <c r="L77" s="236">
        <f>IF(OR(F77="Congé",F77="OFF",M77="Abs",F77="Congé sans solde",F77="Férié",F77="Congé spécial",D77="Congé spécial"),0,IF(F77-E77&lt;0,0,IF(F77-E77&lt;=0.00068287037037037,0,F77-E77)))</f>
        <v/>
      </c>
      <c r="M77" s="239">
        <f>IF(AND(O77&lt;&gt;0,C77=""),"Abs",0)</f>
        <v/>
      </c>
      <c r="N77" s="240">
        <f>IFERROR(IF(OR(D77="OFF",D77="Congé",M77="Abs",D77="Congé sans solde",D77="Férié"),"",IF(O77-K77-L77&gt;O77,O77,IF(O77-K77-L77&lt;0,"",O77-K77-L77))),"")</f>
        <v/>
      </c>
      <c r="O77" s="241">
        <f>IF(AG77="2H Pause déjeuner",IF(F77-D77-0.0833333333333333&lt;0,F77-D77-0.0833333333333333+1,F77-D77-0.0833333333333333),IF(OR(AND(F77="OFF",D77="OFF"),AND(F77="Congé",D77="Congé"),AND(F77="Congé sans solde",D77="Congé sans solde"),AND(F77="Congé spécial",D77="Congé spécial"),AND(F77="Férié",D77="Férié"),AND(F77="OFF",D77="Congé"),AND(F77="OFF",D77="Congé sans solde"),AND(F77="OFF",D77="Congé spécial"),AND(F77="OFF",D77="Férié"),AND(F77="Congé",D77="OFF"),AND(F77="Congé",D77="Congé sans solde"),AND(F77="Congé",D77="Congé spécial"),AND(F77="Congé",D77="Férié"),AND(F77="Congé sans solde",D77="OFF"),AND(F77="Congé sans solde",D77="Congé"),AND(F77="Congé sans solde",D77="Congé spécial"),AND(F77="Congé sans solde",D77="Férié"),AND(F77="Congé spécial",D77="OFF"),AND(F77="Congé spécial",D77="Congé"),AND(F77="Congé spécial",D77="Congé sans solde"),AND(F77="Congé spécial",D77="Férié"),AND(F77="Férié",D77="OFF"),AND(F77="Férié",D77="Congé"),AND(F77="Férié",D77="Congé sans solde"),AND(F77="Férié",D77="Congé spécial")),0,IF(OR(F77="OFF",F77="Congé",F77="Congé spécial",F77="Congé sans solde",D77="OFF",D77="Congé",D77="Congé spécial",D77="Congé sans solde"),0.208333333333334,IF(AND(AG77="",F77-D77&lt;0),("24:00:00"-D77)+("00:00:00"+F77)-0.0416666666666667,IF(AND(OR(AG77="Allaitement",AG77="Sans déjeuner"),F77-D77&lt;0),("24:00:00"-D77)+("00:00:00"+F77),IF(AND(AG77="",F77-D77&gt;0.166666666666667),F77-D77-0.0416666666666667,IF(AND(OR(AG77="Allaitement",AG77="Sans déjeuner"),F77-D77&gt;0.166666666666667),F77-D77,F77-D77)))))))</f>
        <v/>
      </c>
      <c r="P77" s="242">
        <f>IFERROR(VLOOKUP($B77,Annuaire_roster!$B:$G,MATCH(P$1,Annuaire_roster!$B$1:$G$1,0),0),"-")</f>
        <v/>
      </c>
      <c r="Q77" s="243" t="n">
        <v>44763</v>
      </c>
      <c r="R77" s="244">
        <f>IF(M77="Abs",O77,0)</f>
        <v/>
      </c>
      <c r="S77" s="244">
        <f>SUM(R77,L77,I77,J77,W77,H77)</f>
        <v/>
      </c>
      <c r="T77" s="209">
        <f>"Sem - "&amp;WEEKNUM(Q77,21)</f>
        <v/>
      </c>
      <c r="U77" s="209">
        <f>PROPER(TEXT(Q77,"mmmm"))</f>
        <v/>
      </c>
      <c r="V77" s="245">
        <f>+TEXT(Q77,"aaa")</f>
        <v/>
      </c>
      <c r="W77" s="240" t="n"/>
      <c r="X77" s="246">
        <f>IFERROR(IF(M77="Abs",0,IF((D77-C77+E77-F77)&lt;0.000694444444444444,0,(D77-C77+E77-F77))),0)</f>
        <v/>
      </c>
      <c r="Y77" s="247">
        <f>IFERROR(VLOOKUP(B77,Annuaire_roster!B:E,4,0),"-")</f>
        <v/>
      </c>
      <c r="Z77" s="247">
        <f>IFERROR(VLOOKUP(B77,Annuaire_roster!B:F,3,0),"-")</f>
        <v/>
      </c>
      <c r="AA77" s="247">
        <f>IFERROR(VLOOKUP(B77,Annuaire_roster!B:I,6,0),"-")</f>
        <v/>
      </c>
      <c r="AB77" s="248">
        <f>IF(AND(D77="Congé",F77="Congé"),0.333333333333333,IF(OR(AND(D77="Congé",F77&lt;&gt;"Congé"),(AND(F77="Congé",D77&lt;&gt;"Congé"))),0.166666666666667,""))</f>
        <v/>
      </c>
      <c r="AC77" s="248">
        <f>IF(AND(D77="Congé sans solde",F77="Congé sans solde"),0.333333333333333,IF(OR(AND(D77="Congé sans solde",F77&lt;&gt;"Congé sans solde"),(AND(F77="Congé sans solde",D77&lt;&gt;"Congé sans solde"))),0.166666666666667,""))</f>
        <v/>
      </c>
      <c r="AD77" s="248">
        <f>IF(AND(D77="Congé spécial",F77="Congé spécial"),0.333333333333333,IF(OR(AND(D77="Congé spécial",F77&lt;&gt;"Congé décès"),(AND(F77="Congé spécial",D77&lt;&gt;"Congé spécial"))),0.166666666666667,""))</f>
        <v/>
      </c>
      <c r="AE77" s="249">
        <f>IF(AND(D77="Férié",F77="Férié"),0.333333333333333,IF(OR(AND(D77="Férié",F77&lt;&gt;"Férié"),(AND(F77="Férié",D77&lt;&gt;"Férié"))),0.166666666666667,""))</f>
        <v/>
      </c>
      <c r="AF77" s="249" t="n"/>
      <c r="AG77" s="244" t="n"/>
    </row>
    <row r="78" hidden="1" ht="12.75" customFormat="1" customHeight="1" s="250">
      <c r="A78" s="253">
        <f>VLOOKUP(B78,Annuaire_roster!B:F,5,0)</f>
        <v/>
      </c>
      <c r="B78" s="233" t="inlineStr">
        <is>
          <t>KANTAOUI SALMA</t>
        </is>
      </c>
      <c r="C78" s="234">
        <f>IFERROR(IF(COUNTIFS(Connexions!$K:$K,$Q78,Connexions!$E:$E,VLOOKUP($B78,Mapping_Noms!$A:$B,2,0))=0,"",_xlfn.MINIFS(Connexions!$M:$M,Connexions!$K:$K,$Q78,Connexions!$E:$E,VLOOKUP($B78,Mapping_Noms!$A:$B,2,0))-TIME(1,0,0)),"")</f>
        <v/>
      </c>
      <c r="D78" s="234">
        <f t="array" ref="D78:D78">IFERROR(INDEX(Planning2[],MATCH(1,(Planning2[Nom]=B78)*(Planning2[Date]=Q78),0),3),"-")</f>
        <v/>
      </c>
      <c r="E78" s="235">
        <f>IFERROR(IF(COUNTIFS(Connexions!$K:$K,$Q78,Connexions!$E:$E,VLOOKUP($B78,Mapping_Noms!$A:$B,2,0))=0,"",_xlfn.MAXIFS(Connexions!$O:$O,Connexions!$K:$K,$Q78,Connexions!$E:$E,VLOOKUP($B78,Mapping_Noms!$A:$B,2,0))-TIME(1,0,0)),"")</f>
        <v/>
      </c>
      <c r="F78" s="235">
        <f t="array" ref="F78:F78">IFERROR(INDEX(Planning2[],MATCH(1,(Planning2[Nom]=B78)*(Planning2[Date]=Q78),0),4),"-")</f>
        <v/>
      </c>
      <c r="G78" s="405">
        <f>IFERROR(IF(OR(IFERROR(INDEX('Planning Pauses Dej'!$C:$C,MATCH($B78&amp;"|"&amp;TEXT($Q78,"YYYYMMDD"),'Planning Pauses Dej'!$F:$F,0)),"")="",IFERROR(INDEX('Planning Pauses Dej'!$D:$D,MATCH($B78&amp;"|"&amp;TEXT($Q78,"YYYYMMDD"),'Planning Pauses Dej'!$F:$F,0)),"")=""),"",_xlfn.MAXIFS(Connexions!$Q:$Q,Connexions!$K:$K,$Q78,Connexions!$E:$E,VLOOKUP($B78,Mapping_Noms!$A:$B,2,0),Connexions!$O:$O,"&lt;="&amp;(IFERROR(INDEX('Planning Pauses Dej'!$D:$D,MATCH($B78&amp;"|"&amp;TEXT($Q78,"YYYYMMDD"),'Planning Pauses Dej'!$F:$F,0)),"")+TIME(1,0,0)),Connexions!$P:$P,"&gt;="&amp;(IFERROR(INDEX('Planning Pauses Dej'!$C:$C,MATCH($B78&amp;"|"&amp;TEXT($Q78,"YYYYMMDD"),'Planning Pauses Dej'!$F:$F,0)),"")+TIME(1,0,0)))),"")</f>
        <v/>
      </c>
      <c r="H78" s="405">
        <f>IFERROR(IF(OR($G78="",IFERROR(INDEX('Planning Pauses Dej'!$C:$C,MATCH($B78&amp;"|"&amp;TEXT($Q78,"YYYYMMDD"),'Planning Pauses Dej'!$F:$F,0)),"")="",IFERROR(INDEX('Planning Pauses Dej'!$D:$D,MATCH($B78&amp;"|"&amp;TEXT($Q78,"YYYYMMDD"),'Planning Pauses Dej'!$F:$F,0)),"")=""),"",IF($G78&gt;(IFERROR(INDEX('Planning Pauses Dej'!$D:$D,MATCH($B78&amp;"|"&amp;TEXT($Q78,"YYYYMMDD"),'Planning Pauses Dej'!$F:$F,0)),"")-IFERROR(INDEX('Planning Pauses Dej'!$C:$C,MATCH($B78&amp;"|"&amp;TEXT($Q78,"YYYYMMDD"),'Planning Pauses Dej'!$F:$F,0)),"")),$G78-(IFERROR(INDEX('Planning Pauses Dej'!$D:$D,MATCH($B78&amp;"|"&amp;TEXT($Q78,"YYYYMMDD"),'Planning Pauses Dej'!$F:$F,0)),"")-IFERROR(INDEX('Planning Pauses Dej'!$C:$C,MATCH($B78&amp;"|"&amp;TEXT($Q78,"YYYYMMDD"),'Planning Pauses Dej'!$F:$F,0)),"")),0)),"")</f>
        <v/>
      </c>
      <c r="I78" s="251">
        <f>IF(IF(OR(C78="",D78="Congé",D78="OFF",D78="Congé spécial"),"",IF(D78&gt;F78,D78-C78,IF(C78-D78&lt;0,0,C78-D78)))&lt;0.00068287037037037,"",IF(OR(D78="Congé",D78="OFF",C78="",D78="Congé spécial"),"",IF(D78&gt;F78,D78-C78,IF(C78-D78&lt;0,0,C78-D78))))</f>
        <v/>
      </c>
      <c r="J78" s="405">
        <f>IFERROR(IF($G78="","",IF($G78&gt;TIME(1,0,0),$G78-TIME(1,0,0),0)),"")</f>
        <v/>
      </c>
      <c r="K78" s="238">
        <f>IF(SUM(H78:J78)&lt;0.00068287037037037,0,SUM(H78:J78))</f>
        <v/>
      </c>
      <c r="L78" s="236">
        <f>IF(OR(F78="Congé",F78="OFF",M78="Abs",F78="Congé sans solde",F78="Férié",F78="Congé spécial",D78="Congé spécial"),0,IF(F78-E78&lt;0,0,IF(F78-E78&lt;=0.00068287037037037,0,F78-E78)))</f>
        <v/>
      </c>
      <c r="M78" s="239">
        <f>IF(AND(O78&lt;&gt;0,C78=""),"Abs",0)</f>
        <v/>
      </c>
      <c r="N78" s="254">
        <f>IFERROR(IF(OR(D78="OFF",D78="Congé",M78="Abs",D78="Congé sans solde",D78="Férié"),"",IF(O78-K78-L78&gt;O78,O78,IF(O78-K78-L78&lt;0,"",O78-K78-L78))),"")</f>
        <v/>
      </c>
      <c r="O78" s="241">
        <f>IF(AG78="2H Pause déjeuner",IF(F78-D78-0.0833333333333333&lt;0,F78-D78-0.0833333333333333+1,F78-D78-0.0833333333333333),IF(OR(AND(F78="OFF",D78="OFF"),AND(F78="Congé",D78="Congé"),AND(F78="Congé sans solde",D78="Congé sans solde"),AND(F78="Congé spécial",D78="Congé spécial"),AND(F78="Férié",D78="Férié"),AND(F78="OFF",D78="Congé"),AND(F78="OFF",D78="Congé sans solde"),AND(F78="OFF",D78="Congé spécial"),AND(F78="OFF",D78="Férié"),AND(F78="Congé",D78="OFF"),AND(F78="Congé",D78="Congé sans solde"),AND(F78="Congé",D78="Congé spécial"),AND(F78="Congé",D78="Férié"),AND(F78="Congé sans solde",D78="OFF"),AND(F78="Congé sans solde",D78="Congé"),AND(F78="Congé sans solde",D78="Congé spécial"),AND(F78="Congé sans solde",D78="Férié"),AND(F78="Congé spécial",D78="OFF"),AND(F78="Congé spécial",D78="Congé"),AND(F78="Congé spécial",D78="Congé sans solde"),AND(F78="Congé spécial",D78="Férié"),AND(F78="Férié",D78="OFF"),AND(F78="Férié",D78="Congé"),AND(F78="Férié",D78="Congé sans solde"),AND(F78="Férié",D78="Congé spécial")),0,IF(OR(F78="OFF",F78="Congé",F78="Congé spécial",F78="Congé sans solde",D78="OFF",D78="Congé",D78="Congé spécial",D78="Congé sans solde"),0.208333333333334,IF(AND(AG78="",F78-D78&lt;0),("24:00:00"-D78)+("00:00:00"+F78)-0.0416666666666667,IF(AND(OR(AG78="Allaitement",AG78="Sans déjeuner"),F78-D78&lt;0),("24:00:00"-D78)+("00:00:00"+F78),IF(AND(AG78="",F78-D78&gt;0.166666666666667),F78-D78-0.0416666666666667,IF(AND(OR(AG78="Allaitement",AG78="Sans déjeuner"),F78-D78&gt;0.166666666666667),F78-D78,F78-D78)))))))</f>
        <v/>
      </c>
      <c r="P78" s="242">
        <f>IFERROR(VLOOKUP($B78,Annuaire_roster!$B:$G,MATCH(P$1,Annuaire_roster!$B$1:$G$1,0),0),"-")</f>
        <v/>
      </c>
      <c r="Q78" s="255" t="n">
        <v>44763</v>
      </c>
      <c r="R78" s="248">
        <f>IF(M78="Abs",O78,0)</f>
        <v/>
      </c>
      <c r="S78" s="248">
        <f>SUM(R78,L78,I78,J78,W78,H78)</f>
        <v/>
      </c>
      <c r="T78" s="209">
        <f>"Sem - "&amp;WEEKNUM(Q78,21)</f>
        <v/>
      </c>
      <c r="U78" s="209">
        <f>PROPER(TEXT(Q78,"mmmm"))</f>
        <v/>
      </c>
      <c r="V78" s="256">
        <f>+TEXT(Q78,"aaa")</f>
        <v/>
      </c>
      <c r="W78" s="254" t="n"/>
      <c r="X78" s="257">
        <f>IFERROR(IF(M78="Abs",0,IF((D78-C78+E78-F78)&lt;0.000694444444444444,0,(D78-C78+E78-F78))),0)</f>
        <v/>
      </c>
      <c r="Y78" s="258">
        <f>IFERROR(VLOOKUP(B78,Annuaire_roster!B:E,4,0),"-")</f>
        <v/>
      </c>
      <c r="Z78" s="258">
        <f>IFERROR(VLOOKUP(B78,Annuaire_roster!B:F,3,0),"-")</f>
        <v/>
      </c>
      <c r="AA78" s="258">
        <f>IFERROR(VLOOKUP(B78,Annuaire_roster!B:I,6,0),"-")</f>
        <v/>
      </c>
      <c r="AB78" s="248">
        <f>IF(AND(D78="Congé",F78="Congé"),0.333333333333333,IF(OR(AND(D78="Congé",F78&lt;&gt;"Congé"),(AND(F78="Congé",D78&lt;&gt;"Congé"))),0.166666666666667,""))</f>
        <v/>
      </c>
      <c r="AC78" s="248">
        <f>IF(AND(D78="Congé sans solde",F78="Congé sans solde"),0.333333333333333,IF(OR(AND(D78="Congé sans solde",F78&lt;&gt;"Congé sans solde"),(AND(F78="Congé sans solde",D78&lt;&gt;"Congé sans solde"))),0.166666666666667,""))</f>
        <v/>
      </c>
      <c r="AD78" s="248">
        <f>IF(AND(D78="Congé spécial",F78="Congé spécial"),0.333333333333333,IF(OR(AND(D78="Congé spécial",F78&lt;&gt;"Congé décès"),(AND(F78="Congé spécial",D78&lt;&gt;"Congé spécial"))),0.166666666666667,""))</f>
        <v/>
      </c>
      <c r="AE78" s="259">
        <f>IF(AND(D78="Férié",F78="Férié"),0.333333333333333,IF(OR(AND(D78="Férié",F78&lt;&gt;"Férié"),(AND(F78="Férié",D78&lt;&gt;"Férié"))),0.166666666666667,""))</f>
        <v/>
      </c>
      <c r="AF78" s="249" t="n"/>
      <c r="AG78" s="248" t="n"/>
    </row>
    <row r="79" hidden="1" ht="12.75" customHeight="1" s="231">
      <c r="A79" s="232">
        <f>VLOOKUP(B79,Annuaire_roster!B:F,5,0)</f>
        <v/>
      </c>
      <c r="B79" s="233" t="inlineStr">
        <is>
          <t>TOURE ABIBOU</t>
        </is>
      </c>
      <c r="C79" s="234">
        <f>IFERROR(IF(COUNTIFS(Connexions!$K:$K,$Q79,Connexions!$E:$E,VLOOKUP($B79,Mapping_Noms!$A:$B,2,0))=0,"",_xlfn.MINIFS(Connexions!$M:$M,Connexions!$K:$K,$Q79,Connexions!$E:$E,VLOOKUP($B79,Mapping_Noms!$A:$B,2,0))-TIME(1,0,0)),"")</f>
        <v/>
      </c>
      <c r="D79" s="234">
        <f t="array" ref="D79:D79">IFERROR(INDEX(Planning2[],MATCH(1,(Planning2[Nom]=B79)*(Planning2[Date]=Q79),0),3),"-")</f>
        <v/>
      </c>
      <c r="E79" s="235">
        <f>IFERROR(IF(COUNTIFS(Connexions!$K:$K,$Q79,Connexions!$E:$E,VLOOKUP($B79,Mapping_Noms!$A:$B,2,0))=0,"",_xlfn.MAXIFS(Connexions!$O:$O,Connexions!$K:$K,$Q79,Connexions!$E:$E,VLOOKUP($B79,Mapping_Noms!$A:$B,2,0))-TIME(1,0,0)),"")</f>
        <v/>
      </c>
      <c r="F79" s="235">
        <f t="array" ref="F79:F79">IFERROR(INDEX(Planning2[],MATCH(1,(Planning2[Nom]=B79)*(Planning2[Date]=Q79),0),4),"-")</f>
        <v/>
      </c>
      <c r="G79" s="405">
        <f>IFERROR(IF(OR(IFERROR(INDEX('Planning Pauses Dej'!$C:$C,MATCH($B79&amp;"|"&amp;TEXT($Q79,"YYYYMMDD"),'Planning Pauses Dej'!$F:$F,0)),"")="",IFERROR(INDEX('Planning Pauses Dej'!$D:$D,MATCH($B79&amp;"|"&amp;TEXT($Q79,"YYYYMMDD"),'Planning Pauses Dej'!$F:$F,0)),"")=""),"",_xlfn.MAXIFS(Connexions!$Q:$Q,Connexions!$K:$K,$Q79,Connexions!$E:$E,VLOOKUP($B79,Mapping_Noms!$A:$B,2,0),Connexions!$O:$O,"&lt;="&amp;(IFERROR(INDEX('Planning Pauses Dej'!$D:$D,MATCH($B79&amp;"|"&amp;TEXT($Q79,"YYYYMMDD"),'Planning Pauses Dej'!$F:$F,0)),"")+TIME(1,0,0)),Connexions!$P:$P,"&gt;="&amp;(IFERROR(INDEX('Planning Pauses Dej'!$C:$C,MATCH($B79&amp;"|"&amp;TEXT($Q79,"YYYYMMDD"),'Planning Pauses Dej'!$F:$F,0)),"")+TIME(1,0,0)))),"")</f>
        <v/>
      </c>
      <c r="H79" s="405">
        <f>IFERROR(IF(OR($G79="",IFERROR(INDEX('Planning Pauses Dej'!$C:$C,MATCH($B79&amp;"|"&amp;TEXT($Q79,"YYYYMMDD"),'Planning Pauses Dej'!$F:$F,0)),"")="",IFERROR(INDEX('Planning Pauses Dej'!$D:$D,MATCH($B79&amp;"|"&amp;TEXT($Q79,"YYYYMMDD"),'Planning Pauses Dej'!$F:$F,0)),"")=""),"",IF($G79&gt;(IFERROR(INDEX('Planning Pauses Dej'!$D:$D,MATCH($B79&amp;"|"&amp;TEXT($Q79,"YYYYMMDD"),'Planning Pauses Dej'!$F:$F,0)),"")-IFERROR(INDEX('Planning Pauses Dej'!$C:$C,MATCH($B79&amp;"|"&amp;TEXT($Q79,"YYYYMMDD"),'Planning Pauses Dej'!$F:$F,0)),"")),$G79-(IFERROR(INDEX('Planning Pauses Dej'!$D:$D,MATCH($B79&amp;"|"&amp;TEXT($Q79,"YYYYMMDD"),'Planning Pauses Dej'!$F:$F,0)),"")-IFERROR(INDEX('Planning Pauses Dej'!$C:$C,MATCH($B79&amp;"|"&amp;TEXT($Q79,"YYYYMMDD"),'Planning Pauses Dej'!$F:$F,0)),"")),0)),"")</f>
        <v/>
      </c>
      <c r="I79" s="251">
        <f>IF(IF(OR(C79="",D79="Congé",D79="OFF",D79="Congé spécial"),"",IF(D79&gt;F79,D79-C79,IF(C79-D79&lt;0,0,C79-D79)))&lt;0.00068287037037037,"",IF(OR(D79="Congé",D79="OFF",C79="",D79="Congé spécial"),"",IF(D79&gt;F79,D79-C79,IF(C79-D79&lt;0,0,C79-D79))))</f>
        <v/>
      </c>
      <c r="J79" s="405">
        <f>IFERROR(IF($G79="","",IF($G79&gt;TIME(1,0,0),$G79-TIME(1,0,0),0)),"")</f>
        <v/>
      </c>
      <c r="K79" s="238">
        <f>IF(SUM(H79:J79)&lt;0.00068287037037037,0,SUM(H79:J79))</f>
        <v/>
      </c>
      <c r="L79" s="236">
        <f>IF(OR(F79="Congé",F79="OFF",M79="Abs",F79="Congé sans solde",F79="Férié",F79="Congé spécial",D79="Congé spécial"),0,IF(F79-E79&lt;0,0,IF(F79-E79&lt;=0.00068287037037037,0,F79-E79)))</f>
        <v/>
      </c>
      <c r="M79" s="239">
        <f>IF(AND(O79&lt;&gt;0,C79=""),"Abs",0)</f>
        <v/>
      </c>
      <c r="N79" s="240">
        <f>IFERROR(IF(OR(D79="OFF",D79="Congé",M79="Abs",D79="Congé sans solde",D79="Férié"),"",IF(O79-K79-L79&gt;O79,O79,IF(O79-K79-L79&lt;0,"",O79-K79-L79))),"")</f>
        <v/>
      </c>
      <c r="O79" s="241">
        <f>IF(AG79="2H Pause déjeuner",IF(F79-D79-0.0833333333333333&lt;0,F79-D79-0.0833333333333333+1,F79-D79-0.0833333333333333),IF(OR(AND(F79="OFF",D79="OFF"),AND(F79="Congé",D79="Congé"),AND(F79="Congé sans solde",D79="Congé sans solde"),AND(F79="Congé spécial",D79="Congé spécial"),AND(F79="Férié",D79="Férié"),AND(F79="OFF",D79="Congé"),AND(F79="OFF",D79="Congé sans solde"),AND(F79="OFF",D79="Congé spécial"),AND(F79="OFF",D79="Férié"),AND(F79="Congé",D79="OFF"),AND(F79="Congé",D79="Congé sans solde"),AND(F79="Congé",D79="Congé spécial"),AND(F79="Congé",D79="Férié"),AND(F79="Congé sans solde",D79="OFF"),AND(F79="Congé sans solde",D79="Congé"),AND(F79="Congé sans solde",D79="Congé spécial"),AND(F79="Congé sans solde",D79="Férié"),AND(F79="Congé spécial",D79="OFF"),AND(F79="Congé spécial",D79="Congé"),AND(F79="Congé spécial",D79="Congé sans solde"),AND(F79="Congé spécial",D79="Férié"),AND(F79="Férié",D79="OFF"),AND(F79="Férié",D79="Congé"),AND(F79="Férié",D79="Congé sans solde"),AND(F79="Férié",D79="Congé spécial")),0,IF(OR(F79="OFF",F79="Congé",F79="Congé spécial",F79="Congé sans solde",D79="OFF",D79="Congé",D79="Congé spécial",D79="Congé sans solde"),0.208333333333334,IF(AND(AG79="",F79-D79&lt;0),("24:00:00"-D79)+("00:00:00"+F79)-0.0416666666666667,IF(AND(OR(AG79="Allaitement",AG79="Sans déjeuner"),F79-D79&lt;0),("24:00:00"-D79)+("00:00:00"+F79),IF(AND(AG79="",F79-D79&gt;0.166666666666667),F79-D79-0.0416666666666667,IF(AND(OR(AG79="Allaitement",AG79="Sans déjeuner"),F79-D79&gt;0.166666666666667),F79-D79,F79-D79)))))))</f>
        <v/>
      </c>
      <c r="P79" s="242">
        <f>IFERROR(VLOOKUP($B79,Annuaire_roster!$B:$G,MATCH(P$1,Annuaire_roster!$B$1:$G$1,0),0),"-")</f>
        <v/>
      </c>
      <c r="Q79" s="243" t="n">
        <v>44763</v>
      </c>
      <c r="R79" s="244">
        <f>IF(M79="Abs",O79,0)</f>
        <v/>
      </c>
      <c r="S79" s="244">
        <f>SUM(R79,L79,I79,J79,W79,H79)</f>
        <v/>
      </c>
      <c r="T79" s="209">
        <f>"Sem - "&amp;WEEKNUM(Q79,21)</f>
        <v/>
      </c>
      <c r="U79" s="209">
        <f>PROPER(TEXT(Q79,"mmmm"))</f>
        <v/>
      </c>
      <c r="V79" s="245">
        <f>+TEXT(Q79,"aaa")</f>
        <v/>
      </c>
      <c r="W79" s="240" t="n"/>
      <c r="X79" s="246">
        <f>IFERROR(IF(M79="Abs",0,IF((D79-C79+E79-F79)&lt;0.000694444444444444,0,(D79-C79+E79-F79))),0)</f>
        <v/>
      </c>
      <c r="Y79" s="247">
        <f>IFERROR(VLOOKUP(B79,Annuaire_roster!B:E,4,0),"-")</f>
        <v/>
      </c>
      <c r="Z79" s="247">
        <f>IFERROR(VLOOKUP(B79,Annuaire_roster!B:F,3,0),"-")</f>
        <v/>
      </c>
      <c r="AA79" s="247">
        <f>IFERROR(VLOOKUP(B79,Annuaire_roster!B:I,6,0),"-")</f>
        <v/>
      </c>
      <c r="AB79" s="248">
        <f>IF(AND(D79="Congé",F79="Congé"),0.333333333333333,IF(OR(AND(D79="Congé",F79&lt;&gt;"Congé"),(AND(F79="Congé",D79&lt;&gt;"Congé"))),0.166666666666667,""))</f>
        <v/>
      </c>
      <c r="AC79" s="248">
        <f>IF(AND(D79="Congé sans solde",F79="Congé sans solde"),0.333333333333333,IF(OR(AND(D79="Congé sans solde",F79&lt;&gt;"Congé sans solde"),(AND(F79="Congé sans solde",D79&lt;&gt;"Congé sans solde"))),0.166666666666667,""))</f>
        <v/>
      </c>
      <c r="AD79" s="248">
        <f>IF(AND(D79="Congé spécial",F79="Congé spécial"),0.333333333333333,IF(OR(AND(D79="Congé spécial",F79&lt;&gt;"Congé décès"),(AND(F79="Congé spécial",D79&lt;&gt;"Congé spécial"))),0.166666666666667,""))</f>
        <v/>
      </c>
      <c r="AE79" s="249">
        <f>IF(AND(D79="Férié",F79="Férié"),0.333333333333333,IF(OR(AND(D79="Férié",F79&lt;&gt;"Férié"),(AND(F79="Férié",D79&lt;&gt;"Férié"))),0.166666666666667,""))</f>
        <v/>
      </c>
      <c r="AF79" s="249" t="n"/>
      <c r="AG79" s="244" t="n"/>
    </row>
    <row r="80" hidden="1" ht="12.75" customHeight="1" s="231">
      <c r="A80" s="232">
        <f>VLOOKUP(B80,Annuaire_roster!B:F,5,0)</f>
        <v/>
      </c>
      <c r="B80" s="233" t="inlineStr">
        <is>
          <t>NUNEZ LUCIEN BERNARD</t>
        </is>
      </c>
      <c r="C80" s="234">
        <f>IFERROR(IF(COUNTIFS(Connexions!$K:$K,$Q80,Connexions!$E:$E,VLOOKUP($B80,Mapping_Noms!$A:$B,2,0))=0,"",_xlfn.MINIFS(Connexions!$M:$M,Connexions!$K:$K,$Q80,Connexions!$E:$E,VLOOKUP($B80,Mapping_Noms!$A:$B,2,0))-TIME(1,0,0)),"")</f>
        <v/>
      </c>
      <c r="D80" s="234">
        <f t="array" ref="D80:D80">IFERROR(INDEX(Planning2[],MATCH(1,(Planning2[Nom]=B80)*(Planning2[Date]=Q80),0),3),"-")</f>
        <v/>
      </c>
      <c r="E80" s="235">
        <f>IFERROR(IF(COUNTIFS(Connexions!$K:$K,$Q80,Connexions!$E:$E,VLOOKUP($B80,Mapping_Noms!$A:$B,2,0))=0,"",_xlfn.MAXIFS(Connexions!$O:$O,Connexions!$K:$K,$Q80,Connexions!$E:$E,VLOOKUP($B80,Mapping_Noms!$A:$B,2,0))-TIME(1,0,0)),"")</f>
        <v/>
      </c>
      <c r="F80" s="235">
        <f t="array" ref="F80:F80">IFERROR(INDEX(Planning2[],MATCH(1,(Planning2[Nom]=B80)*(Planning2[Date]=Q80),0),4),"-")</f>
        <v/>
      </c>
      <c r="G80" s="405">
        <f>IFERROR(IF(OR(IFERROR(INDEX('Planning Pauses Dej'!$C:$C,MATCH($B80&amp;"|"&amp;TEXT($Q80,"YYYYMMDD"),'Planning Pauses Dej'!$F:$F,0)),"")="",IFERROR(INDEX('Planning Pauses Dej'!$D:$D,MATCH($B80&amp;"|"&amp;TEXT($Q80,"YYYYMMDD"),'Planning Pauses Dej'!$F:$F,0)),"")=""),"",_xlfn.MAXIFS(Connexions!$Q:$Q,Connexions!$K:$K,$Q80,Connexions!$E:$E,VLOOKUP($B80,Mapping_Noms!$A:$B,2,0),Connexions!$O:$O,"&lt;="&amp;(IFERROR(INDEX('Planning Pauses Dej'!$D:$D,MATCH($B80&amp;"|"&amp;TEXT($Q80,"YYYYMMDD"),'Planning Pauses Dej'!$F:$F,0)),"")+TIME(1,0,0)),Connexions!$P:$P,"&gt;="&amp;(IFERROR(INDEX('Planning Pauses Dej'!$C:$C,MATCH($B80&amp;"|"&amp;TEXT($Q80,"YYYYMMDD"),'Planning Pauses Dej'!$F:$F,0)),"")+TIME(1,0,0)))),"")</f>
        <v/>
      </c>
      <c r="H80" s="405">
        <f>IFERROR(IF(OR($G80="",IFERROR(INDEX('Planning Pauses Dej'!$C:$C,MATCH($B80&amp;"|"&amp;TEXT($Q80,"YYYYMMDD"),'Planning Pauses Dej'!$F:$F,0)),"")="",IFERROR(INDEX('Planning Pauses Dej'!$D:$D,MATCH($B80&amp;"|"&amp;TEXT($Q80,"YYYYMMDD"),'Planning Pauses Dej'!$F:$F,0)),"")=""),"",IF($G80&gt;(IFERROR(INDEX('Planning Pauses Dej'!$D:$D,MATCH($B80&amp;"|"&amp;TEXT($Q80,"YYYYMMDD"),'Planning Pauses Dej'!$F:$F,0)),"")-IFERROR(INDEX('Planning Pauses Dej'!$C:$C,MATCH($B80&amp;"|"&amp;TEXT($Q80,"YYYYMMDD"),'Planning Pauses Dej'!$F:$F,0)),"")),$G80-(IFERROR(INDEX('Planning Pauses Dej'!$D:$D,MATCH($B80&amp;"|"&amp;TEXT($Q80,"YYYYMMDD"),'Planning Pauses Dej'!$F:$F,0)),"")-IFERROR(INDEX('Planning Pauses Dej'!$C:$C,MATCH($B80&amp;"|"&amp;TEXT($Q80,"YYYYMMDD"),'Planning Pauses Dej'!$F:$F,0)),"")),0)),"")</f>
        <v/>
      </c>
      <c r="I80" s="251">
        <f>IF(IF(OR(C80="",D80="Congé",D80="OFF",D80="Congé spécial"),"",IF(D80&gt;F80,D80-C80,IF(C80-D80&lt;0,0,C80-D80)))&lt;0.00068287037037037,"",IF(OR(D80="Congé",D80="OFF",C80="",D80="Congé spécial"),"",IF(D80&gt;F80,D80-C80,IF(C80-D80&lt;0,0,C80-D80))))</f>
        <v/>
      </c>
      <c r="J80" s="405">
        <f>IFERROR(IF($G80="","",IF($G80&gt;TIME(1,0,0),$G80-TIME(1,0,0),0)),"")</f>
        <v/>
      </c>
      <c r="K80" s="238">
        <f>IF(SUM(H80:J80)&lt;0.00068287037037037,0,SUM(H80:J80))</f>
        <v/>
      </c>
      <c r="L80" s="236">
        <f>IF(OR(F80="Congé",F80="OFF",M80="Abs",F80="Congé sans solde",F80="Férié",F80="Congé spécial",D80="Congé spécial"),0,IF(F80-E80&lt;0,0,IF(F80-E80&lt;=0.00068287037037037,0,F80-E80)))</f>
        <v/>
      </c>
      <c r="M80" s="239">
        <f>IF(AND(O80&lt;&gt;0,C80=""),"Abs",0)</f>
        <v/>
      </c>
      <c r="N80" s="240">
        <f>IFERROR(IF(OR(D80="OFF",D80="Congé",M80="Abs",D80="Congé sans solde",D80="Férié"),"",IF(O80-K80-L80&gt;O80,O80,IF(O80-K80-L80&lt;0,"",O80-K80-L80))),"")</f>
        <v/>
      </c>
      <c r="O80" s="241">
        <f>IF(AG80="2H Pause déjeuner",IF(F80-D80-0.0833333333333333&lt;0,F80-D80-0.0833333333333333+1,F80-D80-0.0833333333333333),IF(OR(AND(F80="OFF",D80="OFF"),AND(F80="Congé",D80="Congé"),AND(F80="Congé sans solde",D80="Congé sans solde"),AND(F80="Congé spécial",D80="Congé spécial"),AND(F80="Férié",D80="Férié"),AND(F80="OFF",D80="Congé"),AND(F80="OFF",D80="Congé sans solde"),AND(F80="OFF",D80="Congé spécial"),AND(F80="OFF",D80="Férié"),AND(F80="Congé",D80="OFF"),AND(F80="Congé",D80="Congé sans solde"),AND(F80="Congé",D80="Congé spécial"),AND(F80="Congé",D80="Férié"),AND(F80="Congé sans solde",D80="OFF"),AND(F80="Congé sans solde",D80="Congé"),AND(F80="Congé sans solde",D80="Congé spécial"),AND(F80="Congé sans solde",D80="Férié"),AND(F80="Congé spécial",D80="OFF"),AND(F80="Congé spécial",D80="Congé"),AND(F80="Congé spécial",D80="Congé sans solde"),AND(F80="Congé spécial",D80="Férié"),AND(F80="Férié",D80="OFF"),AND(F80="Férié",D80="Congé"),AND(F80="Férié",D80="Congé sans solde"),AND(F80="Férié",D80="Congé spécial")),0,IF(OR(F80="OFF",F80="Congé",F80="Congé spécial",F80="Congé sans solde",D80="OFF",D80="Congé",D80="Congé spécial",D80="Congé sans solde"),0.208333333333334,IF(AND(AG80="",F80-D80&lt;0),("24:00:00"-D80)+("00:00:00"+F80)-0.0416666666666667,IF(AND(OR(AG80="Allaitement",AG80="Sans déjeuner"),F80-D80&lt;0),("24:00:00"-D80)+("00:00:00"+F80),IF(AND(AG80="",F80-D80&gt;0.166666666666667),F80-D80-0.0416666666666667,IF(AND(OR(AG80="Allaitement",AG80="Sans déjeuner"),F80-D80&gt;0.166666666666667),F80-D80,F80-D80)))))))</f>
        <v/>
      </c>
      <c r="P80" s="242">
        <f>IFERROR(VLOOKUP($B80,Annuaire_roster!$B:$G,MATCH(P$1,Annuaire_roster!$B$1:$G$1,0),0),"-")</f>
        <v/>
      </c>
      <c r="Q80" s="243" t="n">
        <v>44763</v>
      </c>
      <c r="R80" s="244">
        <f>IF(M80="Abs",O80,0)</f>
        <v/>
      </c>
      <c r="S80" s="244">
        <f>SUM(R80,L80,I80,J80,W80,H80)</f>
        <v/>
      </c>
      <c r="T80" s="209">
        <f>"Sem - "&amp;WEEKNUM(Q80,21)</f>
        <v/>
      </c>
      <c r="U80" s="209">
        <f>PROPER(TEXT(Q80,"mmmm"))</f>
        <v/>
      </c>
      <c r="V80" s="245">
        <f>+TEXT(Q80,"aaa")</f>
        <v/>
      </c>
      <c r="W80" s="240" t="n"/>
      <c r="X80" s="246">
        <f>IFERROR(IF(M80="Abs",0,IF((D80-C80+E80-F80)&lt;0.000694444444444444,0,(D80-C80+E80-F80))),0)</f>
        <v/>
      </c>
      <c r="Y80" s="247">
        <f>IFERROR(VLOOKUP(B80,Annuaire_roster!B:E,4,0),"-")</f>
        <v/>
      </c>
      <c r="Z80" s="247">
        <f>IFERROR(VLOOKUP(B80,Annuaire_roster!B:F,3,0),"-")</f>
        <v/>
      </c>
      <c r="AA80" s="247">
        <f>IFERROR(VLOOKUP(B80,Annuaire_roster!B:I,6,0),"-")</f>
        <v/>
      </c>
      <c r="AB80" s="248">
        <f>IF(AND(D80="Congé",F80="Congé"),0.333333333333333,IF(OR(AND(D80="Congé",F80&lt;&gt;"Congé"),(AND(F80="Congé",D80&lt;&gt;"Congé"))),0.166666666666667,""))</f>
        <v/>
      </c>
      <c r="AC80" s="248">
        <f>IF(AND(D80="Congé sans solde",F80="Congé sans solde"),0.333333333333333,IF(OR(AND(D80="Congé sans solde",F80&lt;&gt;"Congé sans solde"),(AND(F80="Congé sans solde",D80&lt;&gt;"Congé sans solde"))),0.166666666666667,""))</f>
        <v/>
      </c>
      <c r="AD80" s="248">
        <f>IF(AND(D80="Congé spécial",F80="Congé spécial"),0.333333333333333,IF(OR(AND(D80="Congé spécial",F80&lt;&gt;"Congé décès"),(AND(F80="Congé spécial",D80&lt;&gt;"Congé spécial"))),0.166666666666667,""))</f>
        <v/>
      </c>
      <c r="AE80" s="249">
        <f>IF(AND(D80="Férié",F80="Férié"),0.333333333333333,IF(OR(AND(D80="Férié",F80&lt;&gt;"Férié"),(AND(F80="Férié",D80&lt;&gt;"Férié"))),0.166666666666667,""))</f>
        <v/>
      </c>
      <c r="AF80" s="249" t="n"/>
      <c r="AG80" s="244" t="n"/>
    </row>
    <row r="81" hidden="1" ht="12.75" customHeight="1" s="231">
      <c r="A81" s="232">
        <f>VLOOKUP(B81,Annuaire_roster!B:F,5,0)</f>
        <v/>
      </c>
      <c r="B81" s="233" t="inlineStr">
        <is>
          <t>SECK DIARRA</t>
        </is>
      </c>
      <c r="C81" s="234">
        <f>IFERROR(IF(COUNTIFS(Connexions!$K:$K,$Q81,Connexions!$E:$E,VLOOKUP($B81,Mapping_Noms!$A:$B,2,0))=0,"",_xlfn.MINIFS(Connexions!$M:$M,Connexions!$K:$K,$Q81,Connexions!$E:$E,VLOOKUP($B81,Mapping_Noms!$A:$B,2,0))-TIME(1,0,0)),"")</f>
        <v/>
      </c>
      <c r="D81" s="234">
        <f t="array" ref="D81:D81">IFERROR(INDEX(Planning2[],MATCH(1,(Planning2[Nom]=B81)*(Planning2[Date]=Q81),0),3),"-")</f>
        <v/>
      </c>
      <c r="E81" s="235">
        <f>IFERROR(IF(COUNTIFS(Connexions!$K:$K,$Q81,Connexions!$E:$E,VLOOKUP($B81,Mapping_Noms!$A:$B,2,0))=0,"",_xlfn.MAXIFS(Connexions!$O:$O,Connexions!$K:$K,$Q81,Connexions!$E:$E,VLOOKUP($B81,Mapping_Noms!$A:$B,2,0))-TIME(1,0,0)),"")</f>
        <v/>
      </c>
      <c r="F81" s="235">
        <f t="array" ref="F81:F81">IFERROR(INDEX(Planning2[],MATCH(1,(Planning2[Nom]=B81)*(Planning2[Date]=Q81),0),4),"-")</f>
        <v/>
      </c>
      <c r="G81" s="405">
        <f>IFERROR(IF(OR(IFERROR(INDEX('Planning Pauses Dej'!$C:$C,MATCH($B81&amp;"|"&amp;TEXT($Q81,"YYYYMMDD"),'Planning Pauses Dej'!$F:$F,0)),"")="",IFERROR(INDEX('Planning Pauses Dej'!$D:$D,MATCH($B81&amp;"|"&amp;TEXT($Q81,"YYYYMMDD"),'Planning Pauses Dej'!$F:$F,0)),"")=""),"",_xlfn.MAXIFS(Connexions!$Q:$Q,Connexions!$K:$K,$Q81,Connexions!$E:$E,VLOOKUP($B81,Mapping_Noms!$A:$B,2,0),Connexions!$O:$O,"&lt;="&amp;(IFERROR(INDEX('Planning Pauses Dej'!$D:$D,MATCH($B81&amp;"|"&amp;TEXT($Q81,"YYYYMMDD"),'Planning Pauses Dej'!$F:$F,0)),"")+TIME(1,0,0)),Connexions!$P:$P,"&gt;="&amp;(IFERROR(INDEX('Planning Pauses Dej'!$C:$C,MATCH($B81&amp;"|"&amp;TEXT($Q81,"YYYYMMDD"),'Planning Pauses Dej'!$F:$F,0)),"")+TIME(1,0,0)))),"")</f>
        <v/>
      </c>
      <c r="H81" s="405">
        <f>IFERROR(IF(OR($G81="",IFERROR(INDEX('Planning Pauses Dej'!$C:$C,MATCH($B81&amp;"|"&amp;TEXT($Q81,"YYYYMMDD"),'Planning Pauses Dej'!$F:$F,0)),"")="",IFERROR(INDEX('Planning Pauses Dej'!$D:$D,MATCH($B81&amp;"|"&amp;TEXT($Q81,"YYYYMMDD"),'Planning Pauses Dej'!$F:$F,0)),"")=""),"",IF($G81&gt;(IFERROR(INDEX('Planning Pauses Dej'!$D:$D,MATCH($B81&amp;"|"&amp;TEXT($Q81,"YYYYMMDD"),'Planning Pauses Dej'!$F:$F,0)),"")-IFERROR(INDEX('Planning Pauses Dej'!$C:$C,MATCH($B81&amp;"|"&amp;TEXT($Q81,"YYYYMMDD"),'Planning Pauses Dej'!$F:$F,0)),"")),$G81-(IFERROR(INDEX('Planning Pauses Dej'!$D:$D,MATCH($B81&amp;"|"&amp;TEXT($Q81,"YYYYMMDD"),'Planning Pauses Dej'!$F:$F,0)),"")-IFERROR(INDEX('Planning Pauses Dej'!$C:$C,MATCH($B81&amp;"|"&amp;TEXT($Q81,"YYYYMMDD"),'Planning Pauses Dej'!$F:$F,0)),"")),0)),"")</f>
        <v/>
      </c>
      <c r="I81" s="251">
        <f>IF(IF(OR(C81="",D81="Congé",D81="OFF",D81="Congé spécial"),"",IF(D81&gt;F81,D81-C81,IF(C81-D81&lt;0,0,C81-D81)))&lt;0.00068287037037037,"",IF(OR(D81="Congé",D81="OFF",C81="",D81="Congé spécial"),"",IF(D81&gt;F81,D81-C81,IF(C81-D81&lt;0,0,C81-D81))))</f>
        <v/>
      </c>
      <c r="J81" s="405">
        <f>IFERROR(IF($G81="","",IF($G81&gt;TIME(1,0,0),$G81-TIME(1,0,0),0)),"")</f>
        <v/>
      </c>
      <c r="K81" s="238">
        <f>IF(SUM(H81:J81)&lt;0.00068287037037037,0,SUM(H81:J81))</f>
        <v/>
      </c>
      <c r="L81" s="236">
        <f>IF(OR(F81="Congé",F81="OFF",M81="Abs",F81="Congé sans solde",F81="Férié",F81="Congé spécial",D81="Congé spécial"),0,IF(F81-E81&lt;0,0,IF(F81-E81&lt;=0.00068287037037037,0,F81-E81)))</f>
        <v/>
      </c>
      <c r="M81" s="239">
        <f>IF(AND(O81&lt;&gt;0,C81=""),"Abs",0)</f>
        <v/>
      </c>
      <c r="N81" s="240">
        <f>IFERROR(IF(OR(D81="OFF",D81="Congé",M81="Abs",D81="Congé sans solde",D81="Férié"),"",IF(O81-K81-L81&gt;O81,O81,IF(O81-K81-L81&lt;0,"",O81-K81-L81))),"")</f>
        <v/>
      </c>
      <c r="O81" s="241">
        <f>IF(AG81="2H Pause déjeuner",IF(F81-D81-0.0833333333333333&lt;0,F81-D81-0.0833333333333333+1,F81-D81-0.0833333333333333),IF(OR(AND(F81="OFF",D81="OFF"),AND(F81="Congé",D81="Congé"),AND(F81="Congé sans solde",D81="Congé sans solde"),AND(F81="Congé spécial",D81="Congé spécial"),AND(F81="Férié",D81="Férié"),AND(F81="OFF",D81="Congé"),AND(F81="OFF",D81="Congé sans solde"),AND(F81="OFF",D81="Congé spécial"),AND(F81="OFF",D81="Férié"),AND(F81="Congé",D81="OFF"),AND(F81="Congé",D81="Congé sans solde"),AND(F81="Congé",D81="Congé spécial"),AND(F81="Congé",D81="Férié"),AND(F81="Congé sans solde",D81="OFF"),AND(F81="Congé sans solde",D81="Congé"),AND(F81="Congé sans solde",D81="Congé spécial"),AND(F81="Congé sans solde",D81="Férié"),AND(F81="Congé spécial",D81="OFF"),AND(F81="Congé spécial",D81="Congé"),AND(F81="Congé spécial",D81="Congé sans solde"),AND(F81="Congé spécial",D81="Férié"),AND(F81="Férié",D81="OFF"),AND(F81="Férié",D81="Congé"),AND(F81="Férié",D81="Congé sans solde"),AND(F81="Férié",D81="Congé spécial")),0,IF(OR(F81="OFF",F81="Congé",F81="Congé spécial",F81="Congé sans solde",D81="OFF",D81="Congé",D81="Congé spécial",D81="Congé sans solde"),0.208333333333334,IF(AND(AG81="",F81-D81&lt;0),("24:00:00"-D81)+("00:00:00"+F81)-0.0416666666666667,IF(AND(OR(AG81="Allaitement",AG81="Sans déjeuner"),F81-D81&lt;0),("24:00:00"-D81)+("00:00:00"+F81),IF(AND(AG81="",F81-D81&gt;0.166666666666667),F81-D81-0.0416666666666667,IF(AND(OR(AG81="Allaitement",AG81="Sans déjeuner"),F81-D81&gt;0.166666666666667),F81-D81,F81-D81)))))))</f>
        <v/>
      </c>
      <c r="P81" s="242">
        <f>IFERROR(VLOOKUP($B81,Annuaire_roster!$B:$G,MATCH(P$1,Annuaire_roster!$B$1:$G$1,0),0),"-")</f>
        <v/>
      </c>
      <c r="Q81" s="243" t="n">
        <v>44763</v>
      </c>
      <c r="R81" s="244">
        <f>IF(M81="Abs",O81,0)</f>
        <v/>
      </c>
      <c r="S81" s="244">
        <f>SUM(R81,L81,I81,J81,W81,H81)</f>
        <v/>
      </c>
      <c r="T81" s="209">
        <f>"Sem - "&amp;WEEKNUM(Q81,21)</f>
        <v/>
      </c>
      <c r="U81" s="209">
        <f>PROPER(TEXT(Q81,"mmmm"))</f>
        <v/>
      </c>
      <c r="V81" s="245">
        <f>+TEXT(Q81,"aaa")</f>
        <v/>
      </c>
      <c r="W81" s="240" t="n"/>
      <c r="X81" s="246">
        <f>IFERROR(IF(M81="Abs",0,IF((D81-C81+E81-F81)&lt;0.000694444444444444,0,(D81-C81+E81-F81))),0)</f>
        <v/>
      </c>
      <c r="Y81" s="247">
        <f>IFERROR(VLOOKUP(B81,Annuaire_roster!B:E,4,0),"-")</f>
        <v/>
      </c>
      <c r="Z81" s="247">
        <f>IFERROR(VLOOKUP(B81,Annuaire_roster!B:F,3,0),"-")</f>
        <v/>
      </c>
      <c r="AA81" s="247">
        <f>IFERROR(VLOOKUP(B81,Annuaire_roster!B:I,6,0),"-")</f>
        <v/>
      </c>
      <c r="AB81" s="248">
        <f>IF(AND(D81="Congé",F81="Congé"),0.333333333333333,IF(OR(AND(D81="Congé",F81&lt;&gt;"Congé"),(AND(F81="Congé",D81&lt;&gt;"Congé"))),0.166666666666667,""))</f>
        <v/>
      </c>
      <c r="AC81" s="248">
        <f>IF(AND(D81="Congé sans solde",F81="Congé sans solde"),0.333333333333333,IF(OR(AND(D81="Congé sans solde",F81&lt;&gt;"Congé sans solde"),(AND(F81="Congé sans solde",D81&lt;&gt;"Congé sans solde"))),0.166666666666667,""))</f>
        <v/>
      </c>
      <c r="AD81" s="248">
        <f>IF(AND(D81="Congé spécial",F81="Congé spécial"),0.333333333333333,IF(OR(AND(D81="Congé spécial",F81&lt;&gt;"Congé décès"),(AND(F81="Congé spécial",D81&lt;&gt;"Congé spécial"))),0.166666666666667,""))</f>
        <v/>
      </c>
      <c r="AE81" s="249">
        <f>IF(AND(D81="Férié",F81="Férié"),0.333333333333333,IF(OR(AND(D81="Férié",F81&lt;&gt;"Férié"),(AND(F81="Férié",D81&lt;&gt;"Férié"))),0.166666666666667,""))</f>
        <v/>
      </c>
      <c r="AF81" s="249" t="n"/>
      <c r="AG81" s="244" t="n"/>
    </row>
    <row r="82" hidden="1" ht="12.75" customHeight="1" s="231">
      <c r="A82" s="232">
        <f>VLOOKUP(B82,Annuaire_roster!B:F,5,0)</f>
        <v/>
      </c>
      <c r="B82" s="233" t="inlineStr">
        <is>
          <t>BENSAR ANAS</t>
        </is>
      </c>
      <c r="C82" s="234">
        <f>IFERROR(IF(COUNTIFS(Connexions!$K:$K,$Q82,Connexions!$E:$E,VLOOKUP($B82,Mapping_Noms!$A:$B,2,0))=0,"",_xlfn.MINIFS(Connexions!$M:$M,Connexions!$K:$K,$Q82,Connexions!$E:$E,VLOOKUP($B82,Mapping_Noms!$A:$B,2,0))-TIME(1,0,0)),"")</f>
        <v/>
      </c>
      <c r="D82" s="234">
        <f t="array" ref="D82:D82">IFERROR(INDEX(Planning2[],MATCH(1,(Planning2[Nom]=B82)*(Planning2[Date]=Q82),0),3),"-")</f>
        <v/>
      </c>
      <c r="E82" s="235">
        <f>IFERROR(IF(COUNTIFS(Connexions!$K:$K,$Q82,Connexions!$E:$E,VLOOKUP($B82,Mapping_Noms!$A:$B,2,0))=0,"",_xlfn.MAXIFS(Connexions!$O:$O,Connexions!$K:$K,$Q82,Connexions!$E:$E,VLOOKUP($B82,Mapping_Noms!$A:$B,2,0))-TIME(1,0,0)),"")</f>
        <v/>
      </c>
      <c r="F82" s="235">
        <f t="array" ref="F82:F82">IFERROR(INDEX(Planning2[],MATCH(1,(Planning2[Nom]=B82)*(Planning2[Date]=Q82),0),4),"-")</f>
        <v/>
      </c>
      <c r="G82" s="405">
        <f>IFERROR(IF(OR(IFERROR(INDEX('Planning Pauses Dej'!$C:$C,MATCH($B82&amp;"|"&amp;TEXT($Q82,"YYYYMMDD"),'Planning Pauses Dej'!$F:$F,0)),"")="",IFERROR(INDEX('Planning Pauses Dej'!$D:$D,MATCH($B82&amp;"|"&amp;TEXT($Q82,"YYYYMMDD"),'Planning Pauses Dej'!$F:$F,0)),"")=""),"",_xlfn.MAXIFS(Connexions!$Q:$Q,Connexions!$K:$K,$Q82,Connexions!$E:$E,VLOOKUP($B82,Mapping_Noms!$A:$B,2,0),Connexions!$O:$O,"&lt;="&amp;(IFERROR(INDEX('Planning Pauses Dej'!$D:$D,MATCH($B82&amp;"|"&amp;TEXT($Q82,"YYYYMMDD"),'Planning Pauses Dej'!$F:$F,0)),"")+TIME(1,0,0)),Connexions!$P:$P,"&gt;="&amp;(IFERROR(INDEX('Planning Pauses Dej'!$C:$C,MATCH($B82&amp;"|"&amp;TEXT($Q82,"YYYYMMDD"),'Planning Pauses Dej'!$F:$F,0)),"")+TIME(1,0,0)))),"")</f>
        <v/>
      </c>
      <c r="H82" s="405">
        <f>IFERROR(IF(OR($G82="",IFERROR(INDEX('Planning Pauses Dej'!$C:$C,MATCH($B82&amp;"|"&amp;TEXT($Q82,"YYYYMMDD"),'Planning Pauses Dej'!$F:$F,0)),"")="",IFERROR(INDEX('Planning Pauses Dej'!$D:$D,MATCH($B82&amp;"|"&amp;TEXT($Q82,"YYYYMMDD"),'Planning Pauses Dej'!$F:$F,0)),"")=""),"",IF($G82&gt;(IFERROR(INDEX('Planning Pauses Dej'!$D:$D,MATCH($B82&amp;"|"&amp;TEXT($Q82,"YYYYMMDD"),'Planning Pauses Dej'!$F:$F,0)),"")-IFERROR(INDEX('Planning Pauses Dej'!$C:$C,MATCH($B82&amp;"|"&amp;TEXT($Q82,"YYYYMMDD"),'Planning Pauses Dej'!$F:$F,0)),"")),$G82-(IFERROR(INDEX('Planning Pauses Dej'!$D:$D,MATCH($B82&amp;"|"&amp;TEXT($Q82,"YYYYMMDD"),'Planning Pauses Dej'!$F:$F,0)),"")-IFERROR(INDEX('Planning Pauses Dej'!$C:$C,MATCH($B82&amp;"|"&amp;TEXT($Q82,"YYYYMMDD"),'Planning Pauses Dej'!$F:$F,0)),"")),0)),"")</f>
        <v/>
      </c>
      <c r="I82" s="251">
        <f>IF(IF(OR(C82="",D82="Congé",D82="OFF",D82="Congé spécial"),"",IF(D82&gt;F82,D82-C82,IF(C82-D82&lt;0,0,C82-D82)))&lt;0.00068287037037037,"",IF(OR(D82="Congé",D82="OFF",C82="",D82="Congé spécial"),"",IF(D82&gt;F82,D82-C82,IF(C82-D82&lt;0,0,C82-D82))))</f>
        <v/>
      </c>
      <c r="J82" s="405">
        <f>IFERROR(IF($G82="","",IF($G82&gt;TIME(1,0,0),$G82-TIME(1,0,0),0)),"")</f>
        <v/>
      </c>
      <c r="K82" s="238">
        <f>IF(SUM(H82:J82)&lt;0.00068287037037037,0,SUM(H82:J82))</f>
        <v/>
      </c>
      <c r="L82" s="236">
        <f>IF(OR(F82="Congé",F82="OFF",M82="Abs",F82="Congé sans solde",F82="Férié",F82="Congé spécial",D82="Congé spécial"),0,IF(F82-E82&lt;0,0,IF(F82-E82&lt;=0.00068287037037037,0,F82-E82)))</f>
        <v/>
      </c>
      <c r="M82" s="239">
        <f>IF(AND(O82&lt;&gt;0,C82=""),"Abs",0)</f>
        <v/>
      </c>
      <c r="N82" s="240">
        <f>IFERROR(IF(OR(D82="OFF",D82="Congé",M82="Abs",D82="Congé sans solde",D82="Férié"),"",IF(O82-K82-L82&gt;O82,O82,IF(O82-K82-L82&lt;0,"",O82-K82-L82))),"")</f>
        <v/>
      </c>
      <c r="O82" s="241">
        <f>IF(AG82="2H Pause déjeuner",IF(F82-D82-0.0833333333333333&lt;0,F82-D82-0.0833333333333333+1,F82-D82-0.0833333333333333),IF(OR(AND(F82="OFF",D82="OFF"),AND(F82="Congé",D82="Congé"),AND(F82="Congé sans solde",D82="Congé sans solde"),AND(F82="Congé spécial",D82="Congé spécial"),AND(F82="Férié",D82="Férié"),AND(F82="OFF",D82="Congé"),AND(F82="OFF",D82="Congé sans solde"),AND(F82="OFF",D82="Congé spécial"),AND(F82="OFF",D82="Férié"),AND(F82="Congé",D82="OFF"),AND(F82="Congé",D82="Congé sans solde"),AND(F82="Congé",D82="Congé spécial"),AND(F82="Congé",D82="Férié"),AND(F82="Congé sans solde",D82="OFF"),AND(F82="Congé sans solde",D82="Congé"),AND(F82="Congé sans solde",D82="Congé spécial"),AND(F82="Congé sans solde",D82="Férié"),AND(F82="Congé spécial",D82="OFF"),AND(F82="Congé spécial",D82="Congé"),AND(F82="Congé spécial",D82="Congé sans solde"),AND(F82="Congé spécial",D82="Férié"),AND(F82="Férié",D82="OFF"),AND(F82="Férié",D82="Congé"),AND(F82="Férié",D82="Congé sans solde"),AND(F82="Férié",D82="Congé spécial")),0,IF(OR(F82="OFF",F82="Congé",F82="Congé spécial",F82="Congé sans solde",D82="OFF",D82="Congé",D82="Congé spécial",D82="Congé sans solde"),0.208333333333334,IF(AND(AG82="",F82-D82&lt;0),("24:00:00"-D82)+("00:00:00"+F82)-0.0416666666666667,IF(AND(OR(AG82="Allaitement",AG82="Sans déjeuner"),F82-D82&lt;0),("24:00:00"-D82)+("00:00:00"+F82),IF(AND(AG82="",F82-D82&gt;0.166666666666667),F82-D82-0.0416666666666667,IF(AND(OR(AG82="Allaitement",AG82="Sans déjeuner"),F82-D82&gt;0.166666666666667),F82-D82,F82-D82)))))))</f>
        <v/>
      </c>
      <c r="P82" s="242">
        <f>IFERROR(VLOOKUP($B82,Annuaire_roster!$B:$G,MATCH(P$1,Annuaire_roster!$B$1:$G$1,0),0),"-")</f>
        <v/>
      </c>
      <c r="Q82" s="243" t="n">
        <v>44763</v>
      </c>
      <c r="R82" s="244">
        <f>IF(M82="Abs",O82,0)</f>
        <v/>
      </c>
      <c r="S82" s="244">
        <f>SUM(R82,L82,I82,J82,W82,H82)</f>
        <v/>
      </c>
      <c r="T82" s="209">
        <f>"Sem - "&amp;WEEKNUM(Q82,21)</f>
        <v/>
      </c>
      <c r="U82" s="209">
        <f>PROPER(TEXT(Q82,"mmmm"))</f>
        <v/>
      </c>
      <c r="V82" s="245">
        <f>+TEXT(Q82,"aaa")</f>
        <v/>
      </c>
      <c r="W82" s="240" t="n"/>
      <c r="X82" s="246">
        <f>IFERROR(IF(M82="Abs",0,IF((D82-C82+E82-F82)&lt;0.000694444444444444,0,(D82-C82+E82-F82))),0)</f>
        <v/>
      </c>
      <c r="Y82" s="247">
        <f>IFERROR(VLOOKUP(B82,Annuaire_roster!B:E,4,0),"-")</f>
        <v/>
      </c>
      <c r="Z82" s="247">
        <f>IFERROR(VLOOKUP(B82,Annuaire_roster!B:F,3,0),"-")</f>
        <v/>
      </c>
      <c r="AA82" s="247">
        <f>IFERROR(VLOOKUP(B82,Annuaire_roster!B:I,6,0),"-")</f>
        <v/>
      </c>
      <c r="AB82" s="248">
        <f>IF(AND(D82="Congé",F82="Congé"),0.333333333333333,IF(OR(AND(D82="Congé",F82&lt;&gt;"Congé"),(AND(F82="Congé",D82&lt;&gt;"Congé"))),0.166666666666667,""))</f>
        <v/>
      </c>
      <c r="AC82" s="248">
        <f>IF(AND(D82="Congé sans solde",F82="Congé sans solde"),0.333333333333333,IF(OR(AND(D82="Congé sans solde",F82&lt;&gt;"Congé sans solde"),(AND(F82="Congé sans solde",D82&lt;&gt;"Congé sans solde"))),0.166666666666667,""))</f>
        <v/>
      </c>
      <c r="AD82" s="248">
        <f>IF(AND(D82="Congé spécial",F82="Congé spécial"),0.333333333333333,IF(OR(AND(D82="Congé spécial",F82&lt;&gt;"Congé décès"),(AND(F82="Congé spécial",D82&lt;&gt;"Congé spécial"))),0.166666666666667,""))</f>
        <v/>
      </c>
      <c r="AE82" s="249">
        <f>IF(AND(D82="Férié",F82="Férié"),0.333333333333333,IF(OR(AND(D82="Férié",F82&lt;&gt;"Férié"),(AND(F82="Férié",D82&lt;&gt;"Férié"))),0.166666666666667,""))</f>
        <v/>
      </c>
      <c r="AF82" s="249" t="n"/>
      <c r="AG82" s="244" t="n"/>
    </row>
    <row r="83" hidden="1" ht="12.75" customHeight="1" s="231">
      <c r="A83" s="232">
        <f>VLOOKUP(B83,Annuaire_roster!B:F,5,0)</f>
        <v/>
      </c>
      <c r="B83" s="233" t="inlineStr">
        <is>
          <t>GUEYE GORA</t>
        </is>
      </c>
      <c r="C83" s="234">
        <f>IFERROR(IF(COUNTIFS(Connexions!$K:$K,$Q83,Connexions!$E:$E,VLOOKUP($B83,Mapping_Noms!$A:$B,2,0))=0,"",_xlfn.MINIFS(Connexions!$M:$M,Connexions!$K:$K,$Q83,Connexions!$E:$E,VLOOKUP($B83,Mapping_Noms!$A:$B,2,0))-TIME(1,0,0)),"")</f>
        <v/>
      </c>
      <c r="D83" s="234">
        <f t="array" ref="D83:D83">IFERROR(INDEX(Planning2[],MATCH(1,(Planning2[Nom]=B83)*(Planning2[Date]=Q83),0),3),"-")</f>
        <v/>
      </c>
      <c r="E83" s="235">
        <f>IFERROR(IF(COUNTIFS(Connexions!$K:$K,$Q83,Connexions!$E:$E,VLOOKUP($B83,Mapping_Noms!$A:$B,2,0))=0,"",_xlfn.MAXIFS(Connexions!$O:$O,Connexions!$K:$K,$Q83,Connexions!$E:$E,VLOOKUP($B83,Mapping_Noms!$A:$B,2,0))-TIME(1,0,0)),"")</f>
        <v/>
      </c>
      <c r="F83" s="235">
        <f t="array" ref="F83:F83">IFERROR(INDEX(Planning2[],MATCH(1,(Planning2[Nom]=B83)*(Planning2[Date]=Q83),0),4),"-")</f>
        <v/>
      </c>
      <c r="G83" s="405">
        <f>IFERROR(IF(OR(IFERROR(INDEX('Planning Pauses Dej'!$C:$C,MATCH($B83&amp;"|"&amp;TEXT($Q83,"YYYYMMDD"),'Planning Pauses Dej'!$F:$F,0)),"")="",IFERROR(INDEX('Planning Pauses Dej'!$D:$D,MATCH($B83&amp;"|"&amp;TEXT($Q83,"YYYYMMDD"),'Planning Pauses Dej'!$F:$F,0)),"")=""),"",_xlfn.MAXIFS(Connexions!$Q:$Q,Connexions!$K:$K,$Q83,Connexions!$E:$E,VLOOKUP($B83,Mapping_Noms!$A:$B,2,0),Connexions!$O:$O,"&lt;="&amp;(IFERROR(INDEX('Planning Pauses Dej'!$D:$D,MATCH($B83&amp;"|"&amp;TEXT($Q83,"YYYYMMDD"),'Planning Pauses Dej'!$F:$F,0)),"")+TIME(1,0,0)),Connexions!$P:$P,"&gt;="&amp;(IFERROR(INDEX('Planning Pauses Dej'!$C:$C,MATCH($B83&amp;"|"&amp;TEXT($Q83,"YYYYMMDD"),'Planning Pauses Dej'!$F:$F,0)),"")+TIME(1,0,0)))),"")</f>
        <v/>
      </c>
      <c r="H83" s="405">
        <f>IFERROR(IF(OR($G83="",IFERROR(INDEX('Planning Pauses Dej'!$C:$C,MATCH($B83&amp;"|"&amp;TEXT($Q83,"YYYYMMDD"),'Planning Pauses Dej'!$F:$F,0)),"")="",IFERROR(INDEX('Planning Pauses Dej'!$D:$D,MATCH($B83&amp;"|"&amp;TEXT($Q83,"YYYYMMDD"),'Planning Pauses Dej'!$F:$F,0)),"")=""),"",IF($G83&gt;(IFERROR(INDEX('Planning Pauses Dej'!$D:$D,MATCH($B83&amp;"|"&amp;TEXT($Q83,"YYYYMMDD"),'Planning Pauses Dej'!$F:$F,0)),"")-IFERROR(INDEX('Planning Pauses Dej'!$C:$C,MATCH($B83&amp;"|"&amp;TEXT($Q83,"YYYYMMDD"),'Planning Pauses Dej'!$F:$F,0)),"")),$G83-(IFERROR(INDEX('Planning Pauses Dej'!$D:$D,MATCH($B83&amp;"|"&amp;TEXT($Q83,"YYYYMMDD"),'Planning Pauses Dej'!$F:$F,0)),"")-IFERROR(INDEX('Planning Pauses Dej'!$C:$C,MATCH($B83&amp;"|"&amp;TEXT($Q83,"YYYYMMDD"),'Planning Pauses Dej'!$F:$F,0)),"")),0)),"")</f>
        <v/>
      </c>
      <c r="I83" s="251">
        <f>IF(IF(OR(C83="",D83="Congé",D83="OFF",D83="Congé spécial"),"",IF(D83&gt;F83,D83-C83,IF(C83-D83&lt;0,0,C83-D83)))&lt;0.00068287037037037,"",IF(OR(D83="Congé",D83="OFF",C83="",D83="Congé spécial"),"",IF(D83&gt;F83,D83-C83,IF(C83-D83&lt;0,0,C83-D83))))</f>
        <v/>
      </c>
      <c r="J83" s="405">
        <f>IFERROR(IF($G83="","",IF($G83&gt;TIME(1,0,0),$G83-TIME(1,0,0),0)),"")</f>
        <v/>
      </c>
      <c r="K83" s="238">
        <f>IF(SUM(H83:J83)&lt;0.00068287037037037,0,SUM(H83:J83))</f>
        <v/>
      </c>
      <c r="L83" s="236">
        <f>IF(OR(F83="Congé",F83="OFF",M83="Abs",F83="Congé sans solde",F83="Férié",F83="Congé spécial",D83="Congé spécial"),0,IF(F83-E83&lt;0,0,IF(F83-E83&lt;=0.00068287037037037,0,F83-E83)))</f>
        <v/>
      </c>
      <c r="M83" s="239">
        <f>IF(AND(O83&lt;&gt;0,C83=""),"Abs",0)</f>
        <v/>
      </c>
      <c r="N83" s="240">
        <f>IFERROR(IF(OR(D83="OFF",D83="Congé",M83="Abs",D83="Congé sans solde",D83="Férié"),"",IF(O83-K83-L83&gt;O83,O83,IF(O83-K83-L83&lt;0,"",O83-K83-L83))),"")</f>
        <v/>
      </c>
      <c r="O83" s="241">
        <f>IF(AG83="2H Pause déjeuner",IF(F83-D83-0.0833333333333333&lt;0,F83-D83-0.0833333333333333+1,F83-D83-0.0833333333333333),IF(OR(AND(F83="OFF",D83="OFF"),AND(F83="Congé",D83="Congé"),AND(F83="Congé sans solde",D83="Congé sans solde"),AND(F83="Congé spécial",D83="Congé spécial"),AND(F83="Férié",D83="Férié"),AND(F83="OFF",D83="Congé"),AND(F83="OFF",D83="Congé sans solde"),AND(F83="OFF",D83="Congé spécial"),AND(F83="OFF",D83="Férié"),AND(F83="Congé",D83="OFF"),AND(F83="Congé",D83="Congé sans solde"),AND(F83="Congé",D83="Congé spécial"),AND(F83="Congé",D83="Férié"),AND(F83="Congé sans solde",D83="OFF"),AND(F83="Congé sans solde",D83="Congé"),AND(F83="Congé sans solde",D83="Congé spécial"),AND(F83="Congé sans solde",D83="Férié"),AND(F83="Congé spécial",D83="OFF"),AND(F83="Congé spécial",D83="Congé"),AND(F83="Congé spécial",D83="Congé sans solde"),AND(F83="Congé spécial",D83="Férié"),AND(F83="Férié",D83="OFF"),AND(F83="Férié",D83="Congé"),AND(F83="Férié",D83="Congé sans solde"),AND(F83="Férié",D83="Congé spécial")),0,IF(OR(F83="OFF",F83="Congé",F83="Congé spécial",F83="Congé sans solde",D83="OFF",D83="Congé",D83="Congé spécial",D83="Congé sans solde"),0.208333333333334,IF(AND(AG83="",F83-D83&lt;0),("24:00:00"-D83)+("00:00:00"+F83)-0.0416666666666667,IF(AND(OR(AG83="Allaitement",AG83="Sans déjeuner"),F83-D83&lt;0),("24:00:00"-D83)+("00:00:00"+F83),IF(AND(AG83="",F83-D83&gt;0.166666666666667),F83-D83-0.0416666666666667,IF(AND(OR(AG83="Allaitement",AG83="Sans déjeuner"),F83-D83&gt;0.166666666666667),F83-D83,F83-D83)))))))</f>
        <v/>
      </c>
      <c r="P83" s="242">
        <f>IFERROR(VLOOKUP($B83,Annuaire_roster!$B:$G,MATCH(P$1,Annuaire_roster!$B$1:$G$1,0),0),"-")</f>
        <v/>
      </c>
      <c r="Q83" s="243" t="n">
        <v>44763</v>
      </c>
      <c r="R83" s="244">
        <f>IF(M83="Abs",O83,0)</f>
        <v/>
      </c>
      <c r="S83" s="244">
        <f>SUM(R83,L83,I83,J83,W83,H83)</f>
        <v/>
      </c>
      <c r="T83" s="209">
        <f>"Sem - "&amp;WEEKNUM(Q83,21)</f>
        <v/>
      </c>
      <c r="U83" s="209">
        <f>PROPER(TEXT(Q83,"mmmm"))</f>
        <v/>
      </c>
      <c r="V83" s="245">
        <f>+TEXT(Q83,"aaa")</f>
        <v/>
      </c>
      <c r="W83" s="240" t="n"/>
      <c r="X83" s="246">
        <f>IFERROR(IF(M83="Abs",0,IF((D83-C83+E83-F83)&lt;0.000694444444444444,0,(D83-C83+E83-F83))),0)</f>
        <v/>
      </c>
      <c r="Y83" s="247">
        <f>IFERROR(VLOOKUP(B83,Annuaire_roster!B:E,4,0),"-")</f>
        <v/>
      </c>
      <c r="Z83" s="247">
        <f>IFERROR(VLOOKUP(B83,Annuaire_roster!B:F,3,0),"-")</f>
        <v/>
      </c>
      <c r="AA83" s="247">
        <f>IFERROR(VLOOKUP(B83,Annuaire_roster!B:I,6,0),"-")</f>
        <v/>
      </c>
      <c r="AB83" s="248">
        <f>IF(AND(D83="Congé",F83="Congé"),0.333333333333333,IF(OR(AND(D83="Congé",F83&lt;&gt;"Congé"),(AND(F83="Congé",D83&lt;&gt;"Congé"))),0.166666666666667,""))</f>
        <v/>
      </c>
      <c r="AC83" s="248">
        <f>IF(AND(D83="Congé sans solde",F83="Congé sans solde"),0.333333333333333,IF(OR(AND(D83="Congé sans solde",F83&lt;&gt;"Congé sans solde"),(AND(F83="Congé sans solde",D83&lt;&gt;"Congé sans solde"))),0.166666666666667,""))</f>
        <v/>
      </c>
      <c r="AD83" s="248">
        <f>IF(AND(D83="Congé spécial",F83="Congé spécial"),0.333333333333333,IF(OR(AND(D83="Congé spécial",F83&lt;&gt;"Congé décès"),(AND(F83="Congé spécial",D83&lt;&gt;"Congé spécial"))),0.166666666666667,""))</f>
        <v/>
      </c>
      <c r="AE83" s="249">
        <f>IF(AND(D83="Férié",F83="Férié"),0.333333333333333,IF(OR(AND(D83="Férié",F83&lt;&gt;"Férié"),(AND(F83="Férié",D83&lt;&gt;"Férié"))),0.166666666666667,""))</f>
        <v/>
      </c>
      <c r="AF83" s="249" t="n"/>
      <c r="AG83" s="244" t="n"/>
    </row>
    <row r="84" hidden="1" ht="12.75" customHeight="1" s="231">
      <c r="A84" s="232">
        <f>VLOOKUP(B84,Annuaire_roster!B:F,5,0)</f>
        <v/>
      </c>
      <c r="B84" s="233" t="inlineStr">
        <is>
          <t>AINELKITANE ZINEB</t>
        </is>
      </c>
      <c r="C84" s="234">
        <f>IFERROR(IF(COUNTIFS(Connexions!$K:$K,$Q84,Connexions!$E:$E,VLOOKUP($B84,Mapping_Noms!$A:$B,2,0))=0,"",_xlfn.MINIFS(Connexions!$M:$M,Connexions!$K:$K,$Q84,Connexions!$E:$E,VLOOKUP($B84,Mapping_Noms!$A:$B,2,0))-TIME(1,0,0)),"")</f>
        <v/>
      </c>
      <c r="D84" s="234">
        <f t="array" ref="D84:D84">IFERROR(INDEX(Planning2[],MATCH(1,(Planning2[Nom]=B84)*(Planning2[Date]=Q84),0),3),"-")</f>
        <v/>
      </c>
      <c r="E84" s="235">
        <f>IFERROR(IF(COUNTIFS(Connexions!$K:$K,$Q84,Connexions!$E:$E,VLOOKUP($B84,Mapping_Noms!$A:$B,2,0))=0,"",_xlfn.MAXIFS(Connexions!$O:$O,Connexions!$K:$K,$Q84,Connexions!$E:$E,VLOOKUP($B84,Mapping_Noms!$A:$B,2,0))-TIME(1,0,0)),"")</f>
        <v/>
      </c>
      <c r="F84" s="235">
        <f t="array" ref="F84:F84">IFERROR(INDEX(Planning2[],MATCH(1,(Planning2[Nom]=B84)*(Planning2[Date]=Q84),0),4),"-")</f>
        <v/>
      </c>
      <c r="G84" s="405">
        <f>IFERROR(IF(OR(IFERROR(INDEX('Planning Pauses Dej'!$C:$C,MATCH($B84&amp;"|"&amp;TEXT($Q84,"YYYYMMDD"),'Planning Pauses Dej'!$F:$F,0)),"")="",IFERROR(INDEX('Planning Pauses Dej'!$D:$D,MATCH($B84&amp;"|"&amp;TEXT($Q84,"YYYYMMDD"),'Planning Pauses Dej'!$F:$F,0)),"")=""),"",_xlfn.MAXIFS(Connexions!$Q:$Q,Connexions!$K:$K,$Q84,Connexions!$E:$E,VLOOKUP($B84,Mapping_Noms!$A:$B,2,0),Connexions!$O:$O,"&lt;="&amp;(IFERROR(INDEX('Planning Pauses Dej'!$D:$D,MATCH($B84&amp;"|"&amp;TEXT($Q84,"YYYYMMDD"),'Planning Pauses Dej'!$F:$F,0)),"")+TIME(1,0,0)),Connexions!$P:$P,"&gt;="&amp;(IFERROR(INDEX('Planning Pauses Dej'!$C:$C,MATCH($B84&amp;"|"&amp;TEXT($Q84,"YYYYMMDD"),'Planning Pauses Dej'!$F:$F,0)),"")+TIME(1,0,0)))),"")</f>
        <v/>
      </c>
      <c r="H84" s="405">
        <f>IFERROR(IF(OR($G84="",IFERROR(INDEX('Planning Pauses Dej'!$C:$C,MATCH($B84&amp;"|"&amp;TEXT($Q84,"YYYYMMDD"),'Planning Pauses Dej'!$F:$F,0)),"")="",IFERROR(INDEX('Planning Pauses Dej'!$D:$D,MATCH($B84&amp;"|"&amp;TEXT($Q84,"YYYYMMDD"),'Planning Pauses Dej'!$F:$F,0)),"")=""),"",IF($G84&gt;(IFERROR(INDEX('Planning Pauses Dej'!$D:$D,MATCH($B84&amp;"|"&amp;TEXT($Q84,"YYYYMMDD"),'Planning Pauses Dej'!$F:$F,0)),"")-IFERROR(INDEX('Planning Pauses Dej'!$C:$C,MATCH($B84&amp;"|"&amp;TEXT($Q84,"YYYYMMDD"),'Planning Pauses Dej'!$F:$F,0)),"")),$G84-(IFERROR(INDEX('Planning Pauses Dej'!$D:$D,MATCH($B84&amp;"|"&amp;TEXT($Q84,"YYYYMMDD"),'Planning Pauses Dej'!$F:$F,0)),"")-IFERROR(INDEX('Planning Pauses Dej'!$C:$C,MATCH($B84&amp;"|"&amp;TEXT($Q84,"YYYYMMDD"),'Planning Pauses Dej'!$F:$F,0)),"")),0)),"")</f>
        <v/>
      </c>
      <c r="I84" s="251">
        <f>IF(IF(OR(C84="",D84="Congé",D84="OFF",D84="Congé spécial"),"",IF(D84&gt;F84,D84-C84,IF(C84-D84&lt;0,0,C84-D84)))&lt;0.00068287037037037,"",IF(OR(D84="Congé",D84="OFF",C84="",D84="Congé spécial"),"",IF(D84&gt;F84,D84-C84,IF(C84-D84&lt;0,0,C84-D84))))</f>
        <v/>
      </c>
      <c r="J84" s="405">
        <f>IFERROR(IF($G84="","",IF($G84&gt;TIME(1,0,0),$G84-TIME(1,0,0),0)),"")</f>
        <v/>
      </c>
      <c r="K84" s="238">
        <f>IF(SUM(H84:J84)&lt;0.00068287037037037,0,SUM(H84:J84))</f>
        <v/>
      </c>
      <c r="L84" s="236">
        <f>IF(OR(F84="Congé",F84="OFF",M84="Abs",F84="Congé sans solde",F84="Férié",F84="Congé spécial",D84="Congé spécial"),0,IF(F84-E84&lt;0,0,IF(F84-E84&lt;=0.00068287037037037,0,F84-E84)))</f>
        <v/>
      </c>
      <c r="M84" s="239">
        <f>IF(AND(O84&lt;&gt;0,C84=""),"Abs",0)</f>
        <v/>
      </c>
      <c r="N84" s="240">
        <f>IFERROR(IF(OR(D84="OFF",D84="Congé",M84="Abs",D84="Congé sans solde",D84="Férié"),"",IF(O84-K84-L84&gt;O84,O84,IF(O84-K84-L84&lt;0,"",O84-K84-L84))),"")</f>
        <v/>
      </c>
      <c r="O84" s="241">
        <f>IF(AG84="2H Pause déjeuner",IF(F84-D84-0.0833333333333333&lt;0,F84-D84-0.0833333333333333+1,F84-D84-0.0833333333333333),IF(OR(AND(F84="OFF",D84="OFF"),AND(F84="Congé",D84="Congé"),AND(F84="Congé sans solde",D84="Congé sans solde"),AND(F84="Congé spécial",D84="Congé spécial"),AND(F84="Férié",D84="Férié"),AND(F84="OFF",D84="Congé"),AND(F84="OFF",D84="Congé sans solde"),AND(F84="OFF",D84="Congé spécial"),AND(F84="OFF",D84="Férié"),AND(F84="Congé",D84="OFF"),AND(F84="Congé",D84="Congé sans solde"),AND(F84="Congé",D84="Congé spécial"),AND(F84="Congé",D84="Férié"),AND(F84="Congé sans solde",D84="OFF"),AND(F84="Congé sans solde",D84="Congé"),AND(F84="Congé sans solde",D84="Congé spécial"),AND(F84="Congé sans solde",D84="Férié"),AND(F84="Congé spécial",D84="OFF"),AND(F84="Congé spécial",D84="Congé"),AND(F84="Congé spécial",D84="Congé sans solde"),AND(F84="Congé spécial",D84="Férié"),AND(F84="Férié",D84="OFF"),AND(F84="Férié",D84="Congé"),AND(F84="Férié",D84="Congé sans solde"),AND(F84="Férié",D84="Congé spécial")),0,IF(OR(F84="OFF",F84="Congé",F84="Congé spécial",F84="Congé sans solde",D84="OFF",D84="Congé",D84="Congé spécial",D84="Congé sans solde"),0.208333333333334,IF(AND(AG84="",F84-D84&lt;0),("24:00:00"-D84)+("00:00:00"+F84)-0.0416666666666667,IF(AND(OR(AG84="Allaitement",AG84="Sans déjeuner"),F84-D84&lt;0),("24:00:00"-D84)+("00:00:00"+F84),IF(AND(AG84="",F84-D84&gt;0.166666666666667),F84-D84-0.0416666666666667,IF(AND(OR(AG84="Allaitement",AG84="Sans déjeuner"),F84-D84&gt;0.166666666666667),F84-D84,F84-D84)))))))</f>
        <v/>
      </c>
      <c r="P84" s="242">
        <f>IFERROR(VLOOKUP($B84,Annuaire_roster!$B:$G,MATCH(P$1,Annuaire_roster!$B$1:$G$1,0),0),"-")</f>
        <v/>
      </c>
      <c r="Q84" s="243" t="n">
        <v>44763</v>
      </c>
      <c r="R84" s="244">
        <f>IF(M84="Abs",O84,0)</f>
        <v/>
      </c>
      <c r="S84" s="244">
        <f>SUM(R84,L84,I84,J84,W84,H84)</f>
        <v/>
      </c>
      <c r="T84" s="209">
        <f>"Sem - "&amp;WEEKNUM(Q84,21)</f>
        <v/>
      </c>
      <c r="U84" s="209">
        <f>PROPER(TEXT(Q84,"mmmm"))</f>
        <v/>
      </c>
      <c r="V84" s="245">
        <f>+TEXT(Q84,"aaa")</f>
        <v/>
      </c>
      <c r="W84" s="240" t="n"/>
      <c r="X84" s="246">
        <f>IFERROR(IF(M84="Abs",0,IF((D84-C84+E84-F84)&lt;0.000694444444444444,0,(D84-C84+E84-F84))),0)</f>
        <v/>
      </c>
      <c r="Y84" s="247">
        <f>IFERROR(VLOOKUP(B84,Annuaire_roster!B:E,4,0),"-")</f>
        <v/>
      </c>
      <c r="Z84" s="247">
        <f>IFERROR(VLOOKUP(B84,Annuaire_roster!B:F,3,0),"-")</f>
        <v/>
      </c>
      <c r="AA84" s="247">
        <f>IFERROR(VLOOKUP(B84,Annuaire_roster!B:I,6,0),"-")</f>
        <v/>
      </c>
      <c r="AB84" s="248">
        <f>IF(AND(D84="Congé",F84="Congé"),0.333333333333333,IF(OR(AND(D84="Congé",F84&lt;&gt;"Congé"),(AND(F84="Congé",D84&lt;&gt;"Congé"))),0.166666666666667,""))</f>
        <v/>
      </c>
      <c r="AC84" s="248">
        <f>IF(AND(D84="Congé sans solde",F84="Congé sans solde"),0.333333333333333,IF(OR(AND(D84="Congé sans solde",F84&lt;&gt;"Congé sans solde"),(AND(F84="Congé sans solde",D84&lt;&gt;"Congé sans solde"))),0.166666666666667,""))</f>
        <v/>
      </c>
      <c r="AD84" s="248">
        <f>IF(AND(D84="Congé spécial",F84="Congé spécial"),0.333333333333333,IF(OR(AND(D84="Congé spécial",F84&lt;&gt;"Congé décès"),(AND(F84="Congé spécial",D84&lt;&gt;"Congé spécial"))),0.166666666666667,""))</f>
        <v/>
      </c>
      <c r="AE84" s="249">
        <f>IF(AND(D84="Férié",F84="Férié"),0.333333333333333,IF(OR(AND(D84="Férié",F84&lt;&gt;"Férié"),(AND(F84="Férié",D84&lt;&gt;"Férié"))),0.166666666666667,""))</f>
        <v/>
      </c>
      <c r="AF84" s="249" t="n"/>
      <c r="AG84" s="244" t="n"/>
    </row>
    <row r="85" hidden="1" ht="12.75" customHeight="1" s="231">
      <c r="A85" s="232">
        <f>VLOOKUP(B85,Annuaire_roster!B:F,5,0)</f>
        <v/>
      </c>
      <c r="B85" s="233" t="inlineStr">
        <is>
          <t>NEMMAOUI MOUNIRA</t>
        </is>
      </c>
      <c r="C85" s="234">
        <f>IFERROR(IF(COUNTIFS(Connexions!$K:$K,$Q85,Connexions!$E:$E,VLOOKUP($B85,Mapping_Noms!$A:$B,2,0))=0,"",_xlfn.MINIFS(Connexions!$M:$M,Connexions!$K:$K,$Q85,Connexions!$E:$E,VLOOKUP($B85,Mapping_Noms!$A:$B,2,0))-TIME(1,0,0)),"")</f>
        <v/>
      </c>
      <c r="D85" s="234">
        <f t="array" ref="D85:D85">IFERROR(INDEX(Planning2[],MATCH(1,(Planning2[Nom]=B85)*(Planning2[Date]=Q85),0),3),"-")</f>
        <v/>
      </c>
      <c r="E85" s="235">
        <f>IFERROR(IF(COUNTIFS(Connexions!$K:$K,$Q85,Connexions!$E:$E,VLOOKUP($B85,Mapping_Noms!$A:$B,2,0))=0,"",_xlfn.MAXIFS(Connexions!$O:$O,Connexions!$K:$K,$Q85,Connexions!$E:$E,VLOOKUP($B85,Mapping_Noms!$A:$B,2,0))-TIME(1,0,0)),"")</f>
        <v/>
      </c>
      <c r="F85" s="235">
        <f t="array" ref="F85:F85">IFERROR(INDEX(Planning2[],MATCH(1,(Planning2[Nom]=B85)*(Planning2[Date]=Q85),0),4),"-")</f>
        <v/>
      </c>
      <c r="G85" s="405">
        <f>IFERROR(IF(OR(IFERROR(INDEX('Planning Pauses Dej'!$C:$C,MATCH($B85&amp;"|"&amp;TEXT($Q85,"YYYYMMDD"),'Planning Pauses Dej'!$F:$F,0)),"")="",IFERROR(INDEX('Planning Pauses Dej'!$D:$D,MATCH($B85&amp;"|"&amp;TEXT($Q85,"YYYYMMDD"),'Planning Pauses Dej'!$F:$F,0)),"")=""),"",_xlfn.MAXIFS(Connexions!$Q:$Q,Connexions!$K:$K,$Q85,Connexions!$E:$E,VLOOKUP($B85,Mapping_Noms!$A:$B,2,0),Connexions!$O:$O,"&lt;="&amp;(IFERROR(INDEX('Planning Pauses Dej'!$D:$D,MATCH($B85&amp;"|"&amp;TEXT($Q85,"YYYYMMDD"),'Planning Pauses Dej'!$F:$F,0)),"")+TIME(1,0,0)),Connexions!$P:$P,"&gt;="&amp;(IFERROR(INDEX('Planning Pauses Dej'!$C:$C,MATCH($B85&amp;"|"&amp;TEXT($Q85,"YYYYMMDD"),'Planning Pauses Dej'!$F:$F,0)),"")+TIME(1,0,0)))),"")</f>
        <v/>
      </c>
      <c r="H85" s="405">
        <f>IFERROR(IF(OR($G85="",IFERROR(INDEX('Planning Pauses Dej'!$C:$C,MATCH($B85&amp;"|"&amp;TEXT($Q85,"YYYYMMDD"),'Planning Pauses Dej'!$F:$F,0)),"")="",IFERROR(INDEX('Planning Pauses Dej'!$D:$D,MATCH($B85&amp;"|"&amp;TEXT($Q85,"YYYYMMDD"),'Planning Pauses Dej'!$F:$F,0)),"")=""),"",IF($G85&gt;(IFERROR(INDEX('Planning Pauses Dej'!$D:$D,MATCH($B85&amp;"|"&amp;TEXT($Q85,"YYYYMMDD"),'Planning Pauses Dej'!$F:$F,0)),"")-IFERROR(INDEX('Planning Pauses Dej'!$C:$C,MATCH($B85&amp;"|"&amp;TEXT($Q85,"YYYYMMDD"),'Planning Pauses Dej'!$F:$F,0)),"")),$G85-(IFERROR(INDEX('Planning Pauses Dej'!$D:$D,MATCH($B85&amp;"|"&amp;TEXT($Q85,"YYYYMMDD"),'Planning Pauses Dej'!$F:$F,0)),"")-IFERROR(INDEX('Planning Pauses Dej'!$C:$C,MATCH($B85&amp;"|"&amp;TEXT($Q85,"YYYYMMDD"),'Planning Pauses Dej'!$F:$F,0)),"")),0)),"")</f>
        <v/>
      </c>
      <c r="I85" s="251">
        <f>IF(IF(OR(C85="",D85="Congé",D85="OFF",D85="Congé spécial"),"",IF(D85&gt;F85,D85-C85,IF(C85-D85&lt;0,0,C85-D85)))&lt;0.00068287037037037,"",IF(OR(D85="Congé",D85="OFF",C85="",D85="Congé spécial"),"",IF(D85&gt;F85,D85-C85,IF(C85-D85&lt;0,0,C85-D85))))</f>
        <v/>
      </c>
      <c r="J85" s="405">
        <f>IFERROR(IF($G85="","",IF($G85&gt;TIME(1,0,0),$G85-TIME(1,0,0),0)),"")</f>
        <v/>
      </c>
      <c r="K85" s="238">
        <f>IF(SUM(H85:J85)&lt;0.00068287037037037,0,SUM(H85:J85))</f>
        <v/>
      </c>
      <c r="L85" s="236">
        <f>IF(OR(F85="Congé",F85="OFF",M85="Abs",F85="Congé sans solde",F85="Férié",F85="Congé spécial",D85="Congé spécial"),0,IF(F85-E85&lt;0,0,IF(F85-E85&lt;=0.00068287037037037,0,F85-E85)))</f>
        <v/>
      </c>
      <c r="M85" s="239">
        <f>IF(AND(O85&lt;&gt;0,C85=""),"Abs",0)</f>
        <v/>
      </c>
      <c r="N85" s="240">
        <f>IFERROR(IF(OR(D85="OFF",D85="Congé",M85="Abs",D85="Congé sans solde",D85="Férié"),"",IF(O85-K85-L85&gt;O85,O85,IF(O85-K85-L85&lt;0,"",O85-K85-L85))),"")</f>
        <v/>
      </c>
      <c r="O85" s="241">
        <f>IF(AG85="2H Pause déjeuner",IF(F85-D85-0.0833333333333333&lt;0,F85-D85-0.0833333333333333+1,F85-D85-0.0833333333333333),IF(OR(AND(F85="OFF",D85="OFF"),AND(F85="Congé",D85="Congé"),AND(F85="Congé sans solde",D85="Congé sans solde"),AND(F85="Congé spécial",D85="Congé spécial"),AND(F85="Férié",D85="Férié"),AND(F85="OFF",D85="Congé"),AND(F85="OFF",D85="Congé sans solde"),AND(F85="OFF",D85="Congé spécial"),AND(F85="OFF",D85="Férié"),AND(F85="Congé",D85="OFF"),AND(F85="Congé",D85="Congé sans solde"),AND(F85="Congé",D85="Congé spécial"),AND(F85="Congé",D85="Férié"),AND(F85="Congé sans solde",D85="OFF"),AND(F85="Congé sans solde",D85="Congé"),AND(F85="Congé sans solde",D85="Congé spécial"),AND(F85="Congé sans solde",D85="Férié"),AND(F85="Congé spécial",D85="OFF"),AND(F85="Congé spécial",D85="Congé"),AND(F85="Congé spécial",D85="Congé sans solde"),AND(F85="Congé spécial",D85="Férié"),AND(F85="Férié",D85="OFF"),AND(F85="Férié",D85="Congé"),AND(F85="Férié",D85="Congé sans solde"),AND(F85="Férié",D85="Congé spécial")),0,IF(OR(F85="OFF",F85="Congé",F85="Congé spécial",F85="Congé sans solde",D85="OFF",D85="Congé",D85="Congé spécial",D85="Congé sans solde"),0.208333333333334,IF(AND(AG85="",F85-D85&lt;0),("24:00:00"-D85)+("00:00:00"+F85)-0.0416666666666667,IF(AND(OR(AG85="Allaitement",AG85="Sans déjeuner"),F85-D85&lt;0),("24:00:00"-D85)+("00:00:00"+F85),IF(AND(AG85="",F85-D85&gt;0.166666666666667),F85-D85-0.0416666666666667,IF(AND(OR(AG85="Allaitement",AG85="Sans déjeuner"),F85-D85&gt;0.166666666666667),F85-D85,F85-D85)))))))</f>
        <v/>
      </c>
      <c r="P85" s="242">
        <f>IFERROR(VLOOKUP($B85,Annuaire_roster!$B:$G,MATCH(P$1,Annuaire_roster!$B$1:$G$1,0),0),"-")</f>
        <v/>
      </c>
      <c r="Q85" s="243" t="n">
        <v>44763</v>
      </c>
      <c r="R85" s="244">
        <f>IF(M85="Abs",O85,0)</f>
        <v/>
      </c>
      <c r="S85" s="244">
        <f>SUM(R85,L85,I85,J85,W85,H85)</f>
        <v/>
      </c>
      <c r="T85" s="209">
        <f>"Sem - "&amp;WEEKNUM(Q85,21)</f>
        <v/>
      </c>
      <c r="U85" s="209">
        <f>PROPER(TEXT(Q85,"mmmm"))</f>
        <v/>
      </c>
      <c r="V85" s="245">
        <f>+TEXT(Q85,"aaa")</f>
        <v/>
      </c>
      <c r="W85" s="240" t="n"/>
      <c r="X85" s="246">
        <f>IFERROR(IF(M85="Abs",0,IF((D85-C85+E85-F85)&lt;0.000694444444444444,0,(D85-C85+E85-F85))),0)</f>
        <v/>
      </c>
      <c r="Y85" s="247">
        <f>IFERROR(VLOOKUP(B85,Annuaire_roster!B:E,4,0),"-")</f>
        <v/>
      </c>
      <c r="Z85" s="247">
        <f>IFERROR(VLOOKUP(B85,Annuaire_roster!B:F,3,0),"-")</f>
        <v/>
      </c>
      <c r="AA85" s="247">
        <f>IFERROR(VLOOKUP(B85,Annuaire_roster!B:I,6,0),"-")</f>
        <v/>
      </c>
      <c r="AB85" s="248">
        <f>IF(AND(D85="Congé",F85="Congé"),0.333333333333333,IF(OR(AND(D85="Congé",F85&lt;&gt;"Congé"),(AND(F85="Congé",D85&lt;&gt;"Congé"))),0.166666666666667,""))</f>
        <v/>
      </c>
      <c r="AC85" s="248">
        <f>IF(AND(D85="Congé sans solde",F85="Congé sans solde"),0.333333333333333,IF(OR(AND(D85="Congé sans solde",F85&lt;&gt;"Congé sans solde"),(AND(F85="Congé sans solde",D85&lt;&gt;"Congé sans solde"))),0.166666666666667,""))</f>
        <v/>
      </c>
      <c r="AD85" s="248">
        <f>IF(AND(D85="Congé spécial",F85="Congé spécial"),0.333333333333333,IF(OR(AND(D85="Congé spécial",F85&lt;&gt;"Congé décès"),(AND(F85="Congé spécial",D85&lt;&gt;"Congé spécial"))),0.166666666666667,""))</f>
        <v/>
      </c>
      <c r="AE85" s="249">
        <f>IF(AND(D85="Férié",F85="Férié"),0.333333333333333,IF(OR(AND(D85="Férié",F85&lt;&gt;"Férié"),(AND(F85="Férié",D85&lt;&gt;"Férié"))),0.166666666666667,""))</f>
        <v/>
      </c>
      <c r="AF85" s="249" t="n"/>
      <c r="AG85" s="244" t="n"/>
    </row>
    <row r="86" hidden="1" ht="12.75" customHeight="1" s="231">
      <c r="A86" s="232">
        <f>VLOOKUP(B86,Annuaire_roster!B:F,5,0)</f>
        <v/>
      </c>
      <c r="B86" s="233" t="inlineStr">
        <is>
          <t>SOUOUD ZAKARIA</t>
        </is>
      </c>
      <c r="C86" s="234">
        <f>IFERROR(IF(COUNTIFS(Connexions!$K:$K,$Q86,Connexions!$E:$E,VLOOKUP($B86,Mapping_Noms!$A:$B,2,0))=0,"",_xlfn.MINIFS(Connexions!$M:$M,Connexions!$K:$K,$Q86,Connexions!$E:$E,VLOOKUP($B86,Mapping_Noms!$A:$B,2,0))-TIME(1,0,0)),"")</f>
        <v/>
      </c>
      <c r="D86" s="234">
        <f t="array" ref="D86:D86">IFERROR(INDEX(Planning2[],MATCH(1,(Planning2[Nom]=B86)*(Planning2[Date]=Q86),0),3),"-")</f>
        <v/>
      </c>
      <c r="E86" s="235">
        <f>IFERROR(IF(COUNTIFS(Connexions!$K:$K,$Q86,Connexions!$E:$E,VLOOKUP($B86,Mapping_Noms!$A:$B,2,0))=0,"",_xlfn.MAXIFS(Connexions!$O:$O,Connexions!$K:$K,$Q86,Connexions!$E:$E,VLOOKUP($B86,Mapping_Noms!$A:$B,2,0))-TIME(1,0,0)),"")</f>
        <v/>
      </c>
      <c r="F86" s="235">
        <f t="array" ref="F86:F86">IFERROR(INDEX(Planning2[],MATCH(1,(Planning2[Nom]=B86)*(Planning2[Date]=Q86),0),4),"-")</f>
        <v/>
      </c>
      <c r="G86" s="405">
        <f>IFERROR(IF(OR(IFERROR(INDEX('Planning Pauses Dej'!$C:$C,MATCH($B86&amp;"|"&amp;TEXT($Q86,"YYYYMMDD"),'Planning Pauses Dej'!$F:$F,0)),"")="",IFERROR(INDEX('Planning Pauses Dej'!$D:$D,MATCH($B86&amp;"|"&amp;TEXT($Q86,"YYYYMMDD"),'Planning Pauses Dej'!$F:$F,0)),"")=""),"",_xlfn.MAXIFS(Connexions!$Q:$Q,Connexions!$K:$K,$Q86,Connexions!$E:$E,VLOOKUP($B86,Mapping_Noms!$A:$B,2,0),Connexions!$O:$O,"&lt;="&amp;(IFERROR(INDEX('Planning Pauses Dej'!$D:$D,MATCH($B86&amp;"|"&amp;TEXT($Q86,"YYYYMMDD"),'Planning Pauses Dej'!$F:$F,0)),"")+TIME(1,0,0)),Connexions!$P:$P,"&gt;="&amp;(IFERROR(INDEX('Planning Pauses Dej'!$C:$C,MATCH($B86&amp;"|"&amp;TEXT($Q86,"YYYYMMDD"),'Planning Pauses Dej'!$F:$F,0)),"")+TIME(1,0,0)))),"")</f>
        <v/>
      </c>
      <c r="H86" s="405">
        <f>IFERROR(IF(OR($G86="",IFERROR(INDEX('Planning Pauses Dej'!$C:$C,MATCH($B86&amp;"|"&amp;TEXT($Q86,"YYYYMMDD"),'Planning Pauses Dej'!$F:$F,0)),"")="",IFERROR(INDEX('Planning Pauses Dej'!$D:$D,MATCH($B86&amp;"|"&amp;TEXT($Q86,"YYYYMMDD"),'Planning Pauses Dej'!$F:$F,0)),"")=""),"",IF($G86&gt;(IFERROR(INDEX('Planning Pauses Dej'!$D:$D,MATCH($B86&amp;"|"&amp;TEXT($Q86,"YYYYMMDD"),'Planning Pauses Dej'!$F:$F,0)),"")-IFERROR(INDEX('Planning Pauses Dej'!$C:$C,MATCH($B86&amp;"|"&amp;TEXT($Q86,"YYYYMMDD"),'Planning Pauses Dej'!$F:$F,0)),"")),$G86-(IFERROR(INDEX('Planning Pauses Dej'!$D:$D,MATCH($B86&amp;"|"&amp;TEXT($Q86,"YYYYMMDD"),'Planning Pauses Dej'!$F:$F,0)),"")-IFERROR(INDEX('Planning Pauses Dej'!$C:$C,MATCH($B86&amp;"|"&amp;TEXT($Q86,"YYYYMMDD"),'Planning Pauses Dej'!$F:$F,0)),"")),0)),"")</f>
        <v/>
      </c>
      <c r="I86" s="251">
        <f>IF(IF(OR(C86="",D86="Congé",D86="OFF",D86="Congé spécial"),"",IF(D86&gt;F86,D86-C86,IF(C86-D86&lt;0,0,C86-D86)))&lt;0.00068287037037037,"",IF(OR(D86="Congé",D86="OFF",C86="",D86="Congé spécial"),"",IF(D86&gt;F86,D86-C86,IF(C86-D86&lt;0,0,C86-D86))))</f>
        <v/>
      </c>
      <c r="J86" s="405">
        <f>IFERROR(IF($G86="","",IF($G86&gt;TIME(1,0,0),$G86-TIME(1,0,0),0)),"")</f>
        <v/>
      </c>
      <c r="K86" s="238">
        <f>IF(SUM(H86:J86)&lt;0.00068287037037037,0,SUM(H86:J86))</f>
        <v/>
      </c>
      <c r="L86" s="236">
        <f>IF(OR(F86="Congé",F86="OFF",M86="Abs",F86="Congé sans solde",F86="Férié",F86="Congé spécial",D86="Congé spécial"),0,IF(F86-E86&lt;0,0,IF(F86-E86&lt;=0.00068287037037037,0,F86-E86)))</f>
        <v/>
      </c>
      <c r="M86" s="239">
        <f>IF(AND(O86&lt;&gt;0,C86=""),"Abs",0)</f>
        <v/>
      </c>
      <c r="N86" s="240">
        <f>IFERROR(IF(OR(D86="OFF",D86="Congé",M86="Abs",D86="Congé sans solde",D86="Férié"),"",IF(O86-K86-L86&gt;O86,O86,IF(O86-K86-L86&lt;0,"",O86-K86-L86))),"")</f>
        <v/>
      </c>
      <c r="O86" s="241">
        <f>IF(AG86="2H Pause déjeuner",IF(F86-D86-0.0833333333333333&lt;0,F86-D86-0.0833333333333333+1,F86-D86-0.0833333333333333),IF(OR(AND(F86="OFF",D86="OFF"),AND(F86="Congé",D86="Congé"),AND(F86="Congé sans solde",D86="Congé sans solde"),AND(F86="Congé spécial",D86="Congé spécial"),AND(F86="Férié",D86="Férié"),AND(F86="OFF",D86="Congé"),AND(F86="OFF",D86="Congé sans solde"),AND(F86="OFF",D86="Congé spécial"),AND(F86="OFF",D86="Férié"),AND(F86="Congé",D86="OFF"),AND(F86="Congé",D86="Congé sans solde"),AND(F86="Congé",D86="Congé spécial"),AND(F86="Congé",D86="Férié"),AND(F86="Congé sans solde",D86="OFF"),AND(F86="Congé sans solde",D86="Congé"),AND(F86="Congé sans solde",D86="Congé spécial"),AND(F86="Congé sans solde",D86="Férié"),AND(F86="Congé spécial",D86="OFF"),AND(F86="Congé spécial",D86="Congé"),AND(F86="Congé spécial",D86="Congé sans solde"),AND(F86="Congé spécial",D86="Férié"),AND(F86="Férié",D86="OFF"),AND(F86="Férié",D86="Congé"),AND(F86="Férié",D86="Congé sans solde"),AND(F86="Férié",D86="Congé spécial")),0,IF(OR(F86="OFF",F86="Congé",F86="Congé spécial",F86="Congé sans solde",D86="OFF",D86="Congé",D86="Congé spécial",D86="Congé sans solde"),0.208333333333334,IF(AND(AG86="",F86-D86&lt;0),("24:00:00"-D86)+("00:00:00"+F86)-0.0416666666666667,IF(AND(OR(AG86="Allaitement",AG86="Sans déjeuner"),F86-D86&lt;0),("24:00:00"-D86)+("00:00:00"+F86),IF(AND(AG86="",F86-D86&gt;0.166666666666667),F86-D86-0.0416666666666667,IF(AND(OR(AG86="Allaitement",AG86="Sans déjeuner"),F86-D86&gt;0.166666666666667),F86-D86,F86-D86)))))))</f>
        <v/>
      </c>
      <c r="P86" s="242">
        <f>IFERROR(VLOOKUP($B86,Annuaire_roster!$B:$G,MATCH(P$1,Annuaire_roster!$B$1:$G$1,0),0),"-")</f>
        <v/>
      </c>
      <c r="Q86" s="243" t="n">
        <v>44763</v>
      </c>
      <c r="R86" s="244">
        <f>IF(M86="Abs",O86,0)</f>
        <v/>
      </c>
      <c r="S86" s="244">
        <f>SUM(R86,L86,I86,J86,W86,H86)</f>
        <v/>
      </c>
      <c r="T86" s="209">
        <f>"Sem - "&amp;WEEKNUM(Q86,21)</f>
        <v/>
      </c>
      <c r="U86" s="209">
        <f>PROPER(TEXT(Q86,"mmmm"))</f>
        <v/>
      </c>
      <c r="V86" s="245">
        <f>+TEXT(Q86,"aaa")</f>
        <v/>
      </c>
      <c r="W86" s="240" t="n"/>
      <c r="X86" s="246">
        <f>IFERROR(IF(M86="Abs",0,IF((D86-C86+E86-F86)&lt;0.000694444444444444,0,(D86-C86+E86-F86))),0)</f>
        <v/>
      </c>
      <c r="Y86" s="247">
        <f>IFERROR(VLOOKUP(B86,Annuaire_roster!B:E,4,0),"-")</f>
        <v/>
      </c>
      <c r="Z86" s="247">
        <f>IFERROR(VLOOKUP(B86,Annuaire_roster!B:F,3,0),"-")</f>
        <v/>
      </c>
      <c r="AA86" s="247">
        <f>IFERROR(VLOOKUP(B86,Annuaire_roster!B:I,6,0),"-")</f>
        <v/>
      </c>
      <c r="AB86" s="248">
        <f>IF(AND(D86="Congé",F86="Congé"),0.333333333333333,IF(OR(AND(D86="Congé",F86&lt;&gt;"Congé"),(AND(F86="Congé",D86&lt;&gt;"Congé"))),0.166666666666667,""))</f>
        <v/>
      </c>
      <c r="AC86" s="248">
        <f>IF(AND(D86="Congé sans solde",F86="Congé sans solde"),0.333333333333333,IF(OR(AND(D86="Congé sans solde",F86&lt;&gt;"Congé sans solde"),(AND(F86="Congé sans solde",D86&lt;&gt;"Congé sans solde"))),0.166666666666667,""))</f>
        <v/>
      </c>
      <c r="AD86" s="248">
        <f>IF(AND(D86="Congé spécial",F86="Congé spécial"),0.333333333333333,IF(OR(AND(D86="Congé spécial",F86&lt;&gt;"Congé décès"),(AND(F86="Congé spécial",D86&lt;&gt;"Congé spécial"))),0.166666666666667,""))</f>
        <v/>
      </c>
      <c r="AE86" s="249">
        <f>IF(AND(D86="Férié",F86="Férié"),0.333333333333333,IF(OR(AND(D86="Férié",F86&lt;&gt;"Férié"),(AND(F86="Férié",D86&lt;&gt;"Férié"))),0.166666666666667,""))</f>
        <v/>
      </c>
      <c r="AF86" s="249" t="n"/>
      <c r="AG86" s="244" t="n"/>
    </row>
    <row r="87" hidden="1" ht="12.75" customHeight="1" s="231">
      <c r="A87" s="232">
        <f>VLOOKUP(B87,Annuaire_roster!B:F,5,0)</f>
        <v/>
      </c>
      <c r="B87" s="233" t="inlineStr">
        <is>
          <t>NIANG NDEYE ABSA</t>
        </is>
      </c>
      <c r="C87" s="234">
        <f>IFERROR(IF(COUNTIFS(Connexions!$K:$K,$Q87,Connexions!$E:$E,VLOOKUP($B87,Mapping_Noms!$A:$B,2,0))=0,"",_xlfn.MINIFS(Connexions!$M:$M,Connexions!$K:$K,$Q87,Connexions!$E:$E,VLOOKUP($B87,Mapping_Noms!$A:$B,2,0))-TIME(1,0,0)),"")</f>
        <v/>
      </c>
      <c r="D87" s="234">
        <f t="array" ref="D87:D87">IFERROR(INDEX(Planning2[],MATCH(1,(Planning2[Nom]=B87)*(Planning2[Date]=Q87),0),3),"-")</f>
        <v/>
      </c>
      <c r="E87" s="235">
        <f>IFERROR(IF(COUNTIFS(Connexions!$K:$K,$Q87,Connexions!$E:$E,VLOOKUP($B87,Mapping_Noms!$A:$B,2,0))=0,"",_xlfn.MAXIFS(Connexions!$O:$O,Connexions!$K:$K,$Q87,Connexions!$E:$E,VLOOKUP($B87,Mapping_Noms!$A:$B,2,0))-TIME(1,0,0)),"")</f>
        <v/>
      </c>
      <c r="F87" s="235">
        <f t="array" ref="F87:F87">IFERROR(INDEX(Planning2[],MATCH(1,(Planning2[Nom]=B87)*(Planning2[Date]=Q87),0),4),"-")</f>
        <v/>
      </c>
      <c r="G87" s="405">
        <f>IFERROR(IF(OR(IFERROR(INDEX('Planning Pauses Dej'!$C:$C,MATCH($B87&amp;"|"&amp;TEXT($Q87,"YYYYMMDD"),'Planning Pauses Dej'!$F:$F,0)),"")="",IFERROR(INDEX('Planning Pauses Dej'!$D:$D,MATCH($B87&amp;"|"&amp;TEXT($Q87,"YYYYMMDD"),'Planning Pauses Dej'!$F:$F,0)),"")=""),"",_xlfn.MAXIFS(Connexions!$Q:$Q,Connexions!$K:$K,$Q87,Connexions!$E:$E,VLOOKUP($B87,Mapping_Noms!$A:$B,2,0),Connexions!$O:$O,"&lt;="&amp;(IFERROR(INDEX('Planning Pauses Dej'!$D:$D,MATCH($B87&amp;"|"&amp;TEXT($Q87,"YYYYMMDD"),'Planning Pauses Dej'!$F:$F,0)),"")+TIME(1,0,0)),Connexions!$P:$P,"&gt;="&amp;(IFERROR(INDEX('Planning Pauses Dej'!$C:$C,MATCH($B87&amp;"|"&amp;TEXT($Q87,"YYYYMMDD"),'Planning Pauses Dej'!$F:$F,0)),"")+TIME(1,0,0)))),"")</f>
        <v/>
      </c>
      <c r="H87" s="405">
        <f>IFERROR(IF(OR($G87="",IFERROR(INDEX('Planning Pauses Dej'!$C:$C,MATCH($B87&amp;"|"&amp;TEXT($Q87,"YYYYMMDD"),'Planning Pauses Dej'!$F:$F,0)),"")="",IFERROR(INDEX('Planning Pauses Dej'!$D:$D,MATCH($B87&amp;"|"&amp;TEXT($Q87,"YYYYMMDD"),'Planning Pauses Dej'!$F:$F,0)),"")=""),"",IF($G87&gt;(IFERROR(INDEX('Planning Pauses Dej'!$D:$D,MATCH($B87&amp;"|"&amp;TEXT($Q87,"YYYYMMDD"),'Planning Pauses Dej'!$F:$F,0)),"")-IFERROR(INDEX('Planning Pauses Dej'!$C:$C,MATCH($B87&amp;"|"&amp;TEXT($Q87,"YYYYMMDD"),'Planning Pauses Dej'!$F:$F,0)),"")),$G87-(IFERROR(INDEX('Planning Pauses Dej'!$D:$D,MATCH($B87&amp;"|"&amp;TEXT($Q87,"YYYYMMDD"),'Planning Pauses Dej'!$F:$F,0)),"")-IFERROR(INDEX('Planning Pauses Dej'!$C:$C,MATCH($B87&amp;"|"&amp;TEXT($Q87,"YYYYMMDD"),'Planning Pauses Dej'!$F:$F,0)),"")),0)),"")</f>
        <v/>
      </c>
      <c r="I87" s="251">
        <f>IF(IF(OR(C87="",D87="Congé",D87="OFF",D87="Congé spécial"),"",IF(D87&gt;F87,D87-C87,IF(C87-D87&lt;0,0,C87-D87)))&lt;0.00068287037037037,"",IF(OR(D87="Congé",D87="OFF",C87="",D87="Congé spécial"),"",IF(D87&gt;F87,D87-C87,IF(C87-D87&lt;0,0,C87-D87))))</f>
        <v/>
      </c>
      <c r="J87" s="405">
        <f>IFERROR(IF($G87="","",IF($G87&gt;TIME(1,0,0),$G87-TIME(1,0,0),0)),"")</f>
        <v/>
      </c>
      <c r="K87" s="238">
        <f>IF(SUM(H87:J87)&lt;0.00068287037037037,0,SUM(H87:J87))</f>
        <v/>
      </c>
      <c r="L87" s="236">
        <f>IF(OR(F87="Congé",F87="OFF",M87="Abs",F87="Congé sans solde",F87="Férié",F87="Congé spécial",D87="Congé spécial"),0,IF(F87-E87&lt;0,0,IF(F87-E87&lt;=0.00068287037037037,0,F87-E87)))</f>
        <v/>
      </c>
      <c r="M87" s="239">
        <f>IF(AND(O87&lt;&gt;0,C87=""),"Abs",0)</f>
        <v/>
      </c>
      <c r="N87" s="240">
        <f>IFERROR(IF(OR(D87="OFF",D87="Congé",M87="Abs",D87="Congé sans solde",D87="Férié"),"",IF(O87-K87-L87&gt;O87,O87,IF(O87-K87-L87&lt;0,"",O87-K87-L87))),"")</f>
        <v/>
      </c>
      <c r="O87" s="241">
        <f>IF(AG87="2H Pause déjeuner",IF(F87-D87-0.0833333333333333&lt;0,F87-D87-0.0833333333333333+1,F87-D87-0.0833333333333333),IF(OR(AND(F87="OFF",D87="OFF"),AND(F87="Congé",D87="Congé"),AND(F87="Congé sans solde",D87="Congé sans solde"),AND(F87="Congé spécial",D87="Congé spécial"),AND(F87="Férié",D87="Férié"),AND(F87="OFF",D87="Congé"),AND(F87="OFF",D87="Congé sans solde"),AND(F87="OFF",D87="Congé spécial"),AND(F87="OFF",D87="Férié"),AND(F87="Congé",D87="OFF"),AND(F87="Congé",D87="Congé sans solde"),AND(F87="Congé",D87="Congé spécial"),AND(F87="Congé",D87="Férié"),AND(F87="Congé sans solde",D87="OFF"),AND(F87="Congé sans solde",D87="Congé"),AND(F87="Congé sans solde",D87="Congé spécial"),AND(F87="Congé sans solde",D87="Férié"),AND(F87="Congé spécial",D87="OFF"),AND(F87="Congé spécial",D87="Congé"),AND(F87="Congé spécial",D87="Congé sans solde"),AND(F87="Congé spécial",D87="Férié"),AND(F87="Férié",D87="OFF"),AND(F87="Férié",D87="Congé"),AND(F87="Férié",D87="Congé sans solde"),AND(F87="Férié",D87="Congé spécial")),0,IF(OR(F87="OFF",F87="Congé",F87="Congé spécial",F87="Congé sans solde",D87="OFF",D87="Congé",D87="Congé spécial",D87="Congé sans solde"),0.208333333333334,IF(AND(AG87="",F87-D87&lt;0),("24:00:00"-D87)+("00:00:00"+F87)-0.0416666666666667,IF(AND(OR(AG87="Allaitement",AG87="Sans déjeuner"),F87-D87&lt;0),("24:00:00"-D87)+("00:00:00"+F87),IF(AND(AG87="",F87-D87&gt;0.166666666666667),F87-D87-0.0416666666666667,IF(AND(OR(AG87="Allaitement",AG87="Sans déjeuner"),F87-D87&gt;0.166666666666667),F87-D87,F87-D87)))))))</f>
        <v/>
      </c>
      <c r="P87" s="242">
        <f>IFERROR(VLOOKUP($B87,Annuaire_roster!$B:$G,MATCH(P$1,Annuaire_roster!$B$1:$G$1,0),0),"-")</f>
        <v/>
      </c>
      <c r="Q87" s="243" t="n">
        <v>44763</v>
      </c>
      <c r="R87" s="244">
        <f>IF(M87="Abs",O87,0)</f>
        <v/>
      </c>
      <c r="S87" s="244">
        <f>SUM(R87,L87,I87,J87,W87,H87)</f>
        <v/>
      </c>
      <c r="T87" s="209">
        <f>"Sem - "&amp;WEEKNUM(Q87,21)</f>
        <v/>
      </c>
      <c r="U87" s="209">
        <f>PROPER(TEXT(Q87,"mmmm"))</f>
        <v/>
      </c>
      <c r="V87" s="245">
        <f>+TEXT(Q87,"aaa")</f>
        <v/>
      </c>
      <c r="W87" s="240" t="n"/>
      <c r="X87" s="246">
        <f>IFERROR(IF(M87="Abs",0,IF((D87-C87+E87-F87)&lt;0.000694444444444444,0,(D87-C87+E87-F87))),0)</f>
        <v/>
      </c>
      <c r="Y87" s="247">
        <f>IFERROR(VLOOKUP(B87,Annuaire_roster!B:E,4,0),"-")</f>
        <v/>
      </c>
      <c r="Z87" s="247">
        <f>IFERROR(VLOOKUP(B87,Annuaire_roster!B:F,3,0),"-")</f>
        <v/>
      </c>
      <c r="AA87" s="247">
        <f>IFERROR(VLOOKUP(B87,Annuaire_roster!B:I,6,0),"-")</f>
        <v/>
      </c>
      <c r="AB87" s="248">
        <f>IF(AND(D87="Congé",F87="Congé"),0.333333333333333,IF(OR(AND(D87="Congé",F87&lt;&gt;"Congé"),(AND(F87="Congé",D87&lt;&gt;"Congé"))),0.166666666666667,""))</f>
        <v/>
      </c>
      <c r="AC87" s="248">
        <f>IF(AND(D87="Congé sans solde",F87="Congé sans solde"),0.333333333333333,IF(OR(AND(D87="Congé sans solde",F87&lt;&gt;"Congé sans solde"),(AND(F87="Congé sans solde",D87&lt;&gt;"Congé sans solde"))),0.166666666666667,""))</f>
        <v/>
      </c>
      <c r="AD87" s="248">
        <f>IF(AND(D87="Congé spécial",F87="Congé spécial"),0.333333333333333,IF(OR(AND(D87="Congé spécial",F87&lt;&gt;"Congé décès"),(AND(F87="Congé spécial",D87&lt;&gt;"Congé spécial"))),0.166666666666667,""))</f>
        <v/>
      </c>
      <c r="AE87" s="249">
        <f>IF(AND(D87="Férié",F87="Férié"),0.333333333333333,IF(OR(AND(D87="Férié",F87&lt;&gt;"Férié"),(AND(F87="Férié",D87&lt;&gt;"Férié"))),0.166666666666667,""))</f>
        <v/>
      </c>
      <c r="AF87" s="249" t="n"/>
      <c r="AG87" s="244" t="n"/>
    </row>
    <row r="88" hidden="1" ht="12.75" customHeight="1" s="231">
      <c r="A88" s="232">
        <f>VLOOKUP(B88,Annuaire_roster!B:F,5,0)</f>
        <v/>
      </c>
      <c r="B88" s="233" t="inlineStr">
        <is>
          <t xml:space="preserve">LALOUN MANAL </t>
        </is>
      </c>
      <c r="C88" s="234">
        <f>IFERROR(IF(COUNTIFS(Connexions!$K:$K,$Q88,Connexions!$E:$E,VLOOKUP($B88,Mapping_Noms!$A:$B,2,0))=0,"",_xlfn.MINIFS(Connexions!$M:$M,Connexions!$K:$K,$Q88,Connexions!$E:$E,VLOOKUP($B88,Mapping_Noms!$A:$B,2,0))-TIME(1,0,0)),"")</f>
        <v/>
      </c>
      <c r="D88" s="234">
        <f t="array" ref="D88:D88">IFERROR(INDEX(Planning2[],MATCH(1,(Planning2[Nom]=B88)*(Planning2[Date]=Q88),0),3),"-")</f>
        <v/>
      </c>
      <c r="E88" s="235">
        <f>IFERROR(IF(COUNTIFS(Connexions!$K:$K,$Q88,Connexions!$E:$E,VLOOKUP($B88,Mapping_Noms!$A:$B,2,0))=0,"",_xlfn.MAXIFS(Connexions!$O:$O,Connexions!$K:$K,$Q88,Connexions!$E:$E,VLOOKUP($B88,Mapping_Noms!$A:$B,2,0))-TIME(1,0,0)),"")</f>
        <v/>
      </c>
      <c r="F88" s="235">
        <f t="array" ref="F88:F88">IFERROR(INDEX(Planning2[],MATCH(1,(Planning2[Nom]=B88)*(Planning2[Date]=Q88),0),4),"-")</f>
        <v/>
      </c>
      <c r="G88" s="405">
        <f>IFERROR(IF(OR(IFERROR(INDEX('Planning Pauses Dej'!$C:$C,MATCH($B88&amp;"|"&amp;TEXT($Q88,"YYYYMMDD"),'Planning Pauses Dej'!$F:$F,0)),"")="",IFERROR(INDEX('Planning Pauses Dej'!$D:$D,MATCH($B88&amp;"|"&amp;TEXT($Q88,"YYYYMMDD"),'Planning Pauses Dej'!$F:$F,0)),"")=""),"",_xlfn.MAXIFS(Connexions!$Q:$Q,Connexions!$K:$K,$Q88,Connexions!$E:$E,VLOOKUP($B88,Mapping_Noms!$A:$B,2,0),Connexions!$O:$O,"&lt;="&amp;(IFERROR(INDEX('Planning Pauses Dej'!$D:$D,MATCH($B88&amp;"|"&amp;TEXT($Q88,"YYYYMMDD"),'Planning Pauses Dej'!$F:$F,0)),"")+TIME(1,0,0)),Connexions!$P:$P,"&gt;="&amp;(IFERROR(INDEX('Planning Pauses Dej'!$C:$C,MATCH($B88&amp;"|"&amp;TEXT($Q88,"YYYYMMDD"),'Planning Pauses Dej'!$F:$F,0)),"")+TIME(1,0,0)))),"")</f>
        <v/>
      </c>
      <c r="H88" s="405">
        <f>IFERROR(IF(OR($G88="",IFERROR(INDEX('Planning Pauses Dej'!$C:$C,MATCH($B88&amp;"|"&amp;TEXT($Q88,"YYYYMMDD"),'Planning Pauses Dej'!$F:$F,0)),"")="",IFERROR(INDEX('Planning Pauses Dej'!$D:$D,MATCH($B88&amp;"|"&amp;TEXT($Q88,"YYYYMMDD"),'Planning Pauses Dej'!$F:$F,0)),"")=""),"",IF($G88&gt;(IFERROR(INDEX('Planning Pauses Dej'!$D:$D,MATCH($B88&amp;"|"&amp;TEXT($Q88,"YYYYMMDD"),'Planning Pauses Dej'!$F:$F,0)),"")-IFERROR(INDEX('Planning Pauses Dej'!$C:$C,MATCH($B88&amp;"|"&amp;TEXT($Q88,"YYYYMMDD"),'Planning Pauses Dej'!$F:$F,0)),"")),$G88-(IFERROR(INDEX('Planning Pauses Dej'!$D:$D,MATCH($B88&amp;"|"&amp;TEXT($Q88,"YYYYMMDD"),'Planning Pauses Dej'!$F:$F,0)),"")-IFERROR(INDEX('Planning Pauses Dej'!$C:$C,MATCH($B88&amp;"|"&amp;TEXT($Q88,"YYYYMMDD"),'Planning Pauses Dej'!$F:$F,0)),"")),0)),"")</f>
        <v/>
      </c>
      <c r="I88" s="251">
        <f>IF(IF(OR(C88="",D88="Congé",D88="OFF",D88="Congé spécial"),"",IF(D88&gt;F88,D88-C88,IF(C88-D88&lt;0,0,C88-D88)))&lt;0.00068287037037037,"",IF(OR(D88="Congé",D88="OFF",C88="",D88="Congé spécial"),"",IF(D88&gt;F88,D88-C88,IF(C88-D88&lt;0,0,C88-D88))))</f>
        <v/>
      </c>
      <c r="J88" s="405">
        <f>IFERROR(IF($G88="","",IF($G88&gt;TIME(1,0,0),$G88-TIME(1,0,0),0)),"")</f>
        <v/>
      </c>
      <c r="K88" s="238">
        <f>IF(SUM(H88:J88)&lt;0.00068287037037037,0,SUM(H88:J88))</f>
        <v/>
      </c>
      <c r="L88" s="236">
        <f>IF(OR(F88="Congé",F88="OFF",M88="Abs",F88="Congé sans solde",F88="Férié",F88="Congé spécial",D88="Congé spécial"),0,IF(F88-E88&lt;0,0,IF(F88-E88&lt;=0.00068287037037037,0,F88-E88)))</f>
        <v/>
      </c>
      <c r="M88" s="239">
        <f>IF(AND(O88&lt;&gt;0,C88=""),"Abs",0)</f>
        <v/>
      </c>
      <c r="N88" s="240">
        <f>IFERROR(IF(OR(D88="OFF",D88="Congé",M88="Abs",D88="Congé sans solde",D88="Férié"),"",IF(O88-K88-L88&gt;O88,O88,IF(O88-K88-L88&lt;0,"",O88-K88-L88))),"")</f>
        <v/>
      </c>
      <c r="O88" s="241">
        <f>IF(AG88="2H Pause déjeuner",IF(F88-D88-0.0833333333333333&lt;0,F88-D88-0.0833333333333333+1,F88-D88-0.0833333333333333),IF(OR(AND(F88="OFF",D88="OFF"),AND(F88="Congé",D88="Congé"),AND(F88="Congé sans solde",D88="Congé sans solde"),AND(F88="Congé spécial",D88="Congé spécial"),AND(F88="Férié",D88="Férié"),AND(F88="OFF",D88="Congé"),AND(F88="OFF",D88="Congé sans solde"),AND(F88="OFF",D88="Congé spécial"),AND(F88="OFF",D88="Férié"),AND(F88="Congé",D88="OFF"),AND(F88="Congé",D88="Congé sans solde"),AND(F88="Congé",D88="Congé spécial"),AND(F88="Congé",D88="Férié"),AND(F88="Congé sans solde",D88="OFF"),AND(F88="Congé sans solde",D88="Congé"),AND(F88="Congé sans solde",D88="Congé spécial"),AND(F88="Congé sans solde",D88="Férié"),AND(F88="Congé spécial",D88="OFF"),AND(F88="Congé spécial",D88="Congé"),AND(F88="Congé spécial",D88="Congé sans solde"),AND(F88="Congé spécial",D88="Férié"),AND(F88="Férié",D88="OFF"),AND(F88="Férié",D88="Congé"),AND(F88="Férié",D88="Congé sans solde"),AND(F88="Férié",D88="Congé spécial")),0,IF(OR(F88="OFF",F88="Congé",F88="Congé spécial",F88="Congé sans solde",D88="OFF",D88="Congé",D88="Congé spécial",D88="Congé sans solde"),0.208333333333334,IF(AND(AG88="",F88-D88&lt;0),("24:00:00"-D88)+("00:00:00"+F88)-0.0416666666666667,IF(AND(OR(AG88="Allaitement",AG88="Sans déjeuner"),F88-D88&lt;0),("24:00:00"-D88)+("00:00:00"+F88),IF(AND(AG88="",F88-D88&gt;0.166666666666667),F88-D88-0.0416666666666667,IF(AND(OR(AG88="Allaitement",AG88="Sans déjeuner"),F88-D88&gt;0.166666666666667),F88-D88,F88-D88)))))))</f>
        <v/>
      </c>
      <c r="P88" s="242">
        <f>IFERROR(VLOOKUP($B88,Annuaire_roster!$B:$G,MATCH(P$1,Annuaire_roster!$B$1:$G$1,0),0),"-")</f>
        <v/>
      </c>
      <c r="Q88" s="243" t="n">
        <v>44763</v>
      </c>
      <c r="R88" s="244">
        <f>IF(M88="Abs",O88,0)</f>
        <v/>
      </c>
      <c r="S88" s="244">
        <f>SUM(R88,L88,I88,J88,W88,H88)</f>
        <v/>
      </c>
      <c r="T88" s="209">
        <f>"Sem - "&amp;WEEKNUM(Q88,21)</f>
        <v/>
      </c>
      <c r="U88" s="209">
        <f>PROPER(TEXT(Q88,"mmmm"))</f>
        <v/>
      </c>
      <c r="V88" s="245">
        <f>+TEXT(Q88,"aaa")</f>
        <v/>
      </c>
      <c r="W88" s="240" t="n"/>
      <c r="X88" s="246">
        <f>IFERROR(IF(M88="Abs",0,IF((D88-C88+E88-F88)&lt;0.000694444444444444,0,(D88-C88+E88-F88))),0)</f>
        <v/>
      </c>
      <c r="Y88" s="247">
        <f>IFERROR(VLOOKUP(B88,Annuaire_roster!B:E,4,0),"-")</f>
        <v/>
      </c>
      <c r="Z88" s="247">
        <f>IFERROR(VLOOKUP(B88,Annuaire_roster!B:F,3,0),"-")</f>
        <v/>
      </c>
      <c r="AA88" s="247">
        <f>IFERROR(VLOOKUP(B88,Annuaire_roster!B:I,6,0),"-")</f>
        <v/>
      </c>
      <c r="AB88" s="248">
        <f>IF(AND(D88="Congé",F88="Congé"),0.333333333333333,IF(OR(AND(D88="Congé",F88&lt;&gt;"Congé"),(AND(F88="Congé",D88&lt;&gt;"Congé"))),0.166666666666667,""))</f>
        <v/>
      </c>
      <c r="AC88" s="248">
        <f>IF(AND(D88="Congé sans solde",F88="Congé sans solde"),0.333333333333333,IF(OR(AND(D88="Congé sans solde",F88&lt;&gt;"Congé sans solde"),(AND(F88="Congé sans solde",D88&lt;&gt;"Congé sans solde"))),0.166666666666667,""))</f>
        <v/>
      </c>
      <c r="AD88" s="248">
        <f>IF(AND(D88="Congé spécial",F88="Congé spécial"),0.333333333333333,IF(OR(AND(D88="Congé spécial",F88&lt;&gt;"Congé décès"),(AND(F88="Congé spécial",D88&lt;&gt;"Congé spécial"))),0.166666666666667,""))</f>
        <v/>
      </c>
      <c r="AE88" s="249">
        <f>IF(AND(D88="Férié",F88="Férié"),0.333333333333333,IF(OR(AND(D88="Férié",F88&lt;&gt;"Férié"),(AND(F88="Férié",D88&lt;&gt;"Férié"))),0.166666666666667,""))</f>
        <v/>
      </c>
      <c r="AF88" s="249" t="n"/>
      <c r="AG88" s="244" t="n"/>
    </row>
    <row r="89" hidden="1" ht="12.75" customHeight="1" s="231">
      <c r="A89" s="253">
        <f>VLOOKUP(B89,Annuaire_roster!B:F,5,0)</f>
        <v/>
      </c>
      <c r="B89" s="233" t="inlineStr">
        <is>
          <t xml:space="preserve">DERKAOUI AMAL </t>
        </is>
      </c>
      <c r="C89" s="234">
        <f>IFERROR(IF(COUNTIFS(Connexions!$K:$K,$Q89,Connexions!$E:$E,VLOOKUP($B89,Mapping_Noms!$A:$B,2,0))=0,"",_xlfn.MINIFS(Connexions!$M:$M,Connexions!$K:$K,$Q89,Connexions!$E:$E,VLOOKUP($B89,Mapping_Noms!$A:$B,2,0))-TIME(1,0,0)),"")</f>
        <v/>
      </c>
      <c r="D89" s="234">
        <f t="array" ref="D89:D89">IFERROR(INDEX(Planning2[],MATCH(1,(Planning2[Nom]=B89)*(Planning2[Date]=Q89),0),3),"-")</f>
        <v/>
      </c>
      <c r="E89" s="235">
        <f>IFERROR(IF(COUNTIFS(Connexions!$K:$K,$Q89,Connexions!$E:$E,VLOOKUP($B89,Mapping_Noms!$A:$B,2,0))=0,"",_xlfn.MAXIFS(Connexions!$O:$O,Connexions!$K:$K,$Q89,Connexions!$E:$E,VLOOKUP($B89,Mapping_Noms!$A:$B,2,0))-TIME(1,0,0)),"")</f>
        <v/>
      </c>
      <c r="F89" s="235">
        <f t="array" ref="F89:F89">IFERROR(INDEX(Planning2[],MATCH(1,(Planning2[Nom]=B89)*(Planning2[Date]=Q89),0),4),"-")</f>
        <v/>
      </c>
      <c r="G89" s="405">
        <f>IFERROR(IF(OR(IFERROR(INDEX('Planning Pauses Dej'!$C:$C,MATCH($B89&amp;"|"&amp;TEXT($Q89,"YYYYMMDD"),'Planning Pauses Dej'!$F:$F,0)),"")="",IFERROR(INDEX('Planning Pauses Dej'!$D:$D,MATCH($B89&amp;"|"&amp;TEXT($Q89,"YYYYMMDD"),'Planning Pauses Dej'!$F:$F,0)),"")=""),"",_xlfn.MAXIFS(Connexions!$Q:$Q,Connexions!$K:$K,$Q89,Connexions!$E:$E,VLOOKUP($B89,Mapping_Noms!$A:$B,2,0),Connexions!$O:$O,"&lt;="&amp;(IFERROR(INDEX('Planning Pauses Dej'!$D:$D,MATCH($B89&amp;"|"&amp;TEXT($Q89,"YYYYMMDD"),'Planning Pauses Dej'!$F:$F,0)),"")+TIME(1,0,0)),Connexions!$P:$P,"&gt;="&amp;(IFERROR(INDEX('Planning Pauses Dej'!$C:$C,MATCH($B89&amp;"|"&amp;TEXT($Q89,"YYYYMMDD"),'Planning Pauses Dej'!$F:$F,0)),"")+TIME(1,0,0)))),"")</f>
        <v/>
      </c>
      <c r="H89" s="405">
        <f>IFERROR(IF(OR($G89="",IFERROR(INDEX('Planning Pauses Dej'!$C:$C,MATCH($B89&amp;"|"&amp;TEXT($Q89,"YYYYMMDD"),'Planning Pauses Dej'!$F:$F,0)),"")="",IFERROR(INDEX('Planning Pauses Dej'!$D:$D,MATCH($B89&amp;"|"&amp;TEXT($Q89,"YYYYMMDD"),'Planning Pauses Dej'!$F:$F,0)),"")=""),"",IF($G89&gt;(IFERROR(INDEX('Planning Pauses Dej'!$D:$D,MATCH($B89&amp;"|"&amp;TEXT($Q89,"YYYYMMDD"),'Planning Pauses Dej'!$F:$F,0)),"")-IFERROR(INDEX('Planning Pauses Dej'!$C:$C,MATCH($B89&amp;"|"&amp;TEXT($Q89,"YYYYMMDD"),'Planning Pauses Dej'!$F:$F,0)),"")),$G89-(IFERROR(INDEX('Planning Pauses Dej'!$D:$D,MATCH($B89&amp;"|"&amp;TEXT($Q89,"YYYYMMDD"),'Planning Pauses Dej'!$F:$F,0)),"")-IFERROR(INDEX('Planning Pauses Dej'!$C:$C,MATCH($B89&amp;"|"&amp;TEXT($Q89,"YYYYMMDD"),'Planning Pauses Dej'!$F:$F,0)),"")),0)),"")</f>
        <v/>
      </c>
      <c r="I89" s="251">
        <f>IF(IF(OR(C89="",D89="Congé",D89="OFF",D89="Congé spécial"),"",IF(D89&gt;F89,D89-C89,IF(C89-D89&lt;0,0,C89-D89)))&lt;0.00068287037037037,"",IF(OR(D89="Congé",D89="OFF",C89="",D89="Congé spécial"),"",IF(D89&gt;F89,D89-C89,IF(C89-D89&lt;0,0,C89-D89))))</f>
        <v/>
      </c>
      <c r="J89" s="405">
        <f>IFERROR(IF($G89="","",IF($G89&gt;TIME(1,0,0),$G89-TIME(1,0,0),0)),"")</f>
        <v/>
      </c>
      <c r="K89" s="238">
        <f>IF(SUM(H89:J89)&lt;0.00068287037037037,0,SUM(H89:J89))</f>
        <v/>
      </c>
      <c r="L89" s="236">
        <f>IF(OR(F89="Congé",F89="OFF",M89="Abs",F89="Congé sans solde",F89="Férié",F89="Congé spécial",D89="Congé spécial"),0,IF(F89-E89&lt;0,0,IF(F89-E89&lt;=0.00068287037037037,0,F89-E89)))</f>
        <v/>
      </c>
      <c r="M89" s="239">
        <f>IF(AND(O89&lt;&gt;0,C89=""),"Abs",0)</f>
        <v/>
      </c>
      <c r="N89" s="254">
        <f>IFERROR(IF(OR(D89="OFF",D89="Congé",M89="Abs",D89="Congé sans solde",D89="Férié"),"",IF(O89-K89-L89&gt;O89,O89,IF(O89-K89-L89&lt;0,"",O89-K89-L89))),"")</f>
        <v/>
      </c>
      <c r="O89" s="241">
        <f>IF(AG89="2H Pause déjeuner",IF(F89-D89-0.0833333333333333&lt;0,F89-D89-0.0833333333333333+1,F89-D89-0.0833333333333333),IF(OR(AND(F89="OFF",D89="OFF"),AND(F89="Congé",D89="Congé"),AND(F89="Congé sans solde",D89="Congé sans solde"),AND(F89="Congé spécial",D89="Congé spécial"),AND(F89="Férié",D89="Férié"),AND(F89="OFF",D89="Congé"),AND(F89="OFF",D89="Congé sans solde"),AND(F89="OFF",D89="Congé spécial"),AND(F89="OFF",D89="Férié"),AND(F89="Congé",D89="OFF"),AND(F89="Congé",D89="Congé sans solde"),AND(F89="Congé",D89="Congé spécial"),AND(F89="Congé",D89="Férié"),AND(F89="Congé sans solde",D89="OFF"),AND(F89="Congé sans solde",D89="Congé"),AND(F89="Congé sans solde",D89="Congé spécial"),AND(F89="Congé sans solde",D89="Férié"),AND(F89="Congé spécial",D89="OFF"),AND(F89="Congé spécial",D89="Congé"),AND(F89="Congé spécial",D89="Congé sans solde"),AND(F89="Congé spécial",D89="Férié"),AND(F89="Férié",D89="OFF"),AND(F89="Férié",D89="Congé"),AND(F89="Férié",D89="Congé sans solde"),AND(F89="Férié",D89="Congé spécial")),0,IF(OR(F89="OFF",F89="Congé",F89="Congé spécial",F89="Congé sans solde",D89="OFF",D89="Congé",D89="Congé spécial",D89="Congé sans solde"),0.208333333333334,IF(AND(AG89="",F89-D89&lt;0),("24:00:00"-D89)+("00:00:00"+F89)-0.0416666666666667,IF(AND(OR(AG89="Allaitement",AG89="Sans déjeuner"),F89-D89&lt;0),("24:00:00"-D89)+("00:00:00"+F89),IF(AND(AG89="",F89-D89&gt;0.166666666666667),F89-D89-0.0416666666666667,IF(AND(OR(AG89="Allaitement",AG89="Sans déjeuner"),F89-D89&gt;0.166666666666667),F89-D89,F89-D89)))))))</f>
        <v/>
      </c>
      <c r="P89" s="242">
        <f>IFERROR(VLOOKUP($B89,Annuaire_roster!$B:$G,MATCH(P$1,Annuaire_roster!$B$1:$G$1,0),0),"-")</f>
        <v/>
      </c>
      <c r="Q89" s="255" t="n">
        <v>44763</v>
      </c>
      <c r="R89" s="248">
        <f>IF(M89="Abs",O89,0)</f>
        <v/>
      </c>
      <c r="S89" s="248">
        <f>SUM(R89,L89,I89,J89,W89,H89)</f>
        <v/>
      </c>
      <c r="T89" s="209">
        <f>"Sem - "&amp;WEEKNUM(Q89,21)</f>
        <v/>
      </c>
      <c r="U89" s="209">
        <f>PROPER(TEXT(Q89,"mmmm"))</f>
        <v/>
      </c>
      <c r="V89" s="256">
        <f>+TEXT(Q89,"aaa")</f>
        <v/>
      </c>
      <c r="W89" s="254" t="n"/>
      <c r="X89" s="257">
        <f>IFERROR(IF(M89="Abs",0,IF((D89-C89+E89-F89)&lt;0.000694444444444444,0,(D89-C89+E89-F89))),0)</f>
        <v/>
      </c>
      <c r="Y89" s="258">
        <f>IFERROR(VLOOKUP(B89,Annuaire_roster!B:E,4,0),"-")</f>
        <v/>
      </c>
      <c r="Z89" s="258">
        <f>IFERROR(VLOOKUP(B89,Annuaire_roster!B:F,3,0),"-")</f>
        <v/>
      </c>
      <c r="AA89" s="258">
        <f>IFERROR(VLOOKUP(B89,Annuaire_roster!B:I,6,0),"-")</f>
        <v/>
      </c>
      <c r="AB89" s="248">
        <f>IF(AND(D89="Congé",F89="Congé"),0.333333333333333,IF(OR(AND(D89="Congé",F89&lt;&gt;"Congé"),(AND(F89="Congé",D89&lt;&gt;"Congé"))),0.166666666666667,""))</f>
        <v/>
      </c>
      <c r="AC89" s="248">
        <f>IF(AND(D89="Congé sans solde",F89="Congé sans solde"),0.333333333333333,IF(OR(AND(D89="Congé sans solde",F89&lt;&gt;"Congé sans solde"),(AND(F89="Congé sans solde",D89&lt;&gt;"Congé sans solde"))),0.166666666666667,""))</f>
        <v/>
      </c>
      <c r="AD89" s="248">
        <f>IF(AND(D89="Congé spécial",F89="Congé spécial"),0.333333333333333,IF(OR(AND(D89="Congé spécial",F89&lt;&gt;"Congé décès"),(AND(F89="Congé spécial",D89&lt;&gt;"Congé spécial"))),0.166666666666667,""))</f>
        <v/>
      </c>
      <c r="AE89" s="259">
        <f>IF(AND(D89="Férié",F89="Férié"),0.333333333333333,IF(OR(AND(D89="Férié",F89&lt;&gt;"Férié"),(AND(F89="Férié",D89&lt;&gt;"Férié"))),0.166666666666667,""))</f>
        <v/>
      </c>
      <c r="AF89" s="259" t="n"/>
      <c r="AG89" s="248" t="n"/>
    </row>
    <row r="90" hidden="1" ht="12.75" customHeight="1" s="231">
      <c r="A90" s="253">
        <f>VLOOKUP(B90,Annuaire_roster!B:F,5,0)</f>
        <v/>
      </c>
      <c r="B90" s="233" t="inlineStr">
        <is>
          <t>IHASSANE Ikram</t>
        </is>
      </c>
      <c r="C90" s="234">
        <f>IFERROR(IF(COUNTIFS(Connexions!$K:$K,$Q90,Connexions!$E:$E,VLOOKUP($B90,Mapping_Noms!$A:$B,2,0))=0,"",_xlfn.MINIFS(Connexions!$M:$M,Connexions!$K:$K,$Q90,Connexions!$E:$E,VLOOKUP($B90,Mapping_Noms!$A:$B,2,0))-TIME(1,0,0)),"")</f>
        <v/>
      </c>
      <c r="D90" s="234">
        <f t="array" ref="D90:D90">IFERROR(INDEX(Planning2[],MATCH(1,(Planning2[Nom]=B90)*(Planning2[Date]=Q90),0),3),"-")</f>
        <v/>
      </c>
      <c r="E90" s="235">
        <f>IFERROR(IF(COUNTIFS(Connexions!$K:$K,$Q90,Connexions!$E:$E,VLOOKUP($B90,Mapping_Noms!$A:$B,2,0))=0,"",_xlfn.MAXIFS(Connexions!$O:$O,Connexions!$K:$K,$Q90,Connexions!$E:$E,VLOOKUP($B90,Mapping_Noms!$A:$B,2,0))-TIME(1,0,0)),"")</f>
        <v/>
      </c>
      <c r="F90" s="235">
        <f t="array" ref="F90:F90">IFERROR(INDEX(Planning2[],MATCH(1,(Planning2[Nom]=B90)*(Planning2[Date]=Q90),0),4),"-")</f>
        <v/>
      </c>
      <c r="G90" s="405">
        <f>IFERROR(IF(OR(IFERROR(INDEX('Planning Pauses Dej'!$C:$C,MATCH($B90&amp;"|"&amp;TEXT($Q90,"YYYYMMDD"),'Planning Pauses Dej'!$F:$F,0)),"")="",IFERROR(INDEX('Planning Pauses Dej'!$D:$D,MATCH($B90&amp;"|"&amp;TEXT($Q90,"YYYYMMDD"),'Planning Pauses Dej'!$F:$F,0)),"")=""),"",_xlfn.MAXIFS(Connexions!$Q:$Q,Connexions!$K:$K,$Q90,Connexions!$E:$E,VLOOKUP($B90,Mapping_Noms!$A:$B,2,0),Connexions!$O:$O,"&lt;="&amp;(IFERROR(INDEX('Planning Pauses Dej'!$D:$D,MATCH($B90&amp;"|"&amp;TEXT($Q90,"YYYYMMDD"),'Planning Pauses Dej'!$F:$F,0)),"")+TIME(1,0,0)),Connexions!$P:$P,"&gt;="&amp;(IFERROR(INDEX('Planning Pauses Dej'!$C:$C,MATCH($B90&amp;"|"&amp;TEXT($Q90,"YYYYMMDD"),'Planning Pauses Dej'!$F:$F,0)),"")+TIME(1,0,0)))),"")</f>
        <v/>
      </c>
      <c r="H90" s="405">
        <f>IFERROR(IF(OR($G90="",IFERROR(INDEX('Planning Pauses Dej'!$C:$C,MATCH($B90&amp;"|"&amp;TEXT($Q90,"YYYYMMDD"),'Planning Pauses Dej'!$F:$F,0)),"")="",IFERROR(INDEX('Planning Pauses Dej'!$D:$D,MATCH($B90&amp;"|"&amp;TEXT($Q90,"YYYYMMDD"),'Planning Pauses Dej'!$F:$F,0)),"")=""),"",IF($G90&gt;(IFERROR(INDEX('Planning Pauses Dej'!$D:$D,MATCH($B90&amp;"|"&amp;TEXT($Q90,"YYYYMMDD"),'Planning Pauses Dej'!$F:$F,0)),"")-IFERROR(INDEX('Planning Pauses Dej'!$C:$C,MATCH($B90&amp;"|"&amp;TEXT($Q90,"YYYYMMDD"),'Planning Pauses Dej'!$F:$F,0)),"")),$G90-(IFERROR(INDEX('Planning Pauses Dej'!$D:$D,MATCH($B90&amp;"|"&amp;TEXT($Q90,"YYYYMMDD"),'Planning Pauses Dej'!$F:$F,0)),"")-IFERROR(INDEX('Planning Pauses Dej'!$C:$C,MATCH($B90&amp;"|"&amp;TEXT($Q90,"YYYYMMDD"),'Planning Pauses Dej'!$F:$F,0)),"")),0)),"")</f>
        <v/>
      </c>
      <c r="I90" s="251">
        <f>IF(IF(OR(C90="",D90="Congé",D90="OFF",D90="Congé spécial"),"",IF(D90&gt;F90,D90-C90,IF(C90-D90&lt;0,0,C90-D90)))&lt;0.00068287037037037,"",IF(OR(D90="Congé",D90="OFF",C90="",D90="Congé spécial"),"",IF(D90&gt;F90,D90-C90,IF(C90-D90&lt;0,0,C90-D90))))</f>
        <v/>
      </c>
      <c r="J90" s="405">
        <f>IFERROR(IF($G90="","",IF($G90&gt;TIME(1,0,0),$G90-TIME(1,0,0),0)),"")</f>
        <v/>
      </c>
      <c r="K90" s="238">
        <f>IF(SUM(H90:J90)&lt;0.00068287037037037,0,SUM(H90:J90))</f>
        <v/>
      </c>
      <c r="L90" s="236">
        <f>IF(OR(F90="Congé",F90="OFF",M90="Abs",F90="Congé sans solde",F90="Férié",F90="Congé spécial",D90="Congé spécial"),0,IF(F90-E90&lt;0,0,IF(F90-E90&lt;=0.00068287037037037,0,F90-E90)))</f>
        <v/>
      </c>
      <c r="M90" s="239">
        <f>IF(AND(O90&lt;&gt;0,C90=""),"Abs",0)</f>
        <v/>
      </c>
      <c r="N90" s="254">
        <f>IFERROR(IF(OR(D90="OFF",D90="Congé",M90="Abs",D90="Congé sans solde",D90="Férié"),"",IF(O90-K90-L90&gt;O90,O90,IF(O90-K90-L90&lt;0,"",O90-K90-L90))),"")</f>
        <v/>
      </c>
      <c r="O90" s="241">
        <f>IF(AG90="2H Pause déjeuner",IF(F90-D90-0.0833333333333333&lt;0,F90-D90-0.0833333333333333+1,F90-D90-0.0833333333333333),IF(OR(AND(F90="OFF",D90="OFF"),AND(F90="Congé",D90="Congé"),AND(F90="Congé sans solde",D90="Congé sans solde"),AND(F90="Congé spécial",D90="Congé spécial"),AND(F90="Férié",D90="Férié"),AND(F90="OFF",D90="Congé"),AND(F90="OFF",D90="Congé sans solde"),AND(F90="OFF",D90="Congé spécial"),AND(F90="OFF",D90="Férié"),AND(F90="Congé",D90="OFF"),AND(F90="Congé",D90="Congé sans solde"),AND(F90="Congé",D90="Congé spécial"),AND(F90="Congé",D90="Férié"),AND(F90="Congé sans solde",D90="OFF"),AND(F90="Congé sans solde",D90="Congé"),AND(F90="Congé sans solde",D90="Congé spécial"),AND(F90="Congé sans solde",D90="Férié"),AND(F90="Congé spécial",D90="OFF"),AND(F90="Congé spécial",D90="Congé"),AND(F90="Congé spécial",D90="Congé sans solde"),AND(F90="Congé spécial",D90="Férié"),AND(F90="Férié",D90="OFF"),AND(F90="Férié",D90="Congé"),AND(F90="Férié",D90="Congé sans solde"),AND(F90="Férié",D90="Congé spécial")),0,IF(OR(F90="OFF",F90="Congé",F90="Congé spécial",F90="Congé sans solde",D90="OFF",D90="Congé",D90="Congé spécial",D90="Congé sans solde"),0.208333333333334,IF(AND(AG90="",F90-D90&lt;0),("24:00:00"-D90)+("00:00:00"+F90)-0.0416666666666667,IF(AND(OR(AG90="Allaitement",AG90="Sans déjeuner"),F90-D90&lt;0),("24:00:00"-D90)+("00:00:00"+F90),IF(AND(AG90="",F90-D90&gt;0.166666666666667),F90-D90-0.0416666666666667,IF(AND(OR(AG90="Allaitement",AG90="Sans déjeuner"),F90-D90&gt;0.166666666666667),F90-D90,F90-D90)))))))</f>
        <v/>
      </c>
      <c r="P90" s="242">
        <f>IFERROR(VLOOKUP($B90,Annuaire_roster!$B:$G,MATCH(P$1,Annuaire_roster!$B$1:$G$1,0),0),"-")</f>
        <v/>
      </c>
      <c r="Q90" s="255" t="n">
        <v>44763</v>
      </c>
      <c r="R90" s="248">
        <f>IF(M90="Abs",O90,0)</f>
        <v/>
      </c>
      <c r="S90" s="248">
        <f>SUM(R90,L90,I90,J90,W90,H90)</f>
        <v/>
      </c>
      <c r="T90" s="209">
        <f>"Sem - "&amp;WEEKNUM(Q90,21)</f>
        <v/>
      </c>
      <c r="U90" s="209">
        <f>PROPER(TEXT(Q90,"mmmm"))</f>
        <v/>
      </c>
      <c r="V90" s="256">
        <f>+TEXT(Q90,"aaa")</f>
        <v/>
      </c>
      <c r="W90" s="254" t="n"/>
      <c r="X90" s="257">
        <f>IFERROR(IF(M90="Abs",0,IF((D90-C90+E90-F90)&lt;0.000694444444444444,0,(D90-C90+E90-F90))),0)</f>
        <v/>
      </c>
      <c r="Y90" s="258">
        <f>IFERROR(VLOOKUP(B90,Annuaire_roster!B:E,4,0),"-")</f>
        <v/>
      </c>
      <c r="Z90" s="258">
        <f>IFERROR(VLOOKUP(B90,Annuaire_roster!B:F,3,0),"-")</f>
        <v/>
      </c>
      <c r="AA90" s="258">
        <f>IFERROR(VLOOKUP(B90,Annuaire_roster!B:I,6,0),"-")</f>
        <v/>
      </c>
      <c r="AB90" s="248">
        <f>IF(AND(D90="Congé",F90="Congé"),0.333333333333333,IF(OR(AND(D90="Congé",F90&lt;&gt;"Congé"),(AND(F90="Congé",D90&lt;&gt;"Congé"))),0.166666666666667,""))</f>
        <v/>
      </c>
      <c r="AC90" s="248">
        <f>IF(AND(D90="Congé sans solde",F90="Congé sans solde"),0.333333333333333,IF(OR(AND(D90="Congé sans solde",F90&lt;&gt;"Congé sans solde"),(AND(F90="Congé sans solde",D90&lt;&gt;"Congé sans solde"))),0.166666666666667,""))</f>
        <v/>
      </c>
      <c r="AD90" s="248">
        <f>IF(AND(D90="Congé spécial",F90="Congé spécial"),0.333333333333333,IF(OR(AND(D90="Congé spécial",F90&lt;&gt;"Congé décès"),(AND(F90="Congé spécial",D90&lt;&gt;"Congé spécial"))),0.166666666666667,""))</f>
        <v/>
      </c>
      <c r="AE90" s="259">
        <f>IF(AND(D90="Férié",F90="Férié"),0.333333333333333,IF(OR(AND(D90="Férié",F90&lt;&gt;"Férié"),(AND(F90="Férié",D90&lt;&gt;"Férié"))),0.166666666666667,""))</f>
        <v/>
      </c>
      <c r="AF90" s="259" t="n"/>
      <c r="AG90" s="248" t="n"/>
    </row>
    <row r="91" hidden="1" ht="12.75" customHeight="1" s="231">
      <c r="A91" s="232">
        <f>VLOOKUP(B91,Annuaire_roster!B:F,5,0)</f>
        <v/>
      </c>
      <c r="B91" s="233" t="inlineStr">
        <is>
          <t>ZAKI OMAR</t>
        </is>
      </c>
      <c r="C91" s="234">
        <f>IFERROR(IF(COUNTIFS(Connexions!$K:$K,$Q91,Connexions!$E:$E,VLOOKUP($B91,Mapping_Noms!$A:$B,2,0))=0,"",_xlfn.MINIFS(Connexions!$M:$M,Connexions!$K:$K,$Q91,Connexions!$E:$E,VLOOKUP($B91,Mapping_Noms!$A:$B,2,0))-TIME(1,0,0)),"")</f>
        <v/>
      </c>
      <c r="D91" s="234">
        <f t="array" ref="D91:D91">IFERROR(INDEX(Planning2[],MATCH(1,(Planning2[Nom]=B91)*(Planning2[Date]=Q91),0),3),"-")</f>
        <v/>
      </c>
      <c r="E91" s="235">
        <f>IFERROR(IF(COUNTIFS(Connexions!$K:$K,$Q91,Connexions!$E:$E,VLOOKUP($B91,Mapping_Noms!$A:$B,2,0))=0,"",_xlfn.MAXIFS(Connexions!$O:$O,Connexions!$K:$K,$Q91,Connexions!$E:$E,VLOOKUP($B91,Mapping_Noms!$A:$B,2,0))-TIME(1,0,0)),"")</f>
        <v/>
      </c>
      <c r="F91" s="235">
        <f t="array" ref="F91:F91">IFERROR(INDEX(Planning2[],MATCH(1,(Planning2[Nom]=B91)*(Planning2[Date]=Q91),0),4),"-")</f>
        <v/>
      </c>
      <c r="G91" s="405">
        <f>IFERROR(IF(OR(IFERROR(INDEX('Planning Pauses Dej'!$C:$C,MATCH($B91&amp;"|"&amp;TEXT($Q91,"YYYYMMDD"),'Planning Pauses Dej'!$F:$F,0)),"")="",IFERROR(INDEX('Planning Pauses Dej'!$D:$D,MATCH($B91&amp;"|"&amp;TEXT($Q91,"YYYYMMDD"),'Planning Pauses Dej'!$F:$F,0)),"")=""),"",_xlfn.MAXIFS(Connexions!$Q:$Q,Connexions!$K:$K,$Q91,Connexions!$E:$E,VLOOKUP($B91,Mapping_Noms!$A:$B,2,0),Connexions!$O:$O,"&lt;="&amp;(IFERROR(INDEX('Planning Pauses Dej'!$D:$D,MATCH($B91&amp;"|"&amp;TEXT($Q91,"YYYYMMDD"),'Planning Pauses Dej'!$F:$F,0)),"")+TIME(1,0,0)),Connexions!$P:$P,"&gt;="&amp;(IFERROR(INDEX('Planning Pauses Dej'!$C:$C,MATCH($B91&amp;"|"&amp;TEXT($Q91,"YYYYMMDD"),'Planning Pauses Dej'!$F:$F,0)),"")+TIME(1,0,0)))),"")</f>
        <v/>
      </c>
      <c r="H91" s="405">
        <f>IFERROR(IF(OR($G91="",IFERROR(INDEX('Planning Pauses Dej'!$C:$C,MATCH($B91&amp;"|"&amp;TEXT($Q91,"YYYYMMDD"),'Planning Pauses Dej'!$F:$F,0)),"")="",IFERROR(INDEX('Planning Pauses Dej'!$D:$D,MATCH($B91&amp;"|"&amp;TEXT($Q91,"YYYYMMDD"),'Planning Pauses Dej'!$F:$F,0)),"")=""),"",IF($G91&gt;(IFERROR(INDEX('Planning Pauses Dej'!$D:$D,MATCH($B91&amp;"|"&amp;TEXT($Q91,"YYYYMMDD"),'Planning Pauses Dej'!$F:$F,0)),"")-IFERROR(INDEX('Planning Pauses Dej'!$C:$C,MATCH($B91&amp;"|"&amp;TEXT($Q91,"YYYYMMDD"),'Planning Pauses Dej'!$F:$F,0)),"")),$G91-(IFERROR(INDEX('Planning Pauses Dej'!$D:$D,MATCH($B91&amp;"|"&amp;TEXT($Q91,"YYYYMMDD"),'Planning Pauses Dej'!$F:$F,0)),"")-IFERROR(INDEX('Planning Pauses Dej'!$C:$C,MATCH($B91&amp;"|"&amp;TEXT($Q91,"YYYYMMDD"),'Planning Pauses Dej'!$F:$F,0)),"")),0)),"")</f>
        <v/>
      </c>
      <c r="I91" s="251">
        <f>IF(IF(OR(C91="",D91="Congé",D91="OFF",D91="Congé spécial"),"",IF(D91&gt;F91,D91-C91,IF(C91-D91&lt;0,0,C91-D91)))&lt;0.00068287037037037,"",IF(OR(D91="Congé",D91="OFF",C91="",D91="Congé spécial"),"",IF(D91&gt;F91,D91-C91,IF(C91-D91&lt;0,0,C91-D91))))</f>
        <v/>
      </c>
      <c r="J91" s="405">
        <f>IFERROR(IF($G91="","",IF($G91&gt;TIME(1,0,0),$G91-TIME(1,0,0),0)),"")</f>
        <v/>
      </c>
      <c r="K91" s="238">
        <f>IF(SUM(H91:J91)&lt;0.00068287037037037,0,SUM(H91:J91))</f>
        <v/>
      </c>
      <c r="L91" s="236">
        <f>IF(OR(F91="Congé",F91="OFF",M91="Abs",F91="Congé sans solde",F91="Férié",F91="Congé spécial",D91="Congé spécial"),0,IF(F91-E91&lt;0,0,IF(F91-E91&lt;=0.00068287037037037,0,F91-E91)))</f>
        <v/>
      </c>
      <c r="M91" s="239">
        <f>IF(AND(O91&lt;&gt;0,C91=""),"Abs",0)</f>
        <v/>
      </c>
      <c r="N91" s="240">
        <f>IFERROR(IF(OR(D91="OFF",D91="Congé",M91="Abs",D91="Congé sans solde",D91="Férié"),"",IF(O91-K91-L91&gt;O91,O91,IF(O91-K91-L91&lt;0,"",O91-K91-L91))),"")</f>
        <v/>
      </c>
      <c r="O91" s="241">
        <f>IF(AG91="2H Pause déjeuner",IF(F91-D91-0.0833333333333333&lt;0,F91-D91-0.0833333333333333+1,F91-D91-0.0833333333333333),IF(OR(AND(F91="OFF",D91="OFF"),AND(F91="Congé",D91="Congé"),AND(F91="Congé sans solde",D91="Congé sans solde"),AND(F91="Congé spécial",D91="Congé spécial"),AND(F91="Férié",D91="Férié"),AND(F91="OFF",D91="Congé"),AND(F91="OFF",D91="Congé sans solde"),AND(F91="OFF",D91="Congé spécial"),AND(F91="OFF",D91="Férié"),AND(F91="Congé",D91="OFF"),AND(F91="Congé",D91="Congé sans solde"),AND(F91="Congé",D91="Congé spécial"),AND(F91="Congé",D91="Férié"),AND(F91="Congé sans solde",D91="OFF"),AND(F91="Congé sans solde",D91="Congé"),AND(F91="Congé sans solde",D91="Congé spécial"),AND(F91="Congé sans solde",D91="Férié"),AND(F91="Congé spécial",D91="OFF"),AND(F91="Congé spécial",D91="Congé"),AND(F91="Congé spécial",D91="Congé sans solde"),AND(F91="Congé spécial",D91="Férié"),AND(F91="Férié",D91="OFF"),AND(F91="Férié",D91="Congé"),AND(F91="Férié",D91="Congé sans solde"),AND(F91="Férié",D91="Congé spécial")),0,IF(OR(F91="OFF",F91="Congé",F91="Congé spécial",F91="Congé sans solde",D91="OFF",D91="Congé",D91="Congé spécial",D91="Congé sans solde"),0.208333333333334,IF(AND(AG91="",F91-D91&lt;0),("24:00:00"-D91)+("00:00:00"+F91)-0.0416666666666667,IF(AND(OR(AG91="Allaitement",AG91="Sans déjeuner"),F91-D91&lt;0),("24:00:00"-D91)+("00:00:00"+F91),IF(AND(AG91="",F91-D91&gt;0.166666666666667),F91-D91-0.0416666666666667,IF(AND(OR(AG91="Allaitement",AG91="Sans déjeuner"),F91-D91&gt;0.166666666666667),F91-D91,F91-D91)))))))</f>
        <v/>
      </c>
      <c r="P91" s="242">
        <f>IFERROR(VLOOKUP($B91,Annuaire_roster!$B:$G,MATCH(P$1,Annuaire_roster!$B$1:$G$1,0),0),"-")</f>
        <v/>
      </c>
      <c r="Q91" s="243" t="n">
        <v>44763</v>
      </c>
      <c r="R91" s="244">
        <f>IF(M91="Abs",O91,0)</f>
        <v/>
      </c>
      <c r="S91" s="244">
        <f>SUM(R91,L91,I91,J91,W91,H91)</f>
        <v/>
      </c>
      <c r="T91" s="209">
        <f>"Sem - "&amp;WEEKNUM(Q91,21)</f>
        <v/>
      </c>
      <c r="U91" s="209">
        <f>PROPER(TEXT(Q91,"mmmm"))</f>
        <v/>
      </c>
      <c r="V91" s="245">
        <f>+TEXT(Q91,"aaa")</f>
        <v/>
      </c>
      <c r="W91" s="240" t="n"/>
      <c r="X91" s="246">
        <f>IFERROR(IF(M91="Abs",0,IF((D91-C91+E91-F91)&lt;0.000694444444444444,0,(D91-C91+E91-F91))),0)</f>
        <v/>
      </c>
      <c r="Y91" s="247">
        <f>IFERROR(VLOOKUP(B91,Annuaire_roster!B:E,4,0),"-")</f>
        <v/>
      </c>
      <c r="Z91" s="247">
        <f>IFERROR(VLOOKUP(B91,Annuaire_roster!B:F,3,0),"-")</f>
        <v/>
      </c>
      <c r="AA91" s="247">
        <f>IFERROR(VLOOKUP(B91,Annuaire_roster!B:I,6,0),"-")</f>
        <v/>
      </c>
      <c r="AB91" s="248">
        <f>IF(AND(D91="Congé",F91="Congé"),0.333333333333333,IF(OR(AND(D91="Congé",F91&lt;&gt;"Congé"),(AND(F91="Congé",D91&lt;&gt;"Congé"))),0.166666666666667,""))</f>
        <v/>
      </c>
      <c r="AC91" s="248">
        <f>IF(AND(D91="Congé sans solde",F91="Congé sans solde"),0.333333333333333,IF(OR(AND(D91="Congé sans solde",F91&lt;&gt;"Congé sans solde"),(AND(F91="Congé sans solde",D91&lt;&gt;"Congé sans solde"))),0.166666666666667,""))</f>
        <v/>
      </c>
      <c r="AD91" s="248">
        <f>IF(AND(D91="Congé spécial",F91="Congé spécial"),0.333333333333333,IF(OR(AND(D91="Congé spécial",F91&lt;&gt;"Congé décès"),(AND(F91="Congé spécial",D91&lt;&gt;"Congé spécial"))),0.166666666666667,""))</f>
        <v/>
      </c>
      <c r="AE91" s="249">
        <f>IF(AND(D91="Férié",F91="Férié"),0.333333333333333,IF(OR(AND(D91="Férié",F91&lt;&gt;"Férié"),(AND(F91="Férié",D91&lt;&gt;"Férié"))),0.166666666666667,""))</f>
        <v/>
      </c>
      <c r="AF91" s="249" t="n"/>
      <c r="AG91" s="244" t="n"/>
    </row>
    <row r="92" hidden="1" ht="12.75" customHeight="1" s="231">
      <c r="A92" s="232">
        <f>VLOOKUP(B92,Annuaire_roster!B:F,5,0)</f>
        <v/>
      </c>
      <c r="B92" s="233" t="inlineStr">
        <is>
          <t>AIT LARBI HIND</t>
        </is>
      </c>
      <c r="C92" s="234">
        <f>IFERROR(IF(COUNTIFS(Connexions!$K:$K,$Q92,Connexions!$E:$E,VLOOKUP($B92,Mapping_Noms!$A:$B,2,0))=0,"",_xlfn.MINIFS(Connexions!$M:$M,Connexions!$K:$K,$Q92,Connexions!$E:$E,VLOOKUP($B92,Mapping_Noms!$A:$B,2,0))-TIME(1,0,0)),"")</f>
        <v/>
      </c>
      <c r="D92" s="234">
        <f t="array" ref="D92:D92">IFERROR(INDEX(Planning2[],MATCH(1,(Planning2[Nom]=B92)*(Planning2[Date]=Q92),0),3),"-")</f>
        <v/>
      </c>
      <c r="E92" s="235">
        <f>IFERROR(IF(COUNTIFS(Connexions!$K:$K,$Q92,Connexions!$E:$E,VLOOKUP($B92,Mapping_Noms!$A:$B,2,0))=0,"",_xlfn.MAXIFS(Connexions!$O:$O,Connexions!$K:$K,$Q92,Connexions!$E:$E,VLOOKUP($B92,Mapping_Noms!$A:$B,2,0))-TIME(1,0,0)),"")</f>
        <v/>
      </c>
      <c r="F92" s="235">
        <f t="array" ref="F92:F92">IFERROR(INDEX(Planning2[],MATCH(1,(Planning2[Nom]=B92)*(Planning2[Date]=Q92),0),4),"-")</f>
        <v/>
      </c>
      <c r="G92" s="405">
        <f>IFERROR(IF(OR(IFERROR(INDEX('Planning Pauses Dej'!$C:$C,MATCH($B92&amp;"|"&amp;TEXT($Q92,"YYYYMMDD"),'Planning Pauses Dej'!$F:$F,0)),"")="",IFERROR(INDEX('Planning Pauses Dej'!$D:$D,MATCH($B92&amp;"|"&amp;TEXT($Q92,"YYYYMMDD"),'Planning Pauses Dej'!$F:$F,0)),"")=""),"",_xlfn.MAXIFS(Connexions!$Q:$Q,Connexions!$K:$K,$Q92,Connexions!$E:$E,VLOOKUP($B92,Mapping_Noms!$A:$B,2,0),Connexions!$O:$O,"&lt;="&amp;(IFERROR(INDEX('Planning Pauses Dej'!$D:$D,MATCH($B92&amp;"|"&amp;TEXT($Q92,"YYYYMMDD"),'Planning Pauses Dej'!$F:$F,0)),"")+TIME(1,0,0)),Connexions!$P:$P,"&gt;="&amp;(IFERROR(INDEX('Planning Pauses Dej'!$C:$C,MATCH($B92&amp;"|"&amp;TEXT($Q92,"YYYYMMDD"),'Planning Pauses Dej'!$F:$F,0)),"")+TIME(1,0,0)))),"")</f>
        <v/>
      </c>
      <c r="H92" s="405">
        <f>IFERROR(IF(OR($G92="",IFERROR(INDEX('Planning Pauses Dej'!$C:$C,MATCH($B92&amp;"|"&amp;TEXT($Q92,"YYYYMMDD"),'Planning Pauses Dej'!$F:$F,0)),"")="",IFERROR(INDEX('Planning Pauses Dej'!$D:$D,MATCH($B92&amp;"|"&amp;TEXT($Q92,"YYYYMMDD"),'Planning Pauses Dej'!$F:$F,0)),"")=""),"",IF($G92&gt;(IFERROR(INDEX('Planning Pauses Dej'!$D:$D,MATCH($B92&amp;"|"&amp;TEXT($Q92,"YYYYMMDD"),'Planning Pauses Dej'!$F:$F,0)),"")-IFERROR(INDEX('Planning Pauses Dej'!$C:$C,MATCH($B92&amp;"|"&amp;TEXT($Q92,"YYYYMMDD"),'Planning Pauses Dej'!$F:$F,0)),"")),$G92-(IFERROR(INDEX('Planning Pauses Dej'!$D:$D,MATCH($B92&amp;"|"&amp;TEXT($Q92,"YYYYMMDD"),'Planning Pauses Dej'!$F:$F,0)),"")-IFERROR(INDEX('Planning Pauses Dej'!$C:$C,MATCH($B92&amp;"|"&amp;TEXT($Q92,"YYYYMMDD"),'Planning Pauses Dej'!$F:$F,0)),"")),0)),"")</f>
        <v/>
      </c>
      <c r="I92" s="251">
        <f>IF(IF(OR(C92="",D92="Congé",D92="OFF",D92="Congé spécial"),"",IF(D92&gt;F92,D92-C92,IF(C92-D92&lt;0,0,C92-D92)))&lt;0.00068287037037037,"",IF(OR(D92="Congé",D92="OFF",C92="",D92="Congé spécial"),"",IF(D92&gt;F92,D92-C92,IF(C92-D92&lt;0,0,C92-D92))))</f>
        <v/>
      </c>
      <c r="J92" s="405">
        <f>IFERROR(IF($G92="","",IF($G92&gt;TIME(1,0,0),$G92-TIME(1,0,0),0)),"")</f>
        <v/>
      </c>
      <c r="K92" s="238">
        <f>IF(SUM(H92:J92)&lt;0.00068287037037037,0,SUM(H92:J92))</f>
        <v/>
      </c>
      <c r="L92" s="236">
        <f>IF(OR(F92="Congé",F92="OFF",M92="Abs",F92="Congé sans solde",F92="Férié",F92="Congé spécial",D92="Congé spécial"),0,IF(F92-E92&lt;0,0,IF(F92-E92&lt;=0.00068287037037037,0,F92-E92)))</f>
        <v/>
      </c>
      <c r="M92" s="239">
        <f>IF(AND(O92&lt;&gt;0,C92=""),"Abs",0)</f>
        <v/>
      </c>
      <c r="N92" s="240">
        <f>IFERROR(IF(OR(D92="OFF",D92="Congé",M92="Abs",D92="Congé sans solde",D92="Férié"),"",IF(O92-K92-L92&gt;O92,O92,IF(O92-K92-L92&lt;0,"",O92-K92-L92))),"")</f>
        <v/>
      </c>
      <c r="O92" s="241">
        <f>IF(AG92="2H Pause déjeuner",IF(F92-D92-0.0833333333333333&lt;0,F92-D92-0.0833333333333333+1,F92-D92-0.0833333333333333),IF(OR(AND(F92="OFF",D92="OFF"),AND(F92="Congé",D92="Congé"),AND(F92="Congé sans solde",D92="Congé sans solde"),AND(F92="Congé spécial",D92="Congé spécial"),AND(F92="Férié",D92="Férié"),AND(F92="OFF",D92="Congé"),AND(F92="OFF",D92="Congé sans solde"),AND(F92="OFF",D92="Congé spécial"),AND(F92="OFF",D92="Férié"),AND(F92="Congé",D92="OFF"),AND(F92="Congé",D92="Congé sans solde"),AND(F92="Congé",D92="Congé spécial"),AND(F92="Congé",D92="Férié"),AND(F92="Congé sans solde",D92="OFF"),AND(F92="Congé sans solde",D92="Congé"),AND(F92="Congé sans solde",D92="Congé spécial"),AND(F92="Congé sans solde",D92="Férié"),AND(F92="Congé spécial",D92="OFF"),AND(F92="Congé spécial",D92="Congé"),AND(F92="Congé spécial",D92="Congé sans solde"),AND(F92="Congé spécial",D92="Férié"),AND(F92="Férié",D92="OFF"),AND(F92="Férié",D92="Congé"),AND(F92="Férié",D92="Congé sans solde"),AND(F92="Férié",D92="Congé spécial")),0,IF(OR(F92="OFF",F92="Congé",F92="Congé spécial",F92="Congé sans solde",D92="OFF",D92="Congé",D92="Congé spécial",D92="Congé sans solde"),0.208333333333334,IF(AND(AG92="",F92-D92&lt;0),("24:00:00"-D92)+("00:00:00"+F92)-0.0416666666666667,IF(AND(OR(AG92="Allaitement",AG92="Sans déjeuner"),F92-D92&lt;0),("24:00:00"-D92)+("00:00:00"+F92),IF(AND(AG92="",F92-D92&gt;0.166666666666667),F92-D92-0.0416666666666667,IF(AND(OR(AG92="Allaitement",AG92="Sans déjeuner"),F92-D92&gt;0.166666666666667),F92-D92,F92-D92)))))))</f>
        <v/>
      </c>
      <c r="P92" s="242">
        <f>IFERROR(VLOOKUP($B92,Annuaire_roster!$B:$G,MATCH(P$1,Annuaire_roster!$B$1:$G$1,0),0),"-")</f>
        <v/>
      </c>
      <c r="Q92" s="243" t="n">
        <v>44763</v>
      </c>
      <c r="R92" s="244">
        <f>IF(M92="Abs",O92,0)</f>
        <v/>
      </c>
      <c r="S92" s="244">
        <f>SUM(R92,L92,I92,J92,W92,H92)</f>
        <v/>
      </c>
      <c r="T92" s="209">
        <f>"Sem - "&amp;WEEKNUM(Q92,21)</f>
        <v/>
      </c>
      <c r="U92" s="209">
        <f>PROPER(TEXT(Q92,"mmmm"))</f>
        <v/>
      </c>
      <c r="V92" s="245">
        <f>+TEXT(Q92,"aaa")</f>
        <v/>
      </c>
      <c r="W92" s="240" t="n"/>
      <c r="X92" s="246">
        <f>IFERROR(IF(M92="Abs",0,IF((D92-C92+E92-F92)&lt;0.000694444444444444,0,(D92-C92+E92-F92))),0)</f>
        <v/>
      </c>
      <c r="Y92" s="247">
        <f>IFERROR(VLOOKUP(B92,Annuaire_roster!B:E,4,0),"-")</f>
        <v/>
      </c>
      <c r="Z92" s="247">
        <f>IFERROR(VLOOKUP(B92,Annuaire_roster!B:F,3,0),"-")</f>
        <v/>
      </c>
      <c r="AA92" s="247">
        <f>IFERROR(VLOOKUP(B92,Annuaire_roster!B:I,6,0),"-")</f>
        <v/>
      </c>
      <c r="AB92" s="248">
        <f>IF(AND(D92="Congé",F92="Congé"),0.333333333333333,IF(OR(AND(D92="Congé",F92&lt;&gt;"Congé"),(AND(F92="Congé",D92&lt;&gt;"Congé"))),0.166666666666667,""))</f>
        <v/>
      </c>
      <c r="AC92" s="248">
        <f>IF(AND(D92="Congé sans solde",F92="Congé sans solde"),0.333333333333333,IF(OR(AND(D92="Congé sans solde",F92&lt;&gt;"Congé sans solde"),(AND(F92="Congé sans solde",D92&lt;&gt;"Congé sans solde"))),0.166666666666667,""))</f>
        <v/>
      </c>
      <c r="AD92" s="248">
        <f>IF(AND(D92="Congé spécial",F92="Congé spécial"),0.333333333333333,IF(OR(AND(D92="Congé spécial",F92&lt;&gt;"Congé décès"),(AND(F92="Congé spécial",D92&lt;&gt;"Congé spécial"))),0.166666666666667,""))</f>
        <v/>
      </c>
      <c r="AE92" s="249">
        <f>IF(AND(D92="Férié",F92="Férié"),0.333333333333333,IF(OR(AND(D92="Férié",F92&lt;&gt;"Férié"),(AND(F92="Férié",D92&lt;&gt;"Férié"))),0.166666666666667,""))</f>
        <v/>
      </c>
      <c r="AF92" s="249" t="n"/>
      <c r="AG92" s="244" t="n"/>
    </row>
    <row r="93" hidden="1" ht="12.75" customHeight="1" s="231">
      <c r="A93" s="253">
        <f>VLOOKUP(B93,Annuaire_roster!B:F,5,0)</f>
        <v/>
      </c>
      <c r="B93" s="233" t="inlineStr">
        <is>
          <t>BOURABAA HASSAN</t>
        </is>
      </c>
      <c r="C93" s="234">
        <f>IFERROR(IF(COUNTIFS(Connexions!$K:$K,$Q93,Connexions!$E:$E,VLOOKUP($B93,Mapping_Noms!$A:$B,2,0))=0,"",_xlfn.MINIFS(Connexions!$M:$M,Connexions!$K:$K,$Q93,Connexions!$E:$E,VLOOKUP($B93,Mapping_Noms!$A:$B,2,0))-TIME(1,0,0)),"")</f>
        <v/>
      </c>
      <c r="D93" s="234">
        <f t="array" ref="D93:D93">IFERROR(INDEX(Planning2[],MATCH(1,(Planning2[Nom]=B93)*(Planning2[Date]=Q93),0),3),"-")</f>
        <v/>
      </c>
      <c r="E93" s="235">
        <f>IFERROR(IF(COUNTIFS(Connexions!$K:$K,$Q93,Connexions!$E:$E,VLOOKUP($B93,Mapping_Noms!$A:$B,2,0))=0,"",_xlfn.MAXIFS(Connexions!$O:$O,Connexions!$K:$K,$Q93,Connexions!$E:$E,VLOOKUP($B93,Mapping_Noms!$A:$B,2,0))-TIME(1,0,0)),"")</f>
        <v/>
      </c>
      <c r="F93" s="235">
        <f t="array" ref="F93:F93">IFERROR(INDEX(Planning2[],MATCH(1,(Planning2[Nom]=B93)*(Planning2[Date]=Q93),0),4),"-")</f>
        <v/>
      </c>
      <c r="G93" s="405">
        <f>IFERROR(IF(OR(IFERROR(INDEX('Planning Pauses Dej'!$C:$C,MATCH($B93&amp;"|"&amp;TEXT($Q93,"YYYYMMDD"),'Planning Pauses Dej'!$F:$F,0)),"")="",IFERROR(INDEX('Planning Pauses Dej'!$D:$D,MATCH($B93&amp;"|"&amp;TEXT($Q93,"YYYYMMDD"),'Planning Pauses Dej'!$F:$F,0)),"")=""),"",_xlfn.MAXIFS(Connexions!$Q:$Q,Connexions!$K:$K,$Q93,Connexions!$E:$E,VLOOKUP($B93,Mapping_Noms!$A:$B,2,0),Connexions!$O:$O,"&lt;="&amp;(IFERROR(INDEX('Planning Pauses Dej'!$D:$D,MATCH($B93&amp;"|"&amp;TEXT($Q93,"YYYYMMDD"),'Planning Pauses Dej'!$F:$F,0)),"")+TIME(1,0,0)),Connexions!$P:$P,"&gt;="&amp;(IFERROR(INDEX('Planning Pauses Dej'!$C:$C,MATCH($B93&amp;"|"&amp;TEXT($Q93,"YYYYMMDD"),'Planning Pauses Dej'!$F:$F,0)),"")+TIME(1,0,0)))),"")</f>
        <v/>
      </c>
      <c r="H93" s="405">
        <f>IFERROR(IF(OR($G93="",IFERROR(INDEX('Planning Pauses Dej'!$C:$C,MATCH($B93&amp;"|"&amp;TEXT($Q93,"YYYYMMDD"),'Planning Pauses Dej'!$F:$F,0)),"")="",IFERROR(INDEX('Planning Pauses Dej'!$D:$D,MATCH($B93&amp;"|"&amp;TEXT($Q93,"YYYYMMDD"),'Planning Pauses Dej'!$F:$F,0)),"")=""),"",IF($G93&gt;(IFERROR(INDEX('Planning Pauses Dej'!$D:$D,MATCH($B93&amp;"|"&amp;TEXT($Q93,"YYYYMMDD"),'Planning Pauses Dej'!$F:$F,0)),"")-IFERROR(INDEX('Planning Pauses Dej'!$C:$C,MATCH($B93&amp;"|"&amp;TEXT($Q93,"YYYYMMDD"),'Planning Pauses Dej'!$F:$F,0)),"")),$G93-(IFERROR(INDEX('Planning Pauses Dej'!$D:$D,MATCH($B93&amp;"|"&amp;TEXT($Q93,"YYYYMMDD"),'Planning Pauses Dej'!$F:$F,0)),"")-IFERROR(INDEX('Planning Pauses Dej'!$C:$C,MATCH($B93&amp;"|"&amp;TEXT($Q93,"YYYYMMDD"),'Planning Pauses Dej'!$F:$F,0)),"")),0)),"")</f>
        <v/>
      </c>
      <c r="I93" s="251">
        <f>IF(IF(OR(C93="",D93="Congé",D93="OFF",D93="Congé spécial"),"",IF(D93&gt;F93,D93-C93,IF(C93-D93&lt;0,0,C93-D93)))&lt;0.00068287037037037,"",IF(OR(D93="Congé",D93="OFF",C93="",D93="Congé spécial"),"",IF(D93&gt;F93,D93-C93,IF(C93-D93&lt;0,0,C93-D93))))</f>
        <v/>
      </c>
      <c r="J93" s="405">
        <f>IFERROR(IF($G93="","",IF($G93&gt;TIME(1,0,0),$G93-TIME(1,0,0),0)),"")</f>
        <v/>
      </c>
      <c r="K93" s="238">
        <f>IF(SUM(H93:J93)&lt;0.00068287037037037,0,SUM(H93:J93))</f>
        <v/>
      </c>
      <c r="L93" s="236">
        <f>IF(OR(F93="Congé",F93="OFF",M93="Abs",F93="Congé sans solde",F93="Férié",F93="Congé spécial",D93="Congé spécial"),0,IF(F93-E93&lt;0,0,IF(F93-E93&lt;=0.00068287037037037,0,F93-E93)))</f>
        <v/>
      </c>
      <c r="M93" s="239">
        <f>IF(AND(O93&lt;&gt;0,C93=""),"Abs",0)</f>
        <v/>
      </c>
      <c r="N93" s="254">
        <f>IFERROR(IF(OR(D93="OFF",D93="Congé",M93="Abs",D93="Congé sans solde",D93="Férié"),"",IF(O93-K93-L93&gt;O93,O93,IF(O93-K93-L93&lt;0,"",O93-K93-L93))),"")</f>
        <v/>
      </c>
      <c r="O93" s="241">
        <f>IF(AG93="2H Pause déjeuner",IF(F93-D93-0.0833333333333333&lt;0,F93-D93-0.0833333333333333+1,F93-D93-0.0833333333333333),IF(OR(AND(F93="OFF",D93="OFF"),AND(F93="Congé",D93="Congé"),AND(F93="Congé sans solde",D93="Congé sans solde"),AND(F93="Congé spécial",D93="Congé spécial"),AND(F93="Férié",D93="Férié"),AND(F93="OFF",D93="Congé"),AND(F93="OFF",D93="Congé sans solde"),AND(F93="OFF",D93="Congé spécial"),AND(F93="OFF",D93="Férié"),AND(F93="Congé",D93="OFF"),AND(F93="Congé",D93="Congé sans solde"),AND(F93="Congé",D93="Congé spécial"),AND(F93="Congé",D93="Férié"),AND(F93="Congé sans solde",D93="OFF"),AND(F93="Congé sans solde",D93="Congé"),AND(F93="Congé sans solde",D93="Congé spécial"),AND(F93="Congé sans solde",D93="Férié"),AND(F93="Congé spécial",D93="OFF"),AND(F93="Congé spécial",D93="Congé"),AND(F93="Congé spécial",D93="Congé sans solde"),AND(F93="Congé spécial",D93="Férié"),AND(F93="Férié",D93="OFF"),AND(F93="Férié",D93="Congé"),AND(F93="Férié",D93="Congé sans solde"),AND(F93="Férié",D93="Congé spécial")),0,IF(OR(F93="OFF",F93="Congé",F93="Congé spécial",F93="Congé sans solde",D93="OFF",D93="Congé",D93="Congé spécial",D93="Congé sans solde"),0.208333333333334,IF(AND(AG93="",F93-D93&lt;0),("24:00:00"-D93)+("00:00:00"+F93)-0.0416666666666667,IF(AND(OR(AG93="Allaitement",AG93="Sans déjeuner"),F93-D93&lt;0),("24:00:00"-D93)+("00:00:00"+F93),IF(AND(AG93="",F93-D93&gt;0.166666666666667),F93-D93-0.0416666666666667,IF(AND(OR(AG93="Allaitement",AG93="Sans déjeuner"),F93-D93&gt;0.166666666666667),F93-D93,F93-D93)))))))</f>
        <v/>
      </c>
      <c r="P93" s="242">
        <f>IFERROR(VLOOKUP($B93,Annuaire_roster!$B:$G,MATCH(P$1,Annuaire_roster!$B$1:$G$1,0),0),"-")</f>
        <v/>
      </c>
      <c r="Q93" s="255" t="n">
        <v>44763</v>
      </c>
      <c r="R93" s="248">
        <f>IF(M93="Abs",O93,0)</f>
        <v/>
      </c>
      <c r="S93" s="248">
        <f>SUM(R93,L93,I93,J93,W93,H93)</f>
        <v/>
      </c>
      <c r="T93" s="209">
        <f>"Sem - "&amp;WEEKNUM(Q93,21)</f>
        <v/>
      </c>
      <c r="U93" s="209">
        <f>PROPER(TEXT(Q93,"mmmm"))</f>
        <v/>
      </c>
      <c r="V93" s="256">
        <f>+TEXT(Q93,"aaa")</f>
        <v/>
      </c>
      <c r="W93" s="254" t="n"/>
      <c r="X93" s="257">
        <f>IFERROR(IF(M93="Abs",0,IF((D93-C93+E93-F93)&lt;0.000694444444444444,0,(D93-C93+E93-F93))),0)</f>
        <v/>
      </c>
      <c r="Y93" s="258">
        <f>IFERROR(VLOOKUP(B93,Annuaire_roster!B:E,4,0),"-")</f>
        <v/>
      </c>
      <c r="Z93" s="258">
        <f>IFERROR(VLOOKUP(B93,Annuaire_roster!B:F,3,0),"-")</f>
        <v/>
      </c>
      <c r="AA93" s="258">
        <f>IFERROR(VLOOKUP(B93,Annuaire_roster!B:I,6,0),"-")</f>
        <v/>
      </c>
      <c r="AB93" s="248">
        <f>IF(AND(D93="Congé",F93="Congé"),0.333333333333333,IF(OR(AND(D93="Congé",F93&lt;&gt;"Congé"),(AND(F93="Congé",D93&lt;&gt;"Congé"))),0.166666666666667,""))</f>
        <v/>
      </c>
      <c r="AC93" s="248">
        <f>IF(AND(D93="Congé sans solde",F93="Congé sans solde"),0.333333333333333,IF(OR(AND(D93="Congé sans solde",F93&lt;&gt;"Congé sans solde"),(AND(F93="Congé sans solde",D93&lt;&gt;"Congé sans solde"))),0.166666666666667,""))</f>
        <v/>
      </c>
      <c r="AD93" s="248">
        <f>IF(AND(D93="Congé spécial",F93="Congé spécial"),0.333333333333333,IF(OR(AND(D93="Congé spécial",F93&lt;&gt;"Congé décès"),(AND(F93="Congé spécial",D93&lt;&gt;"Congé spécial"))),0.166666666666667,""))</f>
        <v/>
      </c>
      <c r="AE93" s="259">
        <f>IF(AND(D93="Férié",F93="Férié"),0.333333333333333,IF(OR(AND(D93="Férié",F93&lt;&gt;"Férié"),(AND(F93="Férié",D93&lt;&gt;"Férié"))),0.166666666666667,""))</f>
        <v/>
      </c>
      <c r="AF93" s="259" t="n"/>
      <c r="AG93" s="248" t="n"/>
    </row>
    <row r="94" hidden="1" ht="12.75" customHeight="1" s="231">
      <c r="A94" s="232">
        <f>VLOOKUP(B94,Annuaire_roster!B:F,5,0)</f>
        <v/>
      </c>
      <c r="B94" s="233" t="inlineStr">
        <is>
          <t>EL HOUSSAINI HOUDA</t>
        </is>
      </c>
      <c r="C94" s="234">
        <f>IFERROR(IF(COUNTIFS(Connexions!$K:$K,$Q94,Connexions!$E:$E,VLOOKUP($B94,Mapping_Noms!$A:$B,2,0))=0,"",_xlfn.MINIFS(Connexions!$M:$M,Connexions!$K:$K,$Q94,Connexions!$E:$E,VLOOKUP($B94,Mapping_Noms!$A:$B,2,0))-TIME(1,0,0)),"")</f>
        <v/>
      </c>
      <c r="D94" s="234">
        <f t="array" ref="D94:D94">IFERROR(INDEX(Planning2[],MATCH(1,(Planning2[Nom]=B94)*(Planning2[Date]=Q94),0),3),"-")</f>
        <v/>
      </c>
      <c r="E94" s="235">
        <f>IFERROR(IF(COUNTIFS(Connexions!$K:$K,$Q94,Connexions!$E:$E,VLOOKUP($B94,Mapping_Noms!$A:$B,2,0))=0,"",_xlfn.MAXIFS(Connexions!$O:$O,Connexions!$K:$K,$Q94,Connexions!$E:$E,VLOOKUP($B94,Mapping_Noms!$A:$B,2,0))-TIME(1,0,0)),"")</f>
        <v/>
      </c>
      <c r="F94" s="235">
        <f t="array" ref="F94:F94">IFERROR(INDEX(Planning2[],MATCH(1,(Planning2[Nom]=B94)*(Planning2[Date]=Q94),0),4),"-")</f>
        <v/>
      </c>
      <c r="G94" s="405">
        <f>IFERROR(IF(OR(IFERROR(INDEX('Planning Pauses Dej'!$C:$C,MATCH($B94&amp;"|"&amp;TEXT($Q94,"YYYYMMDD"),'Planning Pauses Dej'!$F:$F,0)),"")="",IFERROR(INDEX('Planning Pauses Dej'!$D:$D,MATCH($B94&amp;"|"&amp;TEXT($Q94,"YYYYMMDD"),'Planning Pauses Dej'!$F:$F,0)),"")=""),"",_xlfn.MAXIFS(Connexions!$Q:$Q,Connexions!$K:$K,$Q94,Connexions!$E:$E,VLOOKUP($B94,Mapping_Noms!$A:$B,2,0),Connexions!$O:$O,"&lt;="&amp;(IFERROR(INDEX('Planning Pauses Dej'!$D:$D,MATCH($B94&amp;"|"&amp;TEXT($Q94,"YYYYMMDD"),'Planning Pauses Dej'!$F:$F,0)),"")+TIME(1,0,0)),Connexions!$P:$P,"&gt;="&amp;(IFERROR(INDEX('Planning Pauses Dej'!$C:$C,MATCH($B94&amp;"|"&amp;TEXT($Q94,"YYYYMMDD"),'Planning Pauses Dej'!$F:$F,0)),"")+TIME(1,0,0)))),"")</f>
        <v/>
      </c>
      <c r="H94" s="405">
        <f>IFERROR(IF(OR($G94="",IFERROR(INDEX('Planning Pauses Dej'!$C:$C,MATCH($B94&amp;"|"&amp;TEXT($Q94,"YYYYMMDD"),'Planning Pauses Dej'!$F:$F,0)),"")="",IFERROR(INDEX('Planning Pauses Dej'!$D:$D,MATCH($B94&amp;"|"&amp;TEXT($Q94,"YYYYMMDD"),'Planning Pauses Dej'!$F:$F,0)),"")=""),"",IF($G94&gt;(IFERROR(INDEX('Planning Pauses Dej'!$D:$D,MATCH($B94&amp;"|"&amp;TEXT($Q94,"YYYYMMDD"),'Planning Pauses Dej'!$F:$F,0)),"")-IFERROR(INDEX('Planning Pauses Dej'!$C:$C,MATCH($B94&amp;"|"&amp;TEXT($Q94,"YYYYMMDD"),'Planning Pauses Dej'!$F:$F,0)),"")),$G94-(IFERROR(INDEX('Planning Pauses Dej'!$D:$D,MATCH($B94&amp;"|"&amp;TEXT($Q94,"YYYYMMDD"),'Planning Pauses Dej'!$F:$F,0)),"")-IFERROR(INDEX('Planning Pauses Dej'!$C:$C,MATCH($B94&amp;"|"&amp;TEXT($Q94,"YYYYMMDD"),'Planning Pauses Dej'!$F:$F,0)),"")),0)),"")</f>
        <v/>
      </c>
      <c r="I94" s="251">
        <f>IF(IF(OR(C94="",D94="Congé",D94="OFF",D94="Congé spécial"),"",IF(D94&gt;F94,D94-C94,IF(C94-D94&lt;0,0,C94-D94)))&lt;0.00068287037037037,"",IF(OR(D94="Congé",D94="OFF",C94="",D94="Congé spécial"),"",IF(D94&gt;F94,D94-C94,IF(C94-D94&lt;0,0,C94-D94))))</f>
        <v/>
      </c>
      <c r="J94" s="405">
        <f>IFERROR(IF($G94="","",IF($G94&gt;TIME(1,0,0),$G94-TIME(1,0,0),0)),"")</f>
        <v/>
      </c>
      <c r="K94" s="238">
        <f>IF(SUM(H94:J94)&lt;0.00068287037037037,0,SUM(H94:J94))</f>
        <v/>
      </c>
      <c r="L94" s="236">
        <f>IF(OR(F94="Congé",F94="OFF",M94="Abs",F94="Congé sans solde",F94="Férié",F94="Congé spécial",D94="Congé spécial"),0,IF(F94-E94&lt;0,0,IF(F94-E94&lt;=0.00068287037037037,0,F94-E94)))</f>
        <v/>
      </c>
      <c r="M94" s="239">
        <f>IF(AND(O94&lt;&gt;0,C94=""),"Abs",0)</f>
        <v/>
      </c>
      <c r="N94" s="240">
        <f>IFERROR(IF(OR(D94="OFF",D94="Congé",M94="Abs",D94="Congé sans solde",D94="Férié"),"",IF(O94-K94-L94&gt;O94,O94,IF(O94-K94-L94&lt;0,"",O94-K94-L94))),"")</f>
        <v/>
      </c>
      <c r="O94" s="241">
        <f>IF(AG94="2H Pause déjeuner",IF(F94-D94-0.0833333333333333&lt;0,F94-D94-0.0833333333333333+1,F94-D94-0.0833333333333333),IF(OR(AND(F94="OFF",D94="OFF"),AND(F94="Congé",D94="Congé"),AND(F94="Congé sans solde",D94="Congé sans solde"),AND(F94="Congé spécial",D94="Congé spécial"),AND(F94="Férié",D94="Férié"),AND(F94="OFF",D94="Congé"),AND(F94="OFF",D94="Congé sans solde"),AND(F94="OFF",D94="Congé spécial"),AND(F94="OFF",D94="Férié"),AND(F94="Congé",D94="OFF"),AND(F94="Congé",D94="Congé sans solde"),AND(F94="Congé",D94="Congé spécial"),AND(F94="Congé",D94="Férié"),AND(F94="Congé sans solde",D94="OFF"),AND(F94="Congé sans solde",D94="Congé"),AND(F94="Congé sans solde",D94="Congé spécial"),AND(F94="Congé sans solde",D94="Férié"),AND(F94="Congé spécial",D94="OFF"),AND(F94="Congé spécial",D94="Congé"),AND(F94="Congé spécial",D94="Congé sans solde"),AND(F94="Congé spécial",D94="Férié"),AND(F94="Férié",D94="OFF"),AND(F94="Férié",D94="Congé"),AND(F94="Férié",D94="Congé sans solde"),AND(F94="Férié",D94="Congé spécial")),0,IF(OR(F94="OFF",F94="Congé",F94="Congé spécial",F94="Congé sans solde",D94="OFF",D94="Congé",D94="Congé spécial",D94="Congé sans solde"),0.208333333333334,IF(AND(AG94="",F94-D94&lt;0),("24:00:00"-D94)+("00:00:00"+F94)-0.0416666666666667,IF(AND(OR(AG94="Allaitement",AG94="Sans déjeuner"),F94-D94&lt;0),("24:00:00"-D94)+("00:00:00"+F94),IF(AND(AG94="",F94-D94&gt;0.166666666666667),F94-D94-0.0416666666666667,IF(AND(OR(AG94="Allaitement",AG94="Sans déjeuner"),F94-D94&gt;0.166666666666667),F94-D94,F94-D94)))))))</f>
        <v/>
      </c>
      <c r="P94" s="242">
        <f>IFERROR(VLOOKUP($B94,Annuaire_roster!$B:$G,MATCH(P$1,Annuaire_roster!$B$1:$G$1,0),0),"-")</f>
        <v/>
      </c>
      <c r="Q94" s="243" t="n">
        <v>44763</v>
      </c>
      <c r="R94" s="244">
        <f>IF(M94="Abs",O94,0)</f>
        <v/>
      </c>
      <c r="S94" s="244">
        <f>SUM(R94,L94,I94,J94,W94,H94)</f>
        <v/>
      </c>
      <c r="T94" s="209">
        <f>"Sem - "&amp;WEEKNUM(Q94,21)</f>
        <v/>
      </c>
      <c r="U94" s="209">
        <f>PROPER(TEXT(Q94,"mmmm"))</f>
        <v/>
      </c>
      <c r="V94" s="245">
        <f>+TEXT(Q94,"aaa")</f>
        <v/>
      </c>
      <c r="W94" s="240" t="n"/>
      <c r="X94" s="246">
        <f>IFERROR(IF(M94="Abs",0,IF((D94-C94+E94-F94)&lt;0.000694444444444444,0,(D94-C94+E94-F94))),0)</f>
        <v/>
      </c>
      <c r="Y94" s="247">
        <f>IFERROR(VLOOKUP(B94,Annuaire_roster!B:E,4,0),"-")</f>
        <v/>
      </c>
      <c r="Z94" s="247">
        <f>IFERROR(VLOOKUP(B94,Annuaire_roster!B:F,3,0),"-")</f>
        <v/>
      </c>
      <c r="AA94" s="247">
        <f>IFERROR(VLOOKUP(B94,Annuaire_roster!B:I,6,0),"-")</f>
        <v/>
      </c>
      <c r="AB94" s="248">
        <f>IF(AND(D94="Congé",F94="Congé"),0.333333333333333,IF(OR(AND(D94="Congé",F94&lt;&gt;"Congé"),(AND(F94="Congé",D94&lt;&gt;"Congé"))),0.166666666666667,""))</f>
        <v/>
      </c>
      <c r="AC94" s="248">
        <f>IF(AND(D94="Congé sans solde",F94="Congé sans solde"),0.333333333333333,IF(OR(AND(D94="Congé sans solde",F94&lt;&gt;"Congé sans solde"),(AND(F94="Congé sans solde",D94&lt;&gt;"Congé sans solde"))),0.166666666666667,""))</f>
        <v/>
      </c>
      <c r="AD94" s="248">
        <f>IF(AND(D94="Congé spécial",F94="Congé spécial"),0.333333333333333,IF(OR(AND(D94="Congé spécial",F94&lt;&gt;"Congé décès"),(AND(F94="Congé spécial",D94&lt;&gt;"Congé spécial"))),0.166666666666667,""))</f>
        <v/>
      </c>
      <c r="AE94" s="249">
        <f>IF(AND(D94="Férié",F94="Férié"),0.333333333333333,IF(OR(AND(D94="Férié",F94&lt;&gt;"Férié"),(AND(F94="Férié",D94&lt;&gt;"Férié"))),0.166666666666667,""))</f>
        <v/>
      </c>
      <c r="AF94" s="249" t="n"/>
      <c r="AG94" s="244" t="n"/>
    </row>
    <row r="95" hidden="1" ht="12.75" customHeight="1" s="231">
      <c r="A95" s="232">
        <f>VLOOKUP(B95,Annuaire_roster!B:F,5,0)</f>
        <v/>
      </c>
      <c r="B95" s="233" t="inlineStr">
        <is>
          <t>MELLAHI YOUSSEF</t>
        </is>
      </c>
      <c r="C95" s="234">
        <f>IFERROR(IF(COUNTIFS(Connexions!$K:$K,$Q95,Connexions!$E:$E,VLOOKUP($B95,Mapping_Noms!$A:$B,2,0))=0,"",_xlfn.MINIFS(Connexions!$M:$M,Connexions!$K:$K,$Q95,Connexions!$E:$E,VLOOKUP($B95,Mapping_Noms!$A:$B,2,0))-TIME(1,0,0)),"")</f>
        <v/>
      </c>
      <c r="D95" s="234">
        <f t="array" ref="D95:D95">IFERROR(INDEX(Planning2[],MATCH(1,(Planning2[Nom]=B95)*(Planning2[Date]=Q95),0),3),"-")</f>
        <v/>
      </c>
      <c r="E95" s="235">
        <f>IFERROR(IF(COUNTIFS(Connexions!$K:$K,$Q95,Connexions!$E:$E,VLOOKUP($B95,Mapping_Noms!$A:$B,2,0))=0,"",_xlfn.MAXIFS(Connexions!$O:$O,Connexions!$K:$K,$Q95,Connexions!$E:$E,VLOOKUP($B95,Mapping_Noms!$A:$B,2,0))-TIME(1,0,0)),"")</f>
        <v/>
      </c>
      <c r="F95" s="235">
        <f t="array" ref="F95:F95">IFERROR(INDEX(Planning2[],MATCH(1,(Planning2[Nom]=B95)*(Planning2[Date]=Q95),0),4),"-")</f>
        <v/>
      </c>
      <c r="G95" s="405">
        <f>IFERROR(IF(OR(IFERROR(INDEX('Planning Pauses Dej'!$C:$C,MATCH($B95&amp;"|"&amp;TEXT($Q95,"YYYYMMDD"),'Planning Pauses Dej'!$F:$F,0)),"")="",IFERROR(INDEX('Planning Pauses Dej'!$D:$D,MATCH($B95&amp;"|"&amp;TEXT($Q95,"YYYYMMDD"),'Planning Pauses Dej'!$F:$F,0)),"")=""),"",_xlfn.MAXIFS(Connexions!$Q:$Q,Connexions!$K:$K,$Q95,Connexions!$E:$E,VLOOKUP($B95,Mapping_Noms!$A:$B,2,0),Connexions!$O:$O,"&lt;="&amp;(IFERROR(INDEX('Planning Pauses Dej'!$D:$D,MATCH($B95&amp;"|"&amp;TEXT($Q95,"YYYYMMDD"),'Planning Pauses Dej'!$F:$F,0)),"")+TIME(1,0,0)),Connexions!$P:$P,"&gt;="&amp;(IFERROR(INDEX('Planning Pauses Dej'!$C:$C,MATCH($B95&amp;"|"&amp;TEXT($Q95,"YYYYMMDD"),'Planning Pauses Dej'!$F:$F,0)),"")+TIME(1,0,0)))),"")</f>
        <v/>
      </c>
      <c r="H95" s="405">
        <f>IFERROR(IF(OR($G95="",IFERROR(INDEX('Planning Pauses Dej'!$C:$C,MATCH($B95&amp;"|"&amp;TEXT($Q95,"YYYYMMDD"),'Planning Pauses Dej'!$F:$F,0)),"")="",IFERROR(INDEX('Planning Pauses Dej'!$D:$D,MATCH($B95&amp;"|"&amp;TEXT($Q95,"YYYYMMDD"),'Planning Pauses Dej'!$F:$F,0)),"")=""),"",IF($G95&gt;(IFERROR(INDEX('Planning Pauses Dej'!$D:$D,MATCH($B95&amp;"|"&amp;TEXT($Q95,"YYYYMMDD"),'Planning Pauses Dej'!$F:$F,0)),"")-IFERROR(INDEX('Planning Pauses Dej'!$C:$C,MATCH($B95&amp;"|"&amp;TEXT($Q95,"YYYYMMDD"),'Planning Pauses Dej'!$F:$F,0)),"")),$G95-(IFERROR(INDEX('Planning Pauses Dej'!$D:$D,MATCH($B95&amp;"|"&amp;TEXT($Q95,"YYYYMMDD"),'Planning Pauses Dej'!$F:$F,0)),"")-IFERROR(INDEX('Planning Pauses Dej'!$C:$C,MATCH($B95&amp;"|"&amp;TEXT($Q95,"YYYYMMDD"),'Planning Pauses Dej'!$F:$F,0)),"")),0)),"")</f>
        <v/>
      </c>
      <c r="I95" s="251">
        <f>IF(IF(OR(C95="",D95="Congé",D95="OFF",D95="Congé spécial"),"",IF(D95&gt;F95,D95-C95,IF(C95-D95&lt;0,0,C95-D95)))&lt;0.00068287037037037,"",IF(OR(D95="Congé",D95="OFF",C95="",D95="Congé spécial"),"",IF(D95&gt;F95,D95-C95,IF(C95-D95&lt;0,0,C95-D95))))</f>
        <v/>
      </c>
      <c r="J95" s="405">
        <f>IFERROR(IF($G95="","",IF($G95&gt;TIME(1,0,0),$G95-TIME(1,0,0),0)),"")</f>
        <v/>
      </c>
      <c r="K95" s="238">
        <f>IF(SUM(H95:J95)&lt;0.00068287037037037,0,SUM(H95:J95))</f>
        <v/>
      </c>
      <c r="L95" s="236">
        <f>IF(OR(F95="Congé",F95="OFF",M95="Abs",F95="Congé sans solde",F95="Férié",F95="Congé spécial",D95="Congé spécial"),0,IF(F95-E95&lt;0,0,IF(F95-E95&lt;=0.00068287037037037,0,F95-E95)))</f>
        <v/>
      </c>
      <c r="M95" s="239">
        <f>IF(AND(O95&lt;&gt;0,C95=""),"Abs",0)</f>
        <v/>
      </c>
      <c r="N95" s="240">
        <f>IFERROR(IF(OR(D95="OFF",D95="Congé",M95="Abs",D95="Congé sans solde",D95="Férié"),"",IF(O95-K95-L95&gt;O95,O95,IF(O95-K95-L95&lt;0,"",O95-K95-L95))),"")</f>
        <v/>
      </c>
      <c r="O95" s="241">
        <f>IF(AG95="2H Pause déjeuner",IF(F95-D95-0.0833333333333333&lt;0,F95-D95-0.0833333333333333+1,F95-D95-0.0833333333333333),IF(OR(AND(F95="OFF",D95="OFF"),AND(F95="Congé",D95="Congé"),AND(F95="Congé sans solde",D95="Congé sans solde"),AND(F95="Congé spécial",D95="Congé spécial"),AND(F95="Férié",D95="Férié"),AND(F95="OFF",D95="Congé"),AND(F95="OFF",D95="Congé sans solde"),AND(F95="OFF",D95="Congé spécial"),AND(F95="OFF",D95="Férié"),AND(F95="Congé",D95="OFF"),AND(F95="Congé",D95="Congé sans solde"),AND(F95="Congé",D95="Congé spécial"),AND(F95="Congé",D95="Férié"),AND(F95="Congé sans solde",D95="OFF"),AND(F95="Congé sans solde",D95="Congé"),AND(F95="Congé sans solde",D95="Congé spécial"),AND(F95="Congé sans solde",D95="Férié"),AND(F95="Congé spécial",D95="OFF"),AND(F95="Congé spécial",D95="Congé"),AND(F95="Congé spécial",D95="Congé sans solde"),AND(F95="Congé spécial",D95="Férié"),AND(F95="Férié",D95="OFF"),AND(F95="Férié",D95="Congé"),AND(F95="Férié",D95="Congé sans solde"),AND(F95="Férié",D95="Congé spécial")),0,IF(OR(F95="OFF",F95="Congé",F95="Congé spécial",F95="Congé sans solde",D95="OFF",D95="Congé",D95="Congé spécial",D95="Congé sans solde"),0.208333333333334,IF(AND(AG95="",F95-D95&lt;0),("24:00:00"-D95)+("00:00:00"+F95)-0.0416666666666667,IF(AND(OR(AG95="Allaitement",AG95="Sans déjeuner"),F95-D95&lt;0),("24:00:00"-D95)+("00:00:00"+F95),IF(AND(AG95="",F95-D95&gt;0.166666666666667),F95-D95-0.0416666666666667,IF(AND(OR(AG95="Allaitement",AG95="Sans déjeuner"),F95-D95&gt;0.166666666666667),F95-D95,F95-D95)))))))</f>
        <v/>
      </c>
      <c r="P95" s="242">
        <f>IFERROR(VLOOKUP($B95,Annuaire_roster!$B:$G,MATCH(P$1,Annuaire_roster!$B$1:$G$1,0),0),"-")</f>
        <v/>
      </c>
      <c r="Q95" s="243" t="n">
        <v>44763</v>
      </c>
      <c r="R95" s="244">
        <f>IF(M95="Abs",O95,0)</f>
        <v/>
      </c>
      <c r="S95" s="244">
        <f>SUM(R95,L95,I95,J95,W95,H95)</f>
        <v/>
      </c>
      <c r="T95" s="209">
        <f>"Sem - "&amp;WEEKNUM(Q95,21)</f>
        <v/>
      </c>
      <c r="U95" s="209">
        <f>PROPER(TEXT(Q95,"mmmm"))</f>
        <v/>
      </c>
      <c r="V95" s="245">
        <f>+TEXT(Q95,"aaa")</f>
        <v/>
      </c>
      <c r="W95" s="240" t="n"/>
      <c r="X95" s="246">
        <f>IFERROR(IF(M95="Abs",0,IF((D95-C95+E95-F95)&lt;0.000694444444444444,0,(D95-C95+E95-F95))),0)</f>
        <v/>
      </c>
      <c r="Y95" s="247">
        <f>IFERROR(VLOOKUP(B95,Annuaire_roster!B:E,4,0),"-")</f>
        <v/>
      </c>
      <c r="Z95" s="247">
        <f>IFERROR(VLOOKUP(B95,Annuaire_roster!B:F,3,0),"-")</f>
        <v/>
      </c>
      <c r="AA95" s="247">
        <f>IFERROR(VLOOKUP(B95,Annuaire_roster!B:I,6,0),"-")</f>
        <v/>
      </c>
      <c r="AB95" s="248">
        <f>IF(AND(D95="Congé",F95="Congé"),0.333333333333333,IF(OR(AND(D95="Congé",F95&lt;&gt;"Congé"),(AND(F95="Congé",D95&lt;&gt;"Congé"))),0.166666666666667,""))</f>
        <v/>
      </c>
      <c r="AC95" s="248">
        <f>IF(AND(D95="Congé sans solde",F95="Congé sans solde"),0.333333333333333,IF(OR(AND(D95="Congé sans solde",F95&lt;&gt;"Congé sans solde"),(AND(F95="Congé sans solde",D95&lt;&gt;"Congé sans solde"))),0.166666666666667,""))</f>
        <v/>
      </c>
      <c r="AD95" s="248">
        <f>IF(AND(D95="Congé spécial",F95="Congé spécial"),0.333333333333333,IF(OR(AND(D95="Congé spécial",F95&lt;&gt;"Congé décès"),(AND(F95="Congé spécial",D95&lt;&gt;"Congé spécial"))),0.166666666666667,""))</f>
        <v/>
      </c>
      <c r="AE95" s="249">
        <f>IF(AND(D95="Férié",F95="Férié"),0.333333333333333,IF(OR(AND(D95="Férié",F95&lt;&gt;"Férié"),(AND(F95="Férié",D95&lt;&gt;"Férié"))),0.166666666666667,""))</f>
        <v/>
      </c>
      <c r="AF95" s="249" t="n"/>
      <c r="AG95" s="244" t="n"/>
    </row>
    <row r="96" hidden="1" ht="12.75" customHeight="1" s="231">
      <c r="A96" s="232">
        <f>VLOOKUP(B96,Annuaire_roster!B:F,5,0)</f>
        <v/>
      </c>
      <c r="B96" s="233" t="inlineStr">
        <is>
          <t xml:space="preserve">EL HOUJJAJI Soufiane </t>
        </is>
      </c>
      <c r="C96" s="234">
        <f>IFERROR(IF(COUNTIFS(Connexions!$K:$K,$Q96,Connexions!$E:$E,VLOOKUP($B96,Mapping_Noms!$A:$B,2,0))=0,"",_xlfn.MINIFS(Connexions!$M:$M,Connexions!$K:$K,$Q96,Connexions!$E:$E,VLOOKUP($B96,Mapping_Noms!$A:$B,2,0))-TIME(1,0,0)),"")</f>
        <v/>
      </c>
      <c r="D96" s="234">
        <f t="array" ref="D96:D96">IFERROR(INDEX(Planning2[],MATCH(1,(Planning2[Nom]=B96)*(Planning2[Date]=Q96),0),3),"-")</f>
        <v/>
      </c>
      <c r="E96" s="235">
        <f>IFERROR(IF(COUNTIFS(Connexions!$K:$K,$Q96,Connexions!$E:$E,VLOOKUP($B96,Mapping_Noms!$A:$B,2,0))=0,"",_xlfn.MAXIFS(Connexions!$O:$O,Connexions!$K:$K,$Q96,Connexions!$E:$E,VLOOKUP($B96,Mapping_Noms!$A:$B,2,0))-TIME(1,0,0)),"")</f>
        <v/>
      </c>
      <c r="F96" s="235">
        <f t="array" ref="F96:F96">IFERROR(INDEX(Planning2[],MATCH(1,(Planning2[Nom]=B96)*(Planning2[Date]=Q96),0),4),"-")</f>
        <v/>
      </c>
      <c r="G96" s="405">
        <f>IFERROR(IF(OR(IFERROR(INDEX('Planning Pauses Dej'!$C:$C,MATCH($B96&amp;"|"&amp;TEXT($Q96,"YYYYMMDD"),'Planning Pauses Dej'!$F:$F,0)),"")="",IFERROR(INDEX('Planning Pauses Dej'!$D:$D,MATCH($B96&amp;"|"&amp;TEXT($Q96,"YYYYMMDD"),'Planning Pauses Dej'!$F:$F,0)),"")=""),"",_xlfn.MAXIFS(Connexions!$Q:$Q,Connexions!$K:$K,$Q96,Connexions!$E:$E,VLOOKUP($B96,Mapping_Noms!$A:$B,2,0),Connexions!$O:$O,"&lt;="&amp;(IFERROR(INDEX('Planning Pauses Dej'!$D:$D,MATCH($B96&amp;"|"&amp;TEXT($Q96,"YYYYMMDD"),'Planning Pauses Dej'!$F:$F,0)),"")+TIME(1,0,0)),Connexions!$P:$P,"&gt;="&amp;(IFERROR(INDEX('Planning Pauses Dej'!$C:$C,MATCH($B96&amp;"|"&amp;TEXT($Q96,"YYYYMMDD"),'Planning Pauses Dej'!$F:$F,0)),"")+TIME(1,0,0)))),"")</f>
        <v/>
      </c>
      <c r="H96" s="405">
        <f>IFERROR(IF(OR($G96="",IFERROR(INDEX('Planning Pauses Dej'!$C:$C,MATCH($B96&amp;"|"&amp;TEXT($Q96,"YYYYMMDD"),'Planning Pauses Dej'!$F:$F,0)),"")="",IFERROR(INDEX('Planning Pauses Dej'!$D:$D,MATCH($B96&amp;"|"&amp;TEXT($Q96,"YYYYMMDD"),'Planning Pauses Dej'!$F:$F,0)),"")=""),"",IF($G96&gt;(IFERROR(INDEX('Planning Pauses Dej'!$D:$D,MATCH($B96&amp;"|"&amp;TEXT($Q96,"YYYYMMDD"),'Planning Pauses Dej'!$F:$F,0)),"")-IFERROR(INDEX('Planning Pauses Dej'!$C:$C,MATCH($B96&amp;"|"&amp;TEXT($Q96,"YYYYMMDD"),'Planning Pauses Dej'!$F:$F,0)),"")),$G96-(IFERROR(INDEX('Planning Pauses Dej'!$D:$D,MATCH($B96&amp;"|"&amp;TEXT($Q96,"YYYYMMDD"),'Planning Pauses Dej'!$F:$F,0)),"")-IFERROR(INDEX('Planning Pauses Dej'!$C:$C,MATCH($B96&amp;"|"&amp;TEXT($Q96,"YYYYMMDD"),'Planning Pauses Dej'!$F:$F,0)),"")),0)),"")</f>
        <v/>
      </c>
      <c r="I96" s="251">
        <f>IF(IF(OR(C96="",D96="Congé",D96="OFF",D96="Congé spécial"),"",IF(D96&gt;F96,D96-C96,IF(C96-D96&lt;0,0,C96-D96)))&lt;0.00068287037037037,"",IF(OR(D96="Congé",D96="OFF",C96="",D96="Congé spécial"),"",IF(D96&gt;F96,D96-C96,IF(C96-D96&lt;0,0,C96-D96))))</f>
        <v/>
      </c>
      <c r="J96" s="405">
        <f>IFERROR(IF($G96="","",IF($G96&gt;TIME(1,0,0),$G96-TIME(1,0,0),0)),"")</f>
        <v/>
      </c>
      <c r="K96" s="238">
        <f>IF(SUM(H96:J96)&lt;0.00068287037037037,0,SUM(H96:J96))</f>
        <v/>
      </c>
      <c r="L96" s="236">
        <f>IF(OR(F96="Congé",F96="OFF",M96="Abs",F96="Congé sans solde",F96="Férié",F96="Congé spécial",D96="Congé spécial"),0,IF(F96-E96&lt;0,0,IF(F96-E96&lt;=0.00068287037037037,0,F96-E96)))</f>
        <v/>
      </c>
      <c r="M96" s="239">
        <f>IF(AND(O96&lt;&gt;0,C96=""),"Abs",0)</f>
        <v/>
      </c>
      <c r="N96" s="240">
        <f>IFERROR(IF(OR(D96="OFF",D96="Congé",M96="Abs",D96="Congé sans solde",D96="Férié"),"",IF(O96-K96-L96&gt;O96,O96,IF(O96-K96-L96&lt;0,"",O96-K96-L96))),"")</f>
        <v/>
      </c>
      <c r="O96" s="241">
        <f>IF(AG96="2H Pause déjeuner",IF(F96-D96-0.0833333333333333&lt;0,F96-D96-0.0833333333333333+1,F96-D96-0.0833333333333333),IF(OR(AND(F96="OFF",D96="OFF"),AND(F96="Congé",D96="Congé"),AND(F96="Congé sans solde",D96="Congé sans solde"),AND(F96="Congé spécial",D96="Congé spécial"),AND(F96="Férié",D96="Férié"),AND(F96="OFF",D96="Congé"),AND(F96="OFF",D96="Congé sans solde"),AND(F96="OFF",D96="Congé spécial"),AND(F96="OFF",D96="Férié"),AND(F96="Congé",D96="OFF"),AND(F96="Congé",D96="Congé sans solde"),AND(F96="Congé",D96="Congé spécial"),AND(F96="Congé",D96="Férié"),AND(F96="Congé sans solde",D96="OFF"),AND(F96="Congé sans solde",D96="Congé"),AND(F96="Congé sans solde",D96="Congé spécial"),AND(F96="Congé sans solde",D96="Férié"),AND(F96="Congé spécial",D96="OFF"),AND(F96="Congé spécial",D96="Congé"),AND(F96="Congé spécial",D96="Congé sans solde"),AND(F96="Congé spécial",D96="Férié"),AND(F96="Férié",D96="OFF"),AND(F96="Férié",D96="Congé"),AND(F96="Férié",D96="Congé sans solde"),AND(F96="Férié",D96="Congé spécial")),0,IF(OR(F96="OFF",F96="Congé",F96="Congé spécial",F96="Congé sans solde",D96="OFF",D96="Congé",D96="Congé spécial",D96="Congé sans solde"),0.208333333333334,IF(AND(AG96="",F96-D96&lt;0),("24:00:00"-D96)+("00:00:00"+F96)-0.0416666666666667,IF(AND(OR(AG96="Allaitement",AG96="Sans déjeuner"),F96-D96&lt;0),("24:00:00"-D96)+("00:00:00"+F96),IF(AND(AG96="",F96-D96&gt;0.166666666666667),F96-D96-0.0416666666666667,IF(AND(OR(AG96="Allaitement",AG96="Sans déjeuner"),F96-D96&gt;0.166666666666667),F96-D96,F96-D96)))))))</f>
        <v/>
      </c>
      <c r="P96" s="242">
        <f>IFERROR(VLOOKUP($B96,Annuaire_roster!$B:$G,MATCH(P$1,Annuaire_roster!$B$1:$G$1,0),0),"-")</f>
        <v/>
      </c>
      <c r="Q96" s="243" t="n">
        <v>44763</v>
      </c>
      <c r="R96" s="244">
        <f>IF(M96="Abs",O96,0)</f>
        <v/>
      </c>
      <c r="S96" s="244">
        <f>SUM(R96,L96,I96,J96,W96,H96)</f>
        <v/>
      </c>
      <c r="T96" s="209">
        <f>"Sem - "&amp;WEEKNUM(Q96,21)</f>
        <v/>
      </c>
      <c r="U96" s="209">
        <f>PROPER(TEXT(Q96,"mmmm"))</f>
        <v/>
      </c>
      <c r="V96" s="245">
        <f>+TEXT(Q96,"aaa")</f>
        <v/>
      </c>
      <c r="W96" s="240" t="n"/>
      <c r="X96" s="246">
        <f>IFERROR(IF(M96="Abs",0,IF((D96-C96+E96-F96)&lt;0.000694444444444444,0,(D96-C96+E96-F96))),0)</f>
        <v/>
      </c>
      <c r="Y96" s="247">
        <f>IFERROR(VLOOKUP(B96,Annuaire_roster!B:E,4,0),"-")</f>
        <v/>
      </c>
      <c r="Z96" s="247">
        <f>IFERROR(VLOOKUP(B96,Annuaire_roster!B:F,3,0),"-")</f>
        <v/>
      </c>
      <c r="AA96" s="247">
        <f>IFERROR(VLOOKUP(B96,Annuaire_roster!B:I,6,0),"-")</f>
        <v/>
      </c>
      <c r="AB96" s="248">
        <f>IF(AND(D96="Congé",F96="Congé"),0.333333333333333,IF(OR(AND(D96="Congé",F96&lt;&gt;"Congé"),(AND(F96="Congé",D96&lt;&gt;"Congé"))),0.166666666666667,""))</f>
        <v/>
      </c>
      <c r="AC96" s="248">
        <f>IF(AND(D96="Congé sans solde",F96="Congé sans solde"),0.333333333333333,IF(OR(AND(D96="Congé sans solde",F96&lt;&gt;"Congé sans solde"),(AND(F96="Congé sans solde",D96&lt;&gt;"Congé sans solde"))),0.166666666666667,""))</f>
        <v/>
      </c>
      <c r="AD96" s="248">
        <f>IF(AND(D96="Congé spécial",F96="Congé spécial"),0.333333333333333,IF(OR(AND(D96="Congé spécial",F96&lt;&gt;"Congé décès"),(AND(F96="Congé spécial",D96&lt;&gt;"Congé spécial"))),0.166666666666667,""))</f>
        <v/>
      </c>
      <c r="AE96" s="249">
        <f>IF(AND(D96="Férié",F96="Férié"),0.333333333333333,IF(OR(AND(D96="Férié",F96&lt;&gt;"Férié"),(AND(F96="Férié",D96&lt;&gt;"Férié"))),0.166666666666667,""))</f>
        <v/>
      </c>
      <c r="AF96" s="249" t="n"/>
      <c r="AG96" s="244" t="n"/>
    </row>
    <row r="97" hidden="1" ht="12.75" customHeight="1" s="231">
      <c r="A97" s="232">
        <f>VLOOKUP(B97,Annuaire_roster!B:F,5,0)</f>
        <v/>
      </c>
      <c r="B97" s="233" t="inlineStr">
        <is>
          <t>AZHARI ABDELHAMID</t>
        </is>
      </c>
      <c r="C97" s="234">
        <f>IFERROR(IF(COUNTIFS(Connexions!$K:$K,$Q97,Connexions!$E:$E,VLOOKUP($B97,Mapping_Noms!$A:$B,2,0))=0,"",_xlfn.MINIFS(Connexions!$M:$M,Connexions!$K:$K,$Q97,Connexions!$E:$E,VLOOKUP($B97,Mapping_Noms!$A:$B,2,0))-TIME(1,0,0)),"")</f>
        <v/>
      </c>
      <c r="D97" s="234">
        <f t="array" ref="D97:D97">IFERROR(INDEX(Planning2[],MATCH(1,(Planning2[Nom]=B97)*(Planning2[Date]=Q97),0),3),"-")</f>
        <v/>
      </c>
      <c r="E97" s="235">
        <f>IFERROR(IF(COUNTIFS(Connexions!$K:$K,$Q97,Connexions!$E:$E,VLOOKUP($B97,Mapping_Noms!$A:$B,2,0))=0,"",_xlfn.MAXIFS(Connexions!$O:$O,Connexions!$K:$K,$Q97,Connexions!$E:$E,VLOOKUP($B97,Mapping_Noms!$A:$B,2,0))-TIME(1,0,0)),"")</f>
        <v/>
      </c>
      <c r="F97" s="235">
        <f t="array" ref="F97:F97">IFERROR(INDEX(Planning2[],MATCH(1,(Planning2[Nom]=B97)*(Planning2[Date]=Q97),0),4),"-")</f>
        <v/>
      </c>
      <c r="G97" s="405">
        <f>IFERROR(IF(OR(IFERROR(INDEX('Planning Pauses Dej'!$C:$C,MATCH($B97&amp;"|"&amp;TEXT($Q97,"YYYYMMDD"),'Planning Pauses Dej'!$F:$F,0)),"")="",IFERROR(INDEX('Planning Pauses Dej'!$D:$D,MATCH($B97&amp;"|"&amp;TEXT($Q97,"YYYYMMDD"),'Planning Pauses Dej'!$F:$F,0)),"")=""),"",_xlfn.MAXIFS(Connexions!$Q:$Q,Connexions!$K:$K,$Q97,Connexions!$E:$E,VLOOKUP($B97,Mapping_Noms!$A:$B,2,0),Connexions!$O:$O,"&lt;="&amp;(IFERROR(INDEX('Planning Pauses Dej'!$D:$D,MATCH($B97&amp;"|"&amp;TEXT($Q97,"YYYYMMDD"),'Planning Pauses Dej'!$F:$F,0)),"")+TIME(1,0,0)),Connexions!$P:$P,"&gt;="&amp;(IFERROR(INDEX('Planning Pauses Dej'!$C:$C,MATCH($B97&amp;"|"&amp;TEXT($Q97,"YYYYMMDD"),'Planning Pauses Dej'!$F:$F,0)),"")+TIME(1,0,0)))),"")</f>
        <v/>
      </c>
      <c r="H97" s="405">
        <f>IFERROR(IF(OR($G97="",IFERROR(INDEX('Planning Pauses Dej'!$C:$C,MATCH($B97&amp;"|"&amp;TEXT($Q97,"YYYYMMDD"),'Planning Pauses Dej'!$F:$F,0)),"")="",IFERROR(INDEX('Planning Pauses Dej'!$D:$D,MATCH($B97&amp;"|"&amp;TEXT($Q97,"YYYYMMDD"),'Planning Pauses Dej'!$F:$F,0)),"")=""),"",IF($G97&gt;(IFERROR(INDEX('Planning Pauses Dej'!$D:$D,MATCH($B97&amp;"|"&amp;TEXT($Q97,"YYYYMMDD"),'Planning Pauses Dej'!$F:$F,0)),"")-IFERROR(INDEX('Planning Pauses Dej'!$C:$C,MATCH($B97&amp;"|"&amp;TEXT($Q97,"YYYYMMDD"),'Planning Pauses Dej'!$F:$F,0)),"")),$G97-(IFERROR(INDEX('Planning Pauses Dej'!$D:$D,MATCH($B97&amp;"|"&amp;TEXT($Q97,"YYYYMMDD"),'Planning Pauses Dej'!$F:$F,0)),"")-IFERROR(INDEX('Planning Pauses Dej'!$C:$C,MATCH($B97&amp;"|"&amp;TEXT($Q97,"YYYYMMDD"),'Planning Pauses Dej'!$F:$F,0)),"")),0)),"")</f>
        <v/>
      </c>
      <c r="I97" s="251">
        <f>IF(IF(OR(C97="",D97="Congé",D97="OFF",D97="Congé spécial"),"",IF(D97&gt;F97,D97-C97,IF(C97-D97&lt;0,0,C97-D97)))&lt;0.00068287037037037,"",IF(OR(D97="Congé",D97="OFF",C97="",D97="Congé spécial"),"",IF(D97&gt;F97,D97-C97,IF(C97-D97&lt;0,0,C97-D97))))</f>
        <v/>
      </c>
      <c r="J97" s="405">
        <f>IFERROR(IF($G97="","",IF($G97&gt;TIME(1,0,0),$G97-TIME(1,0,0),0)),"")</f>
        <v/>
      </c>
      <c r="K97" s="238">
        <f>IF(SUM(H97:J97)&lt;0.00068287037037037,0,SUM(H97:J97))</f>
        <v/>
      </c>
      <c r="L97" s="236">
        <f>IF(OR(F97="Congé",F97="OFF",M97="Abs",F97="Congé sans solde",F97="Férié",F97="Congé spécial",D97="Congé spécial"),0,IF(F97-E97&lt;0,0,IF(F97-E97&lt;=0.00068287037037037,0,F97-E97)))</f>
        <v/>
      </c>
      <c r="M97" s="239">
        <f>IF(AND(O97&lt;&gt;0,C97=""),"Abs",0)</f>
        <v/>
      </c>
      <c r="N97" s="240">
        <f>IFERROR(IF(OR(D97="OFF",D97="Congé",M97="Abs",D97="Congé sans solde",D97="Férié"),"",IF(O97-K97-L97&gt;O97,O97,IF(O97-K97-L97&lt;0,"",O97-K97-L97))),"")</f>
        <v/>
      </c>
      <c r="O97" s="241">
        <f>IF(AG97="2H Pause déjeuner",IF(F97-D97-0.0833333333333333&lt;0,F97-D97-0.0833333333333333+1,F97-D97-0.0833333333333333),IF(OR(AND(F97="OFF",D97="OFF"),AND(F97="Congé",D97="Congé"),AND(F97="Congé sans solde",D97="Congé sans solde"),AND(F97="Congé spécial",D97="Congé spécial"),AND(F97="Férié",D97="Férié"),AND(F97="OFF",D97="Congé"),AND(F97="OFF",D97="Congé sans solde"),AND(F97="OFF",D97="Congé spécial"),AND(F97="OFF",D97="Férié"),AND(F97="Congé",D97="OFF"),AND(F97="Congé",D97="Congé sans solde"),AND(F97="Congé",D97="Congé spécial"),AND(F97="Congé",D97="Férié"),AND(F97="Congé sans solde",D97="OFF"),AND(F97="Congé sans solde",D97="Congé"),AND(F97="Congé sans solde",D97="Congé spécial"),AND(F97="Congé sans solde",D97="Férié"),AND(F97="Congé spécial",D97="OFF"),AND(F97="Congé spécial",D97="Congé"),AND(F97="Congé spécial",D97="Congé sans solde"),AND(F97="Congé spécial",D97="Férié"),AND(F97="Férié",D97="OFF"),AND(F97="Férié",D97="Congé"),AND(F97="Férié",D97="Congé sans solde"),AND(F97="Férié",D97="Congé spécial")),0,IF(OR(F97="OFF",F97="Congé",F97="Congé spécial",F97="Congé sans solde",D97="OFF",D97="Congé",D97="Congé spécial",D97="Congé sans solde"),0.208333333333334,IF(AND(AG97="",F97-D97&lt;0),("24:00:00"-D97)+("00:00:00"+F97)-0.0416666666666667,IF(AND(OR(AG97="Allaitement",AG97="Sans déjeuner"),F97-D97&lt;0),("24:00:00"-D97)+("00:00:00"+F97),IF(AND(AG97="",F97-D97&gt;0.166666666666667),F97-D97-0.0416666666666667,IF(AND(OR(AG97="Allaitement",AG97="Sans déjeuner"),F97-D97&gt;0.166666666666667),F97-D97,F97-D97)))))))</f>
        <v/>
      </c>
      <c r="P97" s="242">
        <f>IFERROR(VLOOKUP($B97,Annuaire_roster!$B:$G,MATCH(P$1,Annuaire_roster!$B$1:$G$1,0),0),"-")</f>
        <v/>
      </c>
      <c r="Q97" s="243" t="n">
        <v>44763</v>
      </c>
      <c r="R97" s="244">
        <f>IF(M97="Abs",O97,0)</f>
        <v/>
      </c>
      <c r="S97" s="244">
        <f>SUM(R97,L97,I97,J97,W97,H97)</f>
        <v/>
      </c>
      <c r="T97" s="209">
        <f>"Sem - "&amp;WEEKNUM(Q97,21)</f>
        <v/>
      </c>
      <c r="U97" s="209">
        <f>PROPER(TEXT(Q97,"mmmm"))</f>
        <v/>
      </c>
      <c r="V97" s="245">
        <f>+TEXT(Q97,"aaa")</f>
        <v/>
      </c>
      <c r="W97" s="240" t="n"/>
      <c r="X97" s="246">
        <f>IFERROR(IF(M97="Abs",0,IF((D97-C97+E97-F97)&lt;0.000694444444444444,0,(D97-C97+E97-F97))),0)</f>
        <v/>
      </c>
      <c r="Y97" s="247">
        <f>IFERROR(VLOOKUP(B97,Annuaire_roster!B:E,4,0),"-")</f>
        <v/>
      </c>
      <c r="Z97" s="247">
        <f>IFERROR(VLOOKUP(B97,Annuaire_roster!B:F,3,0),"-")</f>
        <v/>
      </c>
      <c r="AA97" s="247">
        <f>IFERROR(VLOOKUP(B97,Annuaire_roster!B:I,6,0),"-")</f>
        <v/>
      </c>
      <c r="AB97" s="248">
        <f>IF(AND(D97="Congé",F97="Congé"),0.333333333333333,IF(OR(AND(D97="Congé",F97&lt;&gt;"Congé"),(AND(F97="Congé",D97&lt;&gt;"Congé"))),0.166666666666667,""))</f>
        <v/>
      </c>
      <c r="AC97" s="248">
        <f>IF(AND(D97="Congé sans solde",F97="Congé sans solde"),0.333333333333333,IF(OR(AND(D97="Congé sans solde",F97&lt;&gt;"Congé sans solde"),(AND(F97="Congé sans solde",D97&lt;&gt;"Congé sans solde"))),0.166666666666667,""))</f>
        <v/>
      </c>
      <c r="AD97" s="248">
        <f>IF(AND(D97="Congé spécial",F97="Congé spécial"),0.333333333333333,IF(OR(AND(D97="Congé spécial",F97&lt;&gt;"Congé décès"),(AND(F97="Congé spécial",D97&lt;&gt;"Congé spécial"))),0.166666666666667,""))</f>
        <v/>
      </c>
      <c r="AE97" s="249">
        <f>IF(AND(D97="Férié",F97="Férié"),0.333333333333333,IF(OR(AND(D97="Férié",F97&lt;&gt;"Férié"),(AND(F97="Férié",D97&lt;&gt;"Férié"))),0.166666666666667,""))</f>
        <v/>
      </c>
      <c r="AF97" s="249" t="n"/>
      <c r="AG97" s="244" t="n"/>
    </row>
    <row r="98" hidden="1" ht="12.75" customHeight="1" s="231">
      <c r="A98" s="232">
        <f>VLOOKUP(B98,Annuaire_roster!B:F,5,0)</f>
        <v/>
      </c>
      <c r="B98" s="233" t="inlineStr">
        <is>
          <t>GUEYE MOUHAMED</t>
        </is>
      </c>
      <c r="C98" s="234">
        <f>IFERROR(IF(COUNTIFS(Connexions!$K:$K,$Q98,Connexions!$E:$E,VLOOKUP($B98,Mapping_Noms!$A:$B,2,0))=0,"",_xlfn.MINIFS(Connexions!$M:$M,Connexions!$K:$K,$Q98,Connexions!$E:$E,VLOOKUP($B98,Mapping_Noms!$A:$B,2,0))-TIME(1,0,0)),"")</f>
        <v/>
      </c>
      <c r="D98" s="234">
        <f t="array" ref="D98:D98">IFERROR(INDEX(Planning2[],MATCH(1,(Planning2[Nom]=B98)*(Planning2[Date]=Q98),0),3),"-")</f>
        <v/>
      </c>
      <c r="E98" s="235">
        <f>IFERROR(IF(COUNTIFS(Connexions!$K:$K,$Q98,Connexions!$E:$E,VLOOKUP($B98,Mapping_Noms!$A:$B,2,0))=0,"",_xlfn.MAXIFS(Connexions!$O:$O,Connexions!$K:$K,$Q98,Connexions!$E:$E,VLOOKUP($B98,Mapping_Noms!$A:$B,2,0))-TIME(1,0,0)),"")</f>
        <v/>
      </c>
      <c r="F98" s="235">
        <f t="array" ref="F98:F98">IFERROR(INDEX(Planning2[],MATCH(1,(Planning2[Nom]=B98)*(Planning2[Date]=Q98),0),4),"-")</f>
        <v/>
      </c>
      <c r="G98" s="405">
        <f>IFERROR(IF(OR(IFERROR(INDEX('Planning Pauses Dej'!$C:$C,MATCH($B98&amp;"|"&amp;TEXT($Q98,"YYYYMMDD"),'Planning Pauses Dej'!$F:$F,0)),"")="",IFERROR(INDEX('Planning Pauses Dej'!$D:$D,MATCH($B98&amp;"|"&amp;TEXT($Q98,"YYYYMMDD"),'Planning Pauses Dej'!$F:$F,0)),"")=""),"",_xlfn.MAXIFS(Connexions!$Q:$Q,Connexions!$K:$K,$Q98,Connexions!$E:$E,VLOOKUP($B98,Mapping_Noms!$A:$B,2,0),Connexions!$O:$O,"&lt;="&amp;(IFERROR(INDEX('Planning Pauses Dej'!$D:$D,MATCH($B98&amp;"|"&amp;TEXT($Q98,"YYYYMMDD"),'Planning Pauses Dej'!$F:$F,0)),"")+TIME(1,0,0)),Connexions!$P:$P,"&gt;="&amp;(IFERROR(INDEX('Planning Pauses Dej'!$C:$C,MATCH($B98&amp;"|"&amp;TEXT($Q98,"YYYYMMDD"),'Planning Pauses Dej'!$F:$F,0)),"")+TIME(1,0,0)))),"")</f>
        <v/>
      </c>
      <c r="H98" s="405">
        <f>IFERROR(IF(OR($G98="",IFERROR(INDEX('Planning Pauses Dej'!$C:$C,MATCH($B98&amp;"|"&amp;TEXT($Q98,"YYYYMMDD"),'Planning Pauses Dej'!$F:$F,0)),"")="",IFERROR(INDEX('Planning Pauses Dej'!$D:$D,MATCH($B98&amp;"|"&amp;TEXT($Q98,"YYYYMMDD"),'Planning Pauses Dej'!$F:$F,0)),"")=""),"",IF($G98&gt;(IFERROR(INDEX('Planning Pauses Dej'!$D:$D,MATCH($B98&amp;"|"&amp;TEXT($Q98,"YYYYMMDD"),'Planning Pauses Dej'!$F:$F,0)),"")-IFERROR(INDEX('Planning Pauses Dej'!$C:$C,MATCH($B98&amp;"|"&amp;TEXT($Q98,"YYYYMMDD"),'Planning Pauses Dej'!$F:$F,0)),"")),$G98-(IFERROR(INDEX('Planning Pauses Dej'!$D:$D,MATCH($B98&amp;"|"&amp;TEXT($Q98,"YYYYMMDD"),'Planning Pauses Dej'!$F:$F,0)),"")-IFERROR(INDEX('Planning Pauses Dej'!$C:$C,MATCH($B98&amp;"|"&amp;TEXT($Q98,"YYYYMMDD"),'Planning Pauses Dej'!$F:$F,0)),"")),0)),"")</f>
        <v/>
      </c>
      <c r="I98" s="251">
        <f>IF(IF(OR(C98="",D98="Congé",D98="OFF",D98="Congé spécial"),"",IF(D98&gt;F98,D98-C98,IF(C98-D98&lt;0,0,C98-D98)))&lt;0.00068287037037037,"",IF(OR(D98="Congé",D98="OFF",C98="",D98="Congé spécial"),"",IF(D98&gt;F98,D98-C98,IF(C98-D98&lt;0,0,C98-D98))))</f>
        <v/>
      </c>
      <c r="J98" s="405">
        <f>IFERROR(IF($G98="","",IF($G98&gt;TIME(1,0,0),$G98-TIME(1,0,0),0)),"")</f>
        <v/>
      </c>
      <c r="K98" s="238">
        <f>IF(SUM(H98:J98)&lt;0.00068287037037037,0,SUM(H98:J98))</f>
        <v/>
      </c>
      <c r="L98" s="236">
        <f>IF(OR(F98="Congé",F98="OFF",M98="Abs",F98="Congé sans solde",F98="Férié",F98="Congé spécial",D98="Congé spécial"),0,IF(F98-E98&lt;0,0,IF(F98-E98&lt;=0.00068287037037037,0,F98-E98)))</f>
        <v/>
      </c>
      <c r="M98" s="239">
        <f>IF(AND(O98&lt;&gt;0,C98=""),"Abs",0)</f>
        <v/>
      </c>
      <c r="N98" s="240">
        <f>IFERROR(IF(OR(D98="OFF",D98="Congé",M98="Abs",D98="Congé sans solde",D98="Férié"),"",IF(O98-K98-L98&gt;O98,O98,IF(O98-K98-L98&lt;0,"",O98-K98-L98))),"")</f>
        <v/>
      </c>
      <c r="O98" s="241">
        <f>IF(AG98="2H Pause déjeuner",IF(F98-D98-0.0833333333333333&lt;0,F98-D98-0.0833333333333333+1,F98-D98-0.0833333333333333),IF(OR(AND(F98="OFF",D98="OFF"),AND(F98="Congé",D98="Congé"),AND(F98="Congé sans solde",D98="Congé sans solde"),AND(F98="Congé spécial",D98="Congé spécial"),AND(F98="Férié",D98="Férié"),AND(F98="OFF",D98="Congé"),AND(F98="OFF",D98="Congé sans solde"),AND(F98="OFF",D98="Congé spécial"),AND(F98="OFF",D98="Férié"),AND(F98="Congé",D98="OFF"),AND(F98="Congé",D98="Congé sans solde"),AND(F98="Congé",D98="Congé spécial"),AND(F98="Congé",D98="Férié"),AND(F98="Congé sans solde",D98="OFF"),AND(F98="Congé sans solde",D98="Congé"),AND(F98="Congé sans solde",D98="Congé spécial"),AND(F98="Congé sans solde",D98="Férié"),AND(F98="Congé spécial",D98="OFF"),AND(F98="Congé spécial",D98="Congé"),AND(F98="Congé spécial",D98="Congé sans solde"),AND(F98="Congé spécial",D98="Férié"),AND(F98="Férié",D98="OFF"),AND(F98="Férié",D98="Congé"),AND(F98="Férié",D98="Congé sans solde"),AND(F98="Férié",D98="Congé spécial")),0,IF(OR(F98="OFF",F98="Congé",F98="Congé spécial",F98="Congé sans solde",D98="OFF",D98="Congé",D98="Congé spécial",D98="Congé sans solde"),0.208333333333334,IF(AND(AG98="",F98-D98&lt;0),("24:00:00"-D98)+("00:00:00"+F98)-0.0416666666666667,IF(AND(OR(AG98="Allaitement",AG98="Sans déjeuner"),F98-D98&lt;0),("24:00:00"-D98)+("00:00:00"+F98),IF(AND(AG98="",F98-D98&gt;0.166666666666667),F98-D98-0.0416666666666667,IF(AND(OR(AG98="Allaitement",AG98="Sans déjeuner"),F98-D98&gt;0.166666666666667),F98-D98,F98-D98)))))))</f>
        <v/>
      </c>
      <c r="P98" s="242">
        <f>IFERROR(VLOOKUP($B98,Annuaire_roster!$B:$G,MATCH(P$1,Annuaire_roster!$B$1:$G$1,0),0),"-")</f>
        <v/>
      </c>
      <c r="Q98" s="243" t="n">
        <v>44764</v>
      </c>
      <c r="R98" s="244">
        <f>IF(M98="Abs",O98,0)</f>
        <v/>
      </c>
      <c r="S98" s="244">
        <f>SUM(R98,L98,I98,J98,W98,H98)</f>
        <v/>
      </c>
      <c r="T98" s="209">
        <f>"Sem - "&amp;WEEKNUM(Q98,21)</f>
        <v/>
      </c>
      <c r="U98" s="209">
        <f>PROPER(TEXT(Q98,"mmmm"))</f>
        <v/>
      </c>
      <c r="V98" s="245">
        <f>+TEXT(Q98,"aaa")</f>
        <v/>
      </c>
      <c r="W98" s="240" t="n"/>
      <c r="X98" s="246">
        <f>IFERROR(IF(M98="Abs",0,IF((D98-C98+E98-F98)&lt;0.000694444444444444,0,(D98-C98+E98-F98))),0)</f>
        <v/>
      </c>
      <c r="Y98" s="247">
        <f>IFERROR(VLOOKUP(B98,Annuaire_roster!B:E,4,0),"-")</f>
        <v/>
      </c>
      <c r="Z98" s="247">
        <f>IFERROR(VLOOKUP(B98,Annuaire_roster!B:F,3,0),"-")</f>
        <v/>
      </c>
      <c r="AA98" s="247">
        <f>IFERROR(VLOOKUP(B98,Annuaire_roster!B:I,6,0),"-")</f>
        <v/>
      </c>
      <c r="AB98" s="248">
        <f>IF(AND(D98="Congé",F98="Congé"),0.333333333333333,IF(OR(AND(D98="Congé",F98&lt;&gt;"Congé"),(AND(F98="Congé",D98&lt;&gt;"Congé"))),0.166666666666667,""))</f>
        <v/>
      </c>
      <c r="AC98" s="248">
        <f>IF(AND(D98="Congé sans solde",F98="Congé sans solde"),0.333333333333333,IF(OR(AND(D98="Congé sans solde",F98&lt;&gt;"Congé sans solde"),(AND(F98="Congé sans solde",D98&lt;&gt;"Congé sans solde"))),0.166666666666667,""))</f>
        <v/>
      </c>
      <c r="AD98" s="248">
        <f>IF(AND(D98="Congé spécial",F98="Congé spécial"),0.333333333333333,IF(OR(AND(D98="Congé spécial",F98&lt;&gt;"Congé décès"),(AND(F98="Congé spécial",D98&lt;&gt;"Congé spécial"))),0.166666666666667,""))</f>
        <v/>
      </c>
      <c r="AE98" s="249">
        <f>IF(AND(D98="Férié",F98="Férié"),0.333333333333333,IF(OR(AND(D98="Férié",F98&lt;&gt;"Férié"),(AND(F98="Férié",D98&lt;&gt;"Férié"))),0.166666666666667,""))</f>
        <v/>
      </c>
      <c r="AF98" s="249" t="n"/>
      <c r="AG98" s="244" t="n"/>
    </row>
    <row r="99" hidden="1" ht="12.75" customHeight="1" s="231">
      <c r="A99" s="232">
        <f>VLOOKUP(B99,Annuaire_roster!B:F,5,0)</f>
        <v/>
      </c>
      <c r="B99" s="233" t="inlineStr">
        <is>
          <t>DIOUF OUSSMANE</t>
        </is>
      </c>
      <c r="C99" s="234">
        <f>IFERROR(IF(COUNTIFS(Connexions!$K:$K,$Q99,Connexions!$E:$E,VLOOKUP($B99,Mapping_Noms!$A:$B,2,0))=0,"",_xlfn.MINIFS(Connexions!$M:$M,Connexions!$K:$K,$Q99,Connexions!$E:$E,VLOOKUP($B99,Mapping_Noms!$A:$B,2,0))-TIME(1,0,0)),"")</f>
        <v/>
      </c>
      <c r="D99" s="234">
        <f t="array" ref="D99:D99">IFERROR(INDEX(Planning2[],MATCH(1,(Planning2[Nom]=B99)*(Planning2[Date]=Q99),0),3),"-")</f>
        <v/>
      </c>
      <c r="E99" s="235">
        <f>IFERROR(IF(COUNTIFS(Connexions!$K:$K,$Q99,Connexions!$E:$E,VLOOKUP($B99,Mapping_Noms!$A:$B,2,0))=0,"",_xlfn.MAXIFS(Connexions!$O:$O,Connexions!$K:$K,$Q99,Connexions!$E:$E,VLOOKUP($B99,Mapping_Noms!$A:$B,2,0))-TIME(1,0,0)),"")</f>
        <v/>
      </c>
      <c r="F99" s="235">
        <f t="array" ref="F99:F99">IFERROR(INDEX(Planning2[],MATCH(1,(Planning2[Nom]=B99)*(Planning2[Date]=Q99),0),4),"-")</f>
        <v/>
      </c>
      <c r="G99" s="405">
        <f>IFERROR(IF(OR(IFERROR(INDEX('Planning Pauses Dej'!$C:$C,MATCH($B99&amp;"|"&amp;TEXT($Q99,"YYYYMMDD"),'Planning Pauses Dej'!$F:$F,0)),"")="",IFERROR(INDEX('Planning Pauses Dej'!$D:$D,MATCH($B99&amp;"|"&amp;TEXT($Q99,"YYYYMMDD"),'Planning Pauses Dej'!$F:$F,0)),"")=""),"",_xlfn.MAXIFS(Connexions!$Q:$Q,Connexions!$K:$K,$Q99,Connexions!$E:$E,VLOOKUP($B99,Mapping_Noms!$A:$B,2,0),Connexions!$O:$O,"&lt;="&amp;(IFERROR(INDEX('Planning Pauses Dej'!$D:$D,MATCH($B99&amp;"|"&amp;TEXT($Q99,"YYYYMMDD"),'Planning Pauses Dej'!$F:$F,0)),"")+TIME(1,0,0)),Connexions!$P:$P,"&gt;="&amp;(IFERROR(INDEX('Planning Pauses Dej'!$C:$C,MATCH($B99&amp;"|"&amp;TEXT($Q99,"YYYYMMDD"),'Planning Pauses Dej'!$F:$F,0)),"")+TIME(1,0,0)))),"")</f>
        <v/>
      </c>
      <c r="H99" s="405">
        <f>IFERROR(IF(OR($G99="",IFERROR(INDEX('Planning Pauses Dej'!$C:$C,MATCH($B99&amp;"|"&amp;TEXT($Q99,"YYYYMMDD"),'Planning Pauses Dej'!$F:$F,0)),"")="",IFERROR(INDEX('Planning Pauses Dej'!$D:$D,MATCH($B99&amp;"|"&amp;TEXT($Q99,"YYYYMMDD"),'Planning Pauses Dej'!$F:$F,0)),"")=""),"",IF($G99&gt;(IFERROR(INDEX('Planning Pauses Dej'!$D:$D,MATCH($B99&amp;"|"&amp;TEXT($Q99,"YYYYMMDD"),'Planning Pauses Dej'!$F:$F,0)),"")-IFERROR(INDEX('Planning Pauses Dej'!$C:$C,MATCH($B99&amp;"|"&amp;TEXT($Q99,"YYYYMMDD"),'Planning Pauses Dej'!$F:$F,0)),"")),$G99-(IFERROR(INDEX('Planning Pauses Dej'!$D:$D,MATCH($B99&amp;"|"&amp;TEXT($Q99,"YYYYMMDD"),'Planning Pauses Dej'!$F:$F,0)),"")-IFERROR(INDEX('Planning Pauses Dej'!$C:$C,MATCH($B99&amp;"|"&amp;TEXT($Q99,"YYYYMMDD"),'Planning Pauses Dej'!$F:$F,0)),"")),0)),"")</f>
        <v/>
      </c>
      <c r="I99" s="251">
        <f>IF(IF(OR(C99="",D99="Congé",D99="OFF",D99="Congé spécial"),"",IF(D99&gt;F99,D99-C99,IF(C99-D99&lt;0,0,C99-D99)))&lt;0.00068287037037037,"",IF(OR(D99="Congé",D99="OFF",C99="",D99="Congé spécial"),"",IF(D99&gt;F99,D99-C99,IF(C99-D99&lt;0,0,C99-D99))))</f>
        <v/>
      </c>
      <c r="J99" s="405">
        <f>IFERROR(IF($G99="","",IF($G99&gt;TIME(1,0,0),$G99-TIME(1,0,0),0)),"")</f>
        <v/>
      </c>
      <c r="K99" s="238">
        <f>IF(SUM(H99:J99)&lt;0.00068287037037037,0,SUM(H99:J99))</f>
        <v/>
      </c>
      <c r="L99" s="236">
        <f>IF(OR(F99="Congé",F99="OFF",M99="Abs",F99="Congé sans solde",F99="Férié",F99="Congé spécial",D99="Congé spécial"),0,IF(F99-E99&lt;0,0,IF(F99-E99&lt;=0.00068287037037037,0,F99-E99)))</f>
        <v/>
      </c>
      <c r="M99" s="239">
        <f>IF(AND(O99&lt;&gt;0,C99=""),"Abs",0)</f>
        <v/>
      </c>
      <c r="N99" s="240">
        <f>IFERROR(IF(OR(D99="OFF",D99="Congé",M99="Abs",D99="Congé sans solde",D99="Férié"),"",IF(O99-K99-L99&gt;O99,O99,IF(O99-K99-L99&lt;0,"",O99-K99-L99))),"")</f>
        <v/>
      </c>
      <c r="O99" s="241">
        <f>IF(AG99="2H Pause déjeuner",IF(F99-D99-0.0833333333333333&lt;0,F99-D99-0.0833333333333333+1,F99-D99-0.0833333333333333),IF(OR(AND(F99="OFF",D99="OFF"),AND(F99="Congé",D99="Congé"),AND(F99="Congé sans solde",D99="Congé sans solde"),AND(F99="Congé spécial",D99="Congé spécial"),AND(F99="Férié",D99="Férié"),AND(F99="OFF",D99="Congé"),AND(F99="OFF",D99="Congé sans solde"),AND(F99="OFF",D99="Congé spécial"),AND(F99="OFF",D99="Férié"),AND(F99="Congé",D99="OFF"),AND(F99="Congé",D99="Congé sans solde"),AND(F99="Congé",D99="Congé spécial"),AND(F99="Congé",D99="Férié"),AND(F99="Congé sans solde",D99="OFF"),AND(F99="Congé sans solde",D99="Congé"),AND(F99="Congé sans solde",D99="Congé spécial"),AND(F99="Congé sans solde",D99="Férié"),AND(F99="Congé spécial",D99="OFF"),AND(F99="Congé spécial",D99="Congé"),AND(F99="Congé spécial",D99="Congé sans solde"),AND(F99="Congé spécial",D99="Férié"),AND(F99="Férié",D99="OFF"),AND(F99="Férié",D99="Congé"),AND(F99="Férié",D99="Congé sans solde"),AND(F99="Férié",D99="Congé spécial")),0,IF(OR(F99="OFF",F99="Congé",F99="Congé spécial",F99="Congé sans solde",D99="OFF",D99="Congé",D99="Congé spécial",D99="Congé sans solde"),0.208333333333334,IF(AND(AG99="",F99-D99&lt;0),("24:00:00"-D99)+("00:00:00"+F99)-0.0416666666666667,IF(AND(OR(AG99="Allaitement",AG99="Sans déjeuner"),F99-D99&lt;0),("24:00:00"-D99)+("00:00:00"+F99),IF(AND(AG99="",F99-D99&gt;0.166666666666667),F99-D99-0.0416666666666667,IF(AND(OR(AG99="Allaitement",AG99="Sans déjeuner"),F99-D99&gt;0.166666666666667),F99-D99,F99-D99)))))))</f>
        <v/>
      </c>
      <c r="P99" s="242">
        <f>IFERROR(VLOOKUP($B99,Annuaire_roster!$B:$G,MATCH(P$1,Annuaire_roster!$B$1:$G$1,0),0),"-")</f>
        <v/>
      </c>
      <c r="Q99" s="243" t="n">
        <v>44764</v>
      </c>
      <c r="R99" s="244">
        <f>IF(M99="Abs",O99,0)</f>
        <v/>
      </c>
      <c r="S99" s="244">
        <f>SUM(R99,L99,I99,J99,W99,H99)</f>
        <v/>
      </c>
      <c r="T99" s="209">
        <f>"Sem - "&amp;WEEKNUM(Q99,21)</f>
        <v/>
      </c>
      <c r="U99" s="209">
        <f>PROPER(TEXT(Q99,"mmmm"))</f>
        <v/>
      </c>
      <c r="V99" s="245">
        <f>+TEXT(Q99,"aaa")</f>
        <v/>
      </c>
      <c r="W99" s="240" t="n"/>
      <c r="X99" s="246">
        <f>IFERROR(IF(M99="Abs",0,IF((D99-C99+E99-F99)&lt;0.000694444444444444,0,(D99-C99+E99-F99))),0)</f>
        <v/>
      </c>
      <c r="Y99" s="247">
        <f>IFERROR(VLOOKUP(B99,Annuaire_roster!B:E,4,0),"-")</f>
        <v/>
      </c>
      <c r="Z99" s="247">
        <f>IFERROR(VLOOKUP(B99,Annuaire_roster!B:F,3,0),"-")</f>
        <v/>
      </c>
      <c r="AA99" s="247">
        <f>IFERROR(VLOOKUP(B99,Annuaire_roster!B:I,6,0),"-")</f>
        <v/>
      </c>
      <c r="AB99" s="248">
        <f>IF(AND(D99="Congé",F99="Congé"),0.333333333333333,IF(OR(AND(D99="Congé",F99&lt;&gt;"Congé"),(AND(F99="Congé",D99&lt;&gt;"Congé"))),0.166666666666667,""))</f>
        <v/>
      </c>
      <c r="AC99" s="248">
        <f>IF(AND(D99="Congé sans solde",F99="Congé sans solde"),0.333333333333333,IF(OR(AND(D99="Congé sans solde",F99&lt;&gt;"Congé sans solde"),(AND(F99="Congé sans solde",D99&lt;&gt;"Congé sans solde"))),0.166666666666667,""))</f>
        <v/>
      </c>
      <c r="AD99" s="248">
        <f>IF(AND(D99="Congé spécial",F99="Congé spécial"),0.333333333333333,IF(OR(AND(D99="Congé spécial",F99&lt;&gt;"Congé décès"),(AND(F99="Congé spécial",D99&lt;&gt;"Congé spécial"))),0.166666666666667,""))</f>
        <v/>
      </c>
      <c r="AE99" s="249">
        <f>IF(AND(D99="Férié",F99="Férié"),0.333333333333333,IF(OR(AND(D99="Férié",F99&lt;&gt;"Férié"),(AND(F99="Férié",D99&lt;&gt;"Férié"))),0.166666666666667,""))</f>
        <v/>
      </c>
      <c r="AF99" s="249" t="n"/>
      <c r="AG99" s="244" t="n"/>
    </row>
    <row r="100" hidden="1" ht="12.75" customHeight="1" s="231">
      <c r="A100" s="232">
        <f>VLOOKUP(B100,Annuaire_roster!B:F,5,0)</f>
        <v/>
      </c>
      <c r="B100" s="233" t="inlineStr">
        <is>
          <t>AZHARI ABDELHAMID</t>
        </is>
      </c>
      <c r="C100" s="234">
        <f>IFERROR(IF(COUNTIFS(Connexions!$K:$K,$Q100,Connexions!$E:$E,VLOOKUP($B100,Mapping_Noms!$A:$B,2,0))=0,"",_xlfn.MINIFS(Connexions!$M:$M,Connexions!$K:$K,$Q100,Connexions!$E:$E,VLOOKUP($B100,Mapping_Noms!$A:$B,2,0))-TIME(1,0,0)),"")</f>
        <v/>
      </c>
      <c r="D100" s="234">
        <f t="array" ref="D100:D100">IFERROR(INDEX(Planning2[],MATCH(1,(Planning2[Nom]=B100)*(Planning2[Date]=Q100),0),3),"-")</f>
        <v/>
      </c>
      <c r="E100" s="235">
        <f>IFERROR(IF(COUNTIFS(Connexions!$K:$K,$Q100,Connexions!$E:$E,VLOOKUP($B100,Mapping_Noms!$A:$B,2,0))=0,"",_xlfn.MAXIFS(Connexions!$O:$O,Connexions!$K:$K,$Q100,Connexions!$E:$E,VLOOKUP($B100,Mapping_Noms!$A:$B,2,0))-TIME(1,0,0)),"")</f>
        <v/>
      </c>
      <c r="F100" s="235">
        <f t="array" ref="F100:F100">IFERROR(INDEX(Planning2[],MATCH(1,(Planning2[Nom]=B100)*(Planning2[Date]=Q100),0),4),"-")</f>
        <v/>
      </c>
      <c r="G100" s="405">
        <f>IFERROR(IF(OR(IFERROR(INDEX('Planning Pauses Dej'!$C:$C,MATCH($B100&amp;"|"&amp;TEXT($Q100,"YYYYMMDD"),'Planning Pauses Dej'!$F:$F,0)),"")="",IFERROR(INDEX('Planning Pauses Dej'!$D:$D,MATCH($B100&amp;"|"&amp;TEXT($Q100,"YYYYMMDD"),'Planning Pauses Dej'!$F:$F,0)),"")=""),"",_xlfn.MAXIFS(Connexions!$Q:$Q,Connexions!$K:$K,$Q100,Connexions!$E:$E,VLOOKUP($B100,Mapping_Noms!$A:$B,2,0),Connexions!$O:$O,"&lt;="&amp;(IFERROR(INDEX('Planning Pauses Dej'!$D:$D,MATCH($B100&amp;"|"&amp;TEXT($Q100,"YYYYMMDD"),'Planning Pauses Dej'!$F:$F,0)),"")+TIME(1,0,0)),Connexions!$P:$P,"&gt;="&amp;(IFERROR(INDEX('Planning Pauses Dej'!$C:$C,MATCH($B100&amp;"|"&amp;TEXT($Q100,"YYYYMMDD"),'Planning Pauses Dej'!$F:$F,0)),"")+TIME(1,0,0)))),"")</f>
        <v/>
      </c>
      <c r="H100" s="405">
        <f>IFERROR(IF(OR($G100="",IFERROR(INDEX('Planning Pauses Dej'!$C:$C,MATCH($B100&amp;"|"&amp;TEXT($Q100,"YYYYMMDD"),'Planning Pauses Dej'!$F:$F,0)),"")="",IFERROR(INDEX('Planning Pauses Dej'!$D:$D,MATCH($B100&amp;"|"&amp;TEXT($Q100,"YYYYMMDD"),'Planning Pauses Dej'!$F:$F,0)),"")=""),"",IF($G100&gt;(IFERROR(INDEX('Planning Pauses Dej'!$D:$D,MATCH($B100&amp;"|"&amp;TEXT($Q100,"YYYYMMDD"),'Planning Pauses Dej'!$F:$F,0)),"")-IFERROR(INDEX('Planning Pauses Dej'!$C:$C,MATCH($B100&amp;"|"&amp;TEXT($Q100,"YYYYMMDD"),'Planning Pauses Dej'!$F:$F,0)),"")),$G100-(IFERROR(INDEX('Planning Pauses Dej'!$D:$D,MATCH($B100&amp;"|"&amp;TEXT($Q100,"YYYYMMDD"),'Planning Pauses Dej'!$F:$F,0)),"")-IFERROR(INDEX('Planning Pauses Dej'!$C:$C,MATCH($B100&amp;"|"&amp;TEXT($Q100,"YYYYMMDD"),'Planning Pauses Dej'!$F:$F,0)),"")),0)),"")</f>
        <v/>
      </c>
      <c r="I100" s="251">
        <f>IF(IF(OR(C100="",D100="Congé",D100="OFF",D100="Congé spécial"),"",IF(D100&gt;F100,D100-C100,IF(C100-D100&lt;0,0,C100-D100)))&lt;0.00068287037037037,"",IF(OR(D100="Congé",D100="OFF",C100="",D100="Congé spécial"),"",IF(D100&gt;F100,D100-C100,IF(C100-D100&lt;0,0,C100-D100))))</f>
        <v/>
      </c>
      <c r="J100" s="405">
        <f>IFERROR(IF($G100="","",IF($G100&gt;TIME(1,0,0),$G100-TIME(1,0,0),0)),"")</f>
        <v/>
      </c>
      <c r="K100" s="238">
        <f>IF(SUM(H100:J100)&lt;0.00068287037037037,0,SUM(H100:J100))</f>
        <v/>
      </c>
      <c r="L100" s="236">
        <f>IF(OR(F100="Congé",F100="OFF",M100="Abs",F100="Congé sans solde",F100="Férié",F100="Congé spécial",D100="Congé spécial"),0,IF(F100-E100&lt;0,0,IF(F100-E100&lt;=0.00068287037037037,0,F100-E100)))</f>
        <v/>
      </c>
      <c r="M100" s="239">
        <f>IF(AND(O100&lt;&gt;0,C100=""),"Abs",0)</f>
        <v/>
      </c>
      <c r="N100" s="240">
        <f>IFERROR(IF(OR(D100="OFF",D100="Congé",M100="Abs",D100="Congé sans solde",D100="Férié"),"",IF(O100-K100-L100&gt;O100,O100,IF(O100-K100-L100&lt;0,"",O100-K100-L100))),"")</f>
        <v/>
      </c>
      <c r="O100" s="241">
        <f>IF(AG100="2H Pause déjeuner",IF(F100-D100-0.0833333333333333&lt;0,F100-D100-0.0833333333333333+1,F100-D100-0.0833333333333333),IF(OR(AND(F100="OFF",D100="OFF"),AND(F100="Congé",D100="Congé"),AND(F100="Congé sans solde",D100="Congé sans solde"),AND(F100="Congé spécial",D100="Congé spécial"),AND(F100="Férié",D100="Férié"),AND(F100="OFF",D100="Congé"),AND(F100="OFF",D100="Congé sans solde"),AND(F100="OFF",D100="Congé spécial"),AND(F100="OFF",D100="Férié"),AND(F100="Congé",D100="OFF"),AND(F100="Congé",D100="Congé sans solde"),AND(F100="Congé",D100="Congé spécial"),AND(F100="Congé",D100="Férié"),AND(F100="Congé sans solde",D100="OFF"),AND(F100="Congé sans solde",D100="Congé"),AND(F100="Congé sans solde",D100="Congé spécial"),AND(F100="Congé sans solde",D100="Férié"),AND(F100="Congé spécial",D100="OFF"),AND(F100="Congé spécial",D100="Congé"),AND(F100="Congé spécial",D100="Congé sans solde"),AND(F100="Congé spécial",D100="Férié"),AND(F100="Férié",D100="OFF"),AND(F100="Férié",D100="Congé"),AND(F100="Férié",D100="Congé sans solde"),AND(F100="Férié",D100="Congé spécial")),0,IF(OR(F100="OFF",F100="Congé",F100="Congé spécial",F100="Congé sans solde",D100="OFF",D100="Congé",D100="Congé spécial",D100="Congé sans solde"),0.208333333333334,IF(AND(AG100="",F100-D100&lt;0),("24:00:00"-D100)+("00:00:00"+F100)-0.0416666666666667,IF(AND(OR(AG100="Allaitement",AG100="Sans déjeuner"),F100-D100&lt;0),("24:00:00"-D100)+("00:00:00"+F100),IF(AND(AG100="",F100-D100&gt;0.166666666666667),F100-D100-0.0416666666666667,IF(AND(OR(AG100="Allaitement",AG100="Sans déjeuner"),F100-D100&gt;0.166666666666667),F100-D100,F100-D100)))))))</f>
        <v/>
      </c>
      <c r="P100" s="242">
        <f>IFERROR(VLOOKUP($B100,Annuaire_roster!$B:$G,MATCH(P$1,Annuaire_roster!$B$1:$G$1,0),0),"-")</f>
        <v/>
      </c>
      <c r="Q100" s="243" t="n">
        <v>44764</v>
      </c>
      <c r="R100" s="244">
        <f>IF(M100="Abs",O100,0)</f>
        <v/>
      </c>
      <c r="S100" s="244">
        <f>SUM(R100,L100,I100,J100,W100,H100)</f>
        <v/>
      </c>
      <c r="T100" s="209">
        <f>"Sem - "&amp;WEEKNUM(Q100,21)</f>
        <v/>
      </c>
      <c r="U100" s="209">
        <f>PROPER(TEXT(Q100,"mmmm"))</f>
        <v/>
      </c>
      <c r="V100" s="245">
        <f>+TEXT(Q100,"aaa")</f>
        <v/>
      </c>
      <c r="W100" s="240" t="n"/>
      <c r="X100" s="246">
        <f>IFERROR(IF(M100="Abs",0,IF((D100-C100+E100-F100)&lt;0.000694444444444444,0,(D100-C100+E100-F100))),0)</f>
        <v/>
      </c>
      <c r="Y100" s="247">
        <f>IFERROR(VLOOKUP(B100,Annuaire_roster!B:E,4,0),"-")</f>
        <v/>
      </c>
      <c r="Z100" s="247">
        <f>IFERROR(VLOOKUP(B100,Annuaire_roster!B:F,3,0),"-")</f>
        <v/>
      </c>
      <c r="AA100" s="247">
        <f>IFERROR(VLOOKUP(B100,Annuaire_roster!B:I,6,0),"-")</f>
        <v/>
      </c>
      <c r="AB100" s="248">
        <f>IF(AND(D100="Congé",F100="Congé"),0.333333333333333,IF(OR(AND(D100="Congé",F100&lt;&gt;"Congé"),(AND(F100="Congé",D100&lt;&gt;"Congé"))),0.166666666666667,""))</f>
        <v/>
      </c>
      <c r="AC100" s="248">
        <f>IF(AND(D100="Congé sans solde",F100="Congé sans solde"),0.333333333333333,IF(OR(AND(D100="Congé sans solde",F100&lt;&gt;"Congé sans solde"),(AND(F100="Congé sans solde",D100&lt;&gt;"Congé sans solde"))),0.166666666666667,""))</f>
        <v/>
      </c>
      <c r="AD100" s="248">
        <f>IF(AND(D100="Congé spécial",F100="Congé spécial"),0.333333333333333,IF(OR(AND(D100="Congé spécial",F100&lt;&gt;"Congé décès"),(AND(F100="Congé spécial",D100&lt;&gt;"Congé spécial"))),0.166666666666667,""))</f>
        <v/>
      </c>
      <c r="AE100" s="249">
        <f>IF(AND(D100="Férié",F100="Férié"),0.333333333333333,IF(OR(AND(D100="Férié",F100&lt;&gt;"Férié"),(AND(F100="Férié",D100&lt;&gt;"Férié"))),0.166666666666667,""))</f>
        <v/>
      </c>
      <c r="AF100" s="249" t="n"/>
      <c r="AG100" s="248" t="n"/>
    </row>
    <row r="101" hidden="1" ht="12.75" customHeight="1" s="231">
      <c r="A101" s="232">
        <f>VLOOKUP(B101,Annuaire_roster!B:F,5,0)</f>
        <v/>
      </c>
      <c r="B101" s="233" t="inlineStr">
        <is>
          <t>SIDIBE MOUSKEBA DALAFINA</t>
        </is>
      </c>
      <c r="C101" s="234">
        <f>IFERROR(IF(COUNTIFS(Connexions!$K:$K,$Q101,Connexions!$E:$E,VLOOKUP($B101,Mapping_Noms!$A:$B,2,0))=0,"",_xlfn.MINIFS(Connexions!$M:$M,Connexions!$K:$K,$Q101,Connexions!$E:$E,VLOOKUP($B101,Mapping_Noms!$A:$B,2,0))-TIME(1,0,0)),"")</f>
        <v/>
      </c>
      <c r="D101" s="234">
        <f t="array" ref="D101:D101">IFERROR(INDEX(Planning2[],MATCH(1,(Planning2[Nom]=B101)*(Planning2[Date]=Q101),0),3),"-")</f>
        <v/>
      </c>
      <c r="E101" s="235">
        <f>IFERROR(IF(COUNTIFS(Connexions!$K:$K,$Q101,Connexions!$E:$E,VLOOKUP($B101,Mapping_Noms!$A:$B,2,0))=0,"",_xlfn.MAXIFS(Connexions!$O:$O,Connexions!$K:$K,$Q101,Connexions!$E:$E,VLOOKUP($B101,Mapping_Noms!$A:$B,2,0))-TIME(1,0,0)),"")</f>
        <v/>
      </c>
      <c r="F101" s="235">
        <f t="array" ref="F101:F101">IFERROR(INDEX(Planning2[],MATCH(1,(Planning2[Nom]=B101)*(Planning2[Date]=Q101),0),4),"-")</f>
        <v/>
      </c>
      <c r="G101" s="405">
        <f>IFERROR(IF(OR(IFERROR(INDEX('Planning Pauses Dej'!$C:$C,MATCH($B101&amp;"|"&amp;TEXT($Q101,"YYYYMMDD"),'Planning Pauses Dej'!$F:$F,0)),"")="",IFERROR(INDEX('Planning Pauses Dej'!$D:$D,MATCH($B101&amp;"|"&amp;TEXT($Q101,"YYYYMMDD"),'Planning Pauses Dej'!$F:$F,0)),"")=""),"",_xlfn.MAXIFS(Connexions!$Q:$Q,Connexions!$K:$K,$Q101,Connexions!$E:$E,VLOOKUP($B101,Mapping_Noms!$A:$B,2,0),Connexions!$O:$O,"&lt;="&amp;(IFERROR(INDEX('Planning Pauses Dej'!$D:$D,MATCH($B101&amp;"|"&amp;TEXT($Q101,"YYYYMMDD"),'Planning Pauses Dej'!$F:$F,0)),"")+TIME(1,0,0)),Connexions!$P:$P,"&gt;="&amp;(IFERROR(INDEX('Planning Pauses Dej'!$C:$C,MATCH($B101&amp;"|"&amp;TEXT($Q101,"YYYYMMDD"),'Planning Pauses Dej'!$F:$F,0)),"")+TIME(1,0,0)))),"")</f>
        <v/>
      </c>
      <c r="H101" s="405">
        <f>IFERROR(IF(OR($G101="",IFERROR(INDEX('Planning Pauses Dej'!$C:$C,MATCH($B101&amp;"|"&amp;TEXT($Q101,"YYYYMMDD"),'Planning Pauses Dej'!$F:$F,0)),"")="",IFERROR(INDEX('Planning Pauses Dej'!$D:$D,MATCH($B101&amp;"|"&amp;TEXT($Q101,"YYYYMMDD"),'Planning Pauses Dej'!$F:$F,0)),"")=""),"",IF($G101&gt;(IFERROR(INDEX('Planning Pauses Dej'!$D:$D,MATCH($B101&amp;"|"&amp;TEXT($Q101,"YYYYMMDD"),'Planning Pauses Dej'!$F:$F,0)),"")-IFERROR(INDEX('Planning Pauses Dej'!$C:$C,MATCH($B101&amp;"|"&amp;TEXT($Q101,"YYYYMMDD"),'Planning Pauses Dej'!$F:$F,0)),"")),$G101-(IFERROR(INDEX('Planning Pauses Dej'!$D:$D,MATCH($B101&amp;"|"&amp;TEXT($Q101,"YYYYMMDD"),'Planning Pauses Dej'!$F:$F,0)),"")-IFERROR(INDEX('Planning Pauses Dej'!$C:$C,MATCH($B101&amp;"|"&amp;TEXT($Q101,"YYYYMMDD"),'Planning Pauses Dej'!$F:$F,0)),"")),0)),"")</f>
        <v/>
      </c>
      <c r="I101" s="251">
        <f>IF(IF(OR(C101="",D101="Congé",D101="OFF",D101="Congé spécial"),"",IF(D101&gt;F101,D101-C101,IF(C101-D101&lt;0,0,C101-D101)))&lt;0.00068287037037037,"",IF(OR(D101="Congé",D101="OFF",C101="",D101="Congé spécial"),"",IF(D101&gt;F101,D101-C101,IF(C101-D101&lt;0,0,C101-D101))))</f>
        <v/>
      </c>
      <c r="J101" s="405">
        <f>IFERROR(IF($G101="","",IF($G101&gt;TIME(1,0,0),$G101-TIME(1,0,0),0)),"")</f>
        <v/>
      </c>
      <c r="K101" s="238">
        <f>IF(SUM(H101:J101)&lt;0.00068287037037037,0,SUM(H101:J101))</f>
        <v/>
      </c>
      <c r="L101" s="236">
        <f>IF(OR(F101="Congé",F101="OFF",M101="Abs",F101="Congé sans solde",F101="Férié",F101="Congé spécial",D101="Congé spécial"),0,IF(F101-E101&lt;0,0,IF(F101-E101&lt;=0.00068287037037037,0,F101-E101)))</f>
        <v/>
      </c>
      <c r="M101" s="239">
        <f>IF(AND(O101&lt;&gt;0,C101=""),"Abs",0)</f>
        <v/>
      </c>
      <c r="N101" s="240">
        <f>IFERROR(IF(OR(D101="OFF",D101="Congé",M101="Abs",D101="Congé sans solde",D101="Férié"),"",IF(O101-K101-L101&gt;O101,O101,IF(O101-K101-L101&lt;0,"",O101-K101-L101))),"")</f>
        <v/>
      </c>
      <c r="O101" s="241">
        <f>IF(AG101="2H Pause déjeuner",IF(F101-D101-0.0833333333333333&lt;0,F101-D101-0.0833333333333333+1,F101-D101-0.0833333333333333),IF(OR(AND(F101="OFF",D101="OFF"),AND(F101="Congé",D101="Congé"),AND(F101="Congé sans solde",D101="Congé sans solde"),AND(F101="Congé spécial",D101="Congé spécial"),AND(F101="Férié",D101="Férié"),AND(F101="OFF",D101="Congé"),AND(F101="OFF",D101="Congé sans solde"),AND(F101="OFF",D101="Congé spécial"),AND(F101="OFF",D101="Férié"),AND(F101="Congé",D101="OFF"),AND(F101="Congé",D101="Congé sans solde"),AND(F101="Congé",D101="Congé spécial"),AND(F101="Congé",D101="Férié"),AND(F101="Congé sans solde",D101="OFF"),AND(F101="Congé sans solde",D101="Congé"),AND(F101="Congé sans solde",D101="Congé spécial"),AND(F101="Congé sans solde",D101="Férié"),AND(F101="Congé spécial",D101="OFF"),AND(F101="Congé spécial",D101="Congé"),AND(F101="Congé spécial",D101="Congé sans solde"),AND(F101="Congé spécial",D101="Férié"),AND(F101="Férié",D101="OFF"),AND(F101="Férié",D101="Congé"),AND(F101="Férié",D101="Congé sans solde"),AND(F101="Férié",D101="Congé spécial")),0,IF(OR(F101="OFF",F101="Congé",F101="Congé spécial",F101="Congé sans solde",D101="OFF",D101="Congé",D101="Congé spécial",D101="Congé sans solde"),0.208333333333334,IF(AND(AG101="",F101-D101&lt;0),("24:00:00"-D101)+("00:00:00"+F101)-0.0416666666666667,IF(AND(OR(AG101="Allaitement",AG101="Sans déjeuner"),F101-D101&lt;0),("24:00:00"-D101)+("00:00:00"+F101),IF(AND(AG101="",F101-D101&gt;0.166666666666667),F101-D101-0.0416666666666667,IF(AND(OR(AG101="Allaitement",AG101="Sans déjeuner"),F101-D101&gt;0.166666666666667),F101-D101,F101-D101)))))))</f>
        <v/>
      </c>
      <c r="P101" s="242">
        <f>IFERROR(VLOOKUP($B101,Annuaire_roster!$B:$G,MATCH(P$1,Annuaire_roster!$B$1:$G$1,0),0),"-")</f>
        <v/>
      </c>
      <c r="Q101" s="243" t="n">
        <v>44764</v>
      </c>
      <c r="R101" s="244">
        <f>IF(M101="Abs",O101,0)</f>
        <v/>
      </c>
      <c r="S101" s="244">
        <f>SUM(R101,L101,I101,J101,W101,H101)</f>
        <v/>
      </c>
      <c r="T101" s="209">
        <f>"Sem - "&amp;WEEKNUM(Q101,21)</f>
        <v/>
      </c>
      <c r="U101" s="209">
        <f>PROPER(TEXT(Q101,"mmmm"))</f>
        <v/>
      </c>
      <c r="V101" s="245">
        <f>+TEXT(Q101,"aaa")</f>
        <v/>
      </c>
      <c r="W101" s="240" t="n"/>
      <c r="X101" s="246">
        <f>IFERROR(IF(M101="Abs",0,IF((D101-C101+E101-F101)&lt;0.000694444444444444,0,(D101-C101+E101-F101))),0)</f>
        <v/>
      </c>
      <c r="Y101" s="247">
        <f>IFERROR(VLOOKUP(B101,Annuaire_roster!B:E,4,0),"-")</f>
        <v/>
      </c>
      <c r="Z101" s="247">
        <f>IFERROR(VLOOKUP(B101,Annuaire_roster!B:F,3,0),"-")</f>
        <v/>
      </c>
      <c r="AA101" s="247">
        <f>IFERROR(VLOOKUP(B101,Annuaire_roster!B:I,6,0),"-")</f>
        <v/>
      </c>
      <c r="AB101" s="248">
        <f>IF(AND(D101="Congé",F101="Congé"),0.333333333333333,IF(OR(AND(D101="Congé",F101&lt;&gt;"Congé"),(AND(F101="Congé",D101&lt;&gt;"Congé"))),0.166666666666667,""))</f>
        <v/>
      </c>
      <c r="AC101" s="248">
        <f>IF(AND(D101="Congé sans solde",F101="Congé sans solde"),0.333333333333333,IF(OR(AND(D101="Congé sans solde",F101&lt;&gt;"Congé sans solde"),(AND(F101="Congé sans solde",D101&lt;&gt;"Congé sans solde"))),0.166666666666667,""))</f>
        <v/>
      </c>
      <c r="AD101" s="248">
        <f>IF(AND(D101="Congé spécial",F101="Congé spécial"),0.333333333333333,IF(OR(AND(D101="Congé spécial",F101&lt;&gt;"Congé décès"),(AND(F101="Congé spécial",D101&lt;&gt;"Congé spécial"))),0.166666666666667,""))</f>
        <v/>
      </c>
      <c r="AE101" s="249">
        <f>IF(AND(D101="Férié",F101="Férié"),0.333333333333333,IF(OR(AND(D101="Férié",F101&lt;&gt;"Férié"),(AND(F101="Férié",D101&lt;&gt;"Férié"))),0.166666666666667,""))</f>
        <v/>
      </c>
      <c r="AF101" s="249" t="n"/>
      <c r="AG101" s="244" t="n"/>
    </row>
    <row r="102" hidden="1" ht="12.75" customHeight="1" s="231">
      <c r="A102" s="232">
        <f>VLOOKUP(B102,Annuaire_roster!B:F,5,0)</f>
        <v/>
      </c>
      <c r="B102" s="233" t="inlineStr">
        <is>
          <t>BOULHROUD SALMA</t>
        </is>
      </c>
      <c r="C102" s="234">
        <f>IFERROR(IF(COUNTIFS(Connexions!$K:$K,$Q102,Connexions!$E:$E,VLOOKUP($B102,Mapping_Noms!$A:$B,2,0))=0,"",_xlfn.MINIFS(Connexions!$M:$M,Connexions!$K:$K,$Q102,Connexions!$E:$E,VLOOKUP($B102,Mapping_Noms!$A:$B,2,0))-TIME(1,0,0)),"")</f>
        <v/>
      </c>
      <c r="D102" s="234">
        <f t="array" ref="D102:D102">IFERROR(INDEX(Planning2[],MATCH(1,(Planning2[Nom]=B102)*(Planning2[Date]=Q102),0),3),"-")</f>
        <v/>
      </c>
      <c r="E102" s="235">
        <f>IFERROR(IF(COUNTIFS(Connexions!$K:$K,$Q102,Connexions!$E:$E,VLOOKUP($B102,Mapping_Noms!$A:$B,2,0))=0,"",_xlfn.MAXIFS(Connexions!$O:$O,Connexions!$K:$K,$Q102,Connexions!$E:$E,VLOOKUP($B102,Mapping_Noms!$A:$B,2,0))-TIME(1,0,0)),"")</f>
        <v/>
      </c>
      <c r="F102" s="235">
        <f t="array" ref="F102:F102">IFERROR(INDEX(Planning2[],MATCH(1,(Planning2[Nom]=B102)*(Planning2[Date]=Q102),0),4),"-")</f>
        <v/>
      </c>
      <c r="G102" s="405">
        <f>IFERROR(IF(OR(IFERROR(INDEX('Planning Pauses Dej'!$C:$C,MATCH($B102&amp;"|"&amp;TEXT($Q102,"YYYYMMDD"),'Planning Pauses Dej'!$F:$F,0)),"")="",IFERROR(INDEX('Planning Pauses Dej'!$D:$D,MATCH($B102&amp;"|"&amp;TEXT($Q102,"YYYYMMDD"),'Planning Pauses Dej'!$F:$F,0)),"")=""),"",_xlfn.MAXIFS(Connexions!$Q:$Q,Connexions!$K:$K,$Q102,Connexions!$E:$E,VLOOKUP($B102,Mapping_Noms!$A:$B,2,0),Connexions!$O:$O,"&lt;="&amp;(IFERROR(INDEX('Planning Pauses Dej'!$D:$D,MATCH($B102&amp;"|"&amp;TEXT($Q102,"YYYYMMDD"),'Planning Pauses Dej'!$F:$F,0)),"")+TIME(1,0,0)),Connexions!$P:$P,"&gt;="&amp;(IFERROR(INDEX('Planning Pauses Dej'!$C:$C,MATCH($B102&amp;"|"&amp;TEXT($Q102,"YYYYMMDD"),'Planning Pauses Dej'!$F:$F,0)),"")+TIME(1,0,0)))),"")</f>
        <v/>
      </c>
      <c r="H102" s="405">
        <f>IFERROR(IF(OR($G102="",IFERROR(INDEX('Planning Pauses Dej'!$C:$C,MATCH($B102&amp;"|"&amp;TEXT($Q102,"YYYYMMDD"),'Planning Pauses Dej'!$F:$F,0)),"")="",IFERROR(INDEX('Planning Pauses Dej'!$D:$D,MATCH($B102&amp;"|"&amp;TEXT($Q102,"YYYYMMDD"),'Planning Pauses Dej'!$F:$F,0)),"")=""),"",IF($G102&gt;(IFERROR(INDEX('Planning Pauses Dej'!$D:$D,MATCH($B102&amp;"|"&amp;TEXT($Q102,"YYYYMMDD"),'Planning Pauses Dej'!$F:$F,0)),"")-IFERROR(INDEX('Planning Pauses Dej'!$C:$C,MATCH($B102&amp;"|"&amp;TEXT($Q102,"YYYYMMDD"),'Planning Pauses Dej'!$F:$F,0)),"")),$G102-(IFERROR(INDEX('Planning Pauses Dej'!$D:$D,MATCH($B102&amp;"|"&amp;TEXT($Q102,"YYYYMMDD"),'Planning Pauses Dej'!$F:$F,0)),"")-IFERROR(INDEX('Planning Pauses Dej'!$C:$C,MATCH($B102&amp;"|"&amp;TEXT($Q102,"YYYYMMDD"),'Planning Pauses Dej'!$F:$F,0)),"")),0)),"")</f>
        <v/>
      </c>
      <c r="I102" s="251">
        <f>IF(IF(OR(C102="",D102="Congé",D102="OFF",D102="Congé spécial"),"",IF(D102&gt;F102,D102-C102,IF(C102-D102&lt;0,0,C102-D102)))&lt;0.00068287037037037,"",IF(OR(D102="Congé",D102="OFF",C102="",D102="Congé spécial"),"",IF(D102&gt;F102,D102-C102,IF(C102-D102&lt;0,0,C102-D102))))</f>
        <v/>
      </c>
      <c r="J102" s="405">
        <f>IFERROR(IF($G102="","",IF($G102&gt;TIME(1,0,0),$G102-TIME(1,0,0),0)),"")</f>
        <v/>
      </c>
      <c r="K102" s="238">
        <f>IF(SUM(H102:J102)&lt;0.00068287037037037,0,SUM(H102:J102))</f>
        <v/>
      </c>
      <c r="L102" s="236">
        <f>IF(OR(F102="Congé",F102="OFF",M102="Abs",F102="Congé sans solde",F102="Férié",F102="Congé spécial",D102="Congé spécial"),0,IF(F102-E102&lt;0,0,IF(F102-E102&lt;=0.00068287037037037,0,F102-E102)))</f>
        <v/>
      </c>
      <c r="M102" s="239">
        <f>IF(AND(O102&lt;&gt;0,C102=""),"Abs",0)</f>
        <v/>
      </c>
      <c r="N102" s="240">
        <f>IFERROR(IF(OR(D102="OFF",D102="Congé",M102="Abs",D102="Congé sans solde",D102="Férié"),"",IF(O102-K102-L102&gt;O102,O102,IF(O102-K102-L102&lt;0,"",O102-K102-L102))),"")</f>
        <v/>
      </c>
      <c r="O102" s="241">
        <f>IF(AG102="2H Pause déjeuner",IF(F102-D102-0.0833333333333333&lt;0,F102-D102-0.0833333333333333+1,F102-D102-0.0833333333333333),IF(OR(AND(F102="OFF",D102="OFF"),AND(F102="Congé",D102="Congé"),AND(F102="Congé sans solde",D102="Congé sans solde"),AND(F102="Congé spécial",D102="Congé spécial"),AND(F102="Férié",D102="Férié"),AND(F102="OFF",D102="Congé"),AND(F102="OFF",D102="Congé sans solde"),AND(F102="OFF",D102="Congé spécial"),AND(F102="OFF",D102="Férié"),AND(F102="Congé",D102="OFF"),AND(F102="Congé",D102="Congé sans solde"),AND(F102="Congé",D102="Congé spécial"),AND(F102="Congé",D102="Férié"),AND(F102="Congé sans solde",D102="OFF"),AND(F102="Congé sans solde",D102="Congé"),AND(F102="Congé sans solde",D102="Congé spécial"),AND(F102="Congé sans solde",D102="Férié"),AND(F102="Congé spécial",D102="OFF"),AND(F102="Congé spécial",D102="Congé"),AND(F102="Congé spécial",D102="Congé sans solde"),AND(F102="Congé spécial",D102="Férié"),AND(F102="Férié",D102="OFF"),AND(F102="Férié",D102="Congé"),AND(F102="Férié",D102="Congé sans solde"),AND(F102="Férié",D102="Congé spécial")),0,IF(OR(F102="OFF",F102="Congé",F102="Congé spécial",F102="Congé sans solde",D102="OFF",D102="Congé",D102="Congé spécial",D102="Congé sans solde"),0.208333333333334,IF(AND(AG102="",F102-D102&lt;0),("24:00:00"-D102)+("00:00:00"+F102)-0.0416666666666667,IF(AND(OR(AG102="Allaitement",AG102="Sans déjeuner"),F102-D102&lt;0),("24:00:00"-D102)+("00:00:00"+F102),IF(AND(AG102="",F102-D102&gt;0.166666666666667),F102-D102-0.0416666666666667,IF(AND(OR(AG102="Allaitement",AG102="Sans déjeuner"),F102-D102&gt;0.166666666666667),F102-D102,F102-D102)))))))</f>
        <v/>
      </c>
      <c r="P102" s="242">
        <f>IFERROR(VLOOKUP($B102,Annuaire_roster!$B:$G,MATCH(P$1,Annuaire_roster!$B$1:$G$1,0),0),"-")</f>
        <v/>
      </c>
      <c r="Q102" s="243" t="n">
        <v>44764</v>
      </c>
      <c r="R102" s="244">
        <f>IF(M102="Abs",O102,0)</f>
        <v/>
      </c>
      <c r="S102" s="244">
        <f>SUM(R102,L102,I102,J102,W102,H102)</f>
        <v/>
      </c>
      <c r="T102" s="209">
        <f>"Sem - "&amp;WEEKNUM(Q102,21)</f>
        <v/>
      </c>
      <c r="U102" s="209">
        <f>PROPER(TEXT(Q102,"mmmm"))</f>
        <v/>
      </c>
      <c r="V102" s="245">
        <f>+TEXT(Q102,"aaa")</f>
        <v/>
      </c>
      <c r="W102" s="240" t="n"/>
      <c r="X102" s="246">
        <f>IFERROR(IF(M102="Abs",0,IF((D102-C102+E102-F102)&lt;0.000694444444444444,0,(D102-C102+E102-F102))),0)</f>
        <v/>
      </c>
      <c r="Y102" s="247">
        <f>IFERROR(VLOOKUP(B102,Annuaire_roster!B:E,4,0),"-")</f>
        <v/>
      </c>
      <c r="Z102" s="247">
        <f>IFERROR(VLOOKUP(B102,Annuaire_roster!B:F,3,0),"-")</f>
        <v/>
      </c>
      <c r="AA102" s="247">
        <f>IFERROR(VLOOKUP(B102,Annuaire_roster!B:I,6,0),"-")</f>
        <v/>
      </c>
      <c r="AB102" s="248">
        <f>IF(AND(D102="Congé",F102="Congé"),0.333333333333333,IF(OR(AND(D102="Congé",F102&lt;&gt;"Congé"),(AND(F102="Congé",D102&lt;&gt;"Congé"))),0.166666666666667,""))</f>
        <v/>
      </c>
      <c r="AC102" s="248">
        <f>IF(AND(D102="Congé sans solde",F102="Congé sans solde"),0.333333333333333,IF(OR(AND(D102="Congé sans solde",F102&lt;&gt;"Congé sans solde"),(AND(F102="Congé sans solde",D102&lt;&gt;"Congé sans solde"))),0.166666666666667,""))</f>
        <v/>
      </c>
      <c r="AD102" s="248">
        <f>IF(AND(D102="Congé spécial",F102="Congé spécial"),0.333333333333333,IF(OR(AND(D102="Congé spécial",F102&lt;&gt;"Congé décès"),(AND(F102="Congé spécial",D102&lt;&gt;"Congé spécial"))),0.166666666666667,""))</f>
        <v/>
      </c>
      <c r="AE102" s="249">
        <f>IF(AND(D102="Férié",F102="Férié"),0.333333333333333,IF(OR(AND(D102="Férié",F102&lt;&gt;"Férié"),(AND(F102="Férié",D102&lt;&gt;"Férié"))),0.166666666666667,""))</f>
        <v/>
      </c>
      <c r="AF102" s="249" t="n"/>
      <c r="AG102" s="244" t="n"/>
    </row>
    <row r="103" hidden="1" ht="12.75" customHeight="1" s="231">
      <c r="A103" s="232">
        <f>VLOOKUP(B103,Annuaire_roster!B:F,5,0)</f>
        <v/>
      </c>
      <c r="B103" s="233" t="inlineStr">
        <is>
          <t>RACHAD NAWAR</t>
        </is>
      </c>
      <c r="C103" s="234">
        <f>IFERROR(IF(COUNTIFS(Connexions!$K:$K,$Q103,Connexions!$E:$E,VLOOKUP($B103,Mapping_Noms!$A:$B,2,0))=0,"",_xlfn.MINIFS(Connexions!$M:$M,Connexions!$K:$K,$Q103,Connexions!$E:$E,VLOOKUP($B103,Mapping_Noms!$A:$B,2,0))-TIME(1,0,0)),"")</f>
        <v/>
      </c>
      <c r="D103" s="234">
        <f t="array" ref="D103:D103">IFERROR(INDEX(Planning2[],MATCH(1,(Planning2[Nom]=B103)*(Planning2[Date]=Q103),0),3),"-")</f>
        <v/>
      </c>
      <c r="E103" s="235">
        <f>IFERROR(IF(COUNTIFS(Connexions!$K:$K,$Q103,Connexions!$E:$E,VLOOKUP($B103,Mapping_Noms!$A:$B,2,0))=0,"",_xlfn.MAXIFS(Connexions!$O:$O,Connexions!$K:$K,$Q103,Connexions!$E:$E,VLOOKUP($B103,Mapping_Noms!$A:$B,2,0))-TIME(1,0,0)),"")</f>
        <v/>
      </c>
      <c r="F103" s="235">
        <f t="array" ref="F103:F103">IFERROR(INDEX(Planning2[],MATCH(1,(Planning2[Nom]=B103)*(Planning2[Date]=Q103),0),4),"-")</f>
        <v/>
      </c>
      <c r="G103" s="405">
        <f>IFERROR(IF(OR(IFERROR(INDEX('Planning Pauses Dej'!$C:$C,MATCH($B103&amp;"|"&amp;TEXT($Q103,"YYYYMMDD"),'Planning Pauses Dej'!$F:$F,0)),"")="",IFERROR(INDEX('Planning Pauses Dej'!$D:$D,MATCH($B103&amp;"|"&amp;TEXT($Q103,"YYYYMMDD"),'Planning Pauses Dej'!$F:$F,0)),"")=""),"",_xlfn.MAXIFS(Connexions!$Q:$Q,Connexions!$K:$K,$Q103,Connexions!$E:$E,VLOOKUP($B103,Mapping_Noms!$A:$B,2,0),Connexions!$O:$O,"&lt;="&amp;(IFERROR(INDEX('Planning Pauses Dej'!$D:$D,MATCH($B103&amp;"|"&amp;TEXT($Q103,"YYYYMMDD"),'Planning Pauses Dej'!$F:$F,0)),"")+TIME(1,0,0)),Connexions!$P:$P,"&gt;="&amp;(IFERROR(INDEX('Planning Pauses Dej'!$C:$C,MATCH($B103&amp;"|"&amp;TEXT($Q103,"YYYYMMDD"),'Planning Pauses Dej'!$F:$F,0)),"")+TIME(1,0,0)))),"")</f>
        <v/>
      </c>
      <c r="H103" s="405">
        <f>IFERROR(IF(OR($G103="",IFERROR(INDEX('Planning Pauses Dej'!$C:$C,MATCH($B103&amp;"|"&amp;TEXT($Q103,"YYYYMMDD"),'Planning Pauses Dej'!$F:$F,0)),"")="",IFERROR(INDEX('Planning Pauses Dej'!$D:$D,MATCH($B103&amp;"|"&amp;TEXT($Q103,"YYYYMMDD"),'Planning Pauses Dej'!$F:$F,0)),"")=""),"",IF($G103&gt;(IFERROR(INDEX('Planning Pauses Dej'!$D:$D,MATCH($B103&amp;"|"&amp;TEXT($Q103,"YYYYMMDD"),'Planning Pauses Dej'!$F:$F,0)),"")-IFERROR(INDEX('Planning Pauses Dej'!$C:$C,MATCH($B103&amp;"|"&amp;TEXT($Q103,"YYYYMMDD"),'Planning Pauses Dej'!$F:$F,0)),"")),$G103-(IFERROR(INDEX('Planning Pauses Dej'!$D:$D,MATCH($B103&amp;"|"&amp;TEXT($Q103,"YYYYMMDD"),'Planning Pauses Dej'!$F:$F,0)),"")-IFERROR(INDEX('Planning Pauses Dej'!$C:$C,MATCH($B103&amp;"|"&amp;TEXT($Q103,"YYYYMMDD"),'Planning Pauses Dej'!$F:$F,0)),"")),0)),"")</f>
        <v/>
      </c>
      <c r="I103" s="251">
        <f>IF(IF(OR(C103="",D103="Congé",D103="OFF",D103="Congé spécial"),"",IF(D103&gt;F103,D103-C103,IF(C103-D103&lt;0,0,C103-D103)))&lt;0.00068287037037037,"",IF(OR(D103="Congé",D103="OFF",C103="",D103="Congé spécial"),"",IF(D103&gt;F103,D103-C103,IF(C103-D103&lt;0,0,C103-D103))))</f>
        <v/>
      </c>
      <c r="J103" s="405">
        <f>IFERROR(IF($G103="","",IF($G103&gt;TIME(1,0,0),$G103-TIME(1,0,0),0)),"")</f>
        <v/>
      </c>
      <c r="K103" s="238">
        <f>IF(SUM(H103:J103)&lt;0.00068287037037037,0,SUM(H103:J103))</f>
        <v/>
      </c>
      <c r="L103" s="236">
        <f>IF(OR(F103="Congé",F103="OFF",M103="Abs",F103="Congé sans solde",F103="Férié",F103="Congé spécial",D103="Congé spécial"),0,IF(F103-E103&lt;0,0,IF(F103-E103&lt;=0.00068287037037037,0,F103-E103)))</f>
        <v/>
      </c>
      <c r="M103" s="239">
        <f>IF(AND(O103&lt;&gt;0,C103=""),"Abs",0)</f>
        <v/>
      </c>
      <c r="N103" s="240">
        <f>IFERROR(IF(OR(D103="OFF",D103="Congé",M103="Abs",D103="Congé sans solde",D103="Férié"),"",IF(O103-K103-L103&gt;O103,O103,IF(O103-K103-L103&lt;0,"",O103-K103-L103))),"")</f>
        <v/>
      </c>
      <c r="O103" s="241">
        <f>IF(AG103="2H Pause déjeuner",IF(F103-D103-0.0833333333333333&lt;0,F103-D103-0.0833333333333333+1,F103-D103-0.0833333333333333),IF(OR(AND(F103="OFF",D103="OFF"),AND(F103="Congé",D103="Congé"),AND(F103="Congé sans solde",D103="Congé sans solde"),AND(F103="Congé spécial",D103="Congé spécial"),AND(F103="Férié",D103="Férié"),AND(F103="OFF",D103="Congé"),AND(F103="OFF",D103="Congé sans solde"),AND(F103="OFF",D103="Congé spécial"),AND(F103="OFF",D103="Férié"),AND(F103="Congé",D103="OFF"),AND(F103="Congé",D103="Congé sans solde"),AND(F103="Congé",D103="Congé spécial"),AND(F103="Congé",D103="Férié"),AND(F103="Congé sans solde",D103="OFF"),AND(F103="Congé sans solde",D103="Congé"),AND(F103="Congé sans solde",D103="Congé spécial"),AND(F103="Congé sans solde",D103="Férié"),AND(F103="Congé spécial",D103="OFF"),AND(F103="Congé spécial",D103="Congé"),AND(F103="Congé spécial",D103="Congé sans solde"),AND(F103="Congé spécial",D103="Férié"),AND(F103="Férié",D103="OFF"),AND(F103="Férié",D103="Congé"),AND(F103="Férié",D103="Congé sans solde"),AND(F103="Férié",D103="Congé spécial")),0,IF(OR(F103="OFF",F103="Congé",F103="Congé spécial",F103="Congé sans solde",D103="OFF",D103="Congé",D103="Congé spécial",D103="Congé sans solde"),0.208333333333334,IF(AND(AG103="",F103-D103&lt;0),("24:00:00"-D103)+("00:00:00"+F103)-0.0416666666666667,IF(AND(OR(AG103="Allaitement",AG103="Sans déjeuner"),F103-D103&lt;0),("24:00:00"-D103)+("00:00:00"+F103),IF(AND(AG103="",F103-D103&gt;0.166666666666667),F103-D103-0.0416666666666667,IF(AND(OR(AG103="Allaitement",AG103="Sans déjeuner"),F103-D103&gt;0.166666666666667),F103-D103,F103-D103)))))))</f>
        <v/>
      </c>
      <c r="P103" s="242">
        <f>IFERROR(VLOOKUP($B103,Annuaire_roster!$B:$G,MATCH(P$1,Annuaire_roster!$B$1:$G$1,0),0),"-")</f>
        <v/>
      </c>
      <c r="Q103" s="243" t="n">
        <v>44764</v>
      </c>
      <c r="R103" s="244">
        <f>IF(M103="Abs",O103,0)</f>
        <v/>
      </c>
      <c r="S103" s="244">
        <f>SUM(R103,L103,I103,J103,W103,H103)</f>
        <v/>
      </c>
      <c r="T103" s="209">
        <f>"Sem - "&amp;WEEKNUM(Q103,21)</f>
        <v/>
      </c>
      <c r="U103" s="209">
        <f>PROPER(TEXT(Q103,"mmmm"))</f>
        <v/>
      </c>
      <c r="V103" s="245">
        <f>+TEXT(Q103,"aaa")</f>
        <v/>
      </c>
      <c r="W103" s="240" t="n"/>
      <c r="X103" s="246">
        <f>IFERROR(IF(M103="Abs",0,IF((D103-C103+E103-F103)&lt;0.000694444444444444,0,(D103-C103+E103-F103))),0)</f>
        <v/>
      </c>
      <c r="Y103" s="247">
        <f>IFERROR(VLOOKUP(B103,Annuaire_roster!B:E,4,0),"-")</f>
        <v/>
      </c>
      <c r="Z103" s="247">
        <f>IFERROR(VLOOKUP(B103,Annuaire_roster!B:F,3,0),"-")</f>
        <v/>
      </c>
      <c r="AA103" s="247">
        <f>IFERROR(VLOOKUP(B103,Annuaire_roster!B:I,6,0),"-")</f>
        <v/>
      </c>
      <c r="AB103" s="248">
        <f>IF(AND(D103="Congé",F103="Congé"),0.333333333333333,IF(OR(AND(D103="Congé",F103&lt;&gt;"Congé"),(AND(F103="Congé",D103&lt;&gt;"Congé"))),0.166666666666667,""))</f>
        <v/>
      </c>
      <c r="AC103" s="248">
        <f>IF(AND(D103="Congé sans solde",F103="Congé sans solde"),0.333333333333333,IF(OR(AND(D103="Congé sans solde",F103&lt;&gt;"Congé sans solde"),(AND(F103="Congé sans solde",D103&lt;&gt;"Congé sans solde"))),0.166666666666667,""))</f>
        <v/>
      </c>
      <c r="AD103" s="248">
        <f>IF(AND(D103="Congé spécial",F103="Congé spécial"),0.333333333333333,IF(OR(AND(D103="Congé spécial",F103&lt;&gt;"Congé décès"),(AND(F103="Congé spécial",D103&lt;&gt;"Congé spécial"))),0.166666666666667,""))</f>
        <v/>
      </c>
      <c r="AE103" s="249">
        <f>IF(AND(D103="Férié",F103="Férié"),0.333333333333333,IF(OR(AND(D103="Férié",F103&lt;&gt;"Férié"),(AND(F103="Férié",D103&lt;&gt;"Férié"))),0.166666666666667,""))</f>
        <v/>
      </c>
      <c r="AF103" s="249" t="n"/>
      <c r="AG103" s="244" t="n"/>
    </row>
    <row r="104" hidden="1" ht="12.75" customHeight="1" s="231">
      <c r="A104" s="232">
        <f>VLOOKUP(B104,Annuaire_roster!B:F,5,0)</f>
        <v/>
      </c>
      <c r="B104" s="233" t="inlineStr">
        <is>
          <t>ZAKI OMAR</t>
        </is>
      </c>
      <c r="C104" s="234">
        <f>IFERROR(IF(COUNTIFS(Connexions!$K:$K,$Q104,Connexions!$E:$E,VLOOKUP($B104,Mapping_Noms!$A:$B,2,0))=0,"",_xlfn.MINIFS(Connexions!$M:$M,Connexions!$K:$K,$Q104,Connexions!$E:$E,VLOOKUP($B104,Mapping_Noms!$A:$B,2,0))-TIME(1,0,0)),"")</f>
        <v/>
      </c>
      <c r="D104" s="234">
        <f t="array" ref="D104:D104">IFERROR(INDEX(Planning2[],MATCH(1,(Planning2[Nom]=B104)*(Planning2[Date]=Q104),0),3),"-")</f>
        <v/>
      </c>
      <c r="E104" s="235">
        <f>IFERROR(IF(COUNTIFS(Connexions!$K:$K,$Q104,Connexions!$E:$E,VLOOKUP($B104,Mapping_Noms!$A:$B,2,0))=0,"",_xlfn.MAXIFS(Connexions!$O:$O,Connexions!$K:$K,$Q104,Connexions!$E:$E,VLOOKUP($B104,Mapping_Noms!$A:$B,2,0))-TIME(1,0,0)),"")</f>
        <v/>
      </c>
      <c r="F104" s="235">
        <f t="array" ref="F104:F104">IFERROR(INDEX(Planning2[],MATCH(1,(Planning2[Nom]=B104)*(Planning2[Date]=Q104),0),4),"-")</f>
        <v/>
      </c>
      <c r="G104" s="405">
        <f>IFERROR(IF(OR(IFERROR(INDEX('Planning Pauses Dej'!$C:$C,MATCH($B104&amp;"|"&amp;TEXT($Q104,"YYYYMMDD"),'Planning Pauses Dej'!$F:$F,0)),"")="",IFERROR(INDEX('Planning Pauses Dej'!$D:$D,MATCH($B104&amp;"|"&amp;TEXT($Q104,"YYYYMMDD"),'Planning Pauses Dej'!$F:$F,0)),"")=""),"",_xlfn.MAXIFS(Connexions!$Q:$Q,Connexions!$K:$K,$Q104,Connexions!$E:$E,VLOOKUP($B104,Mapping_Noms!$A:$B,2,0),Connexions!$O:$O,"&lt;="&amp;(IFERROR(INDEX('Planning Pauses Dej'!$D:$D,MATCH($B104&amp;"|"&amp;TEXT($Q104,"YYYYMMDD"),'Planning Pauses Dej'!$F:$F,0)),"")+TIME(1,0,0)),Connexions!$P:$P,"&gt;="&amp;(IFERROR(INDEX('Planning Pauses Dej'!$C:$C,MATCH($B104&amp;"|"&amp;TEXT($Q104,"YYYYMMDD"),'Planning Pauses Dej'!$F:$F,0)),"")+TIME(1,0,0)))),"")</f>
        <v/>
      </c>
      <c r="H104" s="405">
        <f>IFERROR(IF(OR($G104="",IFERROR(INDEX('Planning Pauses Dej'!$C:$C,MATCH($B104&amp;"|"&amp;TEXT($Q104,"YYYYMMDD"),'Planning Pauses Dej'!$F:$F,0)),"")="",IFERROR(INDEX('Planning Pauses Dej'!$D:$D,MATCH($B104&amp;"|"&amp;TEXT($Q104,"YYYYMMDD"),'Planning Pauses Dej'!$F:$F,0)),"")=""),"",IF($G104&gt;(IFERROR(INDEX('Planning Pauses Dej'!$D:$D,MATCH($B104&amp;"|"&amp;TEXT($Q104,"YYYYMMDD"),'Planning Pauses Dej'!$F:$F,0)),"")-IFERROR(INDEX('Planning Pauses Dej'!$C:$C,MATCH($B104&amp;"|"&amp;TEXT($Q104,"YYYYMMDD"),'Planning Pauses Dej'!$F:$F,0)),"")),$G104-(IFERROR(INDEX('Planning Pauses Dej'!$D:$D,MATCH($B104&amp;"|"&amp;TEXT($Q104,"YYYYMMDD"),'Planning Pauses Dej'!$F:$F,0)),"")-IFERROR(INDEX('Planning Pauses Dej'!$C:$C,MATCH($B104&amp;"|"&amp;TEXT($Q104,"YYYYMMDD"),'Planning Pauses Dej'!$F:$F,0)),"")),0)),"")</f>
        <v/>
      </c>
      <c r="I104" s="251">
        <f>IF(IF(OR(C104="",D104="Congé",D104="OFF",D104="Congé spécial"),"",IF(D104&gt;F104,D104-C104,IF(C104-D104&lt;0,0,C104-D104)))&lt;0.00068287037037037,"",IF(OR(D104="Congé",D104="OFF",C104="",D104="Congé spécial"),"",IF(D104&gt;F104,D104-C104,IF(C104-D104&lt;0,0,C104-D104))))</f>
        <v/>
      </c>
      <c r="J104" s="405">
        <f>IFERROR(IF($G104="","",IF($G104&gt;TIME(1,0,0),$G104-TIME(1,0,0),0)),"")</f>
        <v/>
      </c>
      <c r="K104" s="238">
        <f>IF(SUM(H104:J104)&lt;0.00068287037037037,0,SUM(H104:J104))</f>
        <v/>
      </c>
      <c r="L104" s="236">
        <f>IF(OR(F104="Congé",F104="OFF",M104="Abs",F104="Congé sans solde",F104="Férié",F104="Congé spécial",D104="Congé spécial"),0,IF(F104-E104&lt;0,0,IF(F104-E104&lt;=0.00068287037037037,0,F104-E104)))</f>
        <v/>
      </c>
      <c r="M104" s="239">
        <f>IF(AND(O104&lt;&gt;0,C104=""),"Abs",0)</f>
        <v/>
      </c>
      <c r="N104" s="240">
        <f>IFERROR(IF(OR(D104="OFF",D104="Congé",M104="Abs",D104="Congé sans solde",D104="Férié"),"",IF(O104-K104-L104&gt;O104,O104,IF(O104-K104-L104&lt;0,"",O104-K104-L104))),"")</f>
        <v/>
      </c>
      <c r="O104" s="241">
        <f>IF(AG104="2H Pause déjeuner",IF(F104-D104-0.0833333333333333&lt;0,F104-D104-0.0833333333333333+1,F104-D104-0.0833333333333333),IF(OR(AND(F104="OFF",D104="OFF"),AND(F104="Congé",D104="Congé"),AND(F104="Congé sans solde",D104="Congé sans solde"),AND(F104="Congé spécial",D104="Congé spécial"),AND(F104="Férié",D104="Férié"),AND(F104="OFF",D104="Congé"),AND(F104="OFF",D104="Congé sans solde"),AND(F104="OFF",D104="Congé spécial"),AND(F104="OFF",D104="Férié"),AND(F104="Congé",D104="OFF"),AND(F104="Congé",D104="Congé sans solde"),AND(F104="Congé",D104="Congé spécial"),AND(F104="Congé",D104="Férié"),AND(F104="Congé sans solde",D104="OFF"),AND(F104="Congé sans solde",D104="Congé"),AND(F104="Congé sans solde",D104="Congé spécial"),AND(F104="Congé sans solde",D104="Férié"),AND(F104="Congé spécial",D104="OFF"),AND(F104="Congé spécial",D104="Congé"),AND(F104="Congé spécial",D104="Congé sans solde"),AND(F104="Congé spécial",D104="Férié"),AND(F104="Férié",D104="OFF"),AND(F104="Férié",D104="Congé"),AND(F104="Férié",D104="Congé sans solde"),AND(F104="Férié",D104="Congé spécial")),0,IF(OR(F104="OFF",F104="Congé",F104="Congé spécial",F104="Congé sans solde",D104="OFF",D104="Congé",D104="Congé spécial",D104="Congé sans solde"),0.208333333333334,IF(AND(AG104="",F104-D104&lt;0),("24:00:00"-D104)+("00:00:00"+F104)-0.0416666666666667,IF(AND(OR(AG104="Allaitement",AG104="Sans déjeuner"),F104-D104&lt;0),("24:00:00"-D104)+("00:00:00"+F104),IF(AND(AG104="",F104-D104&gt;0.166666666666667),F104-D104-0.0416666666666667,IF(AND(OR(AG104="Allaitement",AG104="Sans déjeuner"),F104-D104&gt;0.166666666666667),F104-D104,F104-D104)))))))</f>
        <v/>
      </c>
      <c r="P104" s="242">
        <f>IFERROR(VLOOKUP($B104,Annuaire_roster!$B:$G,MATCH(P$1,Annuaire_roster!$B$1:$G$1,0),0),"-")</f>
        <v/>
      </c>
      <c r="Q104" s="243" t="n">
        <v>44764</v>
      </c>
      <c r="R104" s="244">
        <f>IF(M104="Abs",O104,0)</f>
        <v/>
      </c>
      <c r="S104" s="244">
        <f>SUM(R104,L104,I104,J104,W104,H104)</f>
        <v/>
      </c>
      <c r="T104" s="209">
        <f>"Sem - "&amp;WEEKNUM(Q104,21)</f>
        <v/>
      </c>
      <c r="U104" s="209">
        <f>PROPER(TEXT(Q104,"mmmm"))</f>
        <v/>
      </c>
      <c r="V104" s="245">
        <f>+TEXT(Q104,"aaa")</f>
        <v/>
      </c>
      <c r="W104" s="240" t="n"/>
      <c r="X104" s="246">
        <f>IFERROR(IF(M104="Abs",0,IF((D104-C104+E104-F104)&lt;0.000694444444444444,0,(D104-C104+E104-F104))),0)</f>
        <v/>
      </c>
      <c r="Y104" s="247">
        <f>IFERROR(VLOOKUP(B104,Annuaire_roster!B:E,4,0),"-")</f>
        <v/>
      </c>
      <c r="Z104" s="247">
        <f>IFERROR(VLOOKUP(B104,Annuaire_roster!B:F,3,0),"-")</f>
        <v/>
      </c>
      <c r="AA104" s="247">
        <f>IFERROR(VLOOKUP(B104,Annuaire_roster!B:I,6,0),"-")</f>
        <v/>
      </c>
      <c r="AB104" s="248">
        <f>IF(AND(D104="Congé",F104="Congé"),0.333333333333333,IF(OR(AND(D104="Congé",F104&lt;&gt;"Congé"),(AND(F104="Congé",D104&lt;&gt;"Congé"))),0.166666666666667,""))</f>
        <v/>
      </c>
      <c r="AC104" s="248">
        <f>IF(AND(D104="Congé sans solde",F104="Congé sans solde"),0.333333333333333,IF(OR(AND(D104="Congé sans solde",F104&lt;&gt;"Congé sans solde"),(AND(F104="Congé sans solde",D104&lt;&gt;"Congé sans solde"))),0.166666666666667,""))</f>
        <v/>
      </c>
      <c r="AD104" s="248">
        <f>IF(AND(D104="Congé spécial",F104="Congé spécial"),0.333333333333333,IF(OR(AND(D104="Congé spécial",F104&lt;&gt;"Congé décès"),(AND(F104="Congé spécial",D104&lt;&gt;"Congé spécial"))),0.166666666666667,""))</f>
        <v/>
      </c>
      <c r="AE104" s="249">
        <f>IF(AND(D104="Férié",F104="Férié"),0.333333333333333,IF(OR(AND(D104="Férié",F104&lt;&gt;"Férié"),(AND(F104="Férié",D104&lt;&gt;"Férié"))),0.166666666666667,""))</f>
        <v/>
      </c>
      <c r="AF104" s="249" t="n"/>
      <c r="AG104" s="244" t="n"/>
    </row>
    <row r="105" hidden="1" ht="12.75" customHeight="1" s="231">
      <c r="A105" s="232">
        <f>VLOOKUP(B105,Annuaire_roster!B:F,5,0)</f>
        <v/>
      </c>
      <c r="B105" s="233" t="inlineStr">
        <is>
          <t>ZIOUI DOUNIA</t>
        </is>
      </c>
      <c r="C105" s="234">
        <f>IFERROR(IF(COUNTIFS(Connexions!$K:$K,$Q105,Connexions!$E:$E,VLOOKUP($B105,Mapping_Noms!$A:$B,2,0))=0,"",_xlfn.MINIFS(Connexions!$M:$M,Connexions!$K:$K,$Q105,Connexions!$E:$E,VLOOKUP($B105,Mapping_Noms!$A:$B,2,0))-TIME(1,0,0)),"")</f>
        <v/>
      </c>
      <c r="D105" s="234">
        <f t="array" ref="D105:D105">IFERROR(INDEX(Planning2[],MATCH(1,(Planning2[Nom]=B105)*(Planning2[Date]=Q105),0),3),"-")</f>
        <v/>
      </c>
      <c r="E105" s="235">
        <f>IFERROR(IF(COUNTIFS(Connexions!$K:$K,$Q105,Connexions!$E:$E,VLOOKUP($B105,Mapping_Noms!$A:$B,2,0))=0,"",_xlfn.MAXIFS(Connexions!$O:$O,Connexions!$K:$K,$Q105,Connexions!$E:$E,VLOOKUP($B105,Mapping_Noms!$A:$B,2,0))-TIME(1,0,0)),"")</f>
        <v/>
      </c>
      <c r="F105" s="235">
        <f t="array" ref="F105:F105">IFERROR(INDEX(Planning2[],MATCH(1,(Planning2[Nom]=B105)*(Planning2[Date]=Q105),0),4),"-")</f>
        <v/>
      </c>
      <c r="G105" s="405">
        <f>IFERROR(IF(OR(IFERROR(INDEX('Planning Pauses Dej'!$C:$C,MATCH($B105&amp;"|"&amp;TEXT($Q105,"YYYYMMDD"),'Planning Pauses Dej'!$F:$F,0)),"")="",IFERROR(INDEX('Planning Pauses Dej'!$D:$D,MATCH($B105&amp;"|"&amp;TEXT($Q105,"YYYYMMDD"),'Planning Pauses Dej'!$F:$F,0)),"")=""),"",_xlfn.MAXIFS(Connexions!$Q:$Q,Connexions!$K:$K,$Q105,Connexions!$E:$E,VLOOKUP($B105,Mapping_Noms!$A:$B,2,0),Connexions!$O:$O,"&lt;="&amp;(IFERROR(INDEX('Planning Pauses Dej'!$D:$D,MATCH($B105&amp;"|"&amp;TEXT($Q105,"YYYYMMDD"),'Planning Pauses Dej'!$F:$F,0)),"")+TIME(1,0,0)),Connexions!$P:$P,"&gt;="&amp;(IFERROR(INDEX('Planning Pauses Dej'!$C:$C,MATCH($B105&amp;"|"&amp;TEXT($Q105,"YYYYMMDD"),'Planning Pauses Dej'!$F:$F,0)),"")+TIME(1,0,0)))),"")</f>
        <v/>
      </c>
      <c r="H105" s="405">
        <f>IFERROR(IF(OR($G105="",IFERROR(INDEX('Planning Pauses Dej'!$C:$C,MATCH($B105&amp;"|"&amp;TEXT($Q105,"YYYYMMDD"),'Planning Pauses Dej'!$F:$F,0)),"")="",IFERROR(INDEX('Planning Pauses Dej'!$D:$D,MATCH($B105&amp;"|"&amp;TEXT($Q105,"YYYYMMDD"),'Planning Pauses Dej'!$F:$F,0)),"")=""),"",IF($G105&gt;(IFERROR(INDEX('Planning Pauses Dej'!$D:$D,MATCH($B105&amp;"|"&amp;TEXT($Q105,"YYYYMMDD"),'Planning Pauses Dej'!$F:$F,0)),"")-IFERROR(INDEX('Planning Pauses Dej'!$C:$C,MATCH($B105&amp;"|"&amp;TEXT($Q105,"YYYYMMDD"),'Planning Pauses Dej'!$F:$F,0)),"")),$G105-(IFERROR(INDEX('Planning Pauses Dej'!$D:$D,MATCH($B105&amp;"|"&amp;TEXT($Q105,"YYYYMMDD"),'Planning Pauses Dej'!$F:$F,0)),"")-IFERROR(INDEX('Planning Pauses Dej'!$C:$C,MATCH($B105&amp;"|"&amp;TEXT($Q105,"YYYYMMDD"),'Planning Pauses Dej'!$F:$F,0)),"")),0)),"")</f>
        <v/>
      </c>
      <c r="I105" s="251">
        <f>IF(IF(OR(C105="",D105="Congé",D105="OFF",D105="Congé spécial"),"",IF(D105&gt;F105,D105-C105,IF(C105-D105&lt;0,0,C105-D105)))&lt;0.00068287037037037,"",IF(OR(D105="Congé",D105="OFF",C105="",D105="Congé spécial"),"",IF(D105&gt;F105,D105-C105,IF(C105-D105&lt;0,0,C105-D105))))</f>
        <v/>
      </c>
      <c r="J105" s="405">
        <f>IFERROR(IF($G105="","",IF($G105&gt;TIME(1,0,0),$G105-TIME(1,0,0),0)),"")</f>
        <v/>
      </c>
      <c r="K105" s="238">
        <f>IF(SUM(H105:J105)&lt;0.00068287037037037,0,SUM(H105:J105))</f>
        <v/>
      </c>
      <c r="L105" s="236">
        <f>IF(OR(F105="Congé",F105="OFF",M105="Abs",F105="Congé sans solde",F105="Férié",F105="Congé spécial",D105="Congé spécial"),0,IF(F105-E105&lt;0,0,IF(F105-E105&lt;=0.00068287037037037,0,F105-E105)))</f>
        <v/>
      </c>
      <c r="M105" s="239">
        <f>IF(AND(O105&lt;&gt;0,C105=""),"Abs",0)</f>
        <v/>
      </c>
      <c r="N105" s="240">
        <f>IFERROR(IF(OR(D105="OFF",D105="Congé",M105="Abs",D105="Congé sans solde",D105="Férié"),"",IF(O105-K105-L105&gt;O105,O105,IF(O105-K105-L105&lt;0,"",O105-K105-L105))),"")</f>
        <v/>
      </c>
      <c r="O105" s="241">
        <f>IF(AG105="2H Pause déjeuner",IF(F105-D105-0.0833333333333333&lt;0,F105-D105-0.0833333333333333+1,F105-D105-0.0833333333333333),IF(OR(AND(F105="OFF",D105="OFF"),AND(F105="Congé",D105="Congé"),AND(F105="Congé sans solde",D105="Congé sans solde"),AND(F105="Congé spécial",D105="Congé spécial"),AND(F105="Férié",D105="Férié"),AND(F105="OFF",D105="Congé"),AND(F105="OFF",D105="Congé sans solde"),AND(F105="OFF",D105="Congé spécial"),AND(F105="OFF",D105="Férié"),AND(F105="Congé",D105="OFF"),AND(F105="Congé",D105="Congé sans solde"),AND(F105="Congé",D105="Congé spécial"),AND(F105="Congé",D105="Férié"),AND(F105="Congé sans solde",D105="OFF"),AND(F105="Congé sans solde",D105="Congé"),AND(F105="Congé sans solde",D105="Congé spécial"),AND(F105="Congé sans solde",D105="Férié"),AND(F105="Congé spécial",D105="OFF"),AND(F105="Congé spécial",D105="Congé"),AND(F105="Congé spécial",D105="Congé sans solde"),AND(F105="Congé spécial",D105="Férié"),AND(F105="Férié",D105="OFF"),AND(F105="Férié",D105="Congé"),AND(F105="Férié",D105="Congé sans solde"),AND(F105="Férié",D105="Congé spécial")),0,IF(OR(F105="OFF",F105="Congé",F105="Congé spécial",F105="Congé sans solde",D105="OFF",D105="Congé",D105="Congé spécial",D105="Congé sans solde"),0.208333333333334,IF(AND(AG105="",F105-D105&lt;0),("24:00:00"-D105)+("00:00:00"+F105)-0.0416666666666667,IF(AND(OR(AG105="Allaitement",AG105="Sans déjeuner"),F105-D105&lt;0),("24:00:00"-D105)+("00:00:00"+F105),IF(AND(AG105="",F105-D105&gt;0.166666666666667),F105-D105-0.0416666666666667,IF(AND(OR(AG105="Allaitement",AG105="Sans déjeuner"),F105-D105&gt;0.166666666666667),F105-D105,F105-D105)))))))</f>
        <v/>
      </c>
      <c r="P105" s="242">
        <f>IFERROR(VLOOKUP($B105,Annuaire_roster!$B:$G,MATCH(P$1,Annuaire_roster!$B$1:$G$1,0),0),"-")</f>
        <v/>
      </c>
      <c r="Q105" s="243" t="n">
        <v>44764</v>
      </c>
      <c r="R105" s="244">
        <f>IF(M105="Abs",O105,0)</f>
        <v/>
      </c>
      <c r="S105" s="244">
        <f>SUM(R105,L105,I105,J105,W105,H105)</f>
        <v/>
      </c>
      <c r="T105" s="209">
        <f>"Sem - "&amp;WEEKNUM(Q105,21)</f>
        <v/>
      </c>
      <c r="U105" s="209">
        <f>PROPER(TEXT(Q105,"mmmm"))</f>
        <v/>
      </c>
      <c r="V105" s="245">
        <f>+TEXT(Q105,"aaa")</f>
        <v/>
      </c>
      <c r="W105" s="240" t="n"/>
      <c r="X105" s="246">
        <f>IFERROR(IF(M105="Abs",0,IF((D105-C105+E105-F105)&lt;0.000694444444444444,0,(D105-C105+E105-F105))),0)</f>
        <v/>
      </c>
      <c r="Y105" s="247">
        <f>IFERROR(VLOOKUP(B105,Annuaire_roster!B:E,4,0),"-")</f>
        <v/>
      </c>
      <c r="Z105" s="247">
        <f>IFERROR(VLOOKUP(B105,Annuaire_roster!B:F,3,0),"-")</f>
        <v/>
      </c>
      <c r="AA105" s="247">
        <f>IFERROR(VLOOKUP(B105,Annuaire_roster!B:I,6,0),"-")</f>
        <v/>
      </c>
      <c r="AB105" s="248">
        <f>IF(AND(D105="Congé",F105="Congé"),0.333333333333333,IF(OR(AND(D105="Congé",F105&lt;&gt;"Congé"),(AND(F105="Congé",D105&lt;&gt;"Congé"))),0.166666666666667,""))</f>
        <v/>
      </c>
      <c r="AC105" s="248">
        <f>IF(AND(D105="Congé sans solde",F105="Congé sans solde"),0.333333333333333,IF(OR(AND(D105="Congé sans solde",F105&lt;&gt;"Congé sans solde"),(AND(F105="Congé sans solde",D105&lt;&gt;"Congé sans solde"))),0.166666666666667,""))</f>
        <v/>
      </c>
      <c r="AD105" s="248">
        <f>IF(AND(D105="Congé spécial",F105="Congé spécial"),0.333333333333333,IF(OR(AND(D105="Congé spécial",F105&lt;&gt;"Congé décès"),(AND(F105="Congé spécial",D105&lt;&gt;"Congé spécial"))),0.166666666666667,""))</f>
        <v/>
      </c>
      <c r="AE105" s="249">
        <f>IF(AND(D105="Férié",F105="Férié"),0.333333333333333,IF(OR(AND(D105="Férié",F105&lt;&gt;"Férié"),(AND(F105="Férié",D105&lt;&gt;"Férié"))),0.166666666666667,""))</f>
        <v/>
      </c>
      <c r="AF105" s="249" t="n"/>
      <c r="AG105" s="244" t="n"/>
    </row>
    <row r="106" hidden="1" ht="12.75" customHeight="1" s="231">
      <c r="A106" s="232">
        <f>VLOOKUP(B106,Annuaire_roster!B:F,5,0)</f>
        <v/>
      </c>
      <c r="B106" s="233" t="inlineStr">
        <is>
          <t>QARBOUI Aymane</t>
        </is>
      </c>
      <c r="C106" s="234">
        <f>IFERROR(IF(COUNTIFS(Connexions!$K:$K,$Q106,Connexions!$E:$E,VLOOKUP($B106,Mapping_Noms!$A:$B,2,0))=0,"",_xlfn.MINIFS(Connexions!$M:$M,Connexions!$K:$K,$Q106,Connexions!$E:$E,VLOOKUP($B106,Mapping_Noms!$A:$B,2,0))-TIME(1,0,0)),"")</f>
        <v/>
      </c>
      <c r="D106" s="234">
        <f t="array" ref="D106:D106">IFERROR(INDEX(Planning2[],MATCH(1,(Planning2[Nom]=B106)*(Planning2[Date]=Q106),0),3),"-")</f>
        <v/>
      </c>
      <c r="E106" s="235">
        <f>IFERROR(IF(COUNTIFS(Connexions!$K:$K,$Q106,Connexions!$E:$E,VLOOKUP($B106,Mapping_Noms!$A:$B,2,0))=0,"",_xlfn.MAXIFS(Connexions!$O:$O,Connexions!$K:$K,$Q106,Connexions!$E:$E,VLOOKUP($B106,Mapping_Noms!$A:$B,2,0))-TIME(1,0,0)),"")</f>
        <v/>
      </c>
      <c r="F106" s="235">
        <f t="array" ref="F106:F106">IFERROR(INDEX(Planning2[],MATCH(1,(Planning2[Nom]=B106)*(Planning2[Date]=Q106),0),4),"-")</f>
        <v/>
      </c>
      <c r="G106" s="405">
        <f>IFERROR(IF(OR(IFERROR(INDEX('Planning Pauses Dej'!$C:$C,MATCH($B106&amp;"|"&amp;TEXT($Q106,"YYYYMMDD"),'Planning Pauses Dej'!$F:$F,0)),"")="",IFERROR(INDEX('Planning Pauses Dej'!$D:$D,MATCH($B106&amp;"|"&amp;TEXT($Q106,"YYYYMMDD"),'Planning Pauses Dej'!$F:$F,0)),"")=""),"",_xlfn.MAXIFS(Connexions!$Q:$Q,Connexions!$K:$K,$Q106,Connexions!$E:$E,VLOOKUP($B106,Mapping_Noms!$A:$B,2,0),Connexions!$O:$O,"&lt;="&amp;(IFERROR(INDEX('Planning Pauses Dej'!$D:$D,MATCH($B106&amp;"|"&amp;TEXT($Q106,"YYYYMMDD"),'Planning Pauses Dej'!$F:$F,0)),"")+TIME(1,0,0)),Connexions!$P:$P,"&gt;="&amp;(IFERROR(INDEX('Planning Pauses Dej'!$C:$C,MATCH($B106&amp;"|"&amp;TEXT($Q106,"YYYYMMDD"),'Planning Pauses Dej'!$F:$F,0)),"")+TIME(1,0,0)))),"")</f>
        <v/>
      </c>
      <c r="H106" s="405">
        <f>IFERROR(IF(OR($G106="",IFERROR(INDEX('Planning Pauses Dej'!$C:$C,MATCH($B106&amp;"|"&amp;TEXT($Q106,"YYYYMMDD"),'Planning Pauses Dej'!$F:$F,0)),"")="",IFERROR(INDEX('Planning Pauses Dej'!$D:$D,MATCH($B106&amp;"|"&amp;TEXT($Q106,"YYYYMMDD"),'Planning Pauses Dej'!$F:$F,0)),"")=""),"",IF($G106&gt;(IFERROR(INDEX('Planning Pauses Dej'!$D:$D,MATCH($B106&amp;"|"&amp;TEXT($Q106,"YYYYMMDD"),'Planning Pauses Dej'!$F:$F,0)),"")-IFERROR(INDEX('Planning Pauses Dej'!$C:$C,MATCH($B106&amp;"|"&amp;TEXT($Q106,"YYYYMMDD"),'Planning Pauses Dej'!$F:$F,0)),"")),$G106-(IFERROR(INDEX('Planning Pauses Dej'!$D:$D,MATCH($B106&amp;"|"&amp;TEXT($Q106,"YYYYMMDD"),'Planning Pauses Dej'!$F:$F,0)),"")-IFERROR(INDEX('Planning Pauses Dej'!$C:$C,MATCH($B106&amp;"|"&amp;TEXT($Q106,"YYYYMMDD"),'Planning Pauses Dej'!$F:$F,0)),"")),0)),"")</f>
        <v/>
      </c>
      <c r="I106" s="251">
        <f>IF(IF(OR(C106="",D106="Congé",D106="OFF",D106="Congé spécial"),"",IF(D106&gt;F106,D106-C106,IF(C106-D106&lt;0,0,C106-D106)))&lt;0.00068287037037037,"",IF(OR(D106="Congé",D106="OFF",C106="",D106="Congé spécial"),"",IF(D106&gt;F106,D106-C106,IF(C106-D106&lt;0,0,C106-D106))))</f>
        <v/>
      </c>
      <c r="J106" s="405">
        <f>IFERROR(IF($G106="","",IF($G106&gt;TIME(1,0,0),$G106-TIME(1,0,0),0)),"")</f>
        <v/>
      </c>
      <c r="K106" s="238">
        <f>IF(SUM(H106:J106)&lt;0.00068287037037037,0,SUM(H106:J106))</f>
        <v/>
      </c>
      <c r="L106" s="236">
        <f>IF(OR(F106="Congé",F106="OFF",M106="Abs",F106="Congé sans solde",F106="Férié",F106="Congé spécial",D106="Congé spécial"),0,IF(F106-E106&lt;0,0,IF(F106-E106&lt;=0.00068287037037037,0,F106-E106)))</f>
        <v/>
      </c>
      <c r="M106" s="239">
        <f>IF(AND(O106&lt;&gt;0,C106=""),"Abs",0)</f>
        <v/>
      </c>
      <c r="N106" s="240">
        <f>IFERROR(IF(OR(D106="OFF",D106="Congé",M106="Abs",D106="Congé sans solde",D106="Férié"),"",IF(O106-K106-L106&gt;O106,O106,IF(O106-K106-L106&lt;0,"",O106-K106-L106))),"")</f>
        <v/>
      </c>
      <c r="O106" s="241">
        <f>IF(AG106="2H Pause déjeuner",IF(F106-D106-0.0833333333333333&lt;0,F106-D106-0.0833333333333333+1,F106-D106-0.0833333333333333),IF(OR(AND(F106="OFF",D106="OFF"),AND(F106="Congé",D106="Congé"),AND(F106="Congé sans solde",D106="Congé sans solde"),AND(F106="Congé spécial",D106="Congé spécial"),AND(F106="Férié",D106="Férié"),AND(F106="OFF",D106="Congé"),AND(F106="OFF",D106="Congé sans solde"),AND(F106="OFF",D106="Congé spécial"),AND(F106="OFF",D106="Férié"),AND(F106="Congé",D106="OFF"),AND(F106="Congé",D106="Congé sans solde"),AND(F106="Congé",D106="Congé spécial"),AND(F106="Congé",D106="Férié"),AND(F106="Congé sans solde",D106="OFF"),AND(F106="Congé sans solde",D106="Congé"),AND(F106="Congé sans solde",D106="Congé spécial"),AND(F106="Congé sans solde",D106="Férié"),AND(F106="Congé spécial",D106="OFF"),AND(F106="Congé spécial",D106="Congé"),AND(F106="Congé spécial",D106="Congé sans solde"),AND(F106="Congé spécial",D106="Férié"),AND(F106="Férié",D106="OFF"),AND(F106="Férié",D106="Congé"),AND(F106="Férié",D106="Congé sans solde"),AND(F106="Férié",D106="Congé spécial")),0,IF(OR(F106="OFF",F106="Congé",F106="Congé spécial",F106="Congé sans solde",D106="OFF",D106="Congé",D106="Congé spécial",D106="Congé sans solde"),0.208333333333334,IF(AND(AG106="",F106-D106&lt;0),("24:00:00"-D106)+("00:00:00"+F106)-0.0416666666666667,IF(AND(OR(AG106="Allaitement",AG106="Sans déjeuner"),F106-D106&lt;0),("24:00:00"-D106)+("00:00:00"+F106),IF(AND(AG106="",F106-D106&gt;0.166666666666667),F106-D106-0.0416666666666667,IF(AND(OR(AG106="Allaitement",AG106="Sans déjeuner"),F106-D106&gt;0.166666666666667),F106-D106,F106-D106)))))))</f>
        <v/>
      </c>
      <c r="P106" s="242">
        <f>IFERROR(VLOOKUP($B106,Annuaire_roster!$B:$G,MATCH(P$1,Annuaire_roster!$B$1:$G$1,0),0),"-")</f>
        <v/>
      </c>
      <c r="Q106" s="243" t="n">
        <v>44764</v>
      </c>
      <c r="R106" s="244">
        <f>IF(M106="Abs",O106,0)</f>
        <v/>
      </c>
      <c r="S106" s="244">
        <f>SUM(R106,L106,I106,J106,W106,H106)</f>
        <v/>
      </c>
      <c r="T106" s="209">
        <f>"Sem - "&amp;WEEKNUM(Q106,21)</f>
        <v/>
      </c>
      <c r="U106" s="209">
        <f>PROPER(TEXT(Q106,"mmmm"))</f>
        <v/>
      </c>
      <c r="V106" s="245">
        <f>+TEXT(Q106,"aaa")</f>
        <v/>
      </c>
      <c r="W106" s="240" t="n"/>
      <c r="X106" s="246">
        <f>IFERROR(IF(M106="Abs",0,IF((D106-C106+E106-F106)&lt;0.000694444444444444,0,(D106-C106+E106-F106))),0)</f>
        <v/>
      </c>
      <c r="Y106" s="247">
        <f>IFERROR(VLOOKUP(B106,Annuaire_roster!B:E,4,0),"-")</f>
        <v/>
      </c>
      <c r="Z106" s="247">
        <f>IFERROR(VLOOKUP(B106,Annuaire_roster!B:F,3,0),"-")</f>
        <v/>
      </c>
      <c r="AA106" s="247">
        <f>IFERROR(VLOOKUP(B106,Annuaire_roster!B:I,6,0),"-")</f>
        <v/>
      </c>
      <c r="AB106" s="248">
        <f>IF(AND(D106="Congé",F106="Congé"),0.333333333333333,IF(OR(AND(D106="Congé",F106&lt;&gt;"Congé"),(AND(F106="Congé",D106&lt;&gt;"Congé"))),0.166666666666667,""))</f>
        <v/>
      </c>
      <c r="AC106" s="248">
        <f>IF(AND(D106="Congé sans solde",F106="Congé sans solde"),0.333333333333333,IF(OR(AND(D106="Congé sans solde",F106&lt;&gt;"Congé sans solde"),(AND(F106="Congé sans solde",D106&lt;&gt;"Congé sans solde"))),0.166666666666667,""))</f>
        <v/>
      </c>
      <c r="AD106" s="248">
        <f>IF(AND(D106="Congé spécial",F106="Congé spécial"),0.333333333333333,IF(OR(AND(D106="Congé spécial",F106&lt;&gt;"Congé décès"),(AND(F106="Congé spécial",D106&lt;&gt;"Congé spécial"))),0.166666666666667,""))</f>
        <v/>
      </c>
      <c r="AE106" s="249">
        <f>IF(AND(D106="Férié",F106="Férié"),0.333333333333333,IF(OR(AND(D106="Férié",F106&lt;&gt;"Férié"),(AND(F106="Férié",D106&lt;&gt;"Férié"))),0.166666666666667,""))</f>
        <v/>
      </c>
      <c r="AF106" s="249" t="n"/>
      <c r="AG106" s="244" t="n"/>
    </row>
    <row r="107" hidden="1" ht="12.75" customHeight="1" s="231">
      <c r="A107" s="232">
        <f>VLOOKUP(B107,Annuaire_roster!B:F,5,0)</f>
        <v/>
      </c>
      <c r="B107" s="233" t="inlineStr">
        <is>
          <t>LAFDIL NADA</t>
        </is>
      </c>
      <c r="C107" s="234">
        <f>IFERROR(IF(COUNTIFS(Connexions!$K:$K,$Q107,Connexions!$E:$E,VLOOKUP($B107,Mapping_Noms!$A:$B,2,0))=0,"",_xlfn.MINIFS(Connexions!$M:$M,Connexions!$K:$K,$Q107,Connexions!$E:$E,VLOOKUP($B107,Mapping_Noms!$A:$B,2,0))-TIME(1,0,0)),"")</f>
        <v/>
      </c>
      <c r="D107" s="234">
        <f t="array" ref="D107:D107">IFERROR(INDEX(Planning2[],MATCH(1,(Planning2[Nom]=B107)*(Planning2[Date]=Q107),0),3),"-")</f>
        <v/>
      </c>
      <c r="E107" s="235">
        <f>IFERROR(IF(COUNTIFS(Connexions!$K:$K,$Q107,Connexions!$E:$E,VLOOKUP($B107,Mapping_Noms!$A:$B,2,0))=0,"",_xlfn.MAXIFS(Connexions!$O:$O,Connexions!$K:$K,$Q107,Connexions!$E:$E,VLOOKUP($B107,Mapping_Noms!$A:$B,2,0))-TIME(1,0,0)),"")</f>
        <v/>
      </c>
      <c r="F107" s="235">
        <f t="array" ref="F107:F107">IFERROR(INDEX(Planning2[],MATCH(1,(Planning2[Nom]=B107)*(Planning2[Date]=Q107),0),4),"-")</f>
        <v/>
      </c>
      <c r="G107" s="405">
        <f>IFERROR(IF(OR(IFERROR(INDEX('Planning Pauses Dej'!$C:$C,MATCH($B107&amp;"|"&amp;TEXT($Q107,"YYYYMMDD"),'Planning Pauses Dej'!$F:$F,0)),"")="",IFERROR(INDEX('Planning Pauses Dej'!$D:$D,MATCH($B107&amp;"|"&amp;TEXT($Q107,"YYYYMMDD"),'Planning Pauses Dej'!$F:$F,0)),"")=""),"",_xlfn.MAXIFS(Connexions!$Q:$Q,Connexions!$K:$K,$Q107,Connexions!$E:$E,VLOOKUP($B107,Mapping_Noms!$A:$B,2,0),Connexions!$O:$O,"&lt;="&amp;(IFERROR(INDEX('Planning Pauses Dej'!$D:$D,MATCH($B107&amp;"|"&amp;TEXT($Q107,"YYYYMMDD"),'Planning Pauses Dej'!$F:$F,0)),"")+TIME(1,0,0)),Connexions!$P:$P,"&gt;="&amp;(IFERROR(INDEX('Planning Pauses Dej'!$C:$C,MATCH($B107&amp;"|"&amp;TEXT($Q107,"YYYYMMDD"),'Planning Pauses Dej'!$F:$F,0)),"")+TIME(1,0,0)))),"")</f>
        <v/>
      </c>
      <c r="H107" s="405">
        <f>IFERROR(IF(OR($G107="",IFERROR(INDEX('Planning Pauses Dej'!$C:$C,MATCH($B107&amp;"|"&amp;TEXT($Q107,"YYYYMMDD"),'Planning Pauses Dej'!$F:$F,0)),"")="",IFERROR(INDEX('Planning Pauses Dej'!$D:$D,MATCH($B107&amp;"|"&amp;TEXT($Q107,"YYYYMMDD"),'Planning Pauses Dej'!$F:$F,0)),"")=""),"",IF($G107&gt;(IFERROR(INDEX('Planning Pauses Dej'!$D:$D,MATCH($B107&amp;"|"&amp;TEXT($Q107,"YYYYMMDD"),'Planning Pauses Dej'!$F:$F,0)),"")-IFERROR(INDEX('Planning Pauses Dej'!$C:$C,MATCH($B107&amp;"|"&amp;TEXT($Q107,"YYYYMMDD"),'Planning Pauses Dej'!$F:$F,0)),"")),$G107-(IFERROR(INDEX('Planning Pauses Dej'!$D:$D,MATCH($B107&amp;"|"&amp;TEXT($Q107,"YYYYMMDD"),'Planning Pauses Dej'!$F:$F,0)),"")-IFERROR(INDEX('Planning Pauses Dej'!$C:$C,MATCH($B107&amp;"|"&amp;TEXT($Q107,"YYYYMMDD"),'Planning Pauses Dej'!$F:$F,0)),"")),0)),"")</f>
        <v/>
      </c>
      <c r="I107" s="251">
        <f>IF(IF(OR(C107="",D107="Congé",D107="OFF",D107="Congé spécial"),"",IF(D107&gt;F107,D107-C107,IF(C107-D107&lt;0,0,C107-D107)))&lt;0.00068287037037037,"",IF(OR(D107="Congé",D107="OFF",C107="",D107="Congé spécial"),"",IF(D107&gt;F107,D107-C107,IF(C107-D107&lt;0,0,C107-D107))))</f>
        <v/>
      </c>
      <c r="J107" s="405">
        <f>IFERROR(IF($G107="","",IF($G107&gt;TIME(1,0,0),$G107-TIME(1,0,0),0)),"")</f>
        <v/>
      </c>
      <c r="K107" s="238">
        <f>IF(SUM(H107:J107)&lt;0.00068287037037037,0,SUM(H107:J107))</f>
        <v/>
      </c>
      <c r="L107" s="236">
        <f>IF(OR(F107="Congé",F107="OFF",M107="Abs",F107="Congé sans solde",F107="Férié",F107="Congé spécial",D107="Congé spécial"),0,IF(F107-E107&lt;0,0,IF(F107-E107&lt;=0.00068287037037037,0,F107-E107)))</f>
        <v/>
      </c>
      <c r="M107" s="239">
        <f>IF(AND(O107&lt;&gt;0,C107=""),"Abs",0)</f>
        <v/>
      </c>
      <c r="N107" s="240">
        <f>IFERROR(IF(OR(D107="OFF",D107="Congé",M107="Abs",D107="Congé sans solde",D107="Férié"),"",IF(O107-K107-L107&gt;O107,O107,IF(O107-K107-L107&lt;0,"",O107-K107-L107))),"")</f>
        <v/>
      </c>
      <c r="O107" s="241">
        <f>IF(AG107="2H Pause déjeuner",IF(F107-D107-0.0833333333333333&lt;0,F107-D107-0.0833333333333333+1,F107-D107-0.0833333333333333),IF(OR(AND(F107="OFF",D107="OFF"),AND(F107="Congé",D107="Congé"),AND(F107="Congé sans solde",D107="Congé sans solde"),AND(F107="Congé spécial",D107="Congé spécial"),AND(F107="Férié",D107="Férié"),AND(F107="OFF",D107="Congé"),AND(F107="OFF",D107="Congé sans solde"),AND(F107="OFF",D107="Congé spécial"),AND(F107="OFF",D107="Férié"),AND(F107="Congé",D107="OFF"),AND(F107="Congé",D107="Congé sans solde"),AND(F107="Congé",D107="Congé spécial"),AND(F107="Congé",D107="Férié"),AND(F107="Congé sans solde",D107="OFF"),AND(F107="Congé sans solde",D107="Congé"),AND(F107="Congé sans solde",D107="Congé spécial"),AND(F107="Congé sans solde",D107="Férié"),AND(F107="Congé spécial",D107="OFF"),AND(F107="Congé spécial",D107="Congé"),AND(F107="Congé spécial",D107="Congé sans solde"),AND(F107="Congé spécial",D107="Férié"),AND(F107="Férié",D107="OFF"),AND(F107="Férié",D107="Congé"),AND(F107="Férié",D107="Congé sans solde"),AND(F107="Férié",D107="Congé spécial")),0,IF(OR(F107="OFF",F107="Congé",F107="Congé spécial",F107="Congé sans solde",D107="OFF",D107="Congé",D107="Congé spécial",D107="Congé sans solde"),0.208333333333334,IF(AND(AG107="",F107-D107&lt;0),("24:00:00"-D107)+("00:00:00"+F107)-0.0416666666666667,IF(AND(OR(AG107="Allaitement",AG107="Sans déjeuner"),F107-D107&lt;0),("24:00:00"-D107)+("00:00:00"+F107),IF(AND(AG107="",F107-D107&gt;0.166666666666667),F107-D107-0.0416666666666667,IF(AND(OR(AG107="Allaitement",AG107="Sans déjeuner"),F107-D107&gt;0.166666666666667),F107-D107,F107-D107)))))))</f>
        <v/>
      </c>
      <c r="P107" s="242">
        <f>IFERROR(VLOOKUP($B107,Annuaire_roster!$B:$G,MATCH(P$1,Annuaire_roster!$B$1:$G$1,0),0),"-")</f>
        <v/>
      </c>
      <c r="Q107" s="243" t="n">
        <v>44764</v>
      </c>
      <c r="R107" s="244">
        <f>IF(M107="Abs",O107,0)</f>
        <v/>
      </c>
      <c r="S107" s="244">
        <f>SUM(R107,L107,I107,J107,W107,H107)</f>
        <v/>
      </c>
      <c r="T107" s="209">
        <f>"Sem - "&amp;WEEKNUM(Q107,21)</f>
        <v/>
      </c>
      <c r="U107" s="209">
        <f>PROPER(TEXT(Q107,"mmmm"))</f>
        <v/>
      </c>
      <c r="V107" s="245">
        <f>+TEXT(Q107,"aaa")</f>
        <v/>
      </c>
      <c r="W107" s="240" t="n"/>
      <c r="X107" s="246">
        <f>IFERROR(IF(M107="Abs",0,IF((D107-C107+E107-F107)&lt;0.000694444444444444,0,(D107-C107+E107-F107))),0)</f>
        <v/>
      </c>
      <c r="Y107" s="247">
        <f>IFERROR(VLOOKUP(B107,Annuaire_roster!B:E,4,0),"-")</f>
        <v/>
      </c>
      <c r="Z107" s="247">
        <f>IFERROR(VLOOKUP(B107,Annuaire_roster!B:F,3,0),"-")</f>
        <v/>
      </c>
      <c r="AA107" s="247">
        <f>IFERROR(VLOOKUP(B107,Annuaire_roster!B:I,6,0),"-")</f>
        <v/>
      </c>
      <c r="AB107" s="248">
        <f>IF(AND(D107="Congé",F107="Congé"),0.333333333333333,IF(OR(AND(D107="Congé",F107&lt;&gt;"Congé"),(AND(F107="Congé",D107&lt;&gt;"Congé"))),0.166666666666667,""))</f>
        <v/>
      </c>
      <c r="AC107" s="248">
        <f>IF(AND(D107="Congé sans solde",F107="Congé sans solde"),0.333333333333333,IF(OR(AND(D107="Congé sans solde",F107&lt;&gt;"Congé sans solde"),(AND(F107="Congé sans solde",D107&lt;&gt;"Congé sans solde"))),0.166666666666667,""))</f>
        <v/>
      </c>
      <c r="AD107" s="248">
        <f>IF(AND(D107="Congé spécial",F107="Congé spécial"),0.333333333333333,IF(OR(AND(D107="Congé spécial",F107&lt;&gt;"Congé décès"),(AND(F107="Congé spécial",D107&lt;&gt;"Congé spécial"))),0.166666666666667,""))</f>
        <v/>
      </c>
      <c r="AE107" s="249">
        <f>IF(AND(D107="Férié",F107="Férié"),0.333333333333333,IF(OR(AND(D107="Férié",F107&lt;&gt;"Férié"),(AND(F107="Férié",D107&lt;&gt;"Férié"))),0.166666666666667,""))</f>
        <v/>
      </c>
      <c r="AF107" s="249" t="n"/>
      <c r="AG107" s="244" t="n"/>
    </row>
    <row r="108" hidden="1" ht="12.75" customHeight="1" s="231">
      <c r="A108" s="232">
        <f>VLOOKUP(B108,Annuaire_roster!B:F,5,0)</f>
        <v/>
      </c>
      <c r="B108" s="233" t="inlineStr">
        <is>
          <t>AIT ADDI KHADIJA</t>
        </is>
      </c>
      <c r="C108" s="234">
        <f>IFERROR(IF(COUNTIFS(Connexions!$K:$K,$Q108,Connexions!$E:$E,VLOOKUP($B108,Mapping_Noms!$A:$B,2,0))=0,"",_xlfn.MINIFS(Connexions!$M:$M,Connexions!$K:$K,$Q108,Connexions!$E:$E,VLOOKUP($B108,Mapping_Noms!$A:$B,2,0))-TIME(1,0,0)),"")</f>
        <v/>
      </c>
      <c r="D108" s="234">
        <f t="array" ref="D108:D108">IFERROR(INDEX(Planning2[],MATCH(1,(Planning2[Nom]=B108)*(Planning2[Date]=Q108),0),3),"-")</f>
        <v/>
      </c>
      <c r="E108" s="235">
        <f>IFERROR(IF(COUNTIFS(Connexions!$K:$K,$Q108,Connexions!$E:$E,VLOOKUP($B108,Mapping_Noms!$A:$B,2,0))=0,"",_xlfn.MAXIFS(Connexions!$O:$O,Connexions!$K:$K,$Q108,Connexions!$E:$E,VLOOKUP($B108,Mapping_Noms!$A:$B,2,0))-TIME(1,0,0)),"")</f>
        <v/>
      </c>
      <c r="F108" s="235">
        <f t="array" ref="F108:F108">IFERROR(INDEX(Planning2[],MATCH(1,(Planning2[Nom]=B108)*(Planning2[Date]=Q108),0),4),"-")</f>
        <v/>
      </c>
      <c r="G108" s="405">
        <f>IFERROR(IF(OR(IFERROR(INDEX('Planning Pauses Dej'!$C:$C,MATCH($B108&amp;"|"&amp;TEXT($Q108,"YYYYMMDD"),'Planning Pauses Dej'!$F:$F,0)),"")="",IFERROR(INDEX('Planning Pauses Dej'!$D:$D,MATCH($B108&amp;"|"&amp;TEXT($Q108,"YYYYMMDD"),'Planning Pauses Dej'!$F:$F,0)),"")=""),"",_xlfn.MAXIFS(Connexions!$Q:$Q,Connexions!$K:$K,$Q108,Connexions!$E:$E,VLOOKUP($B108,Mapping_Noms!$A:$B,2,0),Connexions!$O:$O,"&lt;="&amp;(IFERROR(INDEX('Planning Pauses Dej'!$D:$D,MATCH($B108&amp;"|"&amp;TEXT($Q108,"YYYYMMDD"),'Planning Pauses Dej'!$F:$F,0)),"")+TIME(1,0,0)),Connexions!$P:$P,"&gt;="&amp;(IFERROR(INDEX('Planning Pauses Dej'!$C:$C,MATCH($B108&amp;"|"&amp;TEXT($Q108,"YYYYMMDD"),'Planning Pauses Dej'!$F:$F,0)),"")+TIME(1,0,0)))),"")</f>
        <v/>
      </c>
      <c r="H108" s="405">
        <f>IFERROR(IF(OR($G108="",IFERROR(INDEX('Planning Pauses Dej'!$C:$C,MATCH($B108&amp;"|"&amp;TEXT($Q108,"YYYYMMDD"),'Planning Pauses Dej'!$F:$F,0)),"")="",IFERROR(INDEX('Planning Pauses Dej'!$D:$D,MATCH($B108&amp;"|"&amp;TEXT($Q108,"YYYYMMDD"),'Planning Pauses Dej'!$F:$F,0)),"")=""),"",IF($G108&gt;(IFERROR(INDEX('Planning Pauses Dej'!$D:$D,MATCH($B108&amp;"|"&amp;TEXT($Q108,"YYYYMMDD"),'Planning Pauses Dej'!$F:$F,0)),"")-IFERROR(INDEX('Planning Pauses Dej'!$C:$C,MATCH($B108&amp;"|"&amp;TEXT($Q108,"YYYYMMDD"),'Planning Pauses Dej'!$F:$F,0)),"")),$G108-(IFERROR(INDEX('Planning Pauses Dej'!$D:$D,MATCH($B108&amp;"|"&amp;TEXT($Q108,"YYYYMMDD"),'Planning Pauses Dej'!$F:$F,0)),"")-IFERROR(INDEX('Planning Pauses Dej'!$C:$C,MATCH($B108&amp;"|"&amp;TEXT($Q108,"YYYYMMDD"),'Planning Pauses Dej'!$F:$F,0)),"")),0)),"")</f>
        <v/>
      </c>
      <c r="I108" s="251">
        <f>IF(IF(OR(C108="",D108="Congé",D108="OFF",D108="Congé spécial"),"",IF(D108&gt;F108,D108-C108,IF(C108-D108&lt;0,0,C108-D108)))&lt;0.00068287037037037,"",IF(OR(D108="Congé",D108="OFF",C108="",D108="Congé spécial"),"",IF(D108&gt;F108,D108-C108,IF(C108-D108&lt;0,0,C108-D108))))</f>
        <v/>
      </c>
      <c r="J108" s="405">
        <f>IFERROR(IF($G108="","",IF($G108&gt;TIME(1,0,0),$G108-TIME(1,0,0),0)),"")</f>
        <v/>
      </c>
      <c r="K108" s="238">
        <f>IF(SUM(H108:J108)&lt;0.00068287037037037,0,SUM(H108:J108))</f>
        <v/>
      </c>
      <c r="L108" s="236">
        <f>IF(OR(F108="Congé",F108="OFF",M108="Abs",F108="Congé sans solde",F108="Férié",F108="Congé spécial",D108="Congé spécial"),0,IF(F108-E108&lt;0,0,IF(F108-E108&lt;=0.00068287037037037,0,F108-E108)))</f>
        <v/>
      </c>
      <c r="M108" s="239">
        <f>IF(AND(O108&lt;&gt;0,C108=""),"Abs",0)</f>
        <v/>
      </c>
      <c r="N108" s="240">
        <f>IFERROR(IF(OR(D108="OFF",D108="Congé",M108="Abs",D108="Congé sans solde",D108="Férié"),"",IF(O108-K108-L108&gt;O108,O108,IF(O108-K108-L108&lt;0,"",O108-K108-L108))),"")</f>
        <v/>
      </c>
      <c r="O108" s="241">
        <f>IF(AG108="2H Pause déjeuner",IF(F108-D108-0.0833333333333333&lt;0,F108-D108-0.0833333333333333+1,F108-D108-0.0833333333333333),IF(OR(AND(F108="OFF",D108="OFF"),AND(F108="Congé",D108="Congé"),AND(F108="Congé sans solde",D108="Congé sans solde"),AND(F108="Congé spécial",D108="Congé spécial"),AND(F108="Férié",D108="Férié"),AND(F108="OFF",D108="Congé"),AND(F108="OFF",D108="Congé sans solde"),AND(F108="OFF",D108="Congé spécial"),AND(F108="OFF",D108="Férié"),AND(F108="Congé",D108="OFF"),AND(F108="Congé",D108="Congé sans solde"),AND(F108="Congé",D108="Congé spécial"),AND(F108="Congé",D108="Férié"),AND(F108="Congé sans solde",D108="OFF"),AND(F108="Congé sans solde",D108="Congé"),AND(F108="Congé sans solde",D108="Congé spécial"),AND(F108="Congé sans solde",D108="Férié"),AND(F108="Congé spécial",D108="OFF"),AND(F108="Congé spécial",D108="Congé"),AND(F108="Congé spécial",D108="Congé sans solde"),AND(F108="Congé spécial",D108="Férié"),AND(F108="Férié",D108="OFF"),AND(F108="Férié",D108="Congé"),AND(F108="Férié",D108="Congé sans solde"),AND(F108="Férié",D108="Congé spécial")),0,IF(OR(F108="OFF",F108="Congé",F108="Congé spécial",F108="Congé sans solde",D108="OFF",D108="Congé",D108="Congé spécial",D108="Congé sans solde"),0.208333333333334,IF(AND(AG108="",F108-D108&lt;0),("24:00:00"-D108)+("00:00:00"+F108)-0.0416666666666667,IF(AND(OR(AG108="Allaitement",AG108="Sans déjeuner"),F108-D108&lt;0),("24:00:00"-D108)+("00:00:00"+F108),IF(AND(AG108="",F108-D108&gt;0.166666666666667),F108-D108-0.0416666666666667,IF(AND(OR(AG108="Allaitement",AG108="Sans déjeuner"),F108-D108&gt;0.166666666666667),F108-D108,F108-D108)))))))</f>
        <v/>
      </c>
      <c r="P108" s="242">
        <f>IFERROR(VLOOKUP($B108,Annuaire_roster!$B:$G,MATCH(P$1,Annuaire_roster!$B$1:$G$1,0),0),"-")</f>
        <v/>
      </c>
      <c r="Q108" s="243" t="n">
        <v>44764</v>
      </c>
      <c r="R108" s="244">
        <f>IF(M108="Abs",O108,0)</f>
        <v/>
      </c>
      <c r="S108" s="244">
        <f>SUM(R108,L108,I108,J108,W108,H108)</f>
        <v/>
      </c>
      <c r="T108" s="209">
        <f>"Sem - "&amp;WEEKNUM(Q108,21)</f>
        <v/>
      </c>
      <c r="U108" s="209">
        <f>PROPER(TEXT(Q108,"mmmm"))</f>
        <v/>
      </c>
      <c r="V108" s="245">
        <f>+TEXT(Q108,"aaa")</f>
        <v/>
      </c>
      <c r="W108" s="240" t="n"/>
      <c r="X108" s="246">
        <f>IFERROR(IF(M108="Abs",0,IF((D108-C108+E108-F108)&lt;0.000694444444444444,0,(D108-C108+E108-F108))),0)</f>
        <v/>
      </c>
      <c r="Y108" s="247">
        <f>IFERROR(VLOOKUP(B108,Annuaire_roster!B:E,4,0),"-")</f>
        <v/>
      </c>
      <c r="Z108" s="247">
        <f>IFERROR(VLOOKUP(B108,Annuaire_roster!B:F,3,0),"-")</f>
        <v/>
      </c>
      <c r="AA108" s="247">
        <f>IFERROR(VLOOKUP(B108,Annuaire_roster!B:I,6,0),"-")</f>
        <v/>
      </c>
      <c r="AB108" s="248">
        <f>IF(AND(D108="Congé",F108="Congé"),0.333333333333333,IF(OR(AND(D108="Congé",F108&lt;&gt;"Congé"),(AND(F108="Congé",D108&lt;&gt;"Congé"))),0.166666666666667,""))</f>
        <v/>
      </c>
      <c r="AC108" s="248">
        <f>IF(AND(D108="Congé sans solde",F108="Congé sans solde"),0.333333333333333,IF(OR(AND(D108="Congé sans solde",F108&lt;&gt;"Congé sans solde"),(AND(F108="Congé sans solde",D108&lt;&gt;"Congé sans solde"))),0.166666666666667,""))</f>
        <v/>
      </c>
      <c r="AD108" s="248">
        <f>IF(AND(D108="Congé spécial",F108="Congé spécial"),0.333333333333333,IF(OR(AND(D108="Congé spécial",F108&lt;&gt;"Congé décès"),(AND(F108="Congé spécial",D108&lt;&gt;"Congé spécial"))),0.166666666666667,""))</f>
        <v/>
      </c>
      <c r="AE108" s="249">
        <f>IF(AND(D108="Férié",F108="Férié"),0.333333333333333,IF(OR(AND(D108="Férié",F108&lt;&gt;"Férié"),(AND(F108="Férié",D108&lt;&gt;"Férié"))),0.166666666666667,""))</f>
        <v/>
      </c>
      <c r="AF108" s="249" t="n"/>
      <c r="AG108" s="244" t="n"/>
    </row>
    <row r="109" hidden="1" ht="12.75" customHeight="1" s="231">
      <c r="A109" s="232">
        <f>VLOOKUP(B109,Annuaire_roster!B:F,5,0)</f>
        <v/>
      </c>
      <c r="B109" s="233" t="inlineStr">
        <is>
          <t>AIT LARBI HIND</t>
        </is>
      </c>
      <c r="C109" s="234">
        <f>IFERROR(IF(COUNTIFS(Connexions!$K:$K,$Q109,Connexions!$E:$E,VLOOKUP($B109,Mapping_Noms!$A:$B,2,0))=0,"",_xlfn.MINIFS(Connexions!$M:$M,Connexions!$K:$K,$Q109,Connexions!$E:$E,VLOOKUP($B109,Mapping_Noms!$A:$B,2,0))-TIME(1,0,0)),"")</f>
        <v/>
      </c>
      <c r="D109" s="234">
        <f t="array" ref="D109:D109">IFERROR(INDEX(Planning2[],MATCH(1,(Planning2[Nom]=B109)*(Planning2[Date]=Q109),0),3),"-")</f>
        <v/>
      </c>
      <c r="E109" s="235">
        <f>IFERROR(IF(COUNTIFS(Connexions!$K:$K,$Q109,Connexions!$E:$E,VLOOKUP($B109,Mapping_Noms!$A:$B,2,0))=0,"",_xlfn.MAXIFS(Connexions!$O:$O,Connexions!$K:$K,$Q109,Connexions!$E:$E,VLOOKUP($B109,Mapping_Noms!$A:$B,2,0))-TIME(1,0,0)),"")</f>
        <v/>
      </c>
      <c r="F109" s="235">
        <f t="array" ref="F109:F109">IFERROR(INDEX(Planning2[],MATCH(1,(Planning2[Nom]=B109)*(Planning2[Date]=Q109),0),4),"-")</f>
        <v/>
      </c>
      <c r="G109" s="405">
        <f>IFERROR(IF(OR(IFERROR(INDEX('Planning Pauses Dej'!$C:$C,MATCH($B109&amp;"|"&amp;TEXT($Q109,"YYYYMMDD"),'Planning Pauses Dej'!$F:$F,0)),"")="",IFERROR(INDEX('Planning Pauses Dej'!$D:$D,MATCH($B109&amp;"|"&amp;TEXT($Q109,"YYYYMMDD"),'Planning Pauses Dej'!$F:$F,0)),"")=""),"",_xlfn.MAXIFS(Connexions!$Q:$Q,Connexions!$K:$K,$Q109,Connexions!$E:$E,VLOOKUP($B109,Mapping_Noms!$A:$B,2,0),Connexions!$O:$O,"&lt;="&amp;(IFERROR(INDEX('Planning Pauses Dej'!$D:$D,MATCH($B109&amp;"|"&amp;TEXT($Q109,"YYYYMMDD"),'Planning Pauses Dej'!$F:$F,0)),"")+TIME(1,0,0)),Connexions!$P:$P,"&gt;="&amp;(IFERROR(INDEX('Planning Pauses Dej'!$C:$C,MATCH($B109&amp;"|"&amp;TEXT($Q109,"YYYYMMDD"),'Planning Pauses Dej'!$F:$F,0)),"")+TIME(1,0,0)))),"")</f>
        <v/>
      </c>
      <c r="H109" s="405">
        <f>IFERROR(IF(OR($G109="",IFERROR(INDEX('Planning Pauses Dej'!$C:$C,MATCH($B109&amp;"|"&amp;TEXT($Q109,"YYYYMMDD"),'Planning Pauses Dej'!$F:$F,0)),"")="",IFERROR(INDEX('Planning Pauses Dej'!$D:$D,MATCH($B109&amp;"|"&amp;TEXT($Q109,"YYYYMMDD"),'Planning Pauses Dej'!$F:$F,0)),"")=""),"",IF($G109&gt;(IFERROR(INDEX('Planning Pauses Dej'!$D:$D,MATCH($B109&amp;"|"&amp;TEXT($Q109,"YYYYMMDD"),'Planning Pauses Dej'!$F:$F,0)),"")-IFERROR(INDEX('Planning Pauses Dej'!$C:$C,MATCH($B109&amp;"|"&amp;TEXT($Q109,"YYYYMMDD"),'Planning Pauses Dej'!$F:$F,0)),"")),$G109-(IFERROR(INDEX('Planning Pauses Dej'!$D:$D,MATCH($B109&amp;"|"&amp;TEXT($Q109,"YYYYMMDD"),'Planning Pauses Dej'!$F:$F,0)),"")-IFERROR(INDEX('Planning Pauses Dej'!$C:$C,MATCH($B109&amp;"|"&amp;TEXT($Q109,"YYYYMMDD"),'Planning Pauses Dej'!$F:$F,0)),"")),0)),"")</f>
        <v/>
      </c>
      <c r="I109" s="251">
        <f>IF(IF(OR(C109="",D109="Congé",D109="OFF",D109="Congé spécial"),"",IF(D109&gt;F109,D109-C109,IF(C109-D109&lt;0,0,C109-D109)))&lt;0.00068287037037037,"",IF(OR(D109="Congé",D109="OFF",C109="",D109="Congé spécial"),"",IF(D109&gt;F109,D109-C109,IF(C109-D109&lt;0,0,C109-D109))))</f>
        <v/>
      </c>
      <c r="J109" s="405">
        <f>IFERROR(IF($G109="","",IF($G109&gt;TIME(1,0,0),$G109-TIME(1,0,0),0)),"")</f>
        <v/>
      </c>
      <c r="K109" s="238">
        <f>IF(SUM(H109:J109)&lt;0.00068287037037037,0,SUM(H109:J109))</f>
        <v/>
      </c>
      <c r="L109" s="236">
        <f>IF(OR(F109="Congé",F109="OFF",M109="Abs",F109="Congé sans solde",F109="Férié",F109="Congé spécial",D109="Congé spécial"),0,IF(F109-E109&lt;0,0,IF(F109-E109&lt;=0.00068287037037037,0,F109-E109)))</f>
        <v/>
      </c>
      <c r="M109" s="239">
        <f>IF(AND(O109&lt;&gt;0,C109=""),"Abs",0)</f>
        <v/>
      </c>
      <c r="N109" s="240">
        <f>IFERROR(IF(OR(D109="OFF",D109="Congé",M109="Abs",D109="Congé sans solde",D109="Férié"),"",IF(O109-K109-L109&gt;O109,O109,IF(O109-K109-L109&lt;0,"",O109-K109-L109))),"")</f>
        <v/>
      </c>
      <c r="O109" s="241">
        <f>IF(AG109="2H Pause déjeuner",IF(F109-D109-0.0833333333333333&lt;0,F109-D109-0.0833333333333333+1,F109-D109-0.0833333333333333),IF(OR(AND(F109="OFF",D109="OFF"),AND(F109="Congé",D109="Congé"),AND(F109="Congé sans solde",D109="Congé sans solde"),AND(F109="Congé spécial",D109="Congé spécial"),AND(F109="Férié",D109="Férié"),AND(F109="OFF",D109="Congé"),AND(F109="OFF",D109="Congé sans solde"),AND(F109="OFF",D109="Congé spécial"),AND(F109="OFF",D109="Férié"),AND(F109="Congé",D109="OFF"),AND(F109="Congé",D109="Congé sans solde"),AND(F109="Congé",D109="Congé spécial"),AND(F109="Congé",D109="Férié"),AND(F109="Congé sans solde",D109="OFF"),AND(F109="Congé sans solde",D109="Congé"),AND(F109="Congé sans solde",D109="Congé spécial"),AND(F109="Congé sans solde",D109="Férié"),AND(F109="Congé spécial",D109="OFF"),AND(F109="Congé spécial",D109="Congé"),AND(F109="Congé spécial",D109="Congé sans solde"),AND(F109="Congé spécial",D109="Férié"),AND(F109="Férié",D109="OFF"),AND(F109="Férié",D109="Congé"),AND(F109="Férié",D109="Congé sans solde"),AND(F109="Férié",D109="Congé spécial")),0,IF(OR(F109="OFF",F109="Congé",F109="Congé spécial",F109="Congé sans solde",D109="OFF",D109="Congé",D109="Congé spécial",D109="Congé sans solde"),0.208333333333334,IF(AND(AG109="",F109-D109&lt;0),("24:00:00"-D109)+("00:00:00"+F109)-0.0416666666666667,IF(AND(OR(AG109="Allaitement",AG109="Sans déjeuner"),F109-D109&lt;0),("24:00:00"-D109)+("00:00:00"+F109),IF(AND(AG109="",F109-D109&gt;0.166666666666667),F109-D109-0.0416666666666667,IF(AND(OR(AG109="Allaitement",AG109="Sans déjeuner"),F109-D109&gt;0.166666666666667),F109-D109,F109-D109)))))))</f>
        <v/>
      </c>
      <c r="P109" s="242">
        <f>IFERROR(VLOOKUP($B109,Annuaire_roster!$B:$G,MATCH(P$1,Annuaire_roster!$B$1:$G$1,0),0),"-")</f>
        <v/>
      </c>
      <c r="Q109" s="243" t="n">
        <v>44764</v>
      </c>
      <c r="R109" s="244">
        <f>IF(M109="Abs",O109,0)</f>
        <v/>
      </c>
      <c r="S109" s="244">
        <f>SUM(R109,L109,I109,J109,W109,H109)</f>
        <v/>
      </c>
      <c r="T109" s="209">
        <f>"Sem - "&amp;WEEKNUM(Q109,21)</f>
        <v/>
      </c>
      <c r="U109" s="209">
        <f>PROPER(TEXT(Q109,"mmmm"))</f>
        <v/>
      </c>
      <c r="V109" s="245">
        <f>+TEXT(Q109,"aaa")</f>
        <v/>
      </c>
      <c r="W109" s="240" t="n"/>
      <c r="X109" s="246">
        <f>IFERROR(IF(M109="Abs",0,IF((D109-C109+E109-F109)&lt;0.000694444444444444,0,(D109-C109+E109-F109))),0)</f>
        <v/>
      </c>
      <c r="Y109" s="247">
        <f>IFERROR(VLOOKUP(B109,Annuaire_roster!B:E,4,0),"-")</f>
        <v/>
      </c>
      <c r="Z109" s="247">
        <f>IFERROR(VLOOKUP(B109,Annuaire_roster!B:F,3,0),"-")</f>
        <v/>
      </c>
      <c r="AA109" s="247">
        <f>IFERROR(VLOOKUP(B109,Annuaire_roster!B:I,6,0),"-")</f>
        <v/>
      </c>
      <c r="AB109" s="248">
        <f>IF(AND(D109="Congé",F109="Congé"),0.333333333333333,IF(OR(AND(D109="Congé",F109&lt;&gt;"Congé"),(AND(F109="Congé",D109&lt;&gt;"Congé"))),0.166666666666667,""))</f>
        <v/>
      </c>
      <c r="AC109" s="248">
        <f>IF(AND(D109="Congé sans solde",F109="Congé sans solde"),0.333333333333333,IF(OR(AND(D109="Congé sans solde",F109&lt;&gt;"Congé sans solde"),(AND(F109="Congé sans solde",D109&lt;&gt;"Congé sans solde"))),0.166666666666667,""))</f>
        <v/>
      </c>
      <c r="AD109" s="248">
        <f>IF(AND(D109="Congé spécial",F109="Congé spécial"),0.333333333333333,IF(OR(AND(D109="Congé spécial",F109&lt;&gt;"Congé décès"),(AND(F109="Congé spécial",D109&lt;&gt;"Congé spécial"))),0.166666666666667,""))</f>
        <v/>
      </c>
      <c r="AE109" s="249">
        <f>IF(AND(D109="Férié",F109="Férié"),0.333333333333333,IF(OR(AND(D109="Férié",F109&lt;&gt;"Férié"),(AND(F109="Férié",D109&lt;&gt;"Férié"))),0.166666666666667,""))</f>
        <v/>
      </c>
      <c r="AF109" s="249" t="n"/>
      <c r="AG109" s="244" t="n"/>
    </row>
    <row r="110" hidden="1" ht="12.75" customHeight="1" s="231">
      <c r="A110" s="232">
        <f>VLOOKUP(B110,Annuaire_roster!B:F,5,0)</f>
        <v/>
      </c>
      <c r="B110" s="233" t="inlineStr">
        <is>
          <t>EL-AOUAQUI BOUCHRA</t>
        </is>
      </c>
      <c r="C110" s="234">
        <f>IFERROR(IF(COUNTIFS(Connexions!$K:$K,$Q110,Connexions!$E:$E,VLOOKUP($B110,Mapping_Noms!$A:$B,2,0))=0,"",_xlfn.MINIFS(Connexions!$M:$M,Connexions!$K:$K,$Q110,Connexions!$E:$E,VLOOKUP($B110,Mapping_Noms!$A:$B,2,0))-TIME(1,0,0)),"")</f>
        <v/>
      </c>
      <c r="D110" s="234">
        <f t="array" ref="D110:D110">IFERROR(INDEX(Planning2[],MATCH(1,(Planning2[Nom]=B110)*(Planning2[Date]=Q110),0),3),"-")</f>
        <v/>
      </c>
      <c r="E110" s="235">
        <f>IFERROR(IF(COUNTIFS(Connexions!$K:$K,$Q110,Connexions!$E:$E,VLOOKUP($B110,Mapping_Noms!$A:$B,2,0))=0,"",_xlfn.MAXIFS(Connexions!$O:$O,Connexions!$K:$K,$Q110,Connexions!$E:$E,VLOOKUP($B110,Mapping_Noms!$A:$B,2,0))-TIME(1,0,0)),"")</f>
        <v/>
      </c>
      <c r="F110" s="235">
        <f t="array" ref="F110:F110">IFERROR(INDEX(Planning2[],MATCH(1,(Planning2[Nom]=B110)*(Planning2[Date]=Q110),0),4),"-")</f>
        <v/>
      </c>
      <c r="G110" s="405">
        <f>IFERROR(IF(OR(IFERROR(INDEX('Planning Pauses Dej'!$C:$C,MATCH($B110&amp;"|"&amp;TEXT($Q110,"YYYYMMDD"),'Planning Pauses Dej'!$F:$F,0)),"")="",IFERROR(INDEX('Planning Pauses Dej'!$D:$D,MATCH($B110&amp;"|"&amp;TEXT($Q110,"YYYYMMDD"),'Planning Pauses Dej'!$F:$F,0)),"")=""),"",_xlfn.MAXIFS(Connexions!$Q:$Q,Connexions!$K:$K,$Q110,Connexions!$E:$E,VLOOKUP($B110,Mapping_Noms!$A:$B,2,0),Connexions!$O:$O,"&lt;="&amp;(IFERROR(INDEX('Planning Pauses Dej'!$D:$D,MATCH($B110&amp;"|"&amp;TEXT($Q110,"YYYYMMDD"),'Planning Pauses Dej'!$F:$F,0)),"")+TIME(1,0,0)),Connexions!$P:$P,"&gt;="&amp;(IFERROR(INDEX('Planning Pauses Dej'!$C:$C,MATCH($B110&amp;"|"&amp;TEXT($Q110,"YYYYMMDD"),'Planning Pauses Dej'!$F:$F,0)),"")+TIME(1,0,0)))),"")</f>
        <v/>
      </c>
      <c r="H110" s="405">
        <f>IFERROR(IF(OR($G110="",IFERROR(INDEX('Planning Pauses Dej'!$C:$C,MATCH($B110&amp;"|"&amp;TEXT($Q110,"YYYYMMDD"),'Planning Pauses Dej'!$F:$F,0)),"")="",IFERROR(INDEX('Planning Pauses Dej'!$D:$D,MATCH($B110&amp;"|"&amp;TEXT($Q110,"YYYYMMDD"),'Planning Pauses Dej'!$F:$F,0)),"")=""),"",IF($G110&gt;(IFERROR(INDEX('Planning Pauses Dej'!$D:$D,MATCH($B110&amp;"|"&amp;TEXT($Q110,"YYYYMMDD"),'Planning Pauses Dej'!$F:$F,0)),"")-IFERROR(INDEX('Planning Pauses Dej'!$C:$C,MATCH($B110&amp;"|"&amp;TEXT($Q110,"YYYYMMDD"),'Planning Pauses Dej'!$F:$F,0)),"")),$G110-(IFERROR(INDEX('Planning Pauses Dej'!$D:$D,MATCH($B110&amp;"|"&amp;TEXT($Q110,"YYYYMMDD"),'Planning Pauses Dej'!$F:$F,0)),"")-IFERROR(INDEX('Planning Pauses Dej'!$C:$C,MATCH($B110&amp;"|"&amp;TEXT($Q110,"YYYYMMDD"),'Planning Pauses Dej'!$F:$F,0)),"")),0)),"")</f>
        <v/>
      </c>
      <c r="I110" s="251">
        <f>IF(IF(OR(C110="",D110="Congé",D110="OFF",D110="Congé spécial"),"",IF(D110&gt;F110,D110-C110,IF(C110-D110&lt;0,0,C110-D110)))&lt;0.00068287037037037,"",IF(OR(D110="Congé",D110="OFF",C110="",D110="Congé spécial"),"",IF(D110&gt;F110,D110-C110,IF(C110-D110&lt;0,0,C110-D110))))</f>
        <v/>
      </c>
      <c r="J110" s="405">
        <f>IFERROR(IF($G110="","",IF($G110&gt;TIME(1,0,0),$G110-TIME(1,0,0),0)),"")</f>
        <v/>
      </c>
      <c r="K110" s="238">
        <f>IF(SUM(H110:J110)&lt;0.00068287037037037,0,SUM(H110:J110))</f>
        <v/>
      </c>
      <c r="L110" s="236">
        <f>IF(OR(F110="Congé",F110="OFF",M110="Abs",F110="Congé sans solde",F110="Férié",F110="Congé spécial",D110="Congé spécial"),0,IF(F110-E110&lt;0,0,IF(F110-E110&lt;=0.00068287037037037,0,F110-E110)))</f>
        <v/>
      </c>
      <c r="M110" s="239">
        <f>IF(AND(O110&lt;&gt;0,C110=""),"Abs",0)</f>
        <v/>
      </c>
      <c r="N110" s="240">
        <f>IFERROR(IF(OR(D110="OFF",D110="Congé",M110="Abs",D110="Congé sans solde",D110="Férié"),"",IF(O110-K110-L110&gt;O110,O110,IF(O110-K110-L110&lt;0,"",O110-K110-L110))),"")</f>
        <v/>
      </c>
      <c r="O110" s="241">
        <f>IF(AG110="2H Pause déjeuner",IF(F110-D110-0.0833333333333333&lt;0,F110-D110-0.0833333333333333+1,F110-D110-0.0833333333333333),IF(OR(AND(F110="OFF",D110="OFF"),AND(F110="Congé",D110="Congé"),AND(F110="Congé sans solde",D110="Congé sans solde"),AND(F110="Congé spécial",D110="Congé spécial"),AND(F110="Férié",D110="Férié"),AND(F110="OFF",D110="Congé"),AND(F110="OFF",D110="Congé sans solde"),AND(F110="OFF",D110="Congé spécial"),AND(F110="OFF",D110="Férié"),AND(F110="Congé",D110="OFF"),AND(F110="Congé",D110="Congé sans solde"),AND(F110="Congé",D110="Congé spécial"),AND(F110="Congé",D110="Férié"),AND(F110="Congé sans solde",D110="OFF"),AND(F110="Congé sans solde",D110="Congé"),AND(F110="Congé sans solde",D110="Congé spécial"),AND(F110="Congé sans solde",D110="Férié"),AND(F110="Congé spécial",D110="OFF"),AND(F110="Congé spécial",D110="Congé"),AND(F110="Congé spécial",D110="Congé sans solde"),AND(F110="Congé spécial",D110="Férié"),AND(F110="Férié",D110="OFF"),AND(F110="Férié",D110="Congé"),AND(F110="Férié",D110="Congé sans solde"),AND(F110="Férié",D110="Congé spécial")),0,IF(OR(F110="OFF",F110="Congé",F110="Congé spécial",F110="Congé sans solde",D110="OFF",D110="Congé",D110="Congé spécial",D110="Congé sans solde"),0.208333333333334,IF(AND(AG110="",F110-D110&lt;0),("24:00:00"-D110)+("00:00:00"+F110)-0.0416666666666667,IF(AND(OR(AG110="Allaitement",AG110="Sans déjeuner"),F110-D110&lt;0),("24:00:00"-D110)+("00:00:00"+F110),IF(AND(AG110="",F110-D110&gt;0.166666666666667),F110-D110-0.0416666666666667,IF(AND(OR(AG110="Allaitement",AG110="Sans déjeuner"),F110-D110&gt;0.166666666666667),F110-D110,F110-D110)))))))</f>
        <v/>
      </c>
      <c r="P110" s="242">
        <f>IFERROR(VLOOKUP($B110,Annuaire_roster!$B:$G,MATCH(P$1,Annuaire_roster!$B$1:$G$1,0),0),"-")</f>
        <v/>
      </c>
      <c r="Q110" s="243" t="n">
        <v>44764</v>
      </c>
      <c r="R110" s="244">
        <f>IF(M110="Abs",O110,0)</f>
        <v/>
      </c>
      <c r="S110" s="244">
        <f>SUM(R110,L110,I110,J110,W110,H110)</f>
        <v/>
      </c>
      <c r="T110" s="209">
        <f>"Sem - "&amp;WEEKNUM(Q110,21)</f>
        <v/>
      </c>
      <c r="U110" s="209">
        <f>PROPER(TEXT(Q110,"mmmm"))</f>
        <v/>
      </c>
      <c r="V110" s="245">
        <f>+TEXT(Q110,"aaa")</f>
        <v/>
      </c>
      <c r="W110" s="240" t="n"/>
      <c r="X110" s="246">
        <f>IFERROR(IF(M110="Abs",0,IF((D110-C110+E110-F110)&lt;0.000694444444444444,0,(D110-C110+E110-F110))),0)</f>
        <v/>
      </c>
      <c r="Y110" s="247">
        <f>IFERROR(VLOOKUP(B110,Annuaire_roster!B:E,4,0),"-")</f>
        <v/>
      </c>
      <c r="Z110" s="247">
        <f>IFERROR(VLOOKUP(B110,Annuaire_roster!B:F,3,0),"-")</f>
        <v/>
      </c>
      <c r="AA110" s="247">
        <f>IFERROR(VLOOKUP(B110,Annuaire_roster!B:I,6,0),"-")</f>
        <v/>
      </c>
      <c r="AB110" s="248">
        <f>IF(AND(D110="Congé",F110="Congé"),0.333333333333333,IF(OR(AND(D110="Congé",F110&lt;&gt;"Congé"),(AND(F110="Congé",D110&lt;&gt;"Congé"))),0.166666666666667,""))</f>
        <v/>
      </c>
      <c r="AC110" s="248">
        <f>IF(AND(D110="Congé sans solde",F110="Congé sans solde"),0.333333333333333,IF(OR(AND(D110="Congé sans solde",F110&lt;&gt;"Congé sans solde"),(AND(F110="Congé sans solde",D110&lt;&gt;"Congé sans solde"))),0.166666666666667,""))</f>
        <v/>
      </c>
      <c r="AD110" s="248">
        <f>IF(AND(D110="Congé spécial",F110="Congé spécial"),0.333333333333333,IF(OR(AND(D110="Congé spécial",F110&lt;&gt;"Congé décès"),(AND(F110="Congé spécial",D110&lt;&gt;"Congé spécial"))),0.166666666666667,""))</f>
        <v/>
      </c>
      <c r="AE110" s="249">
        <f>IF(AND(D110="Férié",F110="Férié"),0.333333333333333,IF(OR(AND(D110="Férié",F110&lt;&gt;"Férié"),(AND(F110="Férié",D110&lt;&gt;"Férié"))),0.166666666666667,""))</f>
        <v/>
      </c>
      <c r="AF110" s="249" t="n"/>
      <c r="AG110" s="244" t="n"/>
    </row>
    <row r="111" hidden="1" ht="12.75" customHeight="1" s="231">
      <c r="A111" s="232">
        <f>VLOOKUP(B111,Annuaire_roster!B:F,5,0)</f>
        <v/>
      </c>
      <c r="B111" s="233" t="inlineStr">
        <is>
          <t>ZITOUNI LAMYA</t>
        </is>
      </c>
      <c r="C111" s="234">
        <f>IFERROR(IF(COUNTIFS(Connexions!$K:$K,$Q111,Connexions!$E:$E,VLOOKUP($B111,Mapping_Noms!$A:$B,2,0))=0,"",_xlfn.MINIFS(Connexions!$M:$M,Connexions!$K:$K,$Q111,Connexions!$E:$E,VLOOKUP($B111,Mapping_Noms!$A:$B,2,0))-TIME(1,0,0)),"")</f>
        <v/>
      </c>
      <c r="D111" s="234">
        <f t="array" ref="D111:D111">IFERROR(INDEX(Planning2[],MATCH(1,(Planning2[Nom]=B111)*(Planning2[Date]=Q111),0),3),"-")</f>
        <v/>
      </c>
      <c r="E111" s="235">
        <f>IFERROR(IF(COUNTIFS(Connexions!$K:$K,$Q111,Connexions!$E:$E,VLOOKUP($B111,Mapping_Noms!$A:$B,2,0))=0,"",_xlfn.MAXIFS(Connexions!$O:$O,Connexions!$K:$K,$Q111,Connexions!$E:$E,VLOOKUP($B111,Mapping_Noms!$A:$B,2,0))-TIME(1,0,0)),"")</f>
        <v/>
      </c>
      <c r="F111" s="235">
        <f t="array" ref="F111:F111">IFERROR(INDEX(Planning2[],MATCH(1,(Planning2[Nom]=B111)*(Planning2[Date]=Q111),0),4),"-")</f>
        <v/>
      </c>
      <c r="G111" s="405">
        <f>IFERROR(IF(OR(IFERROR(INDEX('Planning Pauses Dej'!$C:$C,MATCH($B111&amp;"|"&amp;TEXT($Q111,"YYYYMMDD"),'Planning Pauses Dej'!$F:$F,0)),"")="",IFERROR(INDEX('Planning Pauses Dej'!$D:$D,MATCH($B111&amp;"|"&amp;TEXT($Q111,"YYYYMMDD"),'Planning Pauses Dej'!$F:$F,0)),"")=""),"",_xlfn.MAXIFS(Connexions!$Q:$Q,Connexions!$K:$K,$Q111,Connexions!$E:$E,VLOOKUP($B111,Mapping_Noms!$A:$B,2,0),Connexions!$O:$O,"&lt;="&amp;(IFERROR(INDEX('Planning Pauses Dej'!$D:$D,MATCH($B111&amp;"|"&amp;TEXT($Q111,"YYYYMMDD"),'Planning Pauses Dej'!$F:$F,0)),"")+TIME(1,0,0)),Connexions!$P:$P,"&gt;="&amp;(IFERROR(INDEX('Planning Pauses Dej'!$C:$C,MATCH($B111&amp;"|"&amp;TEXT($Q111,"YYYYMMDD"),'Planning Pauses Dej'!$F:$F,0)),"")+TIME(1,0,0)))),"")</f>
        <v/>
      </c>
      <c r="H111" s="405">
        <f>IFERROR(IF(OR($G111="",IFERROR(INDEX('Planning Pauses Dej'!$C:$C,MATCH($B111&amp;"|"&amp;TEXT($Q111,"YYYYMMDD"),'Planning Pauses Dej'!$F:$F,0)),"")="",IFERROR(INDEX('Planning Pauses Dej'!$D:$D,MATCH($B111&amp;"|"&amp;TEXT($Q111,"YYYYMMDD"),'Planning Pauses Dej'!$F:$F,0)),"")=""),"",IF($G111&gt;(IFERROR(INDEX('Planning Pauses Dej'!$D:$D,MATCH($B111&amp;"|"&amp;TEXT($Q111,"YYYYMMDD"),'Planning Pauses Dej'!$F:$F,0)),"")-IFERROR(INDEX('Planning Pauses Dej'!$C:$C,MATCH($B111&amp;"|"&amp;TEXT($Q111,"YYYYMMDD"),'Planning Pauses Dej'!$F:$F,0)),"")),$G111-(IFERROR(INDEX('Planning Pauses Dej'!$D:$D,MATCH($B111&amp;"|"&amp;TEXT($Q111,"YYYYMMDD"),'Planning Pauses Dej'!$F:$F,0)),"")-IFERROR(INDEX('Planning Pauses Dej'!$C:$C,MATCH($B111&amp;"|"&amp;TEXT($Q111,"YYYYMMDD"),'Planning Pauses Dej'!$F:$F,0)),"")),0)),"")</f>
        <v/>
      </c>
      <c r="I111" s="251">
        <f>IF(IF(OR(C111="",D111="Congé",D111="OFF",D111="Congé spécial"),"",IF(D111&gt;F111,D111-C111,IF(C111-D111&lt;0,0,C111-D111)))&lt;0.00068287037037037,"",IF(OR(D111="Congé",D111="OFF",C111="",D111="Congé spécial"),"",IF(D111&gt;F111,D111-C111,IF(C111-D111&lt;0,0,C111-D111))))</f>
        <v/>
      </c>
      <c r="J111" s="405">
        <f>IFERROR(IF($G111="","",IF($G111&gt;TIME(1,0,0),$G111-TIME(1,0,0),0)),"")</f>
        <v/>
      </c>
      <c r="K111" s="238">
        <f>IF(SUM(H111:J111)&lt;0.00068287037037037,0,SUM(H111:J111))</f>
        <v/>
      </c>
      <c r="L111" s="236">
        <f>IF(OR(F111="Congé",F111="OFF",M111="Abs",F111="Congé sans solde",F111="Férié",F111="Congé spécial",D111="Congé spécial"),0,IF(F111-E111&lt;0,0,IF(F111-E111&lt;=0.00068287037037037,0,F111-E111)))</f>
        <v/>
      </c>
      <c r="M111" s="239">
        <f>IF(AND(O111&lt;&gt;0,C111=""),"Abs",0)</f>
        <v/>
      </c>
      <c r="N111" s="240">
        <f>IFERROR(IF(OR(D111="OFF",D111="Congé",M111="Abs",D111="Congé sans solde",D111="Férié"),"",IF(O111-K111-L111&gt;O111,O111,IF(O111-K111-L111&lt;0,"",O111-K111-L111))),"")</f>
        <v/>
      </c>
      <c r="O111" s="241">
        <f>IF(AG111="2H Pause déjeuner",IF(F111-D111-0.0833333333333333&lt;0,F111-D111-0.0833333333333333+1,F111-D111-0.0833333333333333),IF(OR(AND(F111="OFF",D111="OFF"),AND(F111="Congé",D111="Congé"),AND(F111="Congé sans solde",D111="Congé sans solde"),AND(F111="Congé spécial",D111="Congé spécial"),AND(F111="Férié",D111="Férié"),AND(F111="OFF",D111="Congé"),AND(F111="OFF",D111="Congé sans solde"),AND(F111="OFF",D111="Congé spécial"),AND(F111="OFF",D111="Férié"),AND(F111="Congé",D111="OFF"),AND(F111="Congé",D111="Congé sans solde"),AND(F111="Congé",D111="Congé spécial"),AND(F111="Congé",D111="Férié"),AND(F111="Congé sans solde",D111="OFF"),AND(F111="Congé sans solde",D111="Congé"),AND(F111="Congé sans solde",D111="Congé spécial"),AND(F111="Congé sans solde",D111="Férié"),AND(F111="Congé spécial",D111="OFF"),AND(F111="Congé spécial",D111="Congé"),AND(F111="Congé spécial",D111="Congé sans solde"),AND(F111="Congé spécial",D111="Férié"),AND(F111="Férié",D111="OFF"),AND(F111="Férié",D111="Congé"),AND(F111="Férié",D111="Congé sans solde"),AND(F111="Férié",D111="Congé spécial")),0,IF(OR(F111="OFF",F111="Congé",F111="Congé spécial",F111="Congé sans solde",D111="OFF",D111="Congé",D111="Congé spécial",D111="Congé sans solde"),0.208333333333334,IF(AND(AG111="",F111-D111&lt;0),("24:00:00"-D111)+("00:00:00"+F111)-0.0416666666666667,IF(AND(OR(AG111="Allaitement",AG111="Sans déjeuner"),F111-D111&lt;0),("24:00:00"-D111)+("00:00:00"+F111),IF(AND(AG111="",F111-D111&gt;0.166666666666667),F111-D111-0.0416666666666667,IF(AND(OR(AG111="Allaitement",AG111="Sans déjeuner"),F111-D111&gt;0.166666666666667),F111-D111,F111-D111)))))))</f>
        <v/>
      </c>
      <c r="P111" s="242">
        <f>IFERROR(VLOOKUP($B111,Annuaire_roster!$B:$G,MATCH(P$1,Annuaire_roster!$B$1:$G$1,0),0),"-")</f>
        <v/>
      </c>
      <c r="Q111" s="243" t="n">
        <v>44764</v>
      </c>
      <c r="R111" s="244">
        <f>IF(M111="Abs",O111,0)</f>
        <v/>
      </c>
      <c r="S111" s="244">
        <f>SUM(R111,L111,I111,J111,W111,H111)</f>
        <v/>
      </c>
      <c r="T111" s="209">
        <f>"Sem - "&amp;WEEKNUM(Q111,21)</f>
        <v/>
      </c>
      <c r="U111" s="209">
        <f>PROPER(TEXT(Q111,"mmmm"))</f>
        <v/>
      </c>
      <c r="V111" s="245">
        <f>+TEXT(Q111,"aaa")</f>
        <v/>
      </c>
      <c r="W111" s="240" t="n"/>
      <c r="X111" s="246">
        <f>IFERROR(IF(M111="Abs",0,IF((D111-C111+E111-F111)&lt;0.000694444444444444,0,(D111-C111+E111-F111))),0)</f>
        <v/>
      </c>
      <c r="Y111" s="247">
        <f>IFERROR(VLOOKUP(B111,Annuaire_roster!B:E,4,0),"-")</f>
        <v/>
      </c>
      <c r="Z111" s="247">
        <f>IFERROR(VLOOKUP(B111,Annuaire_roster!B:F,3,0),"-")</f>
        <v/>
      </c>
      <c r="AA111" s="247">
        <f>IFERROR(VLOOKUP(B111,Annuaire_roster!B:I,6,0),"-")</f>
        <v/>
      </c>
      <c r="AB111" s="248">
        <f>IF(AND(D111="Congé",F111="Congé"),0.333333333333333,IF(OR(AND(D111="Congé",F111&lt;&gt;"Congé"),(AND(F111="Congé",D111&lt;&gt;"Congé"))),0.166666666666667,""))</f>
        <v/>
      </c>
      <c r="AC111" s="248">
        <f>IF(AND(D111="Congé sans solde",F111="Congé sans solde"),0.333333333333333,IF(OR(AND(D111="Congé sans solde",F111&lt;&gt;"Congé sans solde"),(AND(F111="Congé sans solde",D111&lt;&gt;"Congé sans solde"))),0.166666666666667,""))</f>
        <v/>
      </c>
      <c r="AD111" s="248">
        <f>IF(AND(D111="Congé spécial",F111="Congé spécial"),0.333333333333333,IF(OR(AND(D111="Congé spécial",F111&lt;&gt;"Congé décès"),(AND(F111="Congé spécial",D111&lt;&gt;"Congé spécial"))),0.166666666666667,""))</f>
        <v/>
      </c>
      <c r="AE111" s="249">
        <f>IF(AND(D111="Férié",F111="Férié"),0.333333333333333,IF(OR(AND(D111="Férié",F111&lt;&gt;"Férié"),(AND(F111="Férié",D111&lt;&gt;"Férié"))),0.166666666666667,""))</f>
        <v/>
      </c>
      <c r="AF111" s="249" t="n"/>
      <c r="AG111" s="244" t="n"/>
    </row>
    <row r="112" hidden="1" ht="12.75" customHeight="1" s="231">
      <c r="A112" s="232">
        <f>VLOOKUP(B112,Annuaire_roster!B:F,5,0)</f>
        <v/>
      </c>
      <c r="B112" s="233" t="inlineStr">
        <is>
          <t>KANTAOUI SALMA</t>
        </is>
      </c>
      <c r="C112" s="234">
        <f>IFERROR(IF(COUNTIFS(Connexions!$K:$K,$Q112,Connexions!$E:$E,VLOOKUP($B112,Mapping_Noms!$A:$B,2,0))=0,"",_xlfn.MINIFS(Connexions!$M:$M,Connexions!$K:$K,$Q112,Connexions!$E:$E,VLOOKUP($B112,Mapping_Noms!$A:$B,2,0))-TIME(1,0,0)),"")</f>
        <v/>
      </c>
      <c r="D112" s="234">
        <f t="array" ref="D112:D112">IFERROR(INDEX(Planning2[],MATCH(1,(Planning2[Nom]=B112)*(Planning2[Date]=Q112),0),3),"-")</f>
        <v/>
      </c>
      <c r="E112" s="235">
        <f>IFERROR(IF(COUNTIFS(Connexions!$K:$K,$Q112,Connexions!$E:$E,VLOOKUP($B112,Mapping_Noms!$A:$B,2,0))=0,"",_xlfn.MAXIFS(Connexions!$O:$O,Connexions!$K:$K,$Q112,Connexions!$E:$E,VLOOKUP($B112,Mapping_Noms!$A:$B,2,0))-TIME(1,0,0)),"")</f>
        <v/>
      </c>
      <c r="F112" s="235">
        <f t="array" ref="F112:F112">IFERROR(INDEX(Planning2[],MATCH(1,(Planning2[Nom]=B112)*(Planning2[Date]=Q112),0),4),"-")</f>
        <v/>
      </c>
      <c r="G112" s="405">
        <f>IFERROR(IF(OR(IFERROR(INDEX('Planning Pauses Dej'!$C:$C,MATCH($B112&amp;"|"&amp;TEXT($Q112,"YYYYMMDD"),'Planning Pauses Dej'!$F:$F,0)),"")="",IFERROR(INDEX('Planning Pauses Dej'!$D:$D,MATCH($B112&amp;"|"&amp;TEXT($Q112,"YYYYMMDD"),'Planning Pauses Dej'!$F:$F,0)),"")=""),"",_xlfn.MAXIFS(Connexions!$Q:$Q,Connexions!$K:$K,$Q112,Connexions!$E:$E,VLOOKUP($B112,Mapping_Noms!$A:$B,2,0),Connexions!$O:$O,"&lt;="&amp;(IFERROR(INDEX('Planning Pauses Dej'!$D:$D,MATCH($B112&amp;"|"&amp;TEXT($Q112,"YYYYMMDD"),'Planning Pauses Dej'!$F:$F,0)),"")+TIME(1,0,0)),Connexions!$P:$P,"&gt;="&amp;(IFERROR(INDEX('Planning Pauses Dej'!$C:$C,MATCH($B112&amp;"|"&amp;TEXT($Q112,"YYYYMMDD"),'Planning Pauses Dej'!$F:$F,0)),"")+TIME(1,0,0)))),"")</f>
        <v/>
      </c>
      <c r="H112" s="405">
        <f>IFERROR(IF(OR($G112="",IFERROR(INDEX('Planning Pauses Dej'!$C:$C,MATCH($B112&amp;"|"&amp;TEXT($Q112,"YYYYMMDD"),'Planning Pauses Dej'!$F:$F,0)),"")="",IFERROR(INDEX('Planning Pauses Dej'!$D:$D,MATCH($B112&amp;"|"&amp;TEXT($Q112,"YYYYMMDD"),'Planning Pauses Dej'!$F:$F,0)),"")=""),"",IF($G112&gt;(IFERROR(INDEX('Planning Pauses Dej'!$D:$D,MATCH($B112&amp;"|"&amp;TEXT($Q112,"YYYYMMDD"),'Planning Pauses Dej'!$F:$F,0)),"")-IFERROR(INDEX('Planning Pauses Dej'!$C:$C,MATCH($B112&amp;"|"&amp;TEXT($Q112,"YYYYMMDD"),'Planning Pauses Dej'!$F:$F,0)),"")),$G112-(IFERROR(INDEX('Planning Pauses Dej'!$D:$D,MATCH($B112&amp;"|"&amp;TEXT($Q112,"YYYYMMDD"),'Planning Pauses Dej'!$F:$F,0)),"")-IFERROR(INDEX('Planning Pauses Dej'!$C:$C,MATCH($B112&amp;"|"&amp;TEXT($Q112,"YYYYMMDD"),'Planning Pauses Dej'!$F:$F,0)),"")),0)),"")</f>
        <v/>
      </c>
      <c r="I112" s="251">
        <f>IF(IF(OR(C112="",D112="Congé",D112="OFF",D112="Congé spécial"),"",IF(D112&gt;F112,D112-C112,IF(C112-D112&lt;0,0,C112-D112)))&lt;0.00068287037037037,"",IF(OR(D112="Congé",D112="OFF",C112="",D112="Congé spécial"),"",IF(D112&gt;F112,D112-C112,IF(C112-D112&lt;0,0,C112-D112))))</f>
        <v/>
      </c>
      <c r="J112" s="405">
        <f>IFERROR(IF($G112="","",IF($G112&gt;TIME(1,0,0),$G112-TIME(1,0,0),0)),"")</f>
        <v/>
      </c>
      <c r="K112" s="238">
        <f>IF(SUM(H112:J112)&lt;0.00068287037037037,0,SUM(H112:J112))</f>
        <v/>
      </c>
      <c r="L112" s="236">
        <f>IF(OR(F112="Congé",F112="OFF",M112="Abs",F112="Congé sans solde",F112="Férié",F112="Congé spécial",D112="Congé spécial"),0,IF(F112-E112&lt;0,0,IF(F112-E112&lt;=0.00068287037037037,0,F112-E112)))</f>
        <v/>
      </c>
      <c r="M112" s="239">
        <f>IF(AND(O112&lt;&gt;0,C112=""),"Abs",0)</f>
        <v/>
      </c>
      <c r="N112" s="240">
        <f>IFERROR(IF(OR(D112="OFF",D112="Congé",M112="Abs",D112="Congé sans solde",D112="Férié"),"",IF(O112-K112-L112&gt;O112,O112,IF(O112-K112-L112&lt;0,"",O112-K112-L112))),"")</f>
        <v/>
      </c>
      <c r="O112" s="241">
        <f>IF(AG112="2H Pause déjeuner",IF(F112-D112-0.0833333333333333&lt;0,F112-D112-0.0833333333333333+1,F112-D112-0.0833333333333333),IF(OR(AND(F112="OFF",D112="OFF"),AND(F112="Congé",D112="Congé"),AND(F112="Congé sans solde",D112="Congé sans solde"),AND(F112="Congé spécial",D112="Congé spécial"),AND(F112="Férié",D112="Férié"),AND(F112="OFF",D112="Congé"),AND(F112="OFF",D112="Congé sans solde"),AND(F112="OFF",D112="Congé spécial"),AND(F112="OFF",D112="Férié"),AND(F112="Congé",D112="OFF"),AND(F112="Congé",D112="Congé sans solde"),AND(F112="Congé",D112="Congé spécial"),AND(F112="Congé",D112="Férié"),AND(F112="Congé sans solde",D112="OFF"),AND(F112="Congé sans solde",D112="Congé"),AND(F112="Congé sans solde",D112="Congé spécial"),AND(F112="Congé sans solde",D112="Férié"),AND(F112="Congé spécial",D112="OFF"),AND(F112="Congé spécial",D112="Congé"),AND(F112="Congé spécial",D112="Congé sans solde"),AND(F112="Congé spécial",D112="Férié"),AND(F112="Férié",D112="OFF"),AND(F112="Férié",D112="Congé"),AND(F112="Férié",D112="Congé sans solde"),AND(F112="Férié",D112="Congé spécial")),0,IF(OR(F112="OFF",F112="Congé",F112="Congé spécial",F112="Congé sans solde",D112="OFF",D112="Congé",D112="Congé spécial",D112="Congé sans solde"),0.208333333333334,IF(AND(AG112="",F112-D112&lt;0),("24:00:00"-D112)+("00:00:00"+F112)-0.0416666666666667,IF(AND(OR(AG112="Allaitement",AG112="Sans déjeuner"),F112-D112&lt;0),("24:00:00"-D112)+("00:00:00"+F112),IF(AND(AG112="",F112-D112&gt;0.166666666666667),F112-D112-0.0416666666666667,IF(AND(OR(AG112="Allaitement",AG112="Sans déjeuner"),F112-D112&gt;0.166666666666667),F112-D112,F112-D112)))))))</f>
        <v/>
      </c>
      <c r="P112" s="242">
        <f>IFERROR(VLOOKUP($B112,Annuaire_roster!$B:$G,MATCH(P$1,Annuaire_roster!$B$1:$G$1,0),0),"-")</f>
        <v/>
      </c>
      <c r="Q112" s="243" t="n">
        <v>44764</v>
      </c>
      <c r="R112" s="244">
        <f>IF(M112="Abs",O112,0)</f>
        <v/>
      </c>
      <c r="S112" s="244">
        <f>SUM(R112,L112,I112,J112,W112,H112)</f>
        <v/>
      </c>
      <c r="T112" s="209">
        <f>"Sem - "&amp;WEEKNUM(Q112,21)</f>
        <v/>
      </c>
      <c r="U112" s="209">
        <f>PROPER(TEXT(Q112,"mmmm"))</f>
        <v/>
      </c>
      <c r="V112" s="245">
        <f>+TEXT(Q112,"aaa")</f>
        <v/>
      </c>
      <c r="W112" s="240" t="n"/>
      <c r="X112" s="246">
        <f>IFERROR(IF(M112="Abs",0,IF((D112-C112+E112-F112)&lt;0.000694444444444444,0,(D112-C112+E112-F112))),0)</f>
        <v/>
      </c>
      <c r="Y112" s="247">
        <f>IFERROR(VLOOKUP(B112,Annuaire_roster!B:E,4,0),"-")</f>
        <v/>
      </c>
      <c r="Z112" s="247">
        <f>IFERROR(VLOOKUP(B112,Annuaire_roster!B:F,3,0),"-")</f>
        <v/>
      </c>
      <c r="AA112" s="247">
        <f>IFERROR(VLOOKUP(B112,Annuaire_roster!B:I,6,0),"-")</f>
        <v/>
      </c>
      <c r="AB112" s="248">
        <f>IF(AND(D112="Congé",F112="Congé"),0.333333333333333,IF(OR(AND(D112="Congé",F112&lt;&gt;"Congé"),(AND(F112="Congé",D112&lt;&gt;"Congé"))),0.166666666666667,""))</f>
        <v/>
      </c>
      <c r="AC112" s="248">
        <f>IF(AND(D112="Congé sans solde",F112="Congé sans solde"),0.333333333333333,IF(OR(AND(D112="Congé sans solde",F112&lt;&gt;"Congé sans solde"),(AND(F112="Congé sans solde",D112&lt;&gt;"Congé sans solde"))),0.166666666666667,""))</f>
        <v/>
      </c>
      <c r="AD112" s="248">
        <f>IF(AND(D112="Congé spécial",F112="Congé spécial"),0.333333333333333,IF(OR(AND(D112="Congé spécial",F112&lt;&gt;"Congé décès"),(AND(F112="Congé spécial",D112&lt;&gt;"Congé spécial"))),0.166666666666667,""))</f>
        <v/>
      </c>
      <c r="AE112" s="249">
        <f>IF(AND(D112="Férié",F112="Férié"),0.333333333333333,IF(OR(AND(D112="Férié",F112&lt;&gt;"Férié"),(AND(F112="Férié",D112&lt;&gt;"Férié"))),0.166666666666667,""))</f>
        <v/>
      </c>
      <c r="AF112" s="249" t="n"/>
      <c r="AG112" s="244" t="n"/>
    </row>
    <row r="113" hidden="1" ht="12.75" customHeight="1" s="231">
      <c r="A113" s="232">
        <f>VLOOKUP(B113,Annuaire_roster!B:F,5,0)</f>
        <v/>
      </c>
      <c r="B113" s="233" t="inlineStr">
        <is>
          <t>TOURE ABIBOU</t>
        </is>
      </c>
      <c r="C113" s="234">
        <f>IFERROR(IF(COUNTIFS(Connexions!$K:$K,$Q113,Connexions!$E:$E,VLOOKUP($B113,Mapping_Noms!$A:$B,2,0))=0,"",_xlfn.MINIFS(Connexions!$M:$M,Connexions!$K:$K,$Q113,Connexions!$E:$E,VLOOKUP($B113,Mapping_Noms!$A:$B,2,0))-TIME(1,0,0)),"")</f>
        <v/>
      </c>
      <c r="D113" s="234">
        <f t="array" ref="D113:D113">IFERROR(INDEX(Planning2[],MATCH(1,(Planning2[Nom]=B113)*(Planning2[Date]=Q113),0),3),"-")</f>
        <v/>
      </c>
      <c r="E113" s="235">
        <f>IFERROR(IF(COUNTIFS(Connexions!$K:$K,$Q113,Connexions!$E:$E,VLOOKUP($B113,Mapping_Noms!$A:$B,2,0))=0,"",_xlfn.MAXIFS(Connexions!$O:$O,Connexions!$K:$K,$Q113,Connexions!$E:$E,VLOOKUP($B113,Mapping_Noms!$A:$B,2,0))-TIME(1,0,0)),"")</f>
        <v/>
      </c>
      <c r="F113" s="235">
        <f t="array" ref="F113:F113">IFERROR(INDEX(Planning2[],MATCH(1,(Planning2[Nom]=B113)*(Planning2[Date]=Q113),0),4),"-")</f>
        <v/>
      </c>
      <c r="G113" s="405">
        <f>IFERROR(IF(OR(IFERROR(INDEX('Planning Pauses Dej'!$C:$C,MATCH($B113&amp;"|"&amp;TEXT($Q113,"YYYYMMDD"),'Planning Pauses Dej'!$F:$F,0)),"")="",IFERROR(INDEX('Planning Pauses Dej'!$D:$D,MATCH($B113&amp;"|"&amp;TEXT($Q113,"YYYYMMDD"),'Planning Pauses Dej'!$F:$F,0)),"")=""),"",_xlfn.MAXIFS(Connexions!$Q:$Q,Connexions!$K:$K,$Q113,Connexions!$E:$E,VLOOKUP($B113,Mapping_Noms!$A:$B,2,0),Connexions!$O:$O,"&lt;="&amp;(IFERROR(INDEX('Planning Pauses Dej'!$D:$D,MATCH($B113&amp;"|"&amp;TEXT($Q113,"YYYYMMDD"),'Planning Pauses Dej'!$F:$F,0)),"")+TIME(1,0,0)),Connexions!$P:$P,"&gt;="&amp;(IFERROR(INDEX('Planning Pauses Dej'!$C:$C,MATCH($B113&amp;"|"&amp;TEXT($Q113,"YYYYMMDD"),'Planning Pauses Dej'!$F:$F,0)),"")+TIME(1,0,0)))),"")</f>
        <v/>
      </c>
      <c r="H113" s="405">
        <f>IFERROR(IF(OR($G113="",IFERROR(INDEX('Planning Pauses Dej'!$C:$C,MATCH($B113&amp;"|"&amp;TEXT($Q113,"YYYYMMDD"),'Planning Pauses Dej'!$F:$F,0)),"")="",IFERROR(INDEX('Planning Pauses Dej'!$D:$D,MATCH($B113&amp;"|"&amp;TEXT($Q113,"YYYYMMDD"),'Planning Pauses Dej'!$F:$F,0)),"")=""),"",IF($G113&gt;(IFERROR(INDEX('Planning Pauses Dej'!$D:$D,MATCH($B113&amp;"|"&amp;TEXT($Q113,"YYYYMMDD"),'Planning Pauses Dej'!$F:$F,0)),"")-IFERROR(INDEX('Planning Pauses Dej'!$C:$C,MATCH($B113&amp;"|"&amp;TEXT($Q113,"YYYYMMDD"),'Planning Pauses Dej'!$F:$F,0)),"")),$G113-(IFERROR(INDEX('Planning Pauses Dej'!$D:$D,MATCH($B113&amp;"|"&amp;TEXT($Q113,"YYYYMMDD"),'Planning Pauses Dej'!$F:$F,0)),"")-IFERROR(INDEX('Planning Pauses Dej'!$C:$C,MATCH($B113&amp;"|"&amp;TEXT($Q113,"YYYYMMDD"),'Planning Pauses Dej'!$F:$F,0)),"")),0)),"")</f>
        <v/>
      </c>
      <c r="I113" s="251">
        <f>IF(IF(OR(C113="",D113="Congé",D113="OFF",D113="Congé spécial"),"",IF(D113&gt;F113,D113-C113,IF(C113-D113&lt;0,0,C113-D113)))&lt;0.00068287037037037,"",IF(OR(D113="Congé",D113="OFF",C113="",D113="Congé spécial"),"",IF(D113&gt;F113,D113-C113,IF(C113-D113&lt;0,0,C113-D113))))</f>
        <v/>
      </c>
      <c r="J113" s="405">
        <f>IFERROR(IF($G113="","",IF($G113&gt;TIME(1,0,0),$G113-TIME(1,0,0),0)),"")</f>
        <v/>
      </c>
      <c r="K113" s="238">
        <f>IF(SUM(H113:J113)&lt;0.00068287037037037,0,SUM(H113:J113))</f>
        <v/>
      </c>
      <c r="L113" s="236">
        <f>IF(OR(F113="Congé",F113="OFF",M113="Abs",F113="Congé sans solde",F113="Férié",F113="Congé spécial",D113="Congé spécial"),0,IF(F113-E113&lt;0,0,IF(F113-E113&lt;=0.00068287037037037,0,F113-E113)))</f>
        <v/>
      </c>
      <c r="M113" s="239">
        <f>IF(AND(O113&lt;&gt;0,C113=""),"Abs",0)</f>
        <v/>
      </c>
      <c r="N113" s="240">
        <f>IFERROR(IF(OR(D113="OFF",D113="Congé",M113="Abs",D113="Congé sans solde",D113="Férié"),"",IF(O113-K113-L113&gt;O113,O113,IF(O113-K113-L113&lt;0,"",O113-K113-L113))),"")</f>
        <v/>
      </c>
      <c r="O113" s="241">
        <f>IF(AG113="2H Pause déjeuner",IF(F113-D113-0.0833333333333333&lt;0,F113-D113-0.0833333333333333+1,F113-D113-0.0833333333333333),IF(OR(AND(F113="OFF",D113="OFF"),AND(F113="Congé",D113="Congé"),AND(F113="Congé sans solde",D113="Congé sans solde"),AND(F113="Congé spécial",D113="Congé spécial"),AND(F113="Férié",D113="Férié"),AND(F113="OFF",D113="Congé"),AND(F113="OFF",D113="Congé sans solde"),AND(F113="OFF",D113="Congé spécial"),AND(F113="OFF",D113="Férié"),AND(F113="Congé",D113="OFF"),AND(F113="Congé",D113="Congé sans solde"),AND(F113="Congé",D113="Congé spécial"),AND(F113="Congé",D113="Férié"),AND(F113="Congé sans solde",D113="OFF"),AND(F113="Congé sans solde",D113="Congé"),AND(F113="Congé sans solde",D113="Congé spécial"),AND(F113="Congé sans solde",D113="Férié"),AND(F113="Congé spécial",D113="OFF"),AND(F113="Congé spécial",D113="Congé"),AND(F113="Congé spécial",D113="Congé sans solde"),AND(F113="Congé spécial",D113="Férié"),AND(F113="Férié",D113="OFF"),AND(F113="Férié",D113="Congé"),AND(F113="Férié",D113="Congé sans solde"),AND(F113="Férié",D113="Congé spécial")),0,IF(OR(F113="OFF",F113="Congé",F113="Congé spécial",F113="Congé sans solde",D113="OFF",D113="Congé",D113="Congé spécial",D113="Congé sans solde"),0.208333333333334,IF(AND(AG113="",F113-D113&lt;0),("24:00:00"-D113)+("00:00:00"+F113)-0.0416666666666667,IF(AND(OR(AG113="Allaitement",AG113="Sans déjeuner"),F113-D113&lt;0),("24:00:00"-D113)+("00:00:00"+F113),IF(AND(AG113="",F113-D113&gt;0.166666666666667),F113-D113-0.0416666666666667,IF(AND(OR(AG113="Allaitement",AG113="Sans déjeuner"),F113-D113&gt;0.166666666666667),F113-D113,F113-D113)))))))</f>
        <v/>
      </c>
      <c r="P113" s="242">
        <f>IFERROR(VLOOKUP($B113,Annuaire_roster!$B:$G,MATCH(P$1,Annuaire_roster!$B$1:$G$1,0),0),"-")</f>
        <v/>
      </c>
      <c r="Q113" s="243" t="n">
        <v>44764</v>
      </c>
      <c r="R113" s="244">
        <f>IF(M113="Abs",O113,0)</f>
        <v/>
      </c>
      <c r="S113" s="244">
        <f>SUM(R113,L113,I113,J113,W113,H113)</f>
        <v/>
      </c>
      <c r="T113" s="209">
        <f>"Sem - "&amp;WEEKNUM(Q113,21)</f>
        <v/>
      </c>
      <c r="U113" s="209">
        <f>PROPER(TEXT(Q113,"mmmm"))</f>
        <v/>
      </c>
      <c r="V113" s="245">
        <f>+TEXT(Q113,"aaa")</f>
        <v/>
      </c>
      <c r="W113" s="240" t="n"/>
      <c r="X113" s="246">
        <f>IFERROR(IF(M113="Abs",0,IF((D113-C113+E113-F113)&lt;0.000694444444444444,0,(D113-C113+E113-F113))),0)</f>
        <v/>
      </c>
      <c r="Y113" s="247">
        <f>IFERROR(VLOOKUP(B113,Annuaire_roster!B:E,4,0),"-")</f>
        <v/>
      </c>
      <c r="Z113" s="247">
        <f>IFERROR(VLOOKUP(B113,Annuaire_roster!B:F,3,0),"-")</f>
        <v/>
      </c>
      <c r="AA113" s="247">
        <f>IFERROR(VLOOKUP(B113,Annuaire_roster!B:I,6,0),"-")</f>
        <v/>
      </c>
      <c r="AB113" s="248">
        <f>IF(AND(D113="Congé",F113="Congé"),0.333333333333333,IF(OR(AND(D113="Congé",F113&lt;&gt;"Congé"),(AND(F113="Congé",D113&lt;&gt;"Congé"))),0.166666666666667,""))</f>
        <v/>
      </c>
      <c r="AC113" s="248">
        <f>IF(AND(D113="Congé sans solde",F113="Congé sans solde"),0.333333333333333,IF(OR(AND(D113="Congé sans solde",F113&lt;&gt;"Congé sans solde"),(AND(F113="Congé sans solde",D113&lt;&gt;"Congé sans solde"))),0.166666666666667,""))</f>
        <v/>
      </c>
      <c r="AD113" s="248">
        <f>IF(AND(D113="Congé spécial",F113="Congé spécial"),0.333333333333333,IF(OR(AND(D113="Congé spécial",F113&lt;&gt;"Congé décès"),(AND(F113="Congé spécial",D113&lt;&gt;"Congé spécial"))),0.166666666666667,""))</f>
        <v/>
      </c>
      <c r="AE113" s="249">
        <f>IF(AND(D113="Férié",F113="Férié"),0.333333333333333,IF(OR(AND(D113="Férié",F113&lt;&gt;"Férié"),(AND(F113="Férié",D113&lt;&gt;"Férié"))),0.166666666666667,""))</f>
        <v/>
      </c>
      <c r="AF113" s="249" t="n"/>
      <c r="AG113" s="244" t="n"/>
    </row>
    <row r="114" hidden="1" ht="12.75" customHeight="1" s="231">
      <c r="A114" s="232">
        <f>VLOOKUP(B114,Annuaire_roster!B:F,5,0)</f>
        <v/>
      </c>
      <c r="B114" s="233" t="inlineStr">
        <is>
          <t>MELLAHI YOUSSEF</t>
        </is>
      </c>
      <c r="C114" s="234">
        <f>IFERROR(IF(COUNTIFS(Connexions!$K:$K,$Q114,Connexions!$E:$E,VLOOKUP($B114,Mapping_Noms!$A:$B,2,0))=0,"",_xlfn.MINIFS(Connexions!$M:$M,Connexions!$K:$K,$Q114,Connexions!$E:$E,VLOOKUP($B114,Mapping_Noms!$A:$B,2,0))-TIME(1,0,0)),"")</f>
        <v/>
      </c>
      <c r="D114" s="234">
        <f t="array" ref="D114:D114">IFERROR(INDEX(Planning2[],MATCH(1,(Planning2[Nom]=B114)*(Planning2[Date]=Q114),0),3),"-")</f>
        <v/>
      </c>
      <c r="E114" s="235">
        <f>IFERROR(IF(COUNTIFS(Connexions!$K:$K,$Q114,Connexions!$E:$E,VLOOKUP($B114,Mapping_Noms!$A:$B,2,0))=0,"",_xlfn.MAXIFS(Connexions!$O:$O,Connexions!$K:$K,$Q114,Connexions!$E:$E,VLOOKUP($B114,Mapping_Noms!$A:$B,2,0))-TIME(1,0,0)),"")</f>
        <v/>
      </c>
      <c r="F114" s="235">
        <f t="array" ref="F114:F114">IFERROR(INDEX(Planning2[],MATCH(1,(Planning2[Nom]=B114)*(Planning2[Date]=Q114),0),4),"-")</f>
        <v/>
      </c>
      <c r="G114" s="405">
        <f>IFERROR(IF(OR(IFERROR(INDEX('Planning Pauses Dej'!$C:$C,MATCH($B114&amp;"|"&amp;TEXT($Q114,"YYYYMMDD"),'Planning Pauses Dej'!$F:$F,0)),"")="",IFERROR(INDEX('Planning Pauses Dej'!$D:$D,MATCH($B114&amp;"|"&amp;TEXT($Q114,"YYYYMMDD"),'Planning Pauses Dej'!$F:$F,0)),"")=""),"",_xlfn.MAXIFS(Connexions!$Q:$Q,Connexions!$K:$K,$Q114,Connexions!$E:$E,VLOOKUP($B114,Mapping_Noms!$A:$B,2,0),Connexions!$O:$O,"&lt;="&amp;(IFERROR(INDEX('Planning Pauses Dej'!$D:$D,MATCH($B114&amp;"|"&amp;TEXT($Q114,"YYYYMMDD"),'Planning Pauses Dej'!$F:$F,0)),"")+TIME(1,0,0)),Connexions!$P:$P,"&gt;="&amp;(IFERROR(INDEX('Planning Pauses Dej'!$C:$C,MATCH($B114&amp;"|"&amp;TEXT($Q114,"YYYYMMDD"),'Planning Pauses Dej'!$F:$F,0)),"")+TIME(1,0,0)))),"")</f>
        <v/>
      </c>
      <c r="H114" s="405">
        <f>IFERROR(IF(OR($G114="",IFERROR(INDEX('Planning Pauses Dej'!$C:$C,MATCH($B114&amp;"|"&amp;TEXT($Q114,"YYYYMMDD"),'Planning Pauses Dej'!$F:$F,0)),"")="",IFERROR(INDEX('Planning Pauses Dej'!$D:$D,MATCH($B114&amp;"|"&amp;TEXT($Q114,"YYYYMMDD"),'Planning Pauses Dej'!$F:$F,0)),"")=""),"",IF($G114&gt;(IFERROR(INDEX('Planning Pauses Dej'!$D:$D,MATCH($B114&amp;"|"&amp;TEXT($Q114,"YYYYMMDD"),'Planning Pauses Dej'!$F:$F,0)),"")-IFERROR(INDEX('Planning Pauses Dej'!$C:$C,MATCH($B114&amp;"|"&amp;TEXT($Q114,"YYYYMMDD"),'Planning Pauses Dej'!$F:$F,0)),"")),$G114-(IFERROR(INDEX('Planning Pauses Dej'!$D:$D,MATCH($B114&amp;"|"&amp;TEXT($Q114,"YYYYMMDD"),'Planning Pauses Dej'!$F:$F,0)),"")-IFERROR(INDEX('Planning Pauses Dej'!$C:$C,MATCH($B114&amp;"|"&amp;TEXT($Q114,"YYYYMMDD"),'Planning Pauses Dej'!$F:$F,0)),"")),0)),"")</f>
        <v/>
      </c>
      <c r="I114" s="251">
        <f>IF(IF(OR(C114="",D114="Congé",D114="OFF",D114="Congé spécial"),"",IF(D114&gt;F114,D114-C114,IF(C114-D114&lt;0,0,C114-D114)))&lt;0.00068287037037037,"",IF(OR(D114="Congé",D114="OFF",C114="",D114="Congé spécial"),"",IF(D114&gt;F114,D114-C114,IF(C114-D114&lt;0,0,C114-D114))))</f>
        <v/>
      </c>
      <c r="J114" s="405">
        <f>IFERROR(IF($G114="","",IF($G114&gt;TIME(1,0,0),$G114-TIME(1,0,0),0)),"")</f>
        <v/>
      </c>
      <c r="K114" s="238">
        <f>IF(SUM(H114:J114)&lt;0.00068287037037037,0,SUM(H114:J114))</f>
        <v/>
      </c>
      <c r="L114" s="236">
        <f>IF(OR(F114="Congé",F114="OFF",M114="Abs",F114="Congé sans solde",F114="Férié",F114="Congé spécial",D114="Congé spécial"),0,IF(F114-E114&lt;0,0,IF(F114-E114&lt;=0.00068287037037037,0,F114-E114)))</f>
        <v/>
      </c>
      <c r="M114" s="239">
        <f>IF(AND(O114&lt;&gt;0,C114=""),"Abs",0)</f>
        <v/>
      </c>
      <c r="N114" s="240">
        <f>IFERROR(IF(OR(D114="OFF",D114="Congé",M114="Abs",D114="Congé sans solde",D114="Férié"),"",IF(O114-K114-L114&gt;O114,O114,IF(O114-K114-L114&lt;0,"",O114-K114-L114))),"")</f>
        <v/>
      </c>
      <c r="O114" s="241">
        <f>IF(AG114="2H Pause déjeuner",IF(F114-D114-0.0833333333333333&lt;0,F114-D114-0.0833333333333333+1,F114-D114-0.0833333333333333),IF(OR(AND(F114="OFF",D114="OFF"),AND(F114="Congé",D114="Congé"),AND(F114="Congé sans solde",D114="Congé sans solde"),AND(F114="Congé spécial",D114="Congé spécial"),AND(F114="Férié",D114="Férié"),AND(F114="OFF",D114="Congé"),AND(F114="OFF",D114="Congé sans solde"),AND(F114="OFF",D114="Congé spécial"),AND(F114="OFF",D114="Férié"),AND(F114="Congé",D114="OFF"),AND(F114="Congé",D114="Congé sans solde"),AND(F114="Congé",D114="Congé spécial"),AND(F114="Congé",D114="Férié"),AND(F114="Congé sans solde",D114="OFF"),AND(F114="Congé sans solde",D114="Congé"),AND(F114="Congé sans solde",D114="Congé spécial"),AND(F114="Congé sans solde",D114="Férié"),AND(F114="Congé spécial",D114="OFF"),AND(F114="Congé spécial",D114="Congé"),AND(F114="Congé spécial",D114="Congé sans solde"),AND(F114="Congé spécial",D114="Férié"),AND(F114="Férié",D114="OFF"),AND(F114="Férié",D114="Congé"),AND(F114="Férié",D114="Congé sans solde"),AND(F114="Férié",D114="Congé spécial")),0,IF(OR(F114="OFF",F114="Congé",F114="Congé spécial",F114="Congé sans solde",D114="OFF",D114="Congé",D114="Congé spécial",D114="Congé sans solde"),0.208333333333334,IF(AND(AG114="",F114-D114&lt;0),("24:00:00"-D114)+("00:00:00"+F114)-0.0416666666666667,IF(AND(OR(AG114="Allaitement",AG114="Sans déjeuner"),F114-D114&lt;0),("24:00:00"-D114)+("00:00:00"+F114),IF(AND(AG114="",F114-D114&gt;0.166666666666667),F114-D114-0.0416666666666667,IF(AND(OR(AG114="Allaitement",AG114="Sans déjeuner"),F114-D114&gt;0.166666666666667),F114-D114,F114-D114)))))))</f>
        <v/>
      </c>
      <c r="P114" s="242">
        <f>IFERROR(VLOOKUP($B114,Annuaire_roster!$B:$G,MATCH(P$1,Annuaire_roster!$B$1:$G$1,0),0),"-")</f>
        <v/>
      </c>
      <c r="Q114" s="243" t="n">
        <v>44764</v>
      </c>
      <c r="R114" s="244">
        <f>IF(M114="Abs",O114,0)</f>
        <v/>
      </c>
      <c r="S114" s="244">
        <f>SUM(R114,L114,I114,J114,W114,H114)</f>
        <v/>
      </c>
      <c r="T114" s="209">
        <f>"Sem - "&amp;WEEKNUM(Q114,21)</f>
        <v/>
      </c>
      <c r="U114" s="209">
        <f>PROPER(TEXT(Q114,"mmmm"))</f>
        <v/>
      </c>
      <c r="V114" s="245">
        <f>+TEXT(Q114,"aaa")</f>
        <v/>
      </c>
      <c r="W114" s="240" t="n"/>
      <c r="X114" s="246">
        <f>IFERROR(IF(M114="Abs",0,IF((D114-C114+E114-F114)&lt;0.000694444444444444,0,(D114-C114+E114-F114))),0)</f>
        <v/>
      </c>
      <c r="Y114" s="247">
        <f>IFERROR(VLOOKUP(B114,Annuaire_roster!B:E,4,0),"-")</f>
        <v/>
      </c>
      <c r="Z114" s="247">
        <f>IFERROR(VLOOKUP(B114,Annuaire_roster!B:F,3,0),"-")</f>
        <v/>
      </c>
      <c r="AA114" s="247">
        <f>IFERROR(VLOOKUP(B114,Annuaire_roster!B:I,6,0),"-")</f>
        <v/>
      </c>
      <c r="AB114" s="248">
        <f>IF(AND(D114="Congé",F114="Congé"),0.333333333333333,IF(OR(AND(D114="Congé",F114&lt;&gt;"Congé"),(AND(F114="Congé",D114&lt;&gt;"Congé"))),0.166666666666667,""))</f>
        <v/>
      </c>
      <c r="AC114" s="248">
        <f>IF(AND(D114="Congé sans solde",F114="Congé sans solde"),0.333333333333333,IF(OR(AND(D114="Congé sans solde",F114&lt;&gt;"Congé sans solde"),(AND(F114="Congé sans solde",D114&lt;&gt;"Congé sans solde"))),0.166666666666667,""))</f>
        <v/>
      </c>
      <c r="AD114" s="248">
        <f>IF(AND(D114="Congé spécial",F114="Congé spécial"),0.333333333333333,IF(OR(AND(D114="Congé spécial",F114&lt;&gt;"Congé décès"),(AND(F114="Congé spécial",D114&lt;&gt;"Congé spécial"))),0.166666666666667,""))</f>
        <v/>
      </c>
      <c r="AE114" s="249">
        <f>IF(AND(D114="Férié",F114="Férié"),0.333333333333333,IF(OR(AND(D114="Férié",F114&lt;&gt;"Férié"),(AND(F114="Férié",D114&lt;&gt;"Férié"))),0.166666666666667,""))</f>
        <v/>
      </c>
      <c r="AF114" s="249" t="n"/>
      <c r="AG114" s="244" t="n"/>
    </row>
    <row r="115" hidden="1" ht="12.75" customHeight="1" s="231">
      <c r="A115" s="232">
        <f>VLOOKUP(B115,Annuaire_roster!B:F,5,0)</f>
        <v/>
      </c>
      <c r="B115" s="233" t="inlineStr">
        <is>
          <t>BOURABAA HASSAN</t>
        </is>
      </c>
      <c r="C115" s="234">
        <f>IFERROR(IF(COUNTIFS(Connexions!$K:$K,$Q115,Connexions!$E:$E,VLOOKUP($B115,Mapping_Noms!$A:$B,2,0))=0,"",_xlfn.MINIFS(Connexions!$M:$M,Connexions!$K:$K,$Q115,Connexions!$E:$E,VLOOKUP($B115,Mapping_Noms!$A:$B,2,0))-TIME(1,0,0)),"")</f>
        <v/>
      </c>
      <c r="D115" s="234">
        <f t="array" ref="D115:D115">IFERROR(INDEX(Planning2[],MATCH(1,(Planning2[Nom]=B115)*(Planning2[Date]=Q115),0),3),"-")</f>
        <v/>
      </c>
      <c r="E115" s="235">
        <f>IFERROR(IF(COUNTIFS(Connexions!$K:$K,$Q115,Connexions!$E:$E,VLOOKUP($B115,Mapping_Noms!$A:$B,2,0))=0,"",_xlfn.MAXIFS(Connexions!$O:$O,Connexions!$K:$K,$Q115,Connexions!$E:$E,VLOOKUP($B115,Mapping_Noms!$A:$B,2,0))-TIME(1,0,0)),"")</f>
        <v/>
      </c>
      <c r="F115" s="235">
        <f t="array" ref="F115:F115">IFERROR(INDEX(Planning2[],MATCH(1,(Planning2[Nom]=B115)*(Planning2[Date]=Q115),0),4),"-")</f>
        <v/>
      </c>
      <c r="G115" s="405">
        <f>IFERROR(IF(OR(IFERROR(INDEX('Planning Pauses Dej'!$C:$C,MATCH($B115&amp;"|"&amp;TEXT($Q115,"YYYYMMDD"),'Planning Pauses Dej'!$F:$F,0)),"")="",IFERROR(INDEX('Planning Pauses Dej'!$D:$D,MATCH($B115&amp;"|"&amp;TEXT($Q115,"YYYYMMDD"),'Planning Pauses Dej'!$F:$F,0)),"")=""),"",_xlfn.MAXIFS(Connexions!$Q:$Q,Connexions!$K:$K,$Q115,Connexions!$E:$E,VLOOKUP($B115,Mapping_Noms!$A:$B,2,0),Connexions!$O:$O,"&lt;="&amp;(IFERROR(INDEX('Planning Pauses Dej'!$D:$D,MATCH($B115&amp;"|"&amp;TEXT($Q115,"YYYYMMDD"),'Planning Pauses Dej'!$F:$F,0)),"")+TIME(1,0,0)),Connexions!$P:$P,"&gt;="&amp;(IFERROR(INDEX('Planning Pauses Dej'!$C:$C,MATCH($B115&amp;"|"&amp;TEXT($Q115,"YYYYMMDD"),'Planning Pauses Dej'!$F:$F,0)),"")+TIME(1,0,0)))),"")</f>
        <v/>
      </c>
      <c r="H115" s="405">
        <f>IFERROR(IF(OR($G115="",IFERROR(INDEX('Planning Pauses Dej'!$C:$C,MATCH($B115&amp;"|"&amp;TEXT($Q115,"YYYYMMDD"),'Planning Pauses Dej'!$F:$F,0)),"")="",IFERROR(INDEX('Planning Pauses Dej'!$D:$D,MATCH($B115&amp;"|"&amp;TEXT($Q115,"YYYYMMDD"),'Planning Pauses Dej'!$F:$F,0)),"")=""),"",IF($G115&gt;(IFERROR(INDEX('Planning Pauses Dej'!$D:$D,MATCH($B115&amp;"|"&amp;TEXT($Q115,"YYYYMMDD"),'Planning Pauses Dej'!$F:$F,0)),"")-IFERROR(INDEX('Planning Pauses Dej'!$C:$C,MATCH($B115&amp;"|"&amp;TEXT($Q115,"YYYYMMDD"),'Planning Pauses Dej'!$F:$F,0)),"")),$G115-(IFERROR(INDEX('Planning Pauses Dej'!$D:$D,MATCH($B115&amp;"|"&amp;TEXT($Q115,"YYYYMMDD"),'Planning Pauses Dej'!$F:$F,0)),"")-IFERROR(INDEX('Planning Pauses Dej'!$C:$C,MATCH($B115&amp;"|"&amp;TEXT($Q115,"YYYYMMDD"),'Planning Pauses Dej'!$F:$F,0)),"")),0)),"")</f>
        <v/>
      </c>
      <c r="I115" s="251">
        <f>IF(IF(OR(C115="",D115="Congé",D115="OFF",D115="Congé spécial"),"",IF(D115&gt;F115,D115-C115,IF(C115-D115&lt;0,0,C115-D115)))&lt;0.00068287037037037,"",IF(OR(D115="Congé",D115="OFF",C115="",D115="Congé spécial"),"",IF(D115&gt;F115,D115-C115,IF(C115-D115&lt;0,0,C115-D115))))</f>
        <v/>
      </c>
      <c r="J115" s="405">
        <f>IFERROR(IF($G115="","",IF($G115&gt;TIME(1,0,0),$G115-TIME(1,0,0),0)),"")</f>
        <v/>
      </c>
      <c r="K115" s="238">
        <f>IF(SUM(H115:J115)&lt;0.00068287037037037,0,SUM(H115:J115))</f>
        <v/>
      </c>
      <c r="L115" s="236">
        <f>IF(OR(F115="Congé",F115="OFF",M115="Abs",F115="Congé sans solde",F115="Férié",F115="Congé spécial",D115="Congé spécial"),0,IF(F115-E115&lt;0,0,IF(F115-E115&lt;=0.00068287037037037,0,F115-E115)))</f>
        <v/>
      </c>
      <c r="M115" s="239">
        <f>IF(AND(O115&lt;&gt;0,C115=""),"Abs",0)</f>
        <v/>
      </c>
      <c r="N115" s="240">
        <f>IFERROR(IF(OR(D115="OFF",D115="Congé",M115="Abs",D115="Congé sans solde",D115="Férié"),"",IF(O115-K115-L115&gt;O115,O115,IF(O115-K115-L115&lt;0,"",O115-K115-L115))),"")</f>
        <v/>
      </c>
      <c r="O115" s="241">
        <f>IF(AG115="2H Pause déjeuner",IF(F115-D115-0.0833333333333333&lt;0,F115-D115-0.0833333333333333+1,F115-D115-0.0833333333333333),IF(OR(AND(F115="OFF",D115="OFF"),AND(F115="Congé",D115="Congé"),AND(F115="Congé sans solde",D115="Congé sans solde"),AND(F115="Congé spécial",D115="Congé spécial"),AND(F115="Férié",D115="Férié"),AND(F115="OFF",D115="Congé"),AND(F115="OFF",D115="Congé sans solde"),AND(F115="OFF",D115="Congé spécial"),AND(F115="OFF",D115="Férié"),AND(F115="Congé",D115="OFF"),AND(F115="Congé",D115="Congé sans solde"),AND(F115="Congé",D115="Congé spécial"),AND(F115="Congé",D115="Férié"),AND(F115="Congé sans solde",D115="OFF"),AND(F115="Congé sans solde",D115="Congé"),AND(F115="Congé sans solde",D115="Congé spécial"),AND(F115="Congé sans solde",D115="Férié"),AND(F115="Congé spécial",D115="OFF"),AND(F115="Congé spécial",D115="Congé"),AND(F115="Congé spécial",D115="Congé sans solde"),AND(F115="Congé spécial",D115="Férié"),AND(F115="Férié",D115="OFF"),AND(F115="Férié",D115="Congé"),AND(F115="Férié",D115="Congé sans solde"),AND(F115="Férié",D115="Congé spécial")),0,IF(OR(F115="OFF",F115="Congé",F115="Congé spécial",F115="Congé sans solde",D115="OFF",D115="Congé",D115="Congé spécial",D115="Congé sans solde"),0.208333333333334,IF(AND(AG115="",F115-D115&lt;0),("24:00:00"-D115)+("00:00:00"+F115)-0.0416666666666667,IF(AND(OR(AG115="Allaitement",AG115="Sans déjeuner"),F115-D115&lt;0),("24:00:00"-D115)+("00:00:00"+F115),IF(AND(AG115="",F115-D115&gt;0.166666666666667),F115-D115-0.0416666666666667,IF(AND(OR(AG115="Allaitement",AG115="Sans déjeuner"),F115-D115&gt;0.166666666666667),F115-D115,F115-D115)))))))</f>
        <v/>
      </c>
      <c r="P115" s="242">
        <f>IFERROR(VLOOKUP($B115,Annuaire_roster!$B:$G,MATCH(P$1,Annuaire_roster!$B$1:$G$1,0),0),"-")</f>
        <v/>
      </c>
      <c r="Q115" s="243" t="n">
        <v>44764</v>
      </c>
      <c r="R115" s="244">
        <f>IF(M115="Abs",O115,0)</f>
        <v/>
      </c>
      <c r="S115" s="244">
        <f>SUM(R115,L115,I115,J115,W115,H115)</f>
        <v/>
      </c>
      <c r="T115" s="209">
        <f>"Sem - "&amp;WEEKNUM(Q115,21)</f>
        <v/>
      </c>
      <c r="U115" s="209">
        <f>PROPER(TEXT(Q115,"mmmm"))</f>
        <v/>
      </c>
      <c r="V115" s="245">
        <f>+TEXT(Q115,"aaa")</f>
        <v/>
      </c>
      <c r="W115" s="240" t="n"/>
      <c r="X115" s="246">
        <f>IFERROR(IF(M115="Abs",0,IF((D115-C115+E115-F115)&lt;0.000694444444444444,0,(D115-C115+E115-F115))),0)</f>
        <v/>
      </c>
      <c r="Y115" s="247">
        <f>IFERROR(VLOOKUP(B115,Annuaire_roster!B:E,4,0),"-")</f>
        <v/>
      </c>
      <c r="Z115" s="247">
        <f>IFERROR(VLOOKUP(B115,Annuaire_roster!B:F,3,0),"-")</f>
        <v/>
      </c>
      <c r="AA115" s="247">
        <f>IFERROR(VLOOKUP(B115,Annuaire_roster!B:I,6,0),"-")</f>
        <v/>
      </c>
      <c r="AB115" s="248">
        <f>IF(AND(D115="Congé",F115="Congé"),0.333333333333333,IF(OR(AND(D115="Congé",F115&lt;&gt;"Congé"),(AND(F115="Congé",D115&lt;&gt;"Congé"))),0.166666666666667,""))</f>
        <v/>
      </c>
      <c r="AC115" s="248">
        <f>IF(AND(D115="Congé sans solde",F115="Congé sans solde"),0.333333333333333,IF(OR(AND(D115="Congé sans solde",F115&lt;&gt;"Congé sans solde"),(AND(F115="Congé sans solde",D115&lt;&gt;"Congé sans solde"))),0.166666666666667,""))</f>
        <v/>
      </c>
      <c r="AD115" s="248">
        <f>IF(AND(D115="Congé spécial",F115="Congé spécial"),0.333333333333333,IF(OR(AND(D115="Congé spécial",F115&lt;&gt;"Congé décès"),(AND(F115="Congé spécial",D115&lt;&gt;"Congé spécial"))),0.166666666666667,""))</f>
        <v/>
      </c>
      <c r="AE115" s="249">
        <f>IF(AND(D115="Férié",F115="Férié"),0.333333333333333,IF(OR(AND(D115="Férié",F115&lt;&gt;"Férié"),(AND(F115="Férié",D115&lt;&gt;"Férié"))),0.166666666666667,""))</f>
        <v/>
      </c>
      <c r="AF115" s="249" t="n"/>
      <c r="AG115" s="244" t="n"/>
    </row>
    <row r="116" hidden="1" ht="12.75" customHeight="1" s="231">
      <c r="A116" s="232">
        <f>VLOOKUP(B116,Annuaire_roster!B:F,5,0)</f>
        <v/>
      </c>
      <c r="B116" s="233" t="inlineStr">
        <is>
          <t>SECK DIARRA</t>
        </is>
      </c>
      <c r="C116" s="234">
        <f>IFERROR(IF(COUNTIFS(Connexions!$K:$K,$Q116,Connexions!$E:$E,VLOOKUP($B116,Mapping_Noms!$A:$B,2,0))=0,"",_xlfn.MINIFS(Connexions!$M:$M,Connexions!$K:$K,$Q116,Connexions!$E:$E,VLOOKUP($B116,Mapping_Noms!$A:$B,2,0))-TIME(1,0,0)),"")</f>
        <v/>
      </c>
      <c r="D116" s="234">
        <f t="array" ref="D116:D116">IFERROR(INDEX(Planning2[],MATCH(1,(Planning2[Nom]=B116)*(Planning2[Date]=Q116),0),3),"-")</f>
        <v/>
      </c>
      <c r="E116" s="235">
        <f>IFERROR(IF(COUNTIFS(Connexions!$K:$K,$Q116,Connexions!$E:$E,VLOOKUP($B116,Mapping_Noms!$A:$B,2,0))=0,"",_xlfn.MAXIFS(Connexions!$O:$O,Connexions!$K:$K,$Q116,Connexions!$E:$E,VLOOKUP($B116,Mapping_Noms!$A:$B,2,0))-TIME(1,0,0)),"")</f>
        <v/>
      </c>
      <c r="F116" s="235">
        <f t="array" ref="F116:F116">IFERROR(INDEX(Planning2[],MATCH(1,(Planning2[Nom]=B116)*(Planning2[Date]=Q116),0),4),"-")</f>
        <v/>
      </c>
      <c r="G116" s="405">
        <f>IFERROR(IF(OR(IFERROR(INDEX('Planning Pauses Dej'!$C:$C,MATCH($B116&amp;"|"&amp;TEXT($Q116,"YYYYMMDD"),'Planning Pauses Dej'!$F:$F,0)),"")="",IFERROR(INDEX('Planning Pauses Dej'!$D:$D,MATCH($B116&amp;"|"&amp;TEXT($Q116,"YYYYMMDD"),'Planning Pauses Dej'!$F:$F,0)),"")=""),"",_xlfn.MAXIFS(Connexions!$Q:$Q,Connexions!$K:$K,$Q116,Connexions!$E:$E,VLOOKUP($B116,Mapping_Noms!$A:$B,2,0),Connexions!$O:$O,"&lt;="&amp;(IFERROR(INDEX('Planning Pauses Dej'!$D:$D,MATCH($B116&amp;"|"&amp;TEXT($Q116,"YYYYMMDD"),'Planning Pauses Dej'!$F:$F,0)),"")+TIME(1,0,0)),Connexions!$P:$P,"&gt;="&amp;(IFERROR(INDEX('Planning Pauses Dej'!$C:$C,MATCH($B116&amp;"|"&amp;TEXT($Q116,"YYYYMMDD"),'Planning Pauses Dej'!$F:$F,0)),"")+TIME(1,0,0)))),"")</f>
        <v/>
      </c>
      <c r="H116" s="405">
        <f>IFERROR(IF(OR($G116="",IFERROR(INDEX('Planning Pauses Dej'!$C:$C,MATCH($B116&amp;"|"&amp;TEXT($Q116,"YYYYMMDD"),'Planning Pauses Dej'!$F:$F,0)),"")="",IFERROR(INDEX('Planning Pauses Dej'!$D:$D,MATCH($B116&amp;"|"&amp;TEXT($Q116,"YYYYMMDD"),'Planning Pauses Dej'!$F:$F,0)),"")=""),"",IF($G116&gt;(IFERROR(INDEX('Planning Pauses Dej'!$D:$D,MATCH($B116&amp;"|"&amp;TEXT($Q116,"YYYYMMDD"),'Planning Pauses Dej'!$F:$F,0)),"")-IFERROR(INDEX('Planning Pauses Dej'!$C:$C,MATCH($B116&amp;"|"&amp;TEXT($Q116,"YYYYMMDD"),'Planning Pauses Dej'!$F:$F,0)),"")),$G116-(IFERROR(INDEX('Planning Pauses Dej'!$D:$D,MATCH($B116&amp;"|"&amp;TEXT($Q116,"YYYYMMDD"),'Planning Pauses Dej'!$F:$F,0)),"")-IFERROR(INDEX('Planning Pauses Dej'!$C:$C,MATCH($B116&amp;"|"&amp;TEXT($Q116,"YYYYMMDD"),'Planning Pauses Dej'!$F:$F,0)),"")),0)),"")</f>
        <v/>
      </c>
      <c r="I116" s="251">
        <f>IF(IF(OR(C116="",D116="Congé",D116="OFF",D116="Congé spécial"),"",IF(D116&gt;F116,D116-C116,IF(C116-D116&lt;0,0,C116-D116)))&lt;0.00068287037037037,"",IF(OR(D116="Congé",D116="OFF",C116="",D116="Congé spécial"),"",IF(D116&gt;F116,D116-C116,IF(C116-D116&lt;0,0,C116-D116))))</f>
        <v/>
      </c>
      <c r="J116" s="405">
        <f>IFERROR(IF($G116="","",IF($G116&gt;TIME(1,0,0),$G116-TIME(1,0,0),0)),"")</f>
        <v/>
      </c>
      <c r="K116" s="238">
        <f>IF(SUM(H116:J116)&lt;0.00068287037037037,0,SUM(H116:J116))</f>
        <v/>
      </c>
      <c r="L116" s="236">
        <f>IF(OR(F116="Congé",F116="OFF",M116="Abs",F116="Congé sans solde",F116="Férié",F116="Congé spécial",D116="Congé spécial"),0,IF(F116-E116&lt;0,0,IF(F116-E116&lt;=0.00068287037037037,0,F116-E116)))</f>
        <v/>
      </c>
      <c r="M116" s="239">
        <f>IF(AND(O116&lt;&gt;0,C116=""),"Abs",0)</f>
        <v/>
      </c>
      <c r="N116" s="240">
        <f>IFERROR(IF(OR(D116="OFF",D116="Congé",M116="Abs",D116="Congé sans solde",D116="Férié"),"",IF(O116-K116-L116&gt;O116,O116,IF(O116-K116-L116&lt;0,"",O116-K116-L116))),"")</f>
        <v/>
      </c>
      <c r="O116" s="241">
        <f>IF(AG116="2H Pause déjeuner",IF(F116-D116-0.0833333333333333&lt;0,F116-D116-0.0833333333333333+1,F116-D116-0.0833333333333333),IF(OR(AND(F116="OFF",D116="OFF"),AND(F116="Congé",D116="Congé"),AND(F116="Congé sans solde",D116="Congé sans solde"),AND(F116="Congé spécial",D116="Congé spécial"),AND(F116="Férié",D116="Férié"),AND(F116="OFF",D116="Congé"),AND(F116="OFF",D116="Congé sans solde"),AND(F116="OFF",D116="Congé spécial"),AND(F116="OFF",D116="Férié"),AND(F116="Congé",D116="OFF"),AND(F116="Congé",D116="Congé sans solde"),AND(F116="Congé",D116="Congé spécial"),AND(F116="Congé",D116="Férié"),AND(F116="Congé sans solde",D116="OFF"),AND(F116="Congé sans solde",D116="Congé"),AND(F116="Congé sans solde",D116="Congé spécial"),AND(F116="Congé sans solde",D116="Férié"),AND(F116="Congé spécial",D116="OFF"),AND(F116="Congé spécial",D116="Congé"),AND(F116="Congé spécial",D116="Congé sans solde"),AND(F116="Congé spécial",D116="Férié"),AND(F116="Férié",D116="OFF"),AND(F116="Férié",D116="Congé"),AND(F116="Férié",D116="Congé sans solde"),AND(F116="Férié",D116="Congé spécial")),0,IF(OR(F116="OFF",F116="Congé",F116="Congé spécial",F116="Congé sans solde",D116="OFF",D116="Congé",D116="Congé spécial",D116="Congé sans solde"),0.208333333333334,IF(AND(AG116="",F116-D116&lt;0),("24:00:00"-D116)+("00:00:00"+F116)-0.0416666666666667,IF(AND(OR(AG116="Allaitement",AG116="Sans déjeuner"),F116-D116&lt;0),("24:00:00"-D116)+("00:00:00"+F116),IF(AND(AG116="",F116-D116&gt;0.166666666666667),F116-D116-0.0416666666666667,IF(AND(OR(AG116="Allaitement",AG116="Sans déjeuner"),F116-D116&gt;0.166666666666667),F116-D116,F116-D116)))))))</f>
        <v/>
      </c>
      <c r="P116" s="242">
        <f>IFERROR(VLOOKUP($B116,Annuaire_roster!$B:$G,MATCH(P$1,Annuaire_roster!$B$1:$G$1,0),0),"-")</f>
        <v/>
      </c>
      <c r="Q116" s="243" t="n">
        <v>44764</v>
      </c>
      <c r="R116" s="244">
        <f>IF(M116="Abs",O116,0)</f>
        <v/>
      </c>
      <c r="S116" s="244">
        <f>SUM(R116,L116,I116,J116,W116,H116)</f>
        <v/>
      </c>
      <c r="T116" s="209">
        <f>"Sem - "&amp;WEEKNUM(Q116,21)</f>
        <v/>
      </c>
      <c r="U116" s="209">
        <f>PROPER(TEXT(Q116,"mmmm"))</f>
        <v/>
      </c>
      <c r="V116" s="245">
        <f>+TEXT(Q116,"aaa")</f>
        <v/>
      </c>
      <c r="W116" s="240" t="n"/>
      <c r="X116" s="246">
        <f>IFERROR(IF(M116="Abs",0,IF((D116-C116+E116-F116)&lt;0.000694444444444444,0,(D116-C116+E116-F116))),0)</f>
        <v/>
      </c>
      <c r="Y116" s="247">
        <f>IFERROR(VLOOKUP(B116,Annuaire_roster!B:E,4,0),"-")</f>
        <v/>
      </c>
      <c r="Z116" s="247">
        <f>IFERROR(VLOOKUP(B116,Annuaire_roster!B:F,3,0),"-")</f>
        <v/>
      </c>
      <c r="AA116" s="247">
        <f>IFERROR(VLOOKUP(B116,Annuaire_roster!B:I,6,0),"-")</f>
        <v/>
      </c>
      <c r="AB116" s="248">
        <f>IF(AND(D116="Congé",F116="Congé"),0.333333333333333,IF(OR(AND(D116="Congé",F116&lt;&gt;"Congé"),(AND(F116="Congé",D116&lt;&gt;"Congé"))),0.166666666666667,""))</f>
        <v/>
      </c>
      <c r="AC116" s="248">
        <f>IF(AND(D116="Congé sans solde",F116="Congé sans solde"),0.333333333333333,IF(OR(AND(D116="Congé sans solde",F116&lt;&gt;"Congé sans solde"),(AND(F116="Congé sans solde",D116&lt;&gt;"Congé sans solde"))),0.166666666666667,""))</f>
        <v/>
      </c>
      <c r="AD116" s="248">
        <f>IF(AND(D116="Congé spécial",F116="Congé spécial"),0.333333333333333,IF(OR(AND(D116="Congé spécial",F116&lt;&gt;"Congé décès"),(AND(F116="Congé spécial",D116&lt;&gt;"Congé spécial"))),0.166666666666667,""))</f>
        <v/>
      </c>
      <c r="AE116" s="249">
        <f>IF(AND(D116="Férié",F116="Férié"),0.333333333333333,IF(OR(AND(D116="Férié",F116&lt;&gt;"Férié"),(AND(F116="Férié",D116&lt;&gt;"Férié"))),0.166666666666667,""))</f>
        <v/>
      </c>
      <c r="AF116" s="249" t="n"/>
      <c r="AG116" s="248" t="n"/>
    </row>
    <row r="117" hidden="1" ht="12.75" customHeight="1" s="231">
      <c r="A117" s="232">
        <f>VLOOKUP(B117,Annuaire_roster!B:F,5,0)</f>
        <v/>
      </c>
      <c r="B117" s="233" t="inlineStr">
        <is>
          <t>NIANG NDEYE ABSA</t>
        </is>
      </c>
      <c r="C117" s="234">
        <f>IFERROR(IF(COUNTIFS(Connexions!$K:$K,$Q117,Connexions!$E:$E,VLOOKUP($B117,Mapping_Noms!$A:$B,2,0))=0,"",_xlfn.MINIFS(Connexions!$M:$M,Connexions!$K:$K,$Q117,Connexions!$E:$E,VLOOKUP($B117,Mapping_Noms!$A:$B,2,0))-TIME(1,0,0)),"")</f>
        <v/>
      </c>
      <c r="D117" s="234">
        <f t="array" ref="D117:D117">IFERROR(INDEX(Planning2[],MATCH(1,(Planning2[Nom]=B117)*(Planning2[Date]=Q117),0),3),"-")</f>
        <v/>
      </c>
      <c r="E117" s="235">
        <f>IFERROR(IF(COUNTIFS(Connexions!$K:$K,$Q117,Connexions!$E:$E,VLOOKUP($B117,Mapping_Noms!$A:$B,2,0))=0,"",_xlfn.MAXIFS(Connexions!$O:$O,Connexions!$K:$K,$Q117,Connexions!$E:$E,VLOOKUP($B117,Mapping_Noms!$A:$B,2,0))-TIME(1,0,0)),"")</f>
        <v/>
      </c>
      <c r="F117" s="235">
        <f t="array" ref="F117:F117">IFERROR(INDEX(Planning2[],MATCH(1,(Planning2[Nom]=B117)*(Planning2[Date]=Q117),0),4),"-")</f>
        <v/>
      </c>
      <c r="G117" s="405">
        <f>IFERROR(IF(OR(IFERROR(INDEX('Planning Pauses Dej'!$C:$C,MATCH($B117&amp;"|"&amp;TEXT($Q117,"YYYYMMDD"),'Planning Pauses Dej'!$F:$F,0)),"")="",IFERROR(INDEX('Planning Pauses Dej'!$D:$D,MATCH($B117&amp;"|"&amp;TEXT($Q117,"YYYYMMDD"),'Planning Pauses Dej'!$F:$F,0)),"")=""),"",_xlfn.MAXIFS(Connexions!$Q:$Q,Connexions!$K:$K,$Q117,Connexions!$E:$E,VLOOKUP($B117,Mapping_Noms!$A:$B,2,0),Connexions!$O:$O,"&lt;="&amp;(IFERROR(INDEX('Planning Pauses Dej'!$D:$D,MATCH($B117&amp;"|"&amp;TEXT($Q117,"YYYYMMDD"),'Planning Pauses Dej'!$F:$F,0)),"")+TIME(1,0,0)),Connexions!$P:$P,"&gt;="&amp;(IFERROR(INDEX('Planning Pauses Dej'!$C:$C,MATCH($B117&amp;"|"&amp;TEXT($Q117,"YYYYMMDD"),'Planning Pauses Dej'!$F:$F,0)),"")+TIME(1,0,0)))),"")</f>
        <v/>
      </c>
      <c r="H117" s="405">
        <f>IFERROR(IF(OR($G117="",IFERROR(INDEX('Planning Pauses Dej'!$C:$C,MATCH($B117&amp;"|"&amp;TEXT($Q117,"YYYYMMDD"),'Planning Pauses Dej'!$F:$F,0)),"")="",IFERROR(INDEX('Planning Pauses Dej'!$D:$D,MATCH($B117&amp;"|"&amp;TEXT($Q117,"YYYYMMDD"),'Planning Pauses Dej'!$F:$F,0)),"")=""),"",IF($G117&gt;(IFERROR(INDEX('Planning Pauses Dej'!$D:$D,MATCH($B117&amp;"|"&amp;TEXT($Q117,"YYYYMMDD"),'Planning Pauses Dej'!$F:$F,0)),"")-IFERROR(INDEX('Planning Pauses Dej'!$C:$C,MATCH($B117&amp;"|"&amp;TEXT($Q117,"YYYYMMDD"),'Planning Pauses Dej'!$F:$F,0)),"")),$G117-(IFERROR(INDEX('Planning Pauses Dej'!$D:$D,MATCH($B117&amp;"|"&amp;TEXT($Q117,"YYYYMMDD"),'Planning Pauses Dej'!$F:$F,0)),"")-IFERROR(INDEX('Planning Pauses Dej'!$C:$C,MATCH($B117&amp;"|"&amp;TEXT($Q117,"YYYYMMDD"),'Planning Pauses Dej'!$F:$F,0)),"")),0)),"")</f>
        <v/>
      </c>
      <c r="I117" s="251">
        <f>IF(IF(OR(C117="",D117="Congé",D117="OFF",D117="Congé spécial"),"",IF(D117&gt;F117,D117-C117,IF(C117-D117&lt;0,0,C117-D117)))&lt;0.00068287037037037,"",IF(OR(D117="Congé",D117="OFF",C117="",D117="Congé spécial"),"",IF(D117&gt;F117,D117-C117,IF(C117-D117&lt;0,0,C117-D117))))</f>
        <v/>
      </c>
      <c r="J117" s="405">
        <f>IFERROR(IF($G117="","",IF($G117&gt;TIME(1,0,0),$G117-TIME(1,0,0),0)),"")</f>
        <v/>
      </c>
      <c r="K117" s="238">
        <f>IF(SUM(H117:J117)&lt;0.00068287037037037,0,SUM(H117:J117))</f>
        <v/>
      </c>
      <c r="L117" s="236">
        <f>IF(OR(F117="Congé",F117="OFF",M117="Abs",F117="Congé sans solde",F117="Férié",F117="Congé spécial",D117="Congé spécial"),0,IF(F117-E117&lt;0,0,IF(F117-E117&lt;=0.00068287037037037,0,F117-E117)))</f>
        <v/>
      </c>
      <c r="M117" s="239">
        <f>IF(AND(O117&lt;&gt;0,C117=""),"Abs",0)</f>
        <v/>
      </c>
      <c r="N117" s="240">
        <f>IFERROR(IF(OR(D117="OFF",D117="Congé",M117="Abs",D117="Congé sans solde",D117="Férié"),"",IF(O117-K117-L117&gt;O117,O117,IF(O117-K117-L117&lt;0,"",O117-K117-L117))),"")</f>
        <v/>
      </c>
      <c r="O117" s="241">
        <f>IF(AG117="2H Pause déjeuner",IF(F117-D117-0.0833333333333333&lt;0,F117-D117-0.0833333333333333+1,F117-D117-0.0833333333333333),IF(OR(AND(F117="OFF",D117="OFF"),AND(F117="Congé",D117="Congé"),AND(F117="Congé sans solde",D117="Congé sans solde"),AND(F117="Congé spécial",D117="Congé spécial"),AND(F117="Férié",D117="Férié"),AND(F117="OFF",D117="Congé"),AND(F117="OFF",D117="Congé sans solde"),AND(F117="OFF",D117="Congé spécial"),AND(F117="OFF",D117="Férié"),AND(F117="Congé",D117="OFF"),AND(F117="Congé",D117="Congé sans solde"),AND(F117="Congé",D117="Congé spécial"),AND(F117="Congé",D117="Férié"),AND(F117="Congé sans solde",D117="OFF"),AND(F117="Congé sans solde",D117="Congé"),AND(F117="Congé sans solde",D117="Congé spécial"),AND(F117="Congé sans solde",D117="Férié"),AND(F117="Congé spécial",D117="OFF"),AND(F117="Congé spécial",D117="Congé"),AND(F117="Congé spécial",D117="Congé sans solde"),AND(F117="Congé spécial",D117="Férié"),AND(F117="Férié",D117="OFF"),AND(F117="Férié",D117="Congé"),AND(F117="Férié",D117="Congé sans solde"),AND(F117="Férié",D117="Congé spécial")),0,IF(OR(F117="OFF",F117="Congé",F117="Congé spécial",F117="Congé sans solde",D117="OFF",D117="Congé",D117="Congé spécial",D117="Congé sans solde"),0.208333333333334,IF(AND(AG117="",F117-D117&lt;0),("24:00:00"-D117)+("00:00:00"+F117)-0.0416666666666667,IF(AND(OR(AG117="Allaitement",AG117="Sans déjeuner"),F117-D117&lt;0),("24:00:00"-D117)+("00:00:00"+F117),IF(AND(AG117="",F117-D117&gt;0.166666666666667),F117-D117-0.0416666666666667,IF(AND(OR(AG117="Allaitement",AG117="Sans déjeuner"),F117-D117&gt;0.166666666666667),F117-D117,F117-D117)))))))</f>
        <v/>
      </c>
      <c r="P117" s="242">
        <f>IFERROR(VLOOKUP($B117,Annuaire_roster!$B:$G,MATCH(P$1,Annuaire_roster!$B$1:$G$1,0),0),"-")</f>
        <v/>
      </c>
      <c r="Q117" s="243" t="n">
        <v>44764</v>
      </c>
      <c r="R117" s="244">
        <f>IF(M117="Abs",O117,0)</f>
        <v/>
      </c>
      <c r="S117" s="244">
        <f>SUM(R117,L117,I117,J117,W117,H117)</f>
        <v/>
      </c>
      <c r="T117" s="209">
        <f>"Sem - "&amp;WEEKNUM(Q117,21)</f>
        <v/>
      </c>
      <c r="U117" s="209">
        <f>PROPER(TEXT(Q117,"mmmm"))</f>
        <v/>
      </c>
      <c r="V117" s="245">
        <f>+TEXT(Q117,"aaa")</f>
        <v/>
      </c>
      <c r="W117" s="240" t="n"/>
      <c r="X117" s="246">
        <f>IFERROR(IF(M117="Abs",0,IF((D117-C117+E117-F117)&lt;0.000694444444444444,0,(D117-C117+E117-F117))),0)</f>
        <v/>
      </c>
      <c r="Y117" s="247">
        <f>IFERROR(VLOOKUP(B117,Annuaire_roster!B:E,4,0),"-")</f>
        <v/>
      </c>
      <c r="Z117" s="247">
        <f>IFERROR(VLOOKUP(B117,Annuaire_roster!B:F,3,0),"-")</f>
        <v/>
      </c>
      <c r="AA117" s="247">
        <f>IFERROR(VLOOKUP(B117,Annuaire_roster!B:I,6,0),"-")</f>
        <v/>
      </c>
      <c r="AB117" s="248">
        <f>IF(AND(D117="Congé",F117="Congé"),0.333333333333333,IF(OR(AND(D117="Congé",F117&lt;&gt;"Congé"),(AND(F117="Congé",D117&lt;&gt;"Congé"))),0.166666666666667,""))</f>
        <v/>
      </c>
      <c r="AC117" s="248">
        <f>IF(AND(D117="Congé sans solde",F117="Congé sans solde"),0.333333333333333,IF(OR(AND(D117="Congé sans solde",F117&lt;&gt;"Congé sans solde"),(AND(F117="Congé sans solde",D117&lt;&gt;"Congé sans solde"))),0.166666666666667,""))</f>
        <v/>
      </c>
      <c r="AD117" s="248">
        <f>IF(AND(D117="Congé spécial",F117="Congé spécial"),0.333333333333333,IF(OR(AND(D117="Congé spécial",F117&lt;&gt;"Congé décès"),(AND(F117="Congé spécial",D117&lt;&gt;"Congé spécial"))),0.166666666666667,""))</f>
        <v/>
      </c>
      <c r="AE117" s="249">
        <f>IF(AND(D117="Férié",F117="Férié"),0.333333333333333,IF(OR(AND(D117="Férié",F117&lt;&gt;"Férié"),(AND(F117="Férié",D117&lt;&gt;"Férié"))),0.166666666666667,""))</f>
        <v/>
      </c>
      <c r="AF117" s="249" t="n"/>
      <c r="AG117" s="244" t="n"/>
    </row>
    <row r="118" hidden="1" ht="12.75" customHeight="1" s="231">
      <c r="A118" s="232">
        <f>VLOOKUP(B118,Annuaire_roster!B:F,5,0)</f>
        <v/>
      </c>
      <c r="B118" s="233" t="inlineStr">
        <is>
          <t>NUNEZ LUCIEN BERNARD</t>
        </is>
      </c>
      <c r="C118" s="234">
        <f>IFERROR(IF(COUNTIFS(Connexions!$K:$K,$Q118,Connexions!$E:$E,VLOOKUP($B118,Mapping_Noms!$A:$B,2,0))=0,"",_xlfn.MINIFS(Connexions!$M:$M,Connexions!$K:$K,$Q118,Connexions!$E:$E,VLOOKUP($B118,Mapping_Noms!$A:$B,2,0))-TIME(1,0,0)),"")</f>
        <v/>
      </c>
      <c r="D118" s="234">
        <f t="array" ref="D118:D118">IFERROR(INDEX(Planning2[],MATCH(1,(Planning2[Nom]=B118)*(Planning2[Date]=Q118),0),3),"-")</f>
        <v/>
      </c>
      <c r="E118" s="235">
        <f>IFERROR(IF(COUNTIFS(Connexions!$K:$K,$Q118,Connexions!$E:$E,VLOOKUP($B118,Mapping_Noms!$A:$B,2,0))=0,"",_xlfn.MAXIFS(Connexions!$O:$O,Connexions!$K:$K,$Q118,Connexions!$E:$E,VLOOKUP($B118,Mapping_Noms!$A:$B,2,0))-TIME(1,0,0)),"")</f>
        <v/>
      </c>
      <c r="F118" s="235">
        <f t="array" ref="F118:F118">IFERROR(INDEX(Planning2[],MATCH(1,(Planning2[Nom]=B118)*(Planning2[Date]=Q118),0),4),"-")</f>
        <v/>
      </c>
      <c r="G118" s="405">
        <f>IFERROR(IF(OR(IFERROR(INDEX('Planning Pauses Dej'!$C:$C,MATCH($B118&amp;"|"&amp;TEXT($Q118,"YYYYMMDD"),'Planning Pauses Dej'!$F:$F,0)),"")="",IFERROR(INDEX('Planning Pauses Dej'!$D:$D,MATCH($B118&amp;"|"&amp;TEXT($Q118,"YYYYMMDD"),'Planning Pauses Dej'!$F:$F,0)),"")=""),"",_xlfn.MAXIFS(Connexions!$Q:$Q,Connexions!$K:$K,$Q118,Connexions!$E:$E,VLOOKUP($B118,Mapping_Noms!$A:$B,2,0),Connexions!$O:$O,"&lt;="&amp;(IFERROR(INDEX('Planning Pauses Dej'!$D:$D,MATCH($B118&amp;"|"&amp;TEXT($Q118,"YYYYMMDD"),'Planning Pauses Dej'!$F:$F,0)),"")+TIME(1,0,0)),Connexions!$P:$P,"&gt;="&amp;(IFERROR(INDEX('Planning Pauses Dej'!$C:$C,MATCH($B118&amp;"|"&amp;TEXT($Q118,"YYYYMMDD"),'Planning Pauses Dej'!$F:$F,0)),"")+TIME(1,0,0)))),"")</f>
        <v/>
      </c>
      <c r="H118" s="405">
        <f>IFERROR(IF(OR($G118="",IFERROR(INDEX('Planning Pauses Dej'!$C:$C,MATCH($B118&amp;"|"&amp;TEXT($Q118,"YYYYMMDD"),'Planning Pauses Dej'!$F:$F,0)),"")="",IFERROR(INDEX('Planning Pauses Dej'!$D:$D,MATCH($B118&amp;"|"&amp;TEXT($Q118,"YYYYMMDD"),'Planning Pauses Dej'!$F:$F,0)),"")=""),"",IF($G118&gt;(IFERROR(INDEX('Planning Pauses Dej'!$D:$D,MATCH($B118&amp;"|"&amp;TEXT($Q118,"YYYYMMDD"),'Planning Pauses Dej'!$F:$F,0)),"")-IFERROR(INDEX('Planning Pauses Dej'!$C:$C,MATCH($B118&amp;"|"&amp;TEXT($Q118,"YYYYMMDD"),'Planning Pauses Dej'!$F:$F,0)),"")),$G118-(IFERROR(INDEX('Planning Pauses Dej'!$D:$D,MATCH($B118&amp;"|"&amp;TEXT($Q118,"YYYYMMDD"),'Planning Pauses Dej'!$F:$F,0)),"")-IFERROR(INDEX('Planning Pauses Dej'!$C:$C,MATCH($B118&amp;"|"&amp;TEXT($Q118,"YYYYMMDD"),'Planning Pauses Dej'!$F:$F,0)),"")),0)),"")</f>
        <v/>
      </c>
      <c r="I118" s="251">
        <f>IF(IF(OR(C118="",D118="Congé",D118="OFF",D118="Congé spécial"),"",IF(D118&gt;F118,D118-C118,IF(C118-D118&lt;0,0,C118-D118)))&lt;0.00068287037037037,"",IF(OR(D118="Congé",D118="OFF",C118="",D118="Congé spécial"),"",IF(D118&gt;F118,D118-C118,IF(C118-D118&lt;0,0,C118-D118))))</f>
        <v/>
      </c>
      <c r="J118" s="405">
        <f>IFERROR(IF($G118="","",IF($G118&gt;TIME(1,0,0),$G118-TIME(1,0,0),0)),"")</f>
        <v/>
      </c>
      <c r="K118" s="238">
        <f>IF(SUM(H118:J118)&lt;0.00068287037037037,0,SUM(H118:J118))</f>
        <v/>
      </c>
      <c r="L118" s="236">
        <f>IF(OR(F118="Congé",F118="OFF",M118="Abs",F118="Congé sans solde",F118="Férié",F118="Congé spécial",D118="Congé spécial"),0,IF(F118-E118&lt;0,0,IF(F118-E118&lt;=0.00068287037037037,0,F118-E118)))</f>
        <v/>
      </c>
      <c r="M118" s="239">
        <f>IF(AND(O118&lt;&gt;0,C118=""),"Abs",0)</f>
        <v/>
      </c>
      <c r="N118" s="240">
        <f>IFERROR(IF(OR(D118="OFF",D118="Congé",M118="Abs",D118="Congé sans solde",D118="Férié"),"",IF(O118-K118-L118&gt;O118,O118,IF(O118-K118-L118&lt;0,"",O118-K118-L118))),"")</f>
        <v/>
      </c>
      <c r="O118" s="241">
        <f>IF(AG118="2H Pause déjeuner",IF(F118-D118-0.0833333333333333&lt;0,F118-D118-0.0833333333333333+1,F118-D118-0.0833333333333333),IF(OR(AND(F118="OFF",D118="OFF"),AND(F118="Congé",D118="Congé"),AND(F118="Congé sans solde",D118="Congé sans solde"),AND(F118="Congé spécial",D118="Congé spécial"),AND(F118="Férié",D118="Férié"),AND(F118="OFF",D118="Congé"),AND(F118="OFF",D118="Congé sans solde"),AND(F118="OFF",D118="Congé spécial"),AND(F118="OFF",D118="Férié"),AND(F118="Congé",D118="OFF"),AND(F118="Congé",D118="Congé sans solde"),AND(F118="Congé",D118="Congé spécial"),AND(F118="Congé",D118="Férié"),AND(F118="Congé sans solde",D118="OFF"),AND(F118="Congé sans solde",D118="Congé"),AND(F118="Congé sans solde",D118="Congé spécial"),AND(F118="Congé sans solde",D118="Férié"),AND(F118="Congé spécial",D118="OFF"),AND(F118="Congé spécial",D118="Congé"),AND(F118="Congé spécial",D118="Congé sans solde"),AND(F118="Congé spécial",D118="Férié"),AND(F118="Férié",D118="OFF"),AND(F118="Férié",D118="Congé"),AND(F118="Férié",D118="Congé sans solde"),AND(F118="Férié",D118="Congé spécial")),0,IF(OR(F118="OFF",F118="Congé",F118="Congé spécial",F118="Congé sans solde",D118="OFF",D118="Congé",D118="Congé spécial",D118="Congé sans solde"),0.208333333333334,IF(AND(AG118="",F118-D118&lt;0),("24:00:00"-D118)+("00:00:00"+F118)-0.0416666666666667,IF(AND(OR(AG118="Allaitement",AG118="Sans déjeuner"),F118-D118&lt;0),("24:00:00"-D118)+("00:00:00"+F118),IF(AND(AG118="",F118-D118&gt;0.166666666666667),F118-D118-0.0416666666666667,IF(AND(OR(AG118="Allaitement",AG118="Sans déjeuner"),F118-D118&gt;0.166666666666667),F118-D118,F118-D118)))))))</f>
        <v/>
      </c>
      <c r="P118" s="242">
        <f>IFERROR(VLOOKUP($B118,Annuaire_roster!$B:$G,MATCH(P$1,Annuaire_roster!$B$1:$G$1,0),0),"-")</f>
        <v/>
      </c>
      <c r="Q118" s="243" t="n">
        <v>44764</v>
      </c>
      <c r="R118" s="244">
        <f>IF(M118="Abs",O118,0)</f>
        <v/>
      </c>
      <c r="S118" s="244">
        <f>SUM(R118,L118,I118,J118,W118,H118)</f>
        <v/>
      </c>
      <c r="T118" s="209">
        <f>"Sem - "&amp;WEEKNUM(Q118,21)</f>
        <v/>
      </c>
      <c r="U118" s="209">
        <f>PROPER(TEXT(Q118,"mmmm"))</f>
        <v/>
      </c>
      <c r="V118" s="245">
        <f>+TEXT(Q118,"aaa")</f>
        <v/>
      </c>
      <c r="W118" s="240" t="n"/>
      <c r="X118" s="246">
        <f>IFERROR(IF(M118="Abs",0,IF((D118-C118+E118-F118)&lt;0.000694444444444444,0,(D118-C118+E118-F118))),0)</f>
        <v/>
      </c>
      <c r="Y118" s="247">
        <f>IFERROR(VLOOKUP(B118,Annuaire_roster!B:E,4,0),"-")</f>
        <v/>
      </c>
      <c r="Z118" s="247">
        <f>IFERROR(VLOOKUP(B118,Annuaire_roster!B:F,3,0),"-")</f>
        <v/>
      </c>
      <c r="AA118" s="247">
        <f>IFERROR(VLOOKUP(B118,Annuaire_roster!B:I,6,0),"-")</f>
        <v/>
      </c>
      <c r="AB118" s="248">
        <f>IF(AND(D118="Congé",F118="Congé"),0.333333333333333,IF(OR(AND(D118="Congé",F118&lt;&gt;"Congé"),(AND(F118="Congé",D118&lt;&gt;"Congé"))),0.166666666666667,""))</f>
        <v/>
      </c>
      <c r="AC118" s="248">
        <f>IF(AND(D118="Congé sans solde",F118="Congé sans solde"),0.333333333333333,IF(OR(AND(D118="Congé sans solde",F118&lt;&gt;"Congé sans solde"),(AND(F118="Congé sans solde",D118&lt;&gt;"Congé sans solde"))),0.166666666666667,""))</f>
        <v/>
      </c>
      <c r="AD118" s="248">
        <f>IF(AND(D118="Congé spécial",F118="Congé spécial"),0.333333333333333,IF(OR(AND(D118="Congé spécial",F118&lt;&gt;"Congé décès"),(AND(F118="Congé spécial",D118&lt;&gt;"Congé spécial"))),0.166666666666667,""))</f>
        <v/>
      </c>
      <c r="AE118" s="249">
        <f>IF(AND(D118="Férié",F118="Férié"),0.333333333333333,IF(OR(AND(D118="Férié",F118&lt;&gt;"Férié"),(AND(F118="Férié",D118&lt;&gt;"Férié"))),0.166666666666667,""))</f>
        <v/>
      </c>
      <c r="AF118" s="249" t="n"/>
      <c r="AG118" s="244" t="n"/>
    </row>
    <row r="119" hidden="1" ht="12.75" customHeight="1" s="231">
      <c r="A119" s="232">
        <f>VLOOKUP(B119,Annuaire_roster!B:F,5,0)</f>
        <v/>
      </c>
      <c r="B119" s="233" t="inlineStr">
        <is>
          <t>GUEYE GORA</t>
        </is>
      </c>
      <c r="C119" s="234">
        <f>IFERROR(IF(COUNTIFS(Connexions!$K:$K,$Q119,Connexions!$E:$E,VLOOKUP($B119,Mapping_Noms!$A:$B,2,0))=0,"",_xlfn.MINIFS(Connexions!$M:$M,Connexions!$K:$K,$Q119,Connexions!$E:$E,VLOOKUP($B119,Mapping_Noms!$A:$B,2,0))-TIME(1,0,0)),"")</f>
        <v/>
      </c>
      <c r="D119" s="234">
        <f t="array" ref="D119:D119">IFERROR(INDEX(Planning2[],MATCH(1,(Planning2[Nom]=B119)*(Planning2[Date]=Q119),0),3),"-")</f>
        <v/>
      </c>
      <c r="E119" s="235">
        <f>IFERROR(IF(COUNTIFS(Connexions!$K:$K,$Q119,Connexions!$E:$E,VLOOKUP($B119,Mapping_Noms!$A:$B,2,0))=0,"",_xlfn.MAXIFS(Connexions!$O:$O,Connexions!$K:$K,$Q119,Connexions!$E:$E,VLOOKUP($B119,Mapping_Noms!$A:$B,2,0))-TIME(1,0,0)),"")</f>
        <v/>
      </c>
      <c r="F119" s="235">
        <f t="array" ref="F119:F119">IFERROR(INDEX(Planning2[],MATCH(1,(Planning2[Nom]=B119)*(Planning2[Date]=Q119),0),4),"-")</f>
        <v/>
      </c>
      <c r="G119" s="405">
        <f>IFERROR(IF(OR(IFERROR(INDEX('Planning Pauses Dej'!$C:$C,MATCH($B119&amp;"|"&amp;TEXT($Q119,"YYYYMMDD"),'Planning Pauses Dej'!$F:$F,0)),"")="",IFERROR(INDEX('Planning Pauses Dej'!$D:$D,MATCH($B119&amp;"|"&amp;TEXT($Q119,"YYYYMMDD"),'Planning Pauses Dej'!$F:$F,0)),"")=""),"",_xlfn.MAXIFS(Connexions!$Q:$Q,Connexions!$K:$K,$Q119,Connexions!$E:$E,VLOOKUP($B119,Mapping_Noms!$A:$B,2,0),Connexions!$O:$O,"&lt;="&amp;(IFERROR(INDEX('Planning Pauses Dej'!$D:$D,MATCH($B119&amp;"|"&amp;TEXT($Q119,"YYYYMMDD"),'Planning Pauses Dej'!$F:$F,0)),"")+TIME(1,0,0)),Connexions!$P:$P,"&gt;="&amp;(IFERROR(INDEX('Planning Pauses Dej'!$C:$C,MATCH($B119&amp;"|"&amp;TEXT($Q119,"YYYYMMDD"),'Planning Pauses Dej'!$F:$F,0)),"")+TIME(1,0,0)))),"")</f>
        <v/>
      </c>
      <c r="H119" s="405">
        <f>IFERROR(IF(OR($G119="",IFERROR(INDEX('Planning Pauses Dej'!$C:$C,MATCH($B119&amp;"|"&amp;TEXT($Q119,"YYYYMMDD"),'Planning Pauses Dej'!$F:$F,0)),"")="",IFERROR(INDEX('Planning Pauses Dej'!$D:$D,MATCH($B119&amp;"|"&amp;TEXT($Q119,"YYYYMMDD"),'Planning Pauses Dej'!$F:$F,0)),"")=""),"",IF($G119&gt;(IFERROR(INDEX('Planning Pauses Dej'!$D:$D,MATCH($B119&amp;"|"&amp;TEXT($Q119,"YYYYMMDD"),'Planning Pauses Dej'!$F:$F,0)),"")-IFERROR(INDEX('Planning Pauses Dej'!$C:$C,MATCH($B119&amp;"|"&amp;TEXT($Q119,"YYYYMMDD"),'Planning Pauses Dej'!$F:$F,0)),"")),$G119-(IFERROR(INDEX('Planning Pauses Dej'!$D:$D,MATCH($B119&amp;"|"&amp;TEXT($Q119,"YYYYMMDD"),'Planning Pauses Dej'!$F:$F,0)),"")-IFERROR(INDEX('Planning Pauses Dej'!$C:$C,MATCH($B119&amp;"|"&amp;TEXT($Q119,"YYYYMMDD"),'Planning Pauses Dej'!$F:$F,0)),"")),0)),"")</f>
        <v/>
      </c>
      <c r="I119" s="251">
        <f>IF(IF(OR(C119="",D119="Congé",D119="OFF",D119="Congé spécial"),"",IF(D119&gt;F119,D119-C119,IF(C119-D119&lt;0,0,C119-D119)))&lt;0.00068287037037037,"",IF(OR(D119="Congé",D119="OFF",C119="",D119="Congé spécial"),"",IF(D119&gt;F119,D119-C119,IF(C119-D119&lt;0,0,C119-D119))))</f>
        <v/>
      </c>
      <c r="J119" s="405">
        <f>IFERROR(IF($G119="","",IF($G119&gt;TIME(1,0,0),$G119-TIME(1,0,0),0)),"")</f>
        <v/>
      </c>
      <c r="K119" s="238">
        <f>IF(SUM(H119:J119)&lt;0.00068287037037037,0,SUM(H119:J119))</f>
        <v/>
      </c>
      <c r="L119" s="236">
        <f>IF(OR(F119="Congé",F119="OFF",M119="Abs",F119="Congé sans solde",F119="Férié",F119="Congé spécial",D119="Congé spécial"),0,IF(F119-E119&lt;0,0,IF(F119-E119&lt;=0.00068287037037037,0,F119-E119)))</f>
        <v/>
      </c>
      <c r="M119" s="239">
        <f>IF(AND(O119&lt;&gt;0,C119=""),"Abs",0)</f>
        <v/>
      </c>
      <c r="N119" s="240">
        <f>IFERROR(IF(OR(D119="OFF",D119="Congé",M119="Abs",D119="Congé sans solde",D119="Férié"),"",IF(O119-K119-L119&gt;O119,O119,IF(O119-K119-L119&lt;0,"",O119-K119-L119))),"")</f>
        <v/>
      </c>
      <c r="O119" s="241">
        <f>IF(AG119="2H Pause déjeuner",IF(F119-D119-0.0833333333333333&lt;0,F119-D119-0.0833333333333333+1,F119-D119-0.0833333333333333),IF(OR(AND(F119="OFF",D119="OFF"),AND(F119="Congé",D119="Congé"),AND(F119="Congé sans solde",D119="Congé sans solde"),AND(F119="Congé spécial",D119="Congé spécial"),AND(F119="Férié",D119="Férié"),AND(F119="OFF",D119="Congé"),AND(F119="OFF",D119="Congé sans solde"),AND(F119="OFF",D119="Congé spécial"),AND(F119="OFF",D119="Férié"),AND(F119="Congé",D119="OFF"),AND(F119="Congé",D119="Congé sans solde"),AND(F119="Congé",D119="Congé spécial"),AND(F119="Congé",D119="Férié"),AND(F119="Congé sans solde",D119="OFF"),AND(F119="Congé sans solde",D119="Congé"),AND(F119="Congé sans solde",D119="Congé spécial"),AND(F119="Congé sans solde",D119="Férié"),AND(F119="Congé spécial",D119="OFF"),AND(F119="Congé spécial",D119="Congé"),AND(F119="Congé spécial",D119="Congé sans solde"),AND(F119="Congé spécial",D119="Férié"),AND(F119="Férié",D119="OFF"),AND(F119="Férié",D119="Congé"),AND(F119="Férié",D119="Congé sans solde"),AND(F119="Férié",D119="Congé spécial")),0,IF(OR(F119="OFF",F119="Congé",F119="Congé spécial",F119="Congé sans solde",D119="OFF",D119="Congé",D119="Congé spécial",D119="Congé sans solde"),0.208333333333334,IF(AND(AG119="",F119-D119&lt;0),("24:00:00"-D119)+("00:00:00"+F119)-0.0416666666666667,IF(AND(OR(AG119="Allaitement",AG119="Sans déjeuner"),F119-D119&lt;0),("24:00:00"-D119)+("00:00:00"+F119),IF(AND(AG119="",F119-D119&gt;0.166666666666667),F119-D119-0.0416666666666667,IF(AND(OR(AG119="Allaitement",AG119="Sans déjeuner"),F119-D119&gt;0.166666666666667),F119-D119,F119-D119)))))))</f>
        <v/>
      </c>
      <c r="P119" s="242">
        <f>IFERROR(VLOOKUP($B119,Annuaire_roster!$B:$G,MATCH(P$1,Annuaire_roster!$B$1:$G$1,0),0),"-")</f>
        <v/>
      </c>
      <c r="Q119" s="243" t="n">
        <v>44764</v>
      </c>
      <c r="R119" s="244">
        <f>IF(M119="Abs",O119,0)</f>
        <v/>
      </c>
      <c r="S119" s="244">
        <f>SUM(R119,L119,I119,J119,W119,H119)</f>
        <v/>
      </c>
      <c r="T119" s="209">
        <f>"Sem - "&amp;WEEKNUM(Q119,21)</f>
        <v/>
      </c>
      <c r="U119" s="209">
        <f>PROPER(TEXT(Q119,"mmmm"))</f>
        <v/>
      </c>
      <c r="V119" s="245">
        <f>+TEXT(Q119,"aaa")</f>
        <v/>
      </c>
      <c r="W119" s="240" t="n"/>
      <c r="X119" s="246">
        <f>IFERROR(IF(M119="Abs",0,IF((D119-C119+E119-F119)&lt;0.000694444444444444,0,(D119-C119+E119-F119))),0)</f>
        <v/>
      </c>
      <c r="Y119" s="247">
        <f>IFERROR(VLOOKUP(B119,Annuaire_roster!B:E,4,0),"-")</f>
        <v/>
      </c>
      <c r="Z119" s="247">
        <f>IFERROR(VLOOKUP(B119,Annuaire_roster!B:F,3,0),"-")</f>
        <v/>
      </c>
      <c r="AA119" s="247">
        <f>IFERROR(VLOOKUP(B119,Annuaire_roster!B:I,6,0),"-")</f>
        <v/>
      </c>
      <c r="AB119" s="248">
        <f>IF(AND(D119="Congé",F119="Congé"),0.333333333333333,IF(OR(AND(D119="Congé",F119&lt;&gt;"Congé"),(AND(F119="Congé",D119&lt;&gt;"Congé"))),0.166666666666667,""))</f>
        <v/>
      </c>
      <c r="AC119" s="248">
        <f>IF(AND(D119="Congé sans solde",F119="Congé sans solde"),0.333333333333333,IF(OR(AND(D119="Congé sans solde",F119&lt;&gt;"Congé sans solde"),(AND(F119="Congé sans solde",D119&lt;&gt;"Congé sans solde"))),0.166666666666667,""))</f>
        <v/>
      </c>
      <c r="AD119" s="248">
        <f>IF(AND(D119="Congé spécial",F119="Congé spécial"),0.333333333333333,IF(OR(AND(D119="Congé spécial",F119&lt;&gt;"Congé décès"),(AND(F119="Congé spécial",D119&lt;&gt;"Congé spécial"))),0.166666666666667,""))</f>
        <v/>
      </c>
      <c r="AE119" s="249">
        <f>IF(AND(D119="Férié",F119="Férié"),0.333333333333333,IF(OR(AND(D119="Férié",F119&lt;&gt;"Férié"),(AND(F119="Férié",D119&lt;&gt;"Férié"))),0.166666666666667,""))</f>
        <v/>
      </c>
      <c r="AF119" s="249" t="n"/>
      <c r="AG119" s="244" t="n"/>
    </row>
    <row r="120" hidden="1" ht="12.75" customHeight="1" s="231">
      <c r="A120" s="232">
        <f>VLOOKUP(B120,Annuaire_roster!B:F,5,0)</f>
        <v/>
      </c>
      <c r="B120" s="233" t="inlineStr">
        <is>
          <t>SOUOUD ZAKARIA</t>
        </is>
      </c>
      <c r="C120" s="234">
        <f>IFERROR(IF(COUNTIFS(Connexions!$K:$K,$Q120,Connexions!$E:$E,VLOOKUP($B120,Mapping_Noms!$A:$B,2,0))=0,"",_xlfn.MINIFS(Connexions!$M:$M,Connexions!$K:$K,$Q120,Connexions!$E:$E,VLOOKUP($B120,Mapping_Noms!$A:$B,2,0))-TIME(1,0,0)),"")</f>
        <v/>
      </c>
      <c r="D120" s="234">
        <f t="array" ref="D120:D120">IFERROR(INDEX(Planning2[],MATCH(1,(Planning2[Nom]=B120)*(Planning2[Date]=Q120),0),3),"-")</f>
        <v/>
      </c>
      <c r="E120" s="235">
        <f>IFERROR(IF(COUNTIFS(Connexions!$K:$K,$Q120,Connexions!$E:$E,VLOOKUP($B120,Mapping_Noms!$A:$B,2,0))=0,"",_xlfn.MAXIFS(Connexions!$O:$O,Connexions!$K:$K,$Q120,Connexions!$E:$E,VLOOKUP($B120,Mapping_Noms!$A:$B,2,0))-TIME(1,0,0)),"")</f>
        <v/>
      </c>
      <c r="F120" s="235">
        <f t="array" ref="F120:F120">IFERROR(INDEX(Planning2[],MATCH(1,(Planning2[Nom]=B120)*(Planning2[Date]=Q120),0),4),"-")</f>
        <v/>
      </c>
      <c r="G120" s="405">
        <f>IFERROR(IF(OR(IFERROR(INDEX('Planning Pauses Dej'!$C:$C,MATCH($B120&amp;"|"&amp;TEXT($Q120,"YYYYMMDD"),'Planning Pauses Dej'!$F:$F,0)),"")="",IFERROR(INDEX('Planning Pauses Dej'!$D:$D,MATCH($B120&amp;"|"&amp;TEXT($Q120,"YYYYMMDD"),'Planning Pauses Dej'!$F:$F,0)),"")=""),"",_xlfn.MAXIFS(Connexions!$Q:$Q,Connexions!$K:$K,$Q120,Connexions!$E:$E,VLOOKUP($B120,Mapping_Noms!$A:$B,2,0),Connexions!$O:$O,"&lt;="&amp;(IFERROR(INDEX('Planning Pauses Dej'!$D:$D,MATCH($B120&amp;"|"&amp;TEXT($Q120,"YYYYMMDD"),'Planning Pauses Dej'!$F:$F,0)),"")+TIME(1,0,0)),Connexions!$P:$P,"&gt;="&amp;(IFERROR(INDEX('Planning Pauses Dej'!$C:$C,MATCH($B120&amp;"|"&amp;TEXT($Q120,"YYYYMMDD"),'Planning Pauses Dej'!$F:$F,0)),"")+TIME(1,0,0)))),"")</f>
        <v/>
      </c>
      <c r="H120" s="405">
        <f>IFERROR(IF(OR($G120="",IFERROR(INDEX('Planning Pauses Dej'!$C:$C,MATCH($B120&amp;"|"&amp;TEXT($Q120,"YYYYMMDD"),'Planning Pauses Dej'!$F:$F,0)),"")="",IFERROR(INDEX('Planning Pauses Dej'!$D:$D,MATCH($B120&amp;"|"&amp;TEXT($Q120,"YYYYMMDD"),'Planning Pauses Dej'!$F:$F,0)),"")=""),"",IF($G120&gt;(IFERROR(INDEX('Planning Pauses Dej'!$D:$D,MATCH($B120&amp;"|"&amp;TEXT($Q120,"YYYYMMDD"),'Planning Pauses Dej'!$F:$F,0)),"")-IFERROR(INDEX('Planning Pauses Dej'!$C:$C,MATCH($B120&amp;"|"&amp;TEXT($Q120,"YYYYMMDD"),'Planning Pauses Dej'!$F:$F,0)),"")),$G120-(IFERROR(INDEX('Planning Pauses Dej'!$D:$D,MATCH($B120&amp;"|"&amp;TEXT($Q120,"YYYYMMDD"),'Planning Pauses Dej'!$F:$F,0)),"")-IFERROR(INDEX('Planning Pauses Dej'!$C:$C,MATCH($B120&amp;"|"&amp;TEXT($Q120,"YYYYMMDD"),'Planning Pauses Dej'!$F:$F,0)),"")),0)),"")</f>
        <v/>
      </c>
      <c r="I120" s="251">
        <f>IF(IF(OR(C120="",D120="Congé",D120="OFF",D120="Congé spécial"),"",IF(D120&gt;F120,D120-C120,IF(C120-D120&lt;0,0,C120-D120)))&lt;0.00068287037037037,"",IF(OR(D120="Congé",D120="OFF",C120="",D120="Congé spécial"),"",IF(D120&gt;F120,D120-C120,IF(C120-D120&lt;0,0,C120-D120))))</f>
        <v/>
      </c>
      <c r="J120" s="405">
        <f>IFERROR(IF($G120="","",IF($G120&gt;TIME(1,0,0),$G120-TIME(1,0,0),0)),"")</f>
        <v/>
      </c>
      <c r="K120" s="238">
        <f>IF(SUM(H120:J120)&lt;0.00068287037037037,0,SUM(H120:J120))</f>
        <v/>
      </c>
      <c r="L120" s="236">
        <f>IF(OR(F120="Congé",F120="OFF",M120="Abs",F120="Congé sans solde",F120="Férié",F120="Congé spécial",D120="Congé spécial"),0,IF(F120-E120&lt;0,0,IF(F120-E120&lt;=0.00068287037037037,0,F120-E120)))</f>
        <v/>
      </c>
      <c r="M120" s="239">
        <f>IF(AND(O120&lt;&gt;0,C120=""),"Abs",0)</f>
        <v/>
      </c>
      <c r="N120" s="240">
        <f>IFERROR(IF(OR(D120="OFF",D120="Congé",M120="Abs",D120="Congé sans solde",D120="Férié"),"",IF(O120-K120-L120&gt;O120,O120,IF(O120-K120-L120&lt;0,"",O120-K120-L120))),"")</f>
        <v/>
      </c>
      <c r="O120" s="241">
        <f>IF(AG120="2H Pause déjeuner",IF(F120-D120-0.0833333333333333&lt;0,F120-D120-0.0833333333333333+1,F120-D120-0.0833333333333333),IF(OR(AND(F120="OFF",D120="OFF"),AND(F120="Congé",D120="Congé"),AND(F120="Congé sans solde",D120="Congé sans solde"),AND(F120="Congé spécial",D120="Congé spécial"),AND(F120="Férié",D120="Férié"),AND(F120="OFF",D120="Congé"),AND(F120="OFF",D120="Congé sans solde"),AND(F120="OFF",D120="Congé spécial"),AND(F120="OFF",D120="Férié"),AND(F120="Congé",D120="OFF"),AND(F120="Congé",D120="Congé sans solde"),AND(F120="Congé",D120="Congé spécial"),AND(F120="Congé",D120="Férié"),AND(F120="Congé sans solde",D120="OFF"),AND(F120="Congé sans solde",D120="Congé"),AND(F120="Congé sans solde",D120="Congé spécial"),AND(F120="Congé sans solde",D120="Férié"),AND(F120="Congé spécial",D120="OFF"),AND(F120="Congé spécial",D120="Congé"),AND(F120="Congé spécial",D120="Congé sans solde"),AND(F120="Congé spécial",D120="Férié"),AND(F120="Férié",D120="OFF"),AND(F120="Férié",D120="Congé"),AND(F120="Férié",D120="Congé sans solde"),AND(F120="Férié",D120="Congé spécial")),0,IF(OR(F120="OFF",F120="Congé",F120="Congé spécial",F120="Congé sans solde",D120="OFF",D120="Congé",D120="Congé spécial",D120="Congé sans solde"),0.208333333333334,IF(AND(AG120="",F120-D120&lt;0),("24:00:00"-D120)+("00:00:00"+F120)-0.0416666666666667,IF(AND(OR(AG120="Allaitement",AG120="Sans déjeuner"),F120-D120&lt;0),("24:00:00"-D120)+("00:00:00"+F120),IF(AND(AG120="",F120-D120&gt;0.166666666666667),F120-D120-0.0416666666666667,IF(AND(OR(AG120="Allaitement",AG120="Sans déjeuner"),F120-D120&gt;0.166666666666667),F120-D120,F120-D120)))))))</f>
        <v/>
      </c>
      <c r="P120" s="242">
        <f>IFERROR(VLOOKUP($B120,Annuaire_roster!$B:$G,MATCH(P$1,Annuaire_roster!$B$1:$G$1,0),0),"-")</f>
        <v/>
      </c>
      <c r="Q120" s="243" t="n">
        <v>44764</v>
      </c>
      <c r="R120" s="244">
        <f>IF(M120="Abs",O120,0)</f>
        <v/>
      </c>
      <c r="S120" s="244">
        <f>SUM(R120,L120,I120,J120,W120,H120)</f>
        <v/>
      </c>
      <c r="T120" s="209">
        <f>"Sem - "&amp;WEEKNUM(Q120,21)</f>
        <v/>
      </c>
      <c r="U120" s="209">
        <f>PROPER(TEXT(Q120,"mmmm"))</f>
        <v/>
      </c>
      <c r="V120" s="245">
        <f>+TEXT(Q120,"aaa")</f>
        <v/>
      </c>
      <c r="W120" s="240" t="n"/>
      <c r="X120" s="246">
        <f>IFERROR(IF(M120="Abs",0,IF((D120-C120+E120-F120)&lt;0.000694444444444444,0,(D120-C120+E120-F120))),0)</f>
        <v/>
      </c>
      <c r="Y120" s="247">
        <f>IFERROR(VLOOKUP(B120,Annuaire_roster!B:E,4,0),"-")</f>
        <v/>
      </c>
      <c r="Z120" s="247">
        <f>IFERROR(VLOOKUP(B120,Annuaire_roster!B:F,3,0),"-")</f>
        <v/>
      </c>
      <c r="AA120" s="247">
        <f>IFERROR(VLOOKUP(B120,Annuaire_roster!B:I,6,0),"-")</f>
        <v/>
      </c>
      <c r="AB120" s="248">
        <f>IF(AND(D120="Congé",F120="Congé"),0.333333333333333,IF(OR(AND(D120="Congé",F120&lt;&gt;"Congé"),(AND(F120="Congé",D120&lt;&gt;"Congé"))),0.166666666666667,""))</f>
        <v/>
      </c>
      <c r="AC120" s="248">
        <f>IF(AND(D120="Congé sans solde",F120="Congé sans solde"),0.333333333333333,IF(OR(AND(D120="Congé sans solde",F120&lt;&gt;"Congé sans solde"),(AND(F120="Congé sans solde",D120&lt;&gt;"Congé sans solde"))),0.166666666666667,""))</f>
        <v/>
      </c>
      <c r="AD120" s="248">
        <f>IF(AND(D120="Congé spécial",F120="Congé spécial"),0.333333333333333,IF(OR(AND(D120="Congé spécial",F120&lt;&gt;"Congé décès"),(AND(F120="Congé spécial",D120&lt;&gt;"Congé spécial"))),0.166666666666667,""))</f>
        <v/>
      </c>
      <c r="AE120" s="249">
        <f>IF(AND(D120="Férié",F120="Férié"),0.333333333333333,IF(OR(AND(D120="Férié",F120&lt;&gt;"Férié"),(AND(F120="Férié",D120&lt;&gt;"Férié"))),0.166666666666667,""))</f>
        <v/>
      </c>
      <c r="AF120" s="249" t="n"/>
      <c r="AG120" s="244" t="n"/>
    </row>
    <row r="121" hidden="1" ht="12.75" customHeight="1" s="231">
      <c r="A121" s="232">
        <f>VLOOKUP(B121,Annuaire_roster!B:F,5,0)</f>
        <v/>
      </c>
      <c r="B121" s="233" t="inlineStr">
        <is>
          <t>EL HOUSSAINI HOUDA</t>
        </is>
      </c>
      <c r="C121" s="234">
        <f>IFERROR(IF(COUNTIFS(Connexions!$K:$K,$Q121,Connexions!$E:$E,VLOOKUP($B121,Mapping_Noms!$A:$B,2,0))=0,"",_xlfn.MINIFS(Connexions!$M:$M,Connexions!$K:$K,$Q121,Connexions!$E:$E,VLOOKUP($B121,Mapping_Noms!$A:$B,2,0))-TIME(1,0,0)),"")</f>
        <v/>
      </c>
      <c r="D121" s="234">
        <f t="array" ref="D121:D121">IFERROR(INDEX(Planning2[],MATCH(1,(Planning2[Nom]=B121)*(Planning2[Date]=Q121),0),3),"-")</f>
        <v/>
      </c>
      <c r="E121" s="235">
        <f>IFERROR(IF(COUNTIFS(Connexions!$K:$K,$Q121,Connexions!$E:$E,VLOOKUP($B121,Mapping_Noms!$A:$B,2,0))=0,"",_xlfn.MAXIFS(Connexions!$O:$O,Connexions!$K:$K,$Q121,Connexions!$E:$E,VLOOKUP($B121,Mapping_Noms!$A:$B,2,0))-TIME(1,0,0)),"")</f>
        <v/>
      </c>
      <c r="F121" s="235">
        <f t="array" ref="F121:F121">IFERROR(INDEX(Planning2[],MATCH(1,(Planning2[Nom]=B121)*(Planning2[Date]=Q121),0),4),"-")</f>
        <v/>
      </c>
      <c r="G121" s="405">
        <f>IFERROR(IF(OR(IFERROR(INDEX('Planning Pauses Dej'!$C:$C,MATCH($B121&amp;"|"&amp;TEXT($Q121,"YYYYMMDD"),'Planning Pauses Dej'!$F:$F,0)),"")="",IFERROR(INDEX('Planning Pauses Dej'!$D:$D,MATCH($B121&amp;"|"&amp;TEXT($Q121,"YYYYMMDD"),'Planning Pauses Dej'!$F:$F,0)),"")=""),"",_xlfn.MAXIFS(Connexions!$Q:$Q,Connexions!$K:$K,$Q121,Connexions!$E:$E,VLOOKUP($B121,Mapping_Noms!$A:$B,2,0),Connexions!$O:$O,"&lt;="&amp;(IFERROR(INDEX('Planning Pauses Dej'!$D:$D,MATCH($B121&amp;"|"&amp;TEXT($Q121,"YYYYMMDD"),'Planning Pauses Dej'!$F:$F,0)),"")+TIME(1,0,0)),Connexions!$P:$P,"&gt;="&amp;(IFERROR(INDEX('Planning Pauses Dej'!$C:$C,MATCH($B121&amp;"|"&amp;TEXT($Q121,"YYYYMMDD"),'Planning Pauses Dej'!$F:$F,0)),"")+TIME(1,0,0)))),"")</f>
        <v/>
      </c>
      <c r="H121" s="405">
        <f>IFERROR(IF(OR($G121="",IFERROR(INDEX('Planning Pauses Dej'!$C:$C,MATCH($B121&amp;"|"&amp;TEXT($Q121,"YYYYMMDD"),'Planning Pauses Dej'!$F:$F,0)),"")="",IFERROR(INDEX('Planning Pauses Dej'!$D:$D,MATCH($B121&amp;"|"&amp;TEXT($Q121,"YYYYMMDD"),'Planning Pauses Dej'!$F:$F,0)),"")=""),"",IF($G121&gt;(IFERROR(INDEX('Planning Pauses Dej'!$D:$D,MATCH($B121&amp;"|"&amp;TEXT($Q121,"YYYYMMDD"),'Planning Pauses Dej'!$F:$F,0)),"")-IFERROR(INDEX('Planning Pauses Dej'!$C:$C,MATCH($B121&amp;"|"&amp;TEXT($Q121,"YYYYMMDD"),'Planning Pauses Dej'!$F:$F,0)),"")),$G121-(IFERROR(INDEX('Planning Pauses Dej'!$D:$D,MATCH($B121&amp;"|"&amp;TEXT($Q121,"YYYYMMDD"),'Planning Pauses Dej'!$F:$F,0)),"")-IFERROR(INDEX('Planning Pauses Dej'!$C:$C,MATCH($B121&amp;"|"&amp;TEXT($Q121,"YYYYMMDD"),'Planning Pauses Dej'!$F:$F,0)),"")),0)),"")</f>
        <v/>
      </c>
      <c r="I121" s="251">
        <f>IF(IF(OR(C121="",D121="Congé",D121="OFF",D121="Congé spécial"),"",IF(D121&gt;F121,D121-C121,IF(C121-D121&lt;0,0,C121-D121)))&lt;0.00068287037037037,"",IF(OR(D121="Congé",D121="OFF",C121="",D121="Congé spécial"),"",IF(D121&gt;F121,D121-C121,IF(C121-D121&lt;0,0,C121-D121))))</f>
        <v/>
      </c>
      <c r="J121" s="405">
        <f>IFERROR(IF($G121="","",IF($G121&gt;TIME(1,0,0),$G121-TIME(1,0,0),0)),"")</f>
        <v/>
      </c>
      <c r="K121" s="238">
        <f>IF(SUM(H121:J121)&lt;0.00068287037037037,0,SUM(H121:J121))</f>
        <v/>
      </c>
      <c r="L121" s="236">
        <f>IF(OR(F121="Congé",F121="OFF",M121="Abs",F121="Congé sans solde",F121="Férié",F121="Congé spécial",D121="Congé spécial"),0,IF(F121-E121&lt;0,0,IF(F121-E121&lt;=0.00068287037037037,0,F121-E121)))</f>
        <v/>
      </c>
      <c r="M121" s="239">
        <f>IF(AND(O121&lt;&gt;0,C121=""),"Abs",0)</f>
        <v/>
      </c>
      <c r="N121" s="240">
        <f>IFERROR(IF(OR(D121="OFF",D121="Congé",M121="Abs",D121="Congé sans solde",D121="Férié"),"",IF(O121-K121-L121&gt;O121,O121,IF(O121-K121-L121&lt;0,"",O121-K121-L121))),"")</f>
        <v/>
      </c>
      <c r="O121" s="241">
        <f>IF(AG121="2H Pause déjeuner",IF(F121-D121-0.0833333333333333&lt;0,F121-D121-0.0833333333333333+1,F121-D121-0.0833333333333333),IF(OR(AND(F121="OFF",D121="OFF"),AND(F121="Congé",D121="Congé"),AND(F121="Congé sans solde",D121="Congé sans solde"),AND(F121="Congé spécial",D121="Congé spécial"),AND(F121="Férié",D121="Férié"),AND(F121="OFF",D121="Congé"),AND(F121="OFF",D121="Congé sans solde"),AND(F121="OFF",D121="Congé spécial"),AND(F121="OFF",D121="Férié"),AND(F121="Congé",D121="OFF"),AND(F121="Congé",D121="Congé sans solde"),AND(F121="Congé",D121="Congé spécial"),AND(F121="Congé",D121="Férié"),AND(F121="Congé sans solde",D121="OFF"),AND(F121="Congé sans solde",D121="Congé"),AND(F121="Congé sans solde",D121="Congé spécial"),AND(F121="Congé sans solde",D121="Férié"),AND(F121="Congé spécial",D121="OFF"),AND(F121="Congé spécial",D121="Congé"),AND(F121="Congé spécial",D121="Congé sans solde"),AND(F121="Congé spécial",D121="Férié"),AND(F121="Férié",D121="OFF"),AND(F121="Férié",D121="Congé"),AND(F121="Férié",D121="Congé sans solde"),AND(F121="Férié",D121="Congé spécial")),0,IF(OR(F121="OFF",F121="Congé",F121="Congé spécial",F121="Congé sans solde",D121="OFF",D121="Congé",D121="Congé spécial",D121="Congé sans solde"),0.208333333333334,IF(AND(AG121="",F121-D121&lt;0),("24:00:00"-D121)+("00:00:00"+F121)-0.0416666666666667,IF(AND(OR(AG121="Allaitement",AG121="Sans déjeuner"),F121-D121&lt;0),("24:00:00"-D121)+("00:00:00"+F121),IF(AND(AG121="",F121-D121&gt;0.166666666666667),F121-D121-0.0416666666666667,IF(AND(OR(AG121="Allaitement",AG121="Sans déjeuner"),F121-D121&gt;0.166666666666667),F121-D121,F121-D121)))))))</f>
        <v/>
      </c>
      <c r="P121" s="242">
        <f>IFERROR(VLOOKUP($B121,Annuaire_roster!$B:$G,MATCH(P$1,Annuaire_roster!$B$1:$G$1,0),0),"-")</f>
        <v/>
      </c>
      <c r="Q121" s="243" t="n">
        <v>44764</v>
      </c>
      <c r="R121" s="244">
        <f>IF(M121="Abs",O121,0)</f>
        <v/>
      </c>
      <c r="S121" s="244">
        <f>SUM(R121,L121,I121,J121,W121,H121)</f>
        <v/>
      </c>
      <c r="T121" s="209">
        <f>"Sem - "&amp;WEEKNUM(Q121,21)</f>
        <v/>
      </c>
      <c r="U121" s="209">
        <f>PROPER(TEXT(Q121,"mmmm"))</f>
        <v/>
      </c>
      <c r="V121" s="245">
        <f>+TEXT(Q121,"aaa")</f>
        <v/>
      </c>
      <c r="W121" s="240" t="n"/>
      <c r="X121" s="246">
        <f>IFERROR(IF(M121="Abs",0,IF((D121-C121+E121-F121)&lt;0.000694444444444444,0,(D121-C121+E121-F121))),0)</f>
        <v/>
      </c>
      <c r="Y121" s="247">
        <f>IFERROR(VLOOKUP(B121,Annuaire_roster!B:E,4,0),"-")</f>
        <v/>
      </c>
      <c r="Z121" s="247">
        <f>IFERROR(VLOOKUP(B121,Annuaire_roster!B:F,3,0),"-")</f>
        <v/>
      </c>
      <c r="AA121" s="247">
        <f>IFERROR(VLOOKUP(B121,Annuaire_roster!B:I,6,0),"-")</f>
        <v/>
      </c>
      <c r="AB121" s="248">
        <f>IF(AND(D121="Congé",F121="Congé"),0.333333333333333,IF(OR(AND(D121="Congé",F121&lt;&gt;"Congé"),(AND(F121="Congé",D121&lt;&gt;"Congé"))),0.166666666666667,""))</f>
        <v/>
      </c>
      <c r="AC121" s="248">
        <f>IF(AND(D121="Congé sans solde",F121="Congé sans solde"),0.333333333333333,IF(OR(AND(D121="Congé sans solde",F121&lt;&gt;"Congé sans solde"),(AND(F121="Congé sans solde",D121&lt;&gt;"Congé sans solde"))),0.166666666666667,""))</f>
        <v/>
      </c>
      <c r="AD121" s="248">
        <f>IF(AND(D121="Congé spécial",F121="Congé spécial"),0.333333333333333,IF(OR(AND(D121="Congé spécial",F121&lt;&gt;"Congé décès"),(AND(F121="Congé spécial",D121&lt;&gt;"Congé spécial"))),0.166666666666667,""))</f>
        <v/>
      </c>
      <c r="AE121" s="249">
        <f>IF(AND(D121="Férié",F121="Férié"),0.333333333333333,IF(OR(AND(D121="Férié",F121&lt;&gt;"Férié"),(AND(F121="Férié",D121&lt;&gt;"Férié"))),0.166666666666667,""))</f>
        <v/>
      </c>
      <c r="AF121" s="249" t="n"/>
      <c r="AG121" s="244" t="n"/>
    </row>
    <row r="122" hidden="1" ht="12.75" customHeight="1" s="231">
      <c r="A122" s="232">
        <f>VLOOKUP(B122,Annuaire_roster!B:F,5,0)</f>
        <v/>
      </c>
      <c r="B122" s="233" t="inlineStr">
        <is>
          <t>AINELKITANE ZINEB</t>
        </is>
      </c>
      <c r="C122" s="234">
        <f>IFERROR(IF(COUNTIFS(Connexions!$K:$K,$Q122,Connexions!$E:$E,VLOOKUP($B122,Mapping_Noms!$A:$B,2,0))=0,"",_xlfn.MINIFS(Connexions!$M:$M,Connexions!$K:$K,$Q122,Connexions!$E:$E,VLOOKUP($B122,Mapping_Noms!$A:$B,2,0))-TIME(1,0,0)),"")</f>
        <v/>
      </c>
      <c r="D122" s="234">
        <f t="array" ref="D122:D122">IFERROR(INDEX(Planning2[],MATCH(1,(Planning2[Nom]=B122)*(Planning2[Date]=Q122),0),3),"-")</f>
        <v/>
      </c>
      <c r="E122" s="235">
        <f>IFERROR(IF(COUNTIFS(Connexions!$K:$K,$Q122,Connexions!$E:$E,VLOOKUP($B122,Mapping_Noms!$A:$B,2,0))=0,"",_xlfn.MAXIFS(Connexions!$O:$O,Connexions!$K:$K,$Q122,Connexions!$E:$E,VLOOKUP($B122,Mapping_Noms!$A:$B,2,0))-TIME(1,0,0)),"")</f>
        <v/>
      </c>
      <c r="F122" s="235">
        <f t="array" ref="F122:F122">IFERROR(INDEX(Planning2[],MATCH(1,(Planning2[Nom]=B122)*(Planning2[Date]=Q122),0),4),"-")</f>
        <v/>
      </c>
      <c r="G122" s="405">
        <f>IFERROR(IF(OR(IFERROR(INDEX('Planning Pauses Dej'!$C:$C,MATCH($B122&amp;"|"&amp;TEXT($Q122,"YYYYMMDD"),'Planning Pauses Dej'!$F:$F,0)),"")="",IFERROR(INDEX('Planning Pauses Dej'!$D:$D,MATCH($B122&amp;"|"&amp;TEXT($Q122,"YYYYMMDD"),'Planning Pauses Dej'!$F:$F,0)),"")=""),"",_xlfn.MAXIFS(Connexions!$Q:$Q,Connexions!$K:$K,$Q122,Connexions!$E:$E,VLOOKUP($B122,Mapping_Noms!$A:$B,2,0),Connexions!$O:$O,"&lt;="&amp;(IFERROR(INDEX('Planning Pauses Dej'!$D:$D,MATCH($B122&amp;"|"&amp;TEXT($Q122,"YYYYMMDD"),'Planning Pauses Dej'!$F:$F,0)),"")+TIME(1,0,0)),Connexions!$P:$P,"&gt;="&amp;(IFERROR(INDEX('Planning Pauses Dej'!$C:$C,MATCH($B122&amp;"|"&amp;TEXT($Q122,"YYYYMMDD"),'Planning Pauses Dej'!$F:$F,0)),"")+TIME(1,0,0)))),"")</f>
        <v/>
      </c>
      <c r="H122" s="405">
        <f>IFERROR(IF(OR($G122="",IFERROR(INDEX('Planning Pauses Dej'!$C:$C,MATCH($B122&amp;"|"&amp;TEXT($Q122,"YYYYMMDD"),'Planning Pauses Dej'!$F:$F,0)),"")="",IFERROR(INDEX('Planning Pauses Dej'!$D:$D,MATCH($B122&amp;"|"&amp;TEXT($Q122,"YYYYMMDD"),'Planning Pauses Dej'!$F:$F,0)),"")=""),"",IF($G122&gt;(IFERROR(INDEX('Planning Pauses Dej'!$D:$D,MATCH($B122&amp;"|"&amp;TEXT($Q122,"YYYYMMDD"),'Planning Pauses Dej'!$F:$F,0)),"")-IFERROR(INDEX('Planning Pauses Dej'!$C:$C,MATCH($B122&amp;"|"&amp;TEXT($Q122,"YYYYMMDD"),'Planning Pauses Dej'!$F:$F,0)),"")),$G122-(IFERROR(INDEX('Planning Pauses Dej'!$D:$D,MATCH($B122&amp;"|"&amp;TEXT($Q122,"YYYYMMDD"),'Planning Pauses Dej'!$F:$F,0)),"")-IFERROR(INDEX('Planning Pauses Dej'!$C:$C,MATCH($B122&amp;"|"&amp;TEXT($Q122,"YYYYMMDD"),'Planning Pauses Dej'!$F:$F,0)),"")),0)),"")</f>
        <v/>
      </c>
      <c r="I122" s="251">
        <f>IF(IF(OR(C122="",D122="Congé",D122="OFF",D122="Congé spécial"),"",IF(D122&gt;F122,D122-C122,IF(C122-D122&lt;0,0,C122-D122)))&lt;0.00068287037037037,"",IF(OR(D122="Congé",D122="OFF",C122="",D122="Congé spécial"),"",IF(D122&gt;F122,D122-C122,IF(C122-D122&lt;0,0,C122-D122))))</f>
        <v/>
      </c>
      <c r="J122" s="405">
        <f>IFERROR(IF($G122="","",IF($G122&gt;TIME(1,0,0),$G122-TIME(1,0,0),0)),"")</f>
        <v/>
      </c>
      <c r="K122" s="238">
        <f>IF(SUM(H122:J122)&lt;0.00068287037037037,0,SUM(H122:J122))</f>
        <v/>
      </c>
      <c r="L122" s="236">
        <f>IF(OR(F122="Congé",F122="OFF",M122="Abs",F122="Congé sans solde",F122="Férié",F122="Congé spécial",D122="Congé spécial"),0,IF(F122-E122&lt;0,0,IF(F122-E122&lt;=0.00068287037037037,0,F122-E122)))</f>
        <v/>
      </c>
      <c r="M122" s="239">
        <f>IF(AND(O122&lt;&gt;0,C122=""),"Abs",0)</f>
        <v/>
      </c>
      <c r="N122" s="240">
        <f>IFERROR(IF(OR(D122="OFF",D122="Congé",M122="Abs",D122="Congé sans solde",D122="Férié"),"",IF(O122-K122-L122&gt;O122,O122,IF(O122-K122-L122&lt;0,"",O122-K122-L122))),"")</f>
        <v/>
      </c>
      <c r="O122" s="241">
        <f>IF(AG122="2H Pause déjeuner",IF(F122-D122-0.0833333333333333&lt;0,F122-D122-0.0833333333333333+1,F122-D122-0.0833333333333333),IF(OR(AND(F122="OFF",D122="OFF"),AND(F122="Congé",D122="Congé"),AND(F122="Congé sans solde",D122="Congé sans solde"),AND(F122="Congé spécial",D122="Congé spécial"),AND(F122="Férié",D122="Férié"),AND(F122="OFF",D122="Congé"),AND(F122="OFF",D122="Congé sans solde"),AND(F122="OFF",D122="Congé spécial"),AND(F122="OFF",D122="Férié"),AND(F122="Congé",D122="OFF"),AND(F122="Congé",D122="Congé sans solde"),AND(F122="Congé",D122="Congé spécial"),AND(F122="Congé",D122="Férié"),AND(F122="Congé sans solde",D122="OFF"),AND(F122="Congé sans solde",D122="Congé"),AND(F122="Congé sans solde",D122="Congé spécial"),AND(F122="Congé sans solde",D122="Férié"),AND(F122="Congé spécial",D122="OFF"),AND(F122="Congé spécial",D122="Congé"),AND(F122="Congé spécial",D122="Congé sans solde"),AND(F122="Congé spécial",D122="Férié"),AND(F122="Férié",D122="OFF"),AND(F122="Férié",D122="Congé"),AND(F122="Férié",D122="Congé sans solde"),AND(F122="Férié",D122="Congé spécial")),0,IF(OR(F122="OFF",F122="Congé",F122="Congé spécial",F122="Congé sans solde",D122="OFF",D122="Congé",D122="Congé spécial",D122="Congé sans solde"),0.208333333333334,IF(AND(AG122="",F122-D122&lt;0),("24:00:00"-D122)+("00:00:00"+F122)-0.0416666666666667,IF(AND(OR(AG122="Allaitement",AG122="Sans déjeuner"),F122-D122&lt;0),("24:00:00"-D122)+("00:00:00"+F122),IF(AND(AG122="",F122-D122&gt;0.166666666666667),F122-D122-0.0416666666666667,IF(AND(OR(AG122="Allaitement",AG122="Sans déjeuner"),F122-D122&gt;0.166666666666667),F122-D122,F122-D122)))))))</f>
        <v/>
      </c>
      <c r="P122" s="242">
        <f>IFERROR(VLOOKUP($B122,Annuaire_roster!$B:$G,MATCH(P$1,Annuaire_roster!$B$1:$G$1,0),0),"-")</f>
        <v/>
      </c>
      <c r="Q122" s="243" t="n">
        <v>44764</v>
      </c>
      <c r="R122" s="244">
        <f>IF(M122="Abs",O122,0)</f>
        <v/>
      </c>
      <c r="S122" s="244">
        <f>SUM(R122,L122,I122,J122,W122,H122)</f>
        <v/>
      </c>
      <c r="T122" s="209">
        <f>"Sem - "&amp;WEEKNUM(Q122,21)</f>
        <v/>
      </c>
      <c r="U122" s="209">
        <f>PROPER(TEXT(Q122,"mmmm"))</f>
        <v/>
      </c>
      <c r="V122" s="245">
        <f>+TEXT(Q122,"aaa")</f>
        <v/>
      </c>
      <c r="W122" s="240" t="n"/>
      <c r="X122" s="246">
        <f>IFERROR(IF(M122="Abs",0,IF((D122-C122+E122-F122)&lt;0.000694444444444444,0,(D122-C122+E122-F122))),0)</f>
        <v/>
      </c>
      <c r="Y122" s="247">
        <f>IFERROR(VLOOKUP(B122,Annuaire_roster!B:E,4,0),"-")</f>
        <v/>
      </c>
      <c r="Z122" s="247">
        <f>IFERROR(VLOOKUP(B122,Annuaire_roster!B:F,3,0),"-")</f>
        <v/>
      </c>
      <c r="AA122" s="247">
        <f>IFERROR(VLOOKUP(B122,Annuaire_roster!B:I,6,0),"-")</f>
        <v/>
      </c>
      <c r="AB122" s="248">
        <f>IF(AND(D122="Congé",F122="Congé"),0.333333333333333,IF(OR(AND(D122="Congé",F122&lt;&gt;"Congé"),(AND(F122="Congé",D122&lt;&gt;"Congé"))),0.166666666666667,""))</f>
        <v/>
      </c>
      <c r="AC122" s="248">
        <f>IF(AND(D122="Congé sans solde",F122="Congé sans solde"),0.333333333333333,IF(OR(AND(D122="Congé sans solde",F122&lt;&gt;"Congé sans solde"),(AND(F122="Congé sans solde",D122&lt;&gt;"Congé sans solde"))),0.166666666666667,""))</f>
        <v/>
      </c>
      <c r="AD122" s="248">
        <f>IF(AND(D122="Congé spécial",F122="Congé spécial"),0.333333333333333,IF(OR(AND(D122="Congé spécial",F122&lt;&gt;"Congé décès"),(AND(F122="Congé spécial",D122&lt;&gt;"Congé spécial"))),0.166666666666667,""))</f>
        <v/>
      </c>
      <c r="AE122" s="249">
        <f>IF(AND(D122="Férié",F122="Férié"),0.333333333333333,IF(OR(AND(D122="Férié",F122&lt;&gt;"Férié"),(AND(F122="Férié",D122&lt;&gt;"Férié"))),0.166666666666667,""))</f>
        <v/>
      </c>
      <c r="AF122" s="249" t="n"/>
      <c r="AG122" s="244" t="n"/>
    </row>
    <row r="123" hidden="1" ht="12.75" customHeight="1" s="231">
      <c r="A123" s="232">
        <f>VLOOKUP(B123,Annuaire_roster!B:F,5,0)</f>
        <v/>
      </c>
      <c r="B123" s="233" t="inlineStr">
        <is>
          <t>BENSAR ANAS</t>
        </is>
      </c>
      <c r="C123" s="234">
        <f>IFERROR(IF(COUNTIFS(Connexions!$K:$K,$Q123,Connexions!$E:$E,VLOOKUP($B123,Mapping_Noms!$A:$B,2,0))=0,"",_xlfn.MINIFS(Connexions!$M:$M,Connexions!$K:$K,$Q123,Connexions!$E:$E,VLOOKUP($B123,Mapping_Noms!$A:$B,2,0))-TIME(1,0,0)),"")</f>
        <v/>
      </c>
      <c r="D123" s="234">
        <f t="array" ref="D123:D123">IFERROR(INDEX(Planning2[],MATCH(1,(Planning2[Nom]=B123)*(Planning2[Date]=Q123),0),3),"-")</f>
        <v/>
      </c>
      <c r="E123" s="235">
        <f>IFERROR(IF(COUNTIFS(Connexions!$K:$K,$Q123,Connexions!$E:$E,VLOOKUP($B123,Mapping_Noms!$A:$B,2,0))=0,"",_xlfn.MAXIFS(Connexions!$O:$O,Connexions!$K:$K,$Q123,Connexions!$E:$E,VLOOKUP($B123,Mapping_Noms!$A:$B,2,0))-TIME(1,0,0)),"")</f>
        <v/>
      </c>
      <c r="F123" s="235">
        <f t="array" ref="F123:F123">IFERROR(INDEX(Planning2[],MATCH(1,(Planning2[Nom]=B123)*(Planning2[Date]=Q123),0),4),"-")</f>
        <v/>
      </c>
      <c r="G123" s="405">
        <f>IFERROR(IF(OR(IFERROR(INDEX('Planning Pauses Dej'!$C:$C,MATCH($B123&amp;"|"&amp;TEXT($Q123,"YYYYMMDD"),'Planning Pauses Dej'!$F:$F,0)),"")="",IFERROR(INDEX('Planning Pauses Dej'!$D:$D,MATCH($B123&amp;"|"&amp;TEXT($Q123,"YYYYMMDD"),'Planning Pauses Dej'!$F:$F,0)),"")=""),"",_xlfn.MAXIFS(Connexions!$Q:$Q,Connexions!$K:$K,$Q123,Connexions!$E:$E,VLOOKUP($B123,Mapping_Noms!$A:$B,2,0),Connexions!$O:$O,"&lt;="&amp;(IFERROR(INDEX('Planning Pauses Dej'!$D:$D,MATCH($B123&amp;"|"&amp;TEXT($Q123,"YYYYMMDD"),'Planning Pauses Dej'!$F:$F,0)),"")+TIME(1,0,0)),Connexions!$P:$P,"&gt;="&amp;(IFERROR(INDEX('Planning Pauses Dej'!$C:$C,MATCH($B123&amp;"|"&amp;TEXT($Q123,"YYYYMMDD"),'Planning Pauses Dej'!$F:$F,0)),"")+TIME(1,0,0)))),"")</f>
        <v/>
      </c>
      <c r="H123" s="405">
        <f>IFERROR(IF(OR($G123="",IFERROR(INDEX('Planning Pauses Dej'!$C:$C,MATCH($B123&amp;"|"&amp;TEXT($Q123,"YYYYMMDD"),'Planning Pauses Dej'!$F:$F,0)),"")="",IFERROR(INDEX('Planning Pauses Dej'!$D:$D,MATCH($B123&amp;"|"&amp;TEXT($Q123,"YYYYMMDD"),'Planning Pauses Dej'!$F:$F,0)),"")=""),"",IF($G123&gt;(IFERROR(INDEX('Planning Pauses Dej'!$D:$D,MATCH($B123&amp;"|"&amp;TEXT($Q123,"YYYYMMDD"),'Planning Pauses Dej'!$F:$F,0)),"")-IFERROR(INDEX('Planning Pauses Dej'!$C:$C,MATCH($B123&amp;"|"&amp;TEXT($Q123,"YYYYMMDD"),'Planning Pauses Dej'!$F:$F,0)),"")),$G123-(IFERROR(INDEX('Planning Pauses Dej'!$D:$D,MATCH($B123&amp;"|"&amp;TEXT($Q123,"YYYYMMDD"),'Planning Pauses Dej'!$F:$F,0)),"")-IFERROR(INDEX('Planning Pauses Dej'!$C:$C,MATCH($B123&amp;"|"&amp;TEXT($Q123,"YYYYMMDD"),'Planning Pauses Dej'!$F:$F,0)),"")),0)),"")</f>
        <v/>
      </c>
      <c r="I123" s="251">
        <f>IF(IF(OR(C123="",D123="Congé",D123="OFF",D123="Congé spécial"),"",IF(D123&gt;F123,D123-C123,IF(C123-D123&lt;0,0,C123-D123)))&lt;0.00068287037037037,"",IF(OR(D123="Congé",D123="OFF",C123="",D123="Congé spécial"),"",IF(D123&gt;F123,D123-C123,IF(C123-D123&lt;0,0,C123-D123))))</f>
        <v/>
      </c>
      <c r="J123" s="405">
        <f>IFERROR(IF($G123="","",IF($G123&gt;TIME(1,0,0),$G123-TIME(1,0,0),0)),"")</f>
        <v/>
      </c>
      <c r="K123" s="238">
        <f>IF(SUM(H123:J123)&lt;0.00068287037037037,0,SUM(H123:J123))</f>
        <v/>
      </c>
      <c r="L123" s="236">
        <f>IF(OR(F123="Congé",F123="OFF",M123="Abs",F123="Congé sans solde",F123="Férié",F123="Congé spécial",D123="Congé spécial"),0,IF(F123-E123&lt;0,0,IF(F123-E123&lt;=0.00068287037037037,0,F123-E123)))</f>
        <v/>
      </c>
      <c r="M123" s="239">
        <f>IF(AND(O123&lt;&gt;0,C123=""),"Abs",0)</f>
        <v/>
      </c>
      <c r="N123" s="240">
        <f>IFERROR(IF(OR(D123="OFF",D123="Congé",M123="Abs",D123="Congé sans solde",D123="Férié"),"",IF(O123-K123-L123&gt;O123,O123,IF(O123-K123-L123&lt;0,"",O123-K123-L123))),"")</f>
        <v/>
      </c>
      <c r="O123" s="241">
        <f>IF(AG123="2H Pause déjeuner",IF(F123-D123-0.0833333333333333&lt;0,F123-D123-0.0833333333333333+1,F123-D123-0.0833333333333333),IF(OR(AND(F123="OFF",D123="OFF"),AND(F123="Congé",D123="Congé"),AND(F123="Congé sans solde",D123="Congé sans solde"),AND(F123="Congé spécial",D123="Congé spécial"),AND(F123="Férié",D123="Férié"),AND(F123="OFF",D123="Congé"),AND(F123="OFF",D123="Congé sans solde"),AND(F123="OFF",D123="Congé spécial"),AND(F123="OFF",D123="Férié"),AND(F123="Congé",D123="OFF"),AND(F123="Congé",D123="Congé sans solde"),AND(F123="Congé",D123="Congé spécial"),AND(F123="Congé",D123="Férié"),AND(F123="Congé sans solde",D123="OFF"),AND(F123="Congé sans solde",D123="Congé"),AND(F123="Congé sans solde",D123="Congé spécial"),AND(F123="Congé sans solde",D123="Férié"),AND(F123="Congé spécial",D123="OFF"),AND(F123="Congé spécial",D123="Congé"),AND(F123="Congé spécial",D123="Congé sans solde"),AND(F123="Congé spécial",D123="Férié"),AND(F123="Férié",D123="OFF"),AND(F123="Férié",D123="Congé"),AND(F123="Férié",D123="Congé sans solde"),AND(F123="Férié",D123="Congé spécial")),0,IF(OR(F123="OFF",F123="Congé",F123="Congé spécial",F123="Congé sans solde",D123="OFF",D123="Congé",D123="Congé spécial",D123="Congé sans solde"),0.208333333333334,IF(AND(AG123="",F123-D123&lt;0),("24:00:00"-D123)+("00:00:00"+F123)-0.0416666666666667,IF(AND(OR(AG123="Allaitement",AG123="Sans déjeuner"),F123-D123&lt;0),("24:00:00"-D123)+("00:00:00"+F123),IF(AND(AG123="",F123-D123&gt;0.166666666666667),F123-D123-0.0416666666666667,IF(AND(OR(AG123="Allaitement",AG123="Sans déjeuner"),F123-D123&gt;0.166666666666667),F123-D123,F123-D123)))))))</f>
        <v/>
      </c>
      <c r="P123" s="242">
        <f>IFERROR(VLOOKUP($B123,Annuaire_roster!$B:$G,MATCH(P$1,Annuaire_roster!$B$1:$G$1,0),0),"-")</f>
        <v/>
      </c>
      <c r="Q123" s="243" t="n">
        <v>44764</v>
      </c>
      <c r="R123" s="244">
        <f>IF(M123="Abs",O123,0)</f>
        <v/>
      </c>
      <c r="S123" s="244">
        <f>SUM(R123,L123,I123,J123,W123,H123)</f>
        <v/>
      </c>
      <c r="T123" s="209">
        <f>"Sem - "&amp;WEEKNUM(Q123,21)</f>
        <v/>
      </c>
      <c r="U123" s="209">
        <f>PROPER(TEXT(Q123,"mmmm"))</f>
        <v/>
      </c>
      <c r="V123" s="245">
        <f>+TEXT(Q123,"aaa")</f>
        <v/>
      </c>
      <c r="W123" s="240" t="n"/>
      <c r="X123" s="246">
        <f>IFERROR(IF(M123="Abs",0,IF((D123-C123+E123-F123)&lt;0.000694444444444444,0,(D123-C123+E123-F123))),0)</f>
        <v/>
      </c>
      <c r="Y123" s="247">
        <f>IFERROR(VLOOKUP(B123,Annuaire_roster!B:E,4,0),"-")</f>
        <v/>
      </c>
      <c r="Z123" s="247">
        <f>IFERROR(VLOOKUP(B123,Annuaire_roster!B:F,3,0),"-")</f>
        <v/>
      </c>
      <c r="AA123" s="247">
        <f>IFERROR(VLOOKUP(B123,Annuaire_roster!B:I,6,0),"-")</f>
        <v/>
      </c>
      <c r="AB123" s="248">
        <f>IF(AND(D123="Congé",F123="Congé"),0.333333333333333,IF(OR(AND(D123="Congé",F123&lt;&gt;"Congé"),(AND(F123="Congé",D123&lt;&gt;"Congé"))),0.166666666666667,""))</f>
        <v/>
      </c>
      <c r="AC123" s="248">
        <f>IF(AND(D123="Congé sans solde",F123="Congé sans solde"),0.333333333333333,IF(OR(AND(D123="Congé sans solde",F123&lt;&gt;"Congé sans solde"),(AND(F123="Congé sans solde",D123&lt;&gt;"Congé sans solde"))),0.166666666666667,""))</f>
        <v/>
      </c>
      <c r="AD123" s="248">
        <f>IF(AND(D123="Congé spécial",F123="Congé spécial"),0.333333333333333,IF(OR(AND(D123="Congé spécial",F123&lt;&gt;"Congé décès"),(AND(F123="Congé spécial",D123&lt;&gt;"Congé spécial"))),0.166666666666667,""))</f>
        <v/>
      </c>
      <c r="AE123" s="249">
        <f>IF(AND(D123="Férié",F123="Férié"),0.333333333333333,IF(OR(AND(D123="Férié",F123&lt;&gt;"Férié"),(AND(F123="Férié",D123&lt;&gt;"Férié"))),0.166666666666667,""))</f>
        <v/>
      </c>
      <c r="AF123" s="249" t="n"/>
      <c r="AG123" s="244" t="n"/>
    </row>
    <row r="124" hidden="1" ht="12.75" customHeight="1" s="231">
      <c r="A124" s="232">
        <f>VLOOKUP(B124,Annuaire_roster!B:F,5,0)</f>
        <v/>
      </c>
      <c r="B124" s="233" t="inlineStr">
        <is>
          <t>NEMMAOUI MOUNIRA</t>
        </is>
      </c>
      <c r="C124" s="234">
        <f>IFERROR(IF(COUNTIFS(Connexions!$K:$K,$Q124,Connexions!$E:$E,VLOOKUP($B124,Mapping_Noms!$A:$B,2,0))=0,"",_xlfn.MINIFS(Connexions!$M:$M,Connexions!$K:$K,$Q124,Connexions!$E:$E,VLOOKUP($B124,Mapping_Noms!$A:$B,2,0))-TIME(1,0,0)),"")</f>
        <v/>
      </c>
      <c r="D124" s="234">
        <f t="array" ref="D124:D124">IFERROR(INDEX(Planning2[],MATCH(1,(Planning2[Nom]=B124)*(Planning2[Date]=Q124),0),3),"-")</f>
        <v/>
      </c>
      <c r="E124" s="235">
        <f>IFERROR(IF(COUNTIFS(Connexions!$K:$K,$Q124,Connexions!$E:$E,VLOOKUP($B124,Mapping_Noms!$A:$B,2,0))=0,"",_xlfn.MAXIFS(Connexions!$O:$O,Connexions!$K:$K,$Q124,Connexions!$E:$E,VLOOKUP($B124,Mapping_Noms!$A:$B,2,0))-TIME(1,0,0)),"")</f>
        <v/>
      </c>
      <c r="F124" s="235">
        <f t="array" ref="F124:F124">IFERROR(INDEX(Planning2[],MATCH(1,(Planning2[Nom]=B124)*(Planning2[Date]=Q124),0),4),"-")</f>
        <v/>
      </c>
      <c r="G124" s="405">
        <f>IFERROR(IF(OR(IFERROR(INDEX('Planning Pauses Dej'!$C:$C,MATCH($B124&amp;"|"&amp;TEXT($Q124,"YYYYMMDD"),'Planning Pauses Dej'!$F:$F,0)),"")="",IFERROR(INDEX('Planning Pauses Dej'!$D:$D,MATCH($B124&amp;"|"&amp;TEXT($Q124,"YYYYMMDD"),'Planning Pauses Dej'!$F:$F,0)),"")=""),"",_xlfn.MAXIFS(Connexions!$Q:$Q,Connexions!$K:$K,$Q124,Connexions!$E:$E,VLOOKUP($B124,Mapping_Noms!$A:$B,2,0),Connexions!$O:$O,"&lt;="&amp;(IFERROR(INDEX('Planning Pauses Dej'!$D:$D,MATCH($B124&amp;"|"&amp;TEXT($Q124,"YYYYMMDD"),'Planning Pauses Dej'!$F:$F,0)),"")+TIME(1,0,0)),Connexions!$P:$P,"&gt;="&amp;(IFERROR(INDEX('Planning Pauses Dej'!$C:$C,MATCH($B124&amp;"|"&amp;TEXT($Q124,"YYYYMMDD"),'Planning Pauses Dej'!$F:$F,0)),"")+TIME(1,0,0)))),"")</f>
        <v/>
      </c>
      <c r="H124" s="405">
        <f>IFERROR(IF(OR($G124="",IFERROR(INDEX('Planning Pauses Dej'!$C:$C,MATCH($B124&amp;"|"&amp;TEXT($Q124,"YYYYMMDD"),'Planning Pauses Dej'!$F:$F,0)),"")="",IFERROR(INDEX('Planning Pauses Dej'!$D:$D,MATCH($B124&amp;"|"&amp;TEXT($Q124,"YYYYMMDD"),'Planning Pauses Dej'!$F:$F,0)),"")=""),"",IF($G124&gt;(IFERROR(INDEX('Planning Pauses Dej'!$D:$D,MATCH($B124&amp;"|"&amp;TEXT($Q124,"YYYYMMDD"),'Planning Pauses Dej'!$F:$F,0)),"")-IFERROR(INDEX('Planning Pauses Dej'!$C:$C,MATCH($B124&amp;"|"&amp;TEXT($Q124,"YYYYMMDD"),'Planning Pauses Dej'!$F:$F,0)),"")),$G124-(IFERROR(INDEX('Planning Pauses Dej'!$D:$D,MATCH($B124&amp;"|"&amp;TEXT($Q124,"YYYYMMDD"),'Planning Pauses Dej'!$F:$F,0)),"")-IFERROR(INDEX('Planning Pauses Dej'!$C:$C,MATCH($B124&amp;"|"&amp;TEXT($Q124,"YYYYMMDD"),'Planning Pauses Dej'!$F:$F,0)),"")),0)),"")</f>
        <v/>
      </c>
      <c r="I124" s="251">
        <f>IF(IF(OR(C124="",D124="Congé",D124="OFF",D124="Congé spécial"),"",IF(D124&gt;F124,D124-C124,IF(C124-D124&lt;0,0,C124-D124)))&lt;0.00068287037037037,"",IF(OR(D124="Congé",D124="OFF",C124="",D124="Congé spécial"),"",IF(D124&gt;F124,D124-C124,IF(C124-D124&lt;0,0,C124-D124))))</f>
        <v/>
      </c>
      <c r="J124" s="405">
        <f>IFERROR(IF($G124="","",IF($G124&gt;TIME(1,0,0),$G124-TIME(1,0,0),0)),"")</f>
        <v/>
      </c>
      <c r="K124" s="238">
        <f>IF(SUM(H124:J124)&lt;0.00068287037037037,0,SUM(H124:J124))</f>
        <v/>
      </c>
      <c r="L124" s="236">
        <f>IF(OR(F124="Congé",F124="OFF",M124="Abs",F124="Congé sans solde",F124="Férié",F124="Congé spécial",D124="Congé spécial"),0,IF(F124-E124&lt;0,0,IF(F124-E124&lt;=0.00068287037037037,0,F124-E124)))</f>
        <v/>
      </c>
      <c r="M124" s="239">
        <f>IF(AND(O124&lt;&gt;0,C124=""),"Abs",0)</f>
        <v/>
      </c>
      <c r="N124" s="240">
        <f>IFERROR(IF(OR(D124="OFF",D124="Congé",M124="Abs",D124="Congé sans solde",D124="Férié"),"",IF(O124-K124-L124&gt;O124,O124,IF(O124-K124-L124&lt;0,"",O124-K124-L124))),"")</f>
        <v/>
      </c>
      <c r="O124" s="241">
        <f>IF(AG124="2H Pause déjeuner",IF(F124-D124-0.0833333333333333&lt;0,F124-D124-0.0833333333333333+1,F124-D124-0.0833333333333333),IF(OR(AND(F124="OFF",D124="OFF"),AND(F124="Congé",D124="Congé"),AND(F124="Congé sans solde",D124="Congé sans solde"),AND(F124="Congé spécial",D124="Congé spécial"),AND(F124="Férié",D124="Férié"),AND(F124="OFF",D124="Congé"),AND(F124="OFF",D124="Congé sans solde"),AND(F124="OFF",D124="Congé spécial"),AND(F124="OFF",D124="Férié"),AND(F124="Congé",D124="OFF"),AND(F124="Congé",D124="Congé sans solde"),AND(F124="Congé",D124="Congé spécial"),AND(F124="Congé",D124="Férié"),AND(F124="Congé sans solde",D124="OFF"),AND(F124="Congé sans solde",D124="Congé"),AND(F124="Congé sans solde",D124="Congé spécial"),AND(F124="Congé sans solde",D124="Férié"),AND(F124="Congé spécial",D124="OFF"),AND(F124="Congé spécial",D124="Congé"),AND(F124="Congé spécial",D124="Congé sans solde"),AND(F124="Congé spécial",D124="Férié"),AND(F124="Férié",D124="OFF"),AND(F124="Férié",D124="Congé"),AND(F124="Férié",D124="Congé sans solde"),AND(F124="Férié",D124="Congé spécial")),0,IF(OR(F124="OFF",F124="Congé",F124="Congé spécial",F124="Congé sans solde",D124="OFF",D124="Congé",D124="Congé spécial",D124="Congé sans solde"),0.208333333333334,IF(AND(AG124="",F124-D124&lt;0),("24:00:00"-D124)+("00:00:00"+F124)-0.0416666666666667,IF(AND(OR(AG124="Allaitement",AG124="Sans déjeuner"),F124-D124&lt;0),("24:00:00"-D124)+("00:00:00"+F124),IF(AND(AG124="",F124-D124&gt;0.166666666666667),F124-D124-0.0416666666666667,IF(AND(OR(AG124="Allaitement",AG124="Sans déjeuner"),F124-D124&gt;0.166666666666667),F124-D124,F124-D124)))))))</f>
        <v/>
      </c>
      <c r="P124" s="242">
        <f>IFERROR(VLOOKUP($B124,Annuaire_roster!$B:$G,MATCH(P$1,Annuaire_roster!$B$1:$G$1,0),0),"-")</f>
        <v/>
      </c>
      <c r="Q124" s="243" t="n">
        <v>44764</v>
      </c>
      <c r="R124" s="244">
        <f>IF(M124="Abs",O124,0)</f>
        <v/>
      </c>
      <c r="S124" s="244">
        <f>SUM(R124,L124,I124,J124,W124,H124)</f>
        <v/>
      </c>
      <c r="T124" s="209">
        <f>"Sem - "&amp;WEEKNUM(Q124,21)</f>
        <v/>
      </c>
      <c r="U124" s="209">
        <f>PROPER(TEXT(Q124,"mmmm"))</f>
        <v/>
      </c>
      <c r="V124" s="245">
        <f>+TEXT(Q124,"aaa")</f>
        <v/>
      </c>
      <c r="W124" s="240" t="n"/>
      <c r="X124" s="246">
        <f>IFERROR(IF(M124="Abs",0,IF((D124-C124+E124-F124)&lt;0.000694444444444444,0,(D124-C124+E124-F124))),0)</f>
        <v/>
      </c>
      <c r="Y124" s="247">
        <f>IFERROR(VLOOKUP(B124,Annuaire_roster!B:E,4,0),"-")</f>
        <v/>
      </c>
      <c r="Z124" s="247">
        <f>IFERROR(VLOOKUP(B124,Annuaire_roster!B:F,3,0),"-")</f>
        <v/>
      </c>
      <c r="AA124" s="247">
        <f>IFERROR(VLOOKUP(B124,Annuaire_roster!B:I,6,0),"-")</f>
        <v/>
      </c>
      <c r="AB124" s="248">
        <f>IF(AND(D124="Congé",F124="Congé"),0.333333333333333,IF(OR(AND(D124="Congé",F124&lt;&gt;"Congé"),(AND(F124="Congé",D124&lt;&gt;"Congé"))),0.166666666666667,""))</f>
        <v/>
      </c>
      <c r="AC124" s="248">
        <f>IF(AND(D124="Congé sans solde",F124="Congé sans solde"),0.333333333333333,IF(OR(AND(D124="Congé sans solde",F124&lt;&gt;"Congé sans solde"),(AND(F124="Congé sans solde",D124&lt;&gt;"Congé sans solde"))),0.166666666666667,""))</f>
        <v/>
      </c>
      <c r="AD124" s="248">
        <f>IF(AND(D124="Congé spécial",F124="Congé spécial"),0.333333333333333,IF(OR(AND(D124="Congé spécial",F124&lt;&gt;"Congé décès"),(AND(F124="Congé spécial",D124&lt;&gt;"Congé spécial"))),0.166666666666667,""))</f>
        <v/>
      </c>
      <c r="AE124" s="249">
        <f>IF(AND(D124="Férié",F124="Férié"),0.333333333333333,IF(OR(AND(D124="Férié",F124&lt;&gt;"Férié"),(AND(F124="Férié",D124&lt;&gt;"Férié"))),0.166666666666667,""))</f>
        <v/>
      </c>
      <c r="AF124" s="249" t="n"/>
      <c r="AG124" s="244" t="n"/>
    </row>
    <row r="125" hidden="1" ht="12.75" customHeight="1" s="231">
      <c r="A125" s="232">
        <f>VLOOKUP(B125,Annuaire_roster!B:F,5,0)</f>
        <v/>
      </c>
      <c r="B125" s="233" t="inlineStr">
        <is>
          <t xml:space="preserve">LALOUN MANAL </t>
        </is>
      </c>
      <c r="C125" s="234">
        <f>IFERROR(IF(COUNTIFS(Connexions!$K:$K,$Q125,Connexions!$E:$E,VLOOKUP($B125,Mapping_Noms!$A:$B,2,0))=0,"",_xlfn.MINIFS(Connexions!$M:$M,Connexions!$K:$K,$Q125,Connexions!$E:$E,VLOOKUP($B125,Mapping_Noms!$A:$B,2,0))-TIME(1,0,0)),"")</f>
        <v/>
      </c>
      <c r="D125" s="234">
        <f t="array" ref="D125:D125">IFERROR(INDEX(Planning2[],MATCH(1,(Planning2[Nom]=B125)*(Planning2[Date]=Q125),0),3),"-")</f>
        <v/>
      </c>
      <c r="E125" s="235">
        <f>IFERROR(IF(COUNTIFS(Connexions!$K:$K,$Q125,Connexions!$E:$E,VLOOKUP($B125,Mapping_Noms!$A:$B,2,0))=0,"",_xlfn.MAXIFS(Connexions!$O:$O,Connexions!$K:$K,$Q125,Connexions!$E:$E,VLOOKUP($B125,Mapping_Noms!$A:$B,2,0))-TIME(1,0,0)),"")</f>
        <v/>
      </c>
      <c r="F125" s="235">
        <f t="array" ref="F125:F125">IFERROR(INDEX(Planning2[],MATCH(1,(Planning2[Nom]=B125)*(Planning2[Date]=Q125),0),4),"-")</f>
        <v/>
      </c>
      <c r="G125" s="405">
        <f>IFERROR(IF(OR(IFERROR(INDEX('Planning Pauses Dej'!$C:$C,MATCH($B125&amp;"|"&amp;TEXT($Q125,"YYYYMMDD"),'Planning Pauses Dej'!$F:$F,0)),"")="",IFERROR(INDEX('Planning Pauses Dej'!$D:$D,MATCH($B125&amp;"|"&amp;TEXT($Q125,"YYYYMMDD"),'Planning Pauses Dej'!$F:$F,0)),"")=""),"",_xlfn.MAXIFS(Connexions!$Q:$Q,Connexions!$K:$K,$Q125,Connexions!$E:$E,VLOOKUP($B125,Mapping_Noms!$A:$B,2,0),Connexions!$O:$O,"&lt;="&amp;(IFERROR(INDEX('Planning Pauses Dej'!$D:$D,MATCH($B125&amp;"|"&amp;TEXT($Q125,"YYYYMMDD"),'Planning Pauses Dej'!$F:$F,0)),"")+TIME(1,0,0)),Connexions!$P:$P,"&gt;="&amp;(IFERROR(INDEX('Planning Pauses Dej'!$C:$C,MATCH($B125&amp;"|"&amp;TEXT($Q125,"YYYYMMDD"),'Planning Pauses Dej'!$F:$F,0)),"")+TIME(1,0,0)))),"")</f>
        <v/>
      </c>
      <c r="H125" s="405">
        <f>IFERROR(IF(OR($G125="",IFERROR(INDEX('Planning Pauses Dej'!$C:$C,MATCH($B125&amp;"|"&amp;TEXT($Q125,"YYYYMMDD"),'Planning Pauses Dej'!$F:$F,0)),"")="",IFERROR(INDEX('Planning Pauses Dej'!$D:$D,MATCH($B125&amp;"|"&amp;TEXT($Q125,"YYYYMMDD"),'Planning Pauses Dej'!$F:$F,0)),"")=""),"",IF($G125&gt;(IFERROR(INDEX('Planning Pauses Dej'!$D:$D,MATCH($B125&amp;"|"&amp;TEXT($Q125,"YYYYMMDD"),'Planning Pauses Dej'!$F:$F,0)),"")-IFERROR(INDEX('Planning Pauses Dej'!$C:$C,MATCH($B125&amp;"|"&amp;TEXT($Q125,"YYYYMMDD"),'Planning Pauses Dej'!$F:$F,0)),"")),$G125-(IFERROR(INDEX('Planning Pauses Dej'!$D:$D,MATCH($B125&amp;"|"&amp;TEXT($Q125,"YYYYMMDD"),'Planning Pauses Dej'!$F:$F,0)),"")-IFERROR(INDEX('Planning Pauses Dej'!$C:$C,MATCH($B125&amp;"|"&amp;TEXT($Q125,"YYYYMMDD"),'Planning Pauses Dej'!$F:$F,0)),"")),0)),"")</f>
        <v/>
      </c>
      <c r="I125" s="251">
        <f>IF(IF(OR(C125="",D125="Congé",D125="OFF",D125="Congé spécial"),"",IF(D125&gt;F125,D125-C125,IF(C125-D125&lt;0,0,C125-D125)))&lt;0.00068287037037037,"",IF(OR(D125="Congé",D125="OFF",C125="",D125="Congé spécial"),"",IF(D125&gt;F125,D125-C125,IF(C125-D125&lt;0,0,C125-D125))))</f>
        <v/>
      </c>
      <c r="J125" s="405">
        <f>IFERROR(IF($G125="","",IF($G125&gt;TIME(1,0,0),$G125-TIME(1,0,0),0)),"")</f>
        <v/>
      </c>
      <c r="K125" s="238">
        <f>IF(SUM(H125:J125)&lt;0.00068287037037037,0,SUM(H125:J125))</f>
        <v/>
      </c>
      <c r="L125" s="236">
        <f>IF(OR(F125="Congé",F125="OFF",M125="Abs",F125="Congé sans solde",F125="Férié",F125="Congé spécial",D125="Congé spécial"),0,IF(F125-E125&lt;0,0,IF(F125-E125&lt;=0.00068287037037037,0,F125-E125)))</f>
        <v/>
      </c>
      <c r="M125" s="239">
        <f>IF(AND(O125&lt;&gt;0,C125=""),"Abs",0)</f>
        <v/>
      </c>
      <c r="N125" s="240">
        <f>IFERROR(IF(OR(D125="OFF",D125="Congé",M125="Abs",D125="Congé sans solde",D125="Férié"),"",IF(O125-K125-L125&gt;O125,O125,IF(O125-K125-L125&lt;0,"",O125-K125-L125))),"")</f>
        <v/>
      </c>
      <c r="O125" s="241">
        <f>IF(AG125="2H Pause déjeuner",IF(F125-D125-0.0833333333333333&lt;0,F125-D125-0.0833333333333333+1,F125-D125-0.0833333333333333),IF(OR(AND(F125="OFF",D125="OFF"),AND(F125="Congé",D125="Congé"),AND(F125="Congé sans solde",D125="Congé sans solde"),AND(F125="Congé spécial",D125="Congé spécial"),AND(F125="Férié",D125="Férié"),AND(F125="OFF",D125="Congé"),AND(F125="OFF",D125="Congé sans solde"),AND(F125="OFF",D125="Congé spécial"),AND(F125="OFF",D125="Férié"),AND(F125="Congé",D125="OFF"),AND(F125="Congé",D125="Congé sans solde"),AND(F125="Congé",D125="Congé spécial"),AND(F125="Congé",D125="Férié"),AND(F125="Congé sans solde",D125="OFF"),AND(F125="Congé sans solde",D125="Congé"),AND(F125="Congé sans solde",D125="Congé spécial"),AND(F125="Congé sans solde",D125="Férié"),AND(F125="Congé spécial",D125="OFF"),AND(F125="Congé spécial",D125="Congé"),AND(F125="Congé spécial",D125="Congé sans solde"),AND(F125="Congé spécial",D125="Férié"),AND(F125="Férié",D125="OFF"),AND(F125="Férié",D125="Congé"),AND(F125="Férié",D125="Congé sans solde"),AND(F125="Férié",D125="Congé spécial")),0,IF(OR(F125="OFF",F125="Congé",F125="Congé spécial",F125="Congé sans solde",D125="OFF",D125="Congé",D125="Congé spécial",D125="Congé sans solde"),0.208333333333334,IF(AND(AG125="",F125-D125&lt;0),("24:00:00"-D125)+("00:00:00"+F125)-0.0416666666666667,IF(AND(OR(AG125="Allaitement",AG125="Sans déjeuner"),F125-D125&lt;0),("24:00:00"-D125)+("00:00:00"+F125),IF(AND(AG125="",F125-D125&gt;0.166666666666667),F125-D125-0.0416666666666667,IF(AND(OR(AG125="Allaitement",AG125="Sans déjeuner"),F125-D125&gt;0.166666666666667),F125-D125,F125-D125)))))))</f>
        <v/>
      </c>
      <c r="P125" s="242">
        <f>IFERROR(VLOOKUP($B125,Annuaire_roster!$B:$G,MATCH(P$1,Annuaire_roster!$B$1:$G$1,0),0),"-")</f>
        <v/>
      </c>
      <c r="Q125" s="243" t="n">
        <v>44764</v>
      </c>
      <c r="R125" s="244">
        <f>IF(M125="Abs",O125,0)</f>
        <v/>
      </c>
      <c r="S125" s="244">
        <f>SUM(R125,L125,I125,J125,W125,H125)</f>
        <v/>
      </c>
      <c r="T125" s="209">
        <f>"Sem - "&amp;WEEKNUM(Q125,21)</f>
        <v/>
      </c>
      <c r="U125" s="209">
        <f>PROPER(TEXT(Q125,"mmmm"))</f>
        <v/>
      </c>
      <c r="V125" s="245">
        <f>+TEXT(Q125,"aaa")</f>
        <v/>
      </c>
      <c r="W125" s="240" t="n"/>
      <c r="X125" s="246">
        <f>IFERROR(IF(M125="Abs",0,IF((D125-C125+E125-F125)&lt;0.000694444444444444,0,(D125-C125+E125-F125))),0)</f>
        <v/>
      </c>
      <c r="Y125" s="247">
        <f>IFERROR(VLOOKUP(B125,Annuaire_roster!B:E,4,0),"-")</f>
        <v/>
      </c>
      <c r="Z125" s="247">
        <f>IFERROR(VLOOKUP(B125,Annuaire_roster!B:F,3,0),"-")</f>
        <v/>
      </c>
      <c r="AA125" s="247">
        <f>IFERROR(VLOOKUP(B125,Annuaire_roster!B:I,6,0),"-")</f>
        <v/>
      </c>
      <c r="AB125" s="248">
        <f>IF(AND(D125="Congé",F125="Congé"),0.333333333333333,IF(OR(AND(D125="Congé",F125&lt;&gt;"Congé"),(AND(F125="Congé",D125&lt;&gt;"Congé"))),0.166666666666667,""))</f>
        <v/>
      </c>
      <c r="AC125" s="248">
        <f>IF(AND(D125="Congé sans solde",F125="Congé sans solde"),0.333333333333333,IF(OR(AND(D125="Congé sans solde",F125&lt;&gt;"Congé sans solde"),(AND(F125="Congé sans solde",D125&lt;&gt;"Congé sans solde"))),0.166666666666667,""))</f>
        <v/>
      </c>
      <c r="AD125" s="248">
        <f>IF(AND(D125="Congé spécial",F125="Congé spécial"),0.333333333333333,IF(OR(AND(D125="Congé spécial",F125&lt;&gt;"Congé décès"),(AND(F125="Congé spécial",D125&lt;&gt;"Congé spécial"))),0.166666666666667,""))</f>
        <v/>
      </c>
      <c r="AE125" s="249">
        <f>IF(AND(D125="Férié",F125="Férié"),0.333333333333333,IF(OR(AND(D125="Férié",F125&lt;&gt;"Férié"),(AND(F125="Férié",D125&lt;&gt;"Férié"))),0.166666666666667,""))</f>
        <v/>
      </c>
      <c r="AF125" s="249" t="n"/>
      <c r="AG125" s="244" t="n"/>
    </row>
    <row r="126" hidden="1" ht="12.75" customHeight="1" s="231">
      <c r="A126" s="232">
        <f>VLOOKUP(B126,Annuaire_roster!B:F,5,0)</f>
        <v/>
      </c>
      <c r="B126" s="233" t="inlineStr">
        <is>
          <t xml:space="preserve">DERKAOUI AMAL </t>
        </is>
      </c>
      <c r="C126" s="234">
        <f>IFERROR(IF(COUNTIFS(Connexions!$K:$K,$Q126,Connexions!$E:$E,VLOOKUP($B126,Mapping_Noms!$A:$B,2,0))=0,"",_xlfn.MINIFS(Connexions!$M:$M,Connexions!$K:$K,$Q126,Connexions!$E:$E,VLOOKUP($B126,Mapping_Noms!$A:$B,2,0))-TIME(1,0,0)),"")</f>
        <v/>
      </c>
      <c r="D126" s="234">
        <f t="array" ref="D126:D126">IFERROR(INDEX(Planning2[],MATCH(1,(Planning2[Nom]=B126)*(Planning2[Date]=Q126),0),3),"-")</f>
        <v/>
      </c>
      <c r="E126" s="235">
        <f>IFERROR(IF(COUNTIFS(Connexions!$K:$K,$Q126,Connexions!$E:$E,VLOOKUP($B126,Mapping_Noms!$A:$B,2,0))=0,"",_xlfn.MAXIFS(Connexions!$O:$O,Connexions!$K:$K,$Q126,Connexions!$E:$E,VLOOKUP($B126,Mapping_Noms!$A:$B,2,0))-TIME(1,0,0)),"")</f>
        <v/>
      </c>
      <c r="F126" s="235">
        <f t="array" ref="F126:F126">IFERROR(INDEX(Planning2[],MATCH(1,(Planning2[Nom]=B126)*(Planning2[Date]=Q126),0),4),"-")</f>
        <v/>
      </c>
      <c r="G126" s="405">
        <f>IFERROR(IF(OR(IFERROR(INDEX('Planning Pauses Dej'!$C:$C,MATCH($B126&amp;"|"&amp;TEXT($Q126,"YYYYMMDD"),'Planning Pauses Dej'!$F:$F,0)),"")="",IFERROR(INDEX('Planning Pauses Dej'!$D:$D,MATCH($B126&amp;"|"&amp;TEXT($Q126,"YYYYMMDD"),'Planning Pauses Dej'!$F:$F,0)),"")=""),"",_xlfn.MAXIFS(Connexions!$Q:$Q,Connexions!$K:$K,$Q126,Connexions!$E:$E,VLOOKUP($B126,Mapping_Noms!$A:$B,2,0),Connexions!$O:$O,"&lt;="&amp;(IFERROR(INDEX('Planning Pauses Dej'!$D:$D,MATCH($B126&amp;"|"&amp;TEXT($Q126,"YYYYMMDD"),'Planning Pauses Dej'!$F:$F,0)),"")+TIME(1,0,0)),Connexions!$P:$P,"&gt;="&amp;(IFERROR(INDEX('Planning Pauses Dej'!$C:$C,MATCH($B126&amp;"|"&amp;TEXT($Q126,"YYYYMMDD"),'Planning Pauses Dej'!$F:$F,0)),"")+TIME(1,0,0)))),"")</f>
        <v/>
      </c>
      <c r="H126" s="405">
        <f>IFERROR(IF(OR($G126="",IFERROR(INDEX('Planning Pauses Dej'!$C:$C,MATCH($B126&amp;"|"&amp;TEXT($Q126,"YYYYMMDD"),'Planning Pauses Dej'!$F:$F,0)),"")="",IFERROR(INDEX('Planning Pauses Dej'!$D:$D,MATCH($B126&amp;"|"&amp;TEXT($Q126,"YYYYMMDD"),'Planning Pauses Dej'!$F:$F,0)),"")=""),"",IF($G126&gt;(IFERROR(INDEX('Planning Pauses Dej'!$D:$D,MATCH($B126&amp;"|"&amp;TEXT($Q126,"YYYYMMDD"),'Planning Pauses Dej'!$F:$F,0)),"")-IFERROR(INDEX('Planning Pauses Dej'!$C:$C,MATCH($B126&amp;"|"&amp;TEXT($Q126,"YYYYMMDD"),'Planning Pauses Dej'!$F:$F,0)),"")),$G126-(IFERROR(INDEX('Planning Pauses Dej'!$D:$D,MATCH($B126&amp;"|"&amp;TEXT($Q126,"YYYYMMDD"),'Planning Pauses Dej'!$F:$F,0)),"")-IFERROR(INDEX('Planning Pauses Dej'!$C:$C,MATCH($B126&amp;"|"&amp;TEXT($Q126,"YYYYMMDD"),'Planning Pauses Dej'!$F:$F,0)),"")),0)),"")</f>
        <v/>
      </c>
      <c r="I126" s="251">
        <f>IF(IF(OR(C126="",D126="Congé",D126="OFF",D126="Congé spécial"),"",IF(D126&gt;F126,D126-C126,IF(C126-D126&lt;0,0,C126-D126)))&lt;0.00068287037037037,"",IF(OR(D126="Congé",D126="OFF",C126="",D126="Congé spécial"),"",IF(D126&gt;F126,D126-C126,IF(C126-D126&lt;0,0,C126-D126))))</f>
        <v/>
      </c>
      <c r="J126" s="405">
        <f>IFERROR(IF($G126="","",IF($G126&gt;TIME(1,0,0),$G126-TIME(1,0,0),0)),"")</f>
        <v/>
      </c>
      <c r="K126" s="238">
        <f>IF(SUM(H126:J126)&lt;0.00068287037037037,0,SUM(H126:J126))</f>
        <v/>
      </c>
      <c r="L126" s="236">
        <f>IF(OR(F126="Congé",F126="OFF",M126="Abs",F126="Congé sans solde",F126="Férié",F126="Congé spécial",D126="Congé spécial"),0,IF(F126-E126&lt;0,0,IF(F126-E126&lt;=0.00068287037037037,0,F126-E126)))</f>
        <v/>
      </c>
      <c r="M126" s="239">
        <f>IF(AND(O126&lt;&gt;0,C126=""),"Abs",0)</f>
        <v/>
      </c>
      <c r="N126" s="240">
        <f>IFERROR(IF(OR(D126="OFF",D126="Congé",M126="Abs",D126="Congé sans solde",D126="Férié"),"",IF(O126-K126-L126&gt;O126,O126,IF(O126-K126-L126&lt;0,"",O126-K126-L126))),"")</f>
        <v/>
      </c>
      <c r="O126" s="241">
        <f>IF(AG126="2H Pause déjeuner",IF(F126-D126-0.0833333333333333&lt;0,F126-D126-0.0833333333333333+1,F126-D126-0.0833333333333333),IF(OR(AND(F126="OFF",D126="OFF"),AND(F126="Congé",D126="Congé"),AND(F126="Congé sans solde",D126="Congé sans solde"),AND(F126="Congé spécial",D126="Congé spécial"),AND(F126="Férié",D126="Férié"),AND(F126="OFF",D126="Congé"),AND(F126="OFF",D126="Congé sans solde"),AND(F126="OFF",D126="Congé spécial"),AND(F126="OFF",D126="Férié"),AND(F126="Congé",D126="OFF"),AND(F126="Congé",D126="Congé sans solde"),AND(F126="Congé",D126="Congé spécial"),AND(F126="Congé",D126="Férié"),AND(F126="Congé sans solde",D126="OFF"),AND(F126="Congé sans solde",D126="Congé"),AND(F126="Congé sans solde",D126="Congé spécial"),AND(F126="Congé sans solde",D126="Férié"),AND(F126="Congé spécial",D126="OFF"),AND(F126="Congé spécial",D126="Congé"),AND(F126="Congé spécial",D126="Congé sans solde"),AND(F126="Congé spécial",D126="Férié"),AND(F126="Férié",D126="OFF"),AND(F126="Férié",D126="Congé"),AND(F126="Férié",D126="Congé sans solde"),AND(F126="Férié",D126="Congé spécial")),0,IF(OR(F126="OFF",F126="Congé",F126="Congé spécial",F126="Congé sans solde",D126="OFF",D126="Congé",D126="Congé spécial",D126="Congé sans solde"),0.208333333333334,IF(AND(AG126="",F126-D126&lt;0),("24:00:00"-D126)+("00:00:00"+F126)-0.0416666666666667,IF(AND(OR(AG126="Allaitement",AG126="Sans déjeuner"),F126-D126&lt;0),("24:00:00"-D126)+("00:00:00"+F126),IF(AND(AG126="",F126-D126&gt;0.166666666666667),F126-D126-0.0416666666666667,IF(AND(OR(AG126="Allaitement",AG126="Sans déjeuner"),F126-D126&gt;0.166666666666667),F126-D126,F126-D126)))))))</f>
        <v/>
      </c>
      <c r="P126" s="242">
        <f>IFERROR(VLOOKUP($B126,Annuaire_roster!$B:$G,MATCH(P$1,Annuaire_roster!$B$1:$G$1,0),0),"-")</f>
        <v/>
      </c>
      <c r="Q126" s="243" t="n">
        <v>44764</v>
      </c>
      <c r="R126" s="244">
        <f>IF(M126="Abs",O126,0)</f>
        <v/>
      </c>
      <c r="S126" s="244">
        <f>SUM(R126,L126,I126,J126,W126,H126)</f>
        <v/>
      </c>
      <c r="T126" s="209">
        <f>"Sem - "&amp;WEEKNUM(Q126,21)</f>
        <v/>
      </c>
      <c r="U126" s="209">
        <f>PROPER(TEXT(Q126,"mmmm"))</f>
        <v/>
      </c>
      <c r="V126" s="245">
        <f>+TEXT(Q126,"aaa")</f>
        <v/>
      </c>
      <c r="W126" s="240" t="n"/>
      <c r="X126" s="246">
        <f>IFERROR(IF(M126="Abs",0,IF((D126-C126+E126-F126)&lt;0.000694444444444444,0,(D126-C126+E126-F126))),0)</f>
        <v/>
      </c>
      <c r="Y126" s="247">
        <f>IFERROR(VLOOKUP(B126,Annuaire_roster!B:E,4,0),"-")</f>
        <v/>
      </c>
      <c r="Z126" s="247">
        <f>IFERROR(VLOOKUP(B126,Annuaire_roster!B:F,3,0),"-")</f>
        <v/>
      </c>
      <c r="AA126" s="247">
        <f>IFERROR(VLOOKUP(B126,Annuaire_roster!B:I,6,0),"-")</f>
        <v/>
      </c>
      <c r="AB126" s="248">
        <f>IF(AND(D126="Congé",F126="Congé"),0.333333333333333,IF(OR(AND(D126="Congé",F126&lt;&gt;"Congé"),(AND(F126="Congé",D126&lt;&gt;"Congé"))),0.166666666666667,""))</f>
        <v/>
      </c>
      <c r="AC126" s="248">
        <f>IF(AND(D126="Congé sans solde",F126="Congé sans solde"),0.333333333333333,IF(OR(AND(D126="Congé sans solde",F126&lt;&gt;"Congé sans solde"),(AND(F126="Congé sans solde",D126&lt;&gt;"Congé sans solde"))),0.166666666666667,""))</f>
        <v/>
      </c>
      <c r="AD126" s="248">
        <f>IF(AND(D126="Congé spécial",F126="Congé spécial"),0.333333333333333,IF(OR(AND(D126="Congé spécial",F126&lt;&gt;"Congé décès"),(AND(F126="Congé spécial",D126&lt;&gt;"Congé spécial"))),0.166666666666667,""))</f>
        <v/>
      </c>
      <c r="AE126" s="249">
        <f>IF(AND(D126="Férié",F126="Férié"),0.333333333333333,IF(OR(AND(D126="Férié",F126&lt;&gt;"Férié"),(AND(F126="Férié",D126&lt;&gt;"Férié"))),0.166666666666667,""))</f>
        <v/>
      </c>
      <c r="AF126" s="249" t="n"/>
      <c r="AG126" s="244" t="n"/>
    </row>
    <row r="127" hidden="1" ht="12.75" customHeight="1" s="231">
      <c r="A127" s="232">
        <f>VLOOKUP(B127,Annuaire_roster!B:F,5,0)</f>
        <v/>
      </c>
      <c r="B127" s="233" t="inlineStr">
        <is>
          <t>IHASSANE Ikram</t>
        </is>
      </c>
      <c r="C127" s="234">
        <f>IFERROR(IF(COUNTIFS(Connexions!$K:$K,$Q127,Connexions!$E:$E,VLOOKUP($B127,Mapping_Noms!$A:$B,2,0))=0,"",_xlfn.MINIFS(Connexions!$M:$M,Connexions!$K:$K,$Q127,Connexions!$E:$E,VLOOKUP($B127,Mapping_Noms!$A:$B,2,0))-TIME(1,0,0)),"")</f>
        <v/>
      </c>
      <c r="D127" s="234">
        <f t="array" ref="D127:D127">IFERROR(INDEX(Planning2[],MATCH(1,(Planning2[Nom]=B127)*(Planning2[Date]=Q127),0),3),"-")</f>
        <v/>
      </c>
      <c r="E127" s="235">
        <f>IFERROR(IF(COUNTIFS(Connexions!$K:$K,$Q127,Connexions!$E:$E,VLOOKUP($B127,Mapping_Noms!$A:$B,2,0))=0,"",_xlfn.MAXIFS(Connexions!$O:$O,Connexions!$K:$K,$Q127,Connexions!$E:$E,VLOOKUP($B127,Mapping_Noms!$A:$B,2,0))-TIME(1,0,0)),"")</f>
        <v/>
      </c>
      <c r="F127" s="235">
        <f t="array" ref="F127:F127">IFERROR(INDEX(Planning2[],MATCH(1,(Planning2[Nom]=B127)*(Planning2[Date]=Q127),0),4),"-")</f>
        <v/>
      </c>
      <c r="G127" s="405">
        <f>IFERROR(IF(OR(IFERROR(INDEX('Planning Pauses Dej'!$C:$C,MATCH($B127&amp;"|"&amp;TEXT($Q127,"YYYYMMDD"),'Planning Pauses Dej'!$F:$F,0)),"")="",IFERROR(INDEX('Planning Pauses Dej'!$D:$D,MATCH($B127&amp;"|"&amp;TEXT($Q127,"YYYYMMDD"),'Planning Pauses Dej'!$F:$F,0)),"")=""),"",_xlfn.MAXIFS(Connexions!$Q:$Q,Connexions!$K:$K,$Q127,Connexions!$E:$E,VLOOKUP($B127,Mapping_Noms!$A:$B,2,0),Connexions!$O:$O,"&lt;="&amp;(IFERROR(INDEX('Planning Pauses Dej'!$D:$D,MATCH($B127&amp;"|"&amp;TEXT($Q127,"YYYYMMDD"),'Planning Pauses Dej'!$F:$F,0)),"")+TIME(1,0,0)),Connexions!$P:$P,"&gt;="&amp;(IFERROR(INDEX('Planning Pauses Dej'!$C:$C,MATCH($B127&amp;"|"&amp;TEXT($Q127,"YYYYMMDD"),'Planning Pauses Dej'!$F:$F,0)),"")+TIME(1,0,0)))),"")</f>
        <v/>
      </c>
      <c r="H127" s="405">
        <f>IFERROR(IF(OR($G127="",IFERROR(INDEX('Planning Pauses Dej'!$C:$C,MATCH($B127&amp;"|"&amp;TEXT($Q127,"YYYYMMDD"),'Planning Pauses Dej'!$F:$F,0)),"")="",IFERROR(INDEX('Planning Pauses Dej'!$D:$D,MATCH($B127&amp;"|"&amp;TEXT($Q127,"YYYYMMDD"),'Planning Pauses Dej'!$F:$F,0)),"")=""),"",IF($G127&gt;(IFERROR(INDEX('Planning Pauses Dej'!$D:$D,MATCH($B127&amp;"|"&amp;TEXT($Q127,"YYYYMMDD"),'Planning Pauses Dej'!$F:$F,0)),"")-IFERROR(INDEX('Planning Pauses Dej'!$C:$C,MATCH($B127&amp;"|"&amp;TEXT($Q127,"YYYYMMDD"),'Planning Pauses Dej'!$F:$F,0)),"")),$G127-(IFERROR(INDEX('Planning Pauses Dej'!$D:$D,MATCH($B127&amp;"|"&amp;TEXT($Q127,"YYYYMMDD"),'Planning Pauses Dej'!$F:$F,0)),"")-IFERROR(INDEX('Planning Pauses Dej'!$C:$C,MATCH($B127&amp;"|"&amp;TEXT($Q127,"YYYYMMDD"),'Planning Pauses Dej'!$F:$F,0)),"")),0)),"")</f>
        <v/>
      </c>
      <c r="I127" s="251">
        <f>IF(IF(OR(C127="",D127="Congé",D127="OFF",D127="Congé spécial"),"",IF(D127&gt;F127,D127-C127,IF(C127-D127&lt;0,0,C127-D127)))&lt;0.00068287037037037,"",IF(OR(D127="Congé",D127="OFF",C127="",D127="Congé spécial"),"",IF(D127&gt;F127,D127-C127,IF(C127-D127&lt;0,0,C127-D127))))</f>
        <v/>
      </c>
      <c r="J127" s="405">
        <f>IFERROR(IF($G127="","",IF($G127&gt;TIME(1,0,0),$G127-TIME(1,0,0),0)),"")</f>
        <v/>
      </c>
      <c r="K127" s="238">
        <f>IF(SUM(H127:J127)&lt;0.00068287037037037,0,SUM(H127:J127))</f>
        <v/>
      </c>
      <c r="L127" s="236">
        <f>IF(OR(F127="Congé",F127="OFF",M127="Abs",F127="Congé sans solde",F127="Férié",F127="Congé spécial",D127="Congé spécial"),0,IF(F127-E127&lt;0,0,IF(F127-E127&lt;=0.00068287037037037,0,F127-E127)))</f>
        <v/>
      </c>
      <c r="M127" s="239">
        <f>IF(AND(O127&lt;&gt;0,C127=""),"Abs",0)</f>
        <v/>
      </c>
      <c r="N127" s="240">
        <f>IFERROR(IF(OR(D127="OFF",D127="Congé",M127="Abs",D127="Congé sans solde",D127="Férié"),"",IF(O127-K127-L127&gt;O127,O127,IF(O127-K127-L127&lt;0,"",O127-K127-L127))),"")</f>
        <v/>
      </c>
      <c r="O127" s="241">
        <f>IF(AG127="2H Pause déjeuner",IF(F127-D127-0.0833333333333333&lt;0,F127-D127-0.0833333333333333+1,F127-D127-0.0833333333333333),IF(OR(AND(F127="OFF",D127="OFF"),AND(F127="Congé",D127="Congé"),AND(F127="Congé sans solde",D127="Congé sans solde"),AND(F127="Congé spécial",D127="Congé spécial"),AND(F127="Férié",D127="Férié"),AND(F127="OFF",D127="Congé"),AND(F127="OFF",D127="Congé sans solde"),AND(F127="OFF",D127="Congé spécial"),AND(F127="OFF",D127="Férié"),AND(F127="Congé",D127="OFF"),AND(F127="Congé",D127="Congé sans solde"),AND(F127="Congé",D127="Congé spécial"),AND(F127="Congé",D127="Férié"),AND(F127="Congé sans solde",D127="OFF"),AND(F127="Congé sans solde",D127="Congé"),AND(F127="Congé sans solde",D127="Congé spécial"),AND(F127="Congé sans solde",D127="Férié"),AND(F127="Congé spécial",D127="OFF"),AND(F127="Congé spécial",D127="Congé"),AND(F127="Congé spécial",D127="Congé sans solde"),AND(F127="Congé spécial",D127="Férié"),AND(F127="Férié",D127="OFF"),AND(F127="Férié",D127="Congé"),AND(F127="Férié",D127="Congé sans solde"),AND(F127="Férié",D127="Congé spécial")),0,IF(OR(F127="OFF",F127="Congé",F127="Congé spécial",F127="Congé sans solde",D127="OFF",D127="Congé",D127="Congé spécial",D127="Congé sans solde"),0.208333333333334,IF(AND(AG127="",F127-D127&lt;0),("24:00:00"-D127)+("00:00:00"+F127)-0.0416666666666667,IF(AND(OR(AG127="Allaitement",AG127="Sans déjeuner"),F127-D127&lt;0),("24:00:00"-D127)+("00:00:00"+F127),IF(AND(AG127="",F127-D127&gt;0.166666666666667),F127-D127-0.0416666666666667,IF(AND(OR(AG127="Allaitement",AG127="Sans déjeuner"),F127-D127&gt;0.166666666666667),F127-D127,F127-D127)))))))</f>
        <v/>
      </c>
      <c r="P127" s="242">
        <f>IFERROR(VLOOKUP($B127,Annuaire_roster!$B:$G,MATCH(P$1,Annuaire_roster!$B$1:$G$1,0),0),"-")</f>
        <v/>
      </c>
      <c r="Q127" s="243" t="n">
        <v>44764</v>
      </c>
      <c r="R127" s="244">
        <f>IF(M127="Abs",O127,0)</f>
        <v/>
      </c>
      <c r="S127" s="244">
        <f>SUM(R127,L127,I127,J127,W127,H127)</f>
        <v/>
      </c>
      <c r="T127" s="209">
        <f>"Sem - "&amp;WEEKNUM(Q127,21)</f>
        <v/>
      </c>
      <c r="U127" s="209">
        <f>PROPER(TEXT(Q127,"mmmm"))</f>
        <v/>
      </c>
      <c r="V127" s="245">
        <f>+TEXT(Q127,"aaa")</f>
        <v/>
      </c>
      <c r="W127" s="240" t="n"/>
      <c r="X127" s="246">
        <f>IFERROR(IF(M127="Abs",0,IF((D127-C127+E127-F127)&lt;0.000694444444444444,0,(D127-C127+E127-F127))),0)</f>
        <v/>
      </c>
      <c r="Y127" s="247">
        <f>IFERROR(VLOOKUP(B127,Annuaire_roster!B:E,4,0),"-")</f>
        <v/>
      </c>
      <c r="Z127" s="247">
        <f>IFERROR(VLOOKUP(B127,Annuaire_roster!B:F,3,0),"-")</f>
        <v/>
      </c>
      <c r="AA127" s="247">
        <f>IFERROR(VLOOKUP(B127,Annuaire_roster!B:I,6,0),"-")</f>
        <v/>
      </c>
      <c r="AB127" s="248">
        <f>IF(AND(D127="Congé",F127="Congé"),0.333333333333333,IF(OR(AND(D127="Congé",F127&lt;&gt;"Congé"),(AND(F127="Congé",D127&lt;&gt;"Congé"))),0.166666666666667,""))</f>
        <v/>
      </c>
      <c r="AC127" s="248">
        <f>IF(AND(D127="Congé sans solde",F127="Congé sans solde"),0.333333333333333,IF(OR(AND(D127="Congé sans solde",F127&lt;&gt;"Congé sans solde"),(AND(F127="Congé sans solde",D127&lt;&gt;"Congé sans solde"))),0.166666666666667,""))</f>
        <v/>
      </c>
      <c r="AD127" s="248">
        <f>IF(AND(D127="Congé spécial",F127="Congé spécial"),0.333333333333333,IF(OR(AND(D127="Congé spécial",F127&lt;&gt;"Congé décès"),(AND(F127="Congé spécial",D127&lt;&gt;"Congé spécial"))),0.166666666666667,""))</f>
        <v/>
      </c>
      <c r="AE127" s="249">
        <f>IF(AND(D127="Férié",F127="Férié"),0.333333333333333,IF(OR(AND(D127="Férié",F127&lt;&gt;"Férié"),(AND(F127="Férié",D127&lt;&gt;"Férié"))),0.166666666666667,""))</f>
        <v/>
      </c>
      <c r="AF127" s="249" t="n"/>
      <c r="AG127" s="244" t="n"/>
    </row>
    <row r="128" hidden="1" ht="12.75" customHeight="1" s="231">
      <c r="A128" s="232">
        <f>VLOOKUP(B128,Annuaire_roster!B:F,5,0)</f>
        <v/>
      </c>
      <c r="B128" s="233" t="inlineStr">
        <is>
          <t xml:space="preserve">EL HOUJJAJI Soufiane </t>
        </is>
      </c>
      <c r="C128" s="234">
        <f>IFERROR(IF(COUNTIFS(Connexions!$K:$K,$Q128,Connexions!$E:$E,VLOOKUP($B128,Mapping_Noms!$A:$B,2,0))=0,"",_xlfn.MINIFS(Connexions!$M:$M,Connexions!$K:$K,$Q128,Connexions!$E:$E,VLOOKUP($B128,Mapping_Noms!$A:$B,2,0))-TIME(1,0,0)),"")</f>
        <v/>
      </c>
      <c r="D128" s="234">
        <f t="array" ref="D128:D128">IFERROR(INDEX(Planning2[],MATCH(1,(Planning2[Nom]=B128)*(Planning2[Date]=Q128),0),3),"-")</f>
        <v/>
      </c>
      <c r="E128" s="235">
        <f>IFERROR(IF(COUNTIFS(Connexions!$K:$K,$Q128,Connexions!$E:$E,VLOOKUP($B128,Mapping_Noms!$A:$B,2,0))=0,"",_xlfn.MAXIFS(Connexions!$O:$O,Connexions!$K:$K,$Q128,Connexions!$E:$E,VLOOKUP($B128,Mapping_Noms!$A:$B,2,0))-TIME(1,0,0)),"")</f>
        <v/>
      </c>
      <c r="F128" s="235">
        <f t="array" ref="F128:F128">IFERROR(INDEX(Planning2[],MATCH(1,(Planning2[Nom]=B128)*(Planning2[Date]=Q128),0),4),"-")</f>
        <v/>
      </c>
      <c r="G128" s="405">
        <f>IFERROR(IF(OR(IFERROR(INDEX('Planning Pauses Dej'!$C:$C,MATCH($B128&amp;"|"&amp;TEXT($Q128,"YYYYMMDD"),'Planning Pauses Dej'!$F:$F,0)),"")="",IFERROR(INDEX('Planning Pauses Dej'!$D:$D,MATCH($B128&amp;"|"&amp;TEXT($Q128,"YYYYMMDD"),'Planning Pauses Dej'!$F:$F,0)),"")=""),"",_xlfn.MAXIFS(Connexions!$Q:$Q,Connexions!$K:$K,$Q128,Connexions!$E:$E,VLOOKUP($B128,Mapping_Noms!$A:$B,2,0),Connexions!$O:$O,"&lt;="&amp;(IFERROR(INDEX('Planning Pauses Dej'!$D:$D,MATCH($B128&amp;"|"&amp;TEXT($Q128,"YYYYMMDD"),'Planning Pauses Dej'!$F:$F,0)),"")+TIME(1,0,0)),Connexions!$P:$P,"&gt;="&amp;(IFERROR(INDEX('Planning Pauses Dej'!$C:$C,MATCH($B128&amp;"|"&amp;TEXT($Q128,"YYYYMMDD"),'Planning Pauses Dej'!$F:$F,0)),"")+TIME(1,0,0)))),"")</f>
        <v/>
      </c>
      <c r="H128" s="405">
        <f>IFERROR(IF(OR($G128="",IFERROR(INDEX('Planning Pauses Dej'!$C:$C,MATCH($B128&amp;"|"&amp;TEXT($Q128,"YYYYMMDD"),'Planning Pauses Dej'!$F:$F,0)),"")="",IFERROR(INDEX('Planning Pauses Dej'!$D:$D,MATCH($B128&amp;"|"&amp;TEXT($Q128,"YYYYMMDD"),'Planning Pauses Dej'!$F:$F,0)),"")=""),"",IF($G128&gt;(IFERROR(INDEX('Planning Pauses Dej'!$D:$D,MATCH($B128&amp;"|"&amp;TEXT($Q128,"YYYYMMDD"),'Planning Pauses Dej'!$F:$F,0)),"")-IFERROR(INDEX('Planning Pauses Dej'!$C:$C,MATCH($B128&amp;"|"&amp;TEXT($Q128,"YYYYMMDD"),'Planning Pauses Dej'!$F:$F,0)),"")),$G128-(IFERROR(INDEX('Planning Pauses Dej'!$D:$D,MATCH($B128&amp;"|"&amp;TEXT($Q128,"YYYYMMDD"),'Planning Pauses Dej'!$F:$F,0)),"")-IFERROR(INDEX('Planning Pauses Dej'!$C:$C,MATCH($B128&amp;"|"&amp;TEXT($Q128,"YYYYMMDD"),'Planning Pauses Dej'!$F:$F,0)),"")),0)),"")</f>
        <v/>
      </c>
      <c r="I128" s="251">
        <f>IF(IF(OR(C128="",D128="Congé",D128="OFF",D128="Congé spécial"),"",IF(D128&gt;F128,D128-C128,IF(C128-D128&lt;0,0,C128-D128)))&lt;0.00068287037037037,"",IF(OR(D128="Congé",D128="OFF",C128="",D128="Congé spécial"),"",IF(D128&gt;F128,D128-C128,IF(C128-D128&lt;0,0,C128-D128))))</f>
        <v/>
      </c>
      <c r="J128" s="405">
        <f>IFERROR(IF($G128="","",IF($G128&gt;TIME(1,0,0),$G128-TIME(1,0,0),0)),"")</f>
        <v/>
      </c>
      <c r="K128" s="238">
        <f>IF(SUM(H128:J128)&lt;0.00068287037037037,0,SUM(H128:J128))</f>
        <v/>
      </c>
      <c r="L128" s="236">
        <f>IF(OR(F128="Congé",F128="OFF",M128="Abs",F128="Congé sans solde",F128="Férié",F128="Congé spécial",D128="Congé spécial"),0,IF(F128-E128&lt;0,0,IF(F128-E128&lt;=0.00068287037037037,0,F128-E128)))</f>
        <v/>
      </c>
      <c r="M128" s="239">
        <f>IF(AND(O128&lt;&gt;0,C128=""),"Abs",0)</f>
        <v/>
      </c>
      <c r="N128" s="240">
        <f>IFERROR(IF(OR(D128="OFF",D128="Congé",M128="Abs",D128="Congé sans solde",D128="Férié"),"",IF(O128-K128-L128&gt;O128,O128,IF(O128-K128-L128&lt;0,"",O128-K128-L128))),"")</f>
        <v/>
      </c>
      <c r="O128" s="241">
        <f>IF(AG128="2H Pause déjeuner",IF(F128-D128-0.0833333333333333&lt;0,F128-D128-0.0833333333333333+1,F128-D128-0.0833333333333333),IF(OR(AND(F128="OFF",D128="OFF"),AND(F128="Congé",D128="Congé"),AND(F128="Congé sans solde",D128="Congé sans solde"),AND(F128="Congé spécial",D128="Congé spécial"),AND(F128="Férié",D128="Férié"),AND(F128="OFF",D128="Congé"),AND(F128="OFF",D128="Congé sans solde"),AND(F128="OFF",D128="Congé spécial"),AND(F128="OFF",D128="Férié"),AND(F128="Congé",D128="OFF"),AND(F128="Congé",D128="Congé sans solde"),AND(F128="Congé",D128="Congé spécial"),AND(F128="Congé",D128="Férié"),AND(F128="Congé sans solde",D128="OFF"),AND(F128="Congé sans solde",D128="Congé"),AND(F128="Congé sans solde",D128="Congé spécial"),AND(F128="Congé sans solde",D128="Férié"),AND(F128="Congé spécial",D128="OFF"),AND(F128="Congé spécial",D128="Congé"),AND(F128="Congé spécial",D128="Congé sans solde"),AND(F128="Congé spécial",D128="Férié"),AND(F128="Férié",D128="OFF"),AND(F128="Férié",D128="Congé"),AND(F128="Férié",D128="Congé sans solde"),AND(F128="Férié",D128="Congé spécial")),0,IF(OR(F128="OFF",F128="Congé",F128="Congé spécial",F128="Congé sans solde",D128="OFF",D128="Congé",D128="Congé spécial",D128="Congé sans solde"),0.208333333333334,IF(AND(AG128="",F128-D128&lt;0),("24:00:00"-D128)+("00:00:00"+F128)-0.0416666666666667,IF(AND(OR(AG128="Allaitement",AG128="Sans déjeuner"),F128-D128&lt;0),("24:00:00"-D128)+("00:00:00"+F128),IF(AND(AG128="",F128-D128&gt;0.166666666666667),F128-D128-0.0416666666666667,IF(AND(OR(AG128="Allaitement",AG128="Sans déjeuner"),F128-D128&gt;0.166666666666667),F128-D128,F128-D128)))))))</f>
        <v/>
      </c>
      <c r="P128" s="242">
        <f>IFERROR(VLOOKUP($B128,Annuaire_roster!$B:$G,MATCH(P$1,Annuaire_roster!$B$1:$G$1,0),0),"-")</f>
        <v/>
      </c>
      <c r="Q128" s="243" t="n">
        <v>44764</v>
      </c>
      <c r="R128" s="244">
        <f>IF(M128="Abs",O128,0)</f>
        <v/>
      </c>
      <c r="S128" s="244">
        <f>SUM(R128,L128,I128,J128,W128,H128)</f>
        <v/>
      </c>
      <c r="T128" s="209">
        <f>"Sem - "&amp;WEEKNUM(Q128,21)</f>
        <v/>
      </c>
      <c r="U128" s="209">
        <f>PROPER(TEXT(Q128,"mmmm"))</f>
        <v/>
      </c>
      <c r="V128" s="245">
        <f>+TEXT(Q128,"aaa")</f>
        <v/>
      </c>
      <c r="W128" s="240" t="n"/>
      <c r="X128" s="246">
        <f>IFERROR(IF(M128="Abs",0,IF((D128-C128+E128-F128)&lt;0.000694444444444444,0,(D128-C128+E128-F128))),0)</f>
        <v/>
      </c>
      <c r="Y128" s="247">
        <f>IFERROR(VLOOKUP(B128,Annuaire_roster!B:E,4,0),"-")</f>
        <v/>
      </c>
      <c r="Z128" s="247">
        <f>IFERROR(VLOOKUP(B128,Annuaire_roster!B:F,3,0),"-")</f>
        <v/>
      </c>
      <c r="AA128" s="247">
        <f>IFERROR(VLOOKUP(B128,Annuaire_roster!B:I,6,0),"-")</f>
        <v/>
      </c>
      <c r="AB128" s="248">
        <f>IF(AND(D128="Congé",F128="Congé"),0.333333333333333,IF(OR(AND(D128="Congé",F128&lt;&gt;"Congé"),(AND(F128="Congé",D128&lt;&gt;"Congé"))),0.166666666666667,""))</f>
        <v/>
      </c>
      <c r="AC128" s="248">
        <f>IF(AND(D128="Congé sans solde",F128="Congé sans solde"),0.333333333333333,IF(OR(AND(D128="Congé sans solde",F128&lt;&gt;"Congé sans solde"),(AND(F128="Congé sans solde",D128&lt;&gt;"Congé sans solde"))),0.166666666666667,""))</f>
        <v/>
      </c>
      <c r="AD128" s="248">
        <f>IF(AND(D128="Congé spécial",F128="Congé spécial"),0.333333333333333,IF(OR(AND(D128="Congé spécial",F128&lt;&gt;"Congé décès"),(AND(F128="Congé spécial",D128&lt;&gt;"Congé spécial"))),0.166666666666667,""))</f>
        <v/>
      </c>
      <c r="AE128" s="249">
        <f>IF(AND(D128="Férié",F128="Férié"),0.333333333333333,IF(OR(AND(D128="Férié",F128&lt;&gt;"Férié"),(AND(F128="Férié",D128&lt;&gt;"Férié"))),0.166666666666667,""))</f>
        <v/>
      </c>
      <c r="AF128" s="249" t="n"/>
      <c r="AG128" s="244" t="n"/>
    </row>
    <row r="129" hidden="1" ht="12.75" customHeight="1" s="231">
      <c r="A129" s="232">
        <f>VLOOKUP(B129,Annuaire_roster!B:F,5,0)</f>
        <v/>
      </c>
      <c r="B129" s="233" t="inlineStr">
        <is>
          <t>EL HARROUCHI CHAIMAE</t>
        </is>
      </c>
      <c r="C129" s="234">
        <f>IFERROR(IF(COUNTIFS(Connexions!$K:$K,$Q129,Connexions!$E:$E,VLOOKUP($B129,Mapping_Noms!$A:$B,2,0))=0,"",_xlfn.MINIFS(Connexions!$M:$M,Connexions!$K:$K,$Q129,Connexions!$E:$E,VLOOKUP($B129,Mapping_Noms!$A:$B,2,0))-TIME(1,0,0)),"")</f>
        <v/>
      </c>
      <c r="D129" s="234">
        <f t="array" ref="D129:D129">IFERROR(INDEX(Planning2[],MATCH(1,(Planning2[Nom]=B129)*(Planning2[Date]=Q129),0),3),"-")</f>
        <v/>
      </c>
      <c r="E129" s="235">
        <f>IFERROR(IF(COUNTIFS(Connexions!$K:$K,$Q129,Connexions!$E:$E,VLOOKUP($B129,Mapping_Noms!$A:$B,2,0))=0,"",_xlfn.MAXIFS(Connexions!$O:$O,Connexions!$K:$K,$Q129,Connexions!$E:$E,VLOOKUP($B129,Mapping_Noms!$A:$B,2,0))-TIME(1,0,0)),"")</f>
        <v/>
      </c>
      <c r="F129" s="235">
        <f t="array" ref="F129:F129">IFERROR(INDEX(Planning2[],MATCH(1,(Planning2[Nom]=B129)*(Planning2[Date]=Q129),0),4),"-")</f>
        <v/>
      </c>
      <c r="G129" s="405">
        <f>IFERROR(IF(OR(IFERROR(INDEX('Planning Pauses Dej'!$C:$C,MATCH($B129&amp;"|"&amp;TEXT($Q129,"YYYYMMDD"),'Planning Pauses Dej'!$F:$F,0)),"")="",IFERROR(INDEX('Planning Pauses Dej'!$D:$D,MATCH($B129&amp;"|"&amp;TEXT($Q129,"YYYYMMDD"),'Planning Pauses Dej'!$F:$F,0)),"")=""),"",_xlfn.MAXIFS(Connexions!$Q:$Q,Connexions!$K:$K,$Q129,Connexions!$E:$E,VLOOKUP($B129,Mapping_Noms!$A:$B,2,0),Connexions!$O:$O,"&lt;="&amp;(IFERROR(INDEX('Planning Pauses Dej'!$D:$D,MATCH($B129&amp;"|"&amp;TEXT($Q129,"YYYYMMDD"),'Planning Pauses Dej'!$F:$F,0)),"")+TIME(1,0,0)),Connexions!$P:$P,"&gt;="&amp;(IFERROR(INDEX('Planning Pauses Dej'!$C:$C,MATCH($B129&amp;"|"&amp;TEXT($Q129,"YYYYMMDD"),'Planning Pauses Dej'!$F:$F,0)),"")+TIME(1,0,0)))),"")</f>
        <v/>
      </c>
      <c r="H129" s="405">
        <f>IFERROR(IF(OR($G129="",IFERROR(INDEX('Planning Pauses Dej'!$C:$C,MATCH($B129&amp;"|"&amp;TEXT($Q129,"YYYYMMDD"),'Planning Pauses Dej'!$F:$F,0)),"")="",IFERROR(INDEX('Planning Pauses Dej'!$D:$D,MATCH($B129&amp;"|"&amp;TEXT($Q129,"YYYYMMDD"),'Planning Pauses Dej'!$F:$F,0)),"")=""),"",IF($G129&gt;(IFERROR(INDEX('Planning Pauses Dej'!$D:$D,MATCH($B129&amp;"|"&amp;TEXT($Q129,"YYYYMMDD"),'Planning Pauses Dej'!$F:$F,0)),"")-IFERROR(INDEX('Planning Pauses Dej'!$C:$C,MATCH($B129&amp;"|"&amp;TEXT($Q129,"YYYYMMDD"),'Planning Pauses Dej'!$F:$F,0)),"")),$G129-(IFERROR(INDEX('Planning Pauses Dej'!$D:$D,MATCH($B129&amp;"|"&amp;TEXT($Q129,"YYYYMMDD"),'Planning Pauses Dej'!$F:$F,0)),"")-IFERROR(INDEX('Planning Pauses Dej'!$C:$C,MATCH($B129&amp;"|"&amp;TEXT($Q129,"YYYYMMDD"),'Planning Pauses Dej'!$F:$F,0)),"")),0)),"")</f>
        <v/>
      </c>
      <c r="I129" s="251">
        <f>IF(IF(OR(C129="",D129="Congé",D129="OFF",D129="Congé spécial"),"",IF(D129&gt;F129,D129-C129,IF(C129-D129&lt;0,0,C129-D129)))&lt;0.00068287037037037,"",IF(OR(D129="Congé",D129="OFF",C129="",D129="Congé spécial"),"",IF(D129&gt;F129,D129-C129,IF(C129-D129&lt;0,0,C129-D129))))</f>
        <v/>
      </c>
      <c r="J129" s="405">
        <f>IFERROR(IF($G129="","",IF($G129&gt;TIME(1,0,0),$G129-TIME(1,0,0),0)),"")</f>
        <v/>
      </c>
      <c r="K129" s="238">
        <f>IF(SUM(H129:J129)&lt;0.00068287037037037,0,SUM(H129:J129))</f>
        <v/>
      </c>
      <c r="L129" s="236">
        <f>IF(OR(F129="Congé",F129="OFF",M129="Abs",F129="Congé sans solde",F129="Férié",F129="Congé spécial",D129="Congé spécial"),0,IF(F129-E129&lt;0,0,IF(F129-E129&lt;=0.00068287037037037,0,F129-E129)))</f>
        <v/>
      </c>
      <c r="M129" s="239">
        <f>IF(AND(O129&lt;&gt;0,C129=""),"Abs",0)</f>
        <v/>
      </c>
      <c r="N129" s="240">
        <f>IFERROR(IF(OR(D129="OFF",D129="Congé",M129="Abs",D129="Congé sans solde",D129="Férié"),"",IF(O129-K129-L129&gt;O129,O129,IF(O129-K129-L129&lt;0,"",O129-K129-L129))),"")</f>
        <v/>
      </c>
      <c r="O129" s="241">
        <f>IF(AG129="2H Pause déjeuner",IF(F129-D129-0.0833333333333333&lt;0,F129-D129-0.0833333333333333+1,F129-D129-0.0833333333333333),IF(OR(AND(F129="OFF",D129="OFF"),AND(F129="Congé",D129="Congé"),AND(F129="Congé sans solde",D129="Congé sans solde"),AND(F129="Congé spécial",D129="Congé spécial"),AND(F129="Férié",D129="Férié"),AND(F129="OFF",D129="Congé"),AND(F129="OFF",D129="Congé sans solde"),AND(F129="OFF",D129="Congé spécial"),AND(F129="OFF",D129="Férié"),AND(F129="Congé",D129="OFF"),AND(F129="Congé",D129="Congé sans solde"),AND(F129="Congé",D129="Congé spécial"),AND(F129="Congé",D129="Férié"),AND(F129="Congé sans solde",D129="OFF"),AND(F129="Congé sans solde",D129="Congé"),AND(F129="Congé sans solde",D129="Congé spécial"),AND(F129="Congé sans solde",D129="Férié"),AND(F129="Congé spécial",D129="OFF"),AND(F129="Congé spécial",D129="Congé"),AND(F129="Congé spécial",D129="Congé sans solde"),AND(F129="Congé spécial",D129="Férié"),AND(F129="Férié",D129="OFF"),AND(F129="Férié",D129="Congé"),AND(F129="Férié",D129="Congé sans solde"),AND(F129="Férié",D129="Congé spécial")),0,IF(OR(F129="OFF",F129="Congé",F129="Congé spécial",F129="Congé sans solde",D129="OFF",D129="Congé",D129="Congé spécial",D129="Congé sans solde"),0.208333333333334,IF(AND(AG129="",F129-D129&lt;0),("24:00:00"-D129)+("00:00:00"+F129)-0.0416666666666667,IF(AND(OR(AG129="Allaitement",AG129="Sans déjeuner"),F129-D129&lt;0),("24:00:00"-D129)+("00:00:00"+F129),IF(AND(AG129="",F129-D129&gt;0.166666666666667),F129-D129-0.0416666666666667,IF(AND(OR(AG129="Allaitement",AG129="Sans déjeuner"),F129-D129&gt;0.166666666666667),F129-D129,F129-D129)))))))</f>
        <v/>
      </c>
      <c r="P129" s="242">
        <f>IFERROR(VLOOKUP($B129,Annuaire_roster!$B:$G,MATCH(P$1,Annuaire_roster!$B$1:$G$1,0),0),"-")</f>
        <v/>
      </c>
      <c r="Q129" s="243" t="n">
        <v>44764</v>
      </c>
      <c r="R129" s="244">
        <f>IF(M129="Abs",O129,0)</f>
        <v/>
      </c>
      <c r="S129" s="244">
        <f>SUM(R129,L129,I129,J129,W129,H129)</f>
        <v/>
      </c>
      <c r="T129" s="209">
        <f>"Sem - "&amp;WEEKNUM(Q129,21)</f>
        <v/>
      </c>
      <c r="U129" s="209">
        <f>PROPER(TEXT(Q129,"mmmm"))</f>
        <v/>
      </c>
      <c r="V129" s="245">
        <f>+TEXT(Q129,"aaa")</f>
        <v/>
      </c>
      <c r="W129" s="240" t="n"/>
      <c r="X129" s="246">
        <f>IFERROR(IF(M129="Abs",0,IF((D129-C129+E129-F129)&lt;0.000694444444444444,0,(D129-C129+E129-F129))),0)</f>
        <v/>
      </c>
      <c r="Y129" s="247">
        <f>IFERROR(VLOOKUP(B129,Annuaire_roster!B:E,4,0),"-")</f>
        <v/>
      </c>
      <c r="Z129" s="247">
        <f>IFERROR(VLOOKUP(B129,Annuaire_roster!B:F,3,0),"-")</f>
        <v/>
      </c>
      <c r="AA129" s="247">
        <f>IFERROR(VLOOKUP(B129,Annuaire_roster!B:I,6,0),"-")</f>
        <v/>
      </c>
      <c r="AB129" s="248">
        <f>IF(AND(D129="Congé",F129="Congé"),0.333333333333333,IF(OR(AND(D129="Congé",F129&lt;&gt;"Congé"),(AND(F129="Congé",D129&lt;&gt;"Congé"))),0.166666666666667,""))</f>
        <v/>
      </c>
      <c r="AC129" s="248">
        <f>IF(AND(D129="Congé sans solde",F129="Congé sans solde"),0.333333333333333,IF(OR(AND(D129="Congé sans solde",F129&lt;&gt;"Congé sans solde"),(AND(F129="Congé sans solde",D129&lt;&gt;"Congé sans solde"))),0.166666666666667,""))</f>
        <v/>
      </c>
      <c r="AD129" s="248">
        <f>IF(AND(D129="Congé spécial",F129="Congé spécial"),0.333333333333333,IF(OR(AND(D129="Congé spécial",F129&lt;&gt;"Congé décès"),(AND(F129="Congé spécial",D129&lt;&gt;"Congé spécial"))),0.166666666666667,""))</f>
        <v/>
      </c>
      <c r="AE129" s="249">
        <f>IF(AND(D129="Férié",F129="Férié"),0.333333333333333,IF(OR(AND(D129="Férié",F129&lt;&gt;"Férié"),(AND(F129="Férié",D129&lt;&gt;"Férié"))),0.166666666666667,""))</f>
        <v/>
      </c>
      <c r="AF129" s="249" t="n"/>
      <c r="AG129" s="244" t="n"/>
    </row>
    <row r="130" hidden="1" ht="12.75" customHeight="1" s="231">
      <c r="A130" s="232">
        <f>VLOOKUP(B130,Annuaire_roster!B:F,5,0)</f>
        <v/>
      </c>
      <c r="B130" s="233" t="inlineStr">
        <is>
          <t>EL-AOUAQUI BOUCHRA</t>
        </is>
      </c>
      <c r="C130" s="234">
        <f>IFERROR(IF(COUNTIFS(Connexions!$K:$K,$Q130,Connexions!$E:$E,VLOOKUP($B130,Mapping_Noms!$A:$B,2,0))=0,"",_xlfn.MINIFS(Connexions!$M:$M,Connexions!$K:$K,$Q130,Connexions!$E:$E,VLOOKUP($B130,Mapping_Noms!$A:$B,2,0))-TIME(1,0,0)),"")</f>
        <v/>
      </c>
      <c r="D130" s="234">
        <f t="array" ref="D130:D130">IFERROR(INDEX(Planning2[],MATCH(1,(Planning2[Nom]=B130)*(Planning2[Date]=Q130),0),3),"-")</f>
        <v/>
      </c>
      <c r="E130" s="235">
        <f>IFERROR(IF(COUNTIFS(Connexions!$K:$K,$Q130,Connexions!$E:$E,VLOOKUP($B130,Mapping_Noms!$A:$B,2,0))=0,"",_xlfn.MAXIFS(Connexions!$O:$O,Connexions!$K:$K,$Q130,Connexions!$E:$E,VLOOKUP($B130,Mapping_Noms!$A:$B,2,0))-TIME(1,0,0)),"")</f>
        <v/>
      </c>
      <c r="F130" s="235">
        <f t="array" ref="F130:F130">IFERROR(INDEX(Planning2[],MATCH(1,(Planning2[Nom]=B130)*(Planning2[Date]=Q130),0),4),"-")</f>
        <v/>
      </c>
      <c r="G130" s="405">
        <f>IFERROR(IF(OR(IFERROR(INDEX('Planning Pauses Dej'!$C:$C,MATCH($B130&amp;"|"&amp;TEXT($Q130,"YYYYMMDD"),'Planning Pauses Dej'!$F:$F,0)),"")="",IFERROR(INDEX('Planning Pauses Dej'!$D:$D,MATCH($B130&amp;"|"&amp;TEXT($Q130,"YYYYMMDD"),'Planning Pauses Dej'!$F:$F,0)),"")=""),"",_xlfn.MAXIFS(Connexions!$Q:$Q,Connexions!$K:$K,$Q130,Connexions!$E:$E,VLOOKUP($B130,Mapping_Noms!$A:$B,2,0),Connexions!$O:$O,"&lt;="&amp;(IFERROR(INDEX('Planning Pauses Dej'!$D:$D,MATCH($B130&amp;"|"&amp;TEXT($Q130,"YYYYMMDD"),'Planning Pauses Dej'!$F:$F,0)),"")+TIME(1,0,0)),Connexions!$P:$P,"&gt;="&amp;(IFERROR(INDEX('Planning Pauses Dej'!$C:$C,MATCH($B130&amp;"|"&amp;TEXT($Q130,"YYYYMMDD"),'Planning Pauses Dej'!$F:$F,0)),"")+TIME(1,0,0)))),"")</f>
        <v/>
      </c>
      <c r="H130" s="405">
        <f>IFERROR(IF(OR($G130="",IFERROR(INDEX('Planning Pauses Dej'!$C:$C,MATCH($B130&amp;"|"&amp;TEXT($Q130,"YYYYMMDD"),'Planning Pauses Dej'!$F:$F,0)),"")="",IFERROR(INDEX('Planning Pauses Dej'!$D:$D,MATCH($B130&amp;"|"&amp;TEXT($Q130,"YYYYMMDD"),'Planning Pauses Dej'!$F:$F,0)),"")=""),"",IF($G130&gt;(IFERROR(INDEX('Planning Pauses Dej'!$D:$D,MATCH($B130&amp;"|"&amp;TEXT($Q130,"YYYYMMDD"),'Planning Pauses Dej'!$F:$F,0)),"")-IFERROR(INDEX('Planning Pauses Dej'!$C:$C,MATCH($B130&amp;"|"&amp;TEXT($Q130,"YYYYMMDD"),'Planning Pauses Dej'!$F:$F,0)),"")),$G130-(IFERROR(INDEX('Planning Pauses Dej'!$D:$D,MATCH($B130&amp;"|"&amp;TEXT($Q130,"YYYYMMDD"),'Planning Pauses Dej'!$F:$F,0)),"")-IFERROR(INDEX('Planning Pauses Dej'!$C:$C,MATCH($B130&amp;"|"&amp;TEXT($Q130,"YYYYMMDD"),'Planning Pauses Dej'!$F:$F,0)),"")),0)),"")</f>
        <v/>
      </c>
      <c r="I130" s="251">
        <f>IF(IF(OR(C130="",D130="Congé",D130="OFF",D130="Congé spécial"),"",IF(D130&gt;F130,D130-C130,IF(C130-D130&lt;0,0,C130-D130)))&lt;0.00068287037037037,"",IF(OR(D130="Congé",D130="OFF",C130="",D130="Congé spécial"),"",IF(D130&gt;F130,D130-C130,IF(C130-D130&lt;0,0,C130-D130))))</f>
        <v/>
      </c>
      <c r="J130" s="405">
        <f>IFERROR(IF($G130="","",IF($G130&gt;TIME(1,0,0),$G130-TIME(1,0,0),0)),"")</f>
        <v/>
      </c>
      <c r="K130" s="238">
        <f>IF(SUM(H130:J130)&lt;0.00068287037037037,0,SUM(H130:J130))</f>
        <v/>
      </c>
      <c r="L130" s="236">
        <f>IF(OR(F130="Congé",F130="OFF",M130="Abs",F130="Congé sans solde",F130="Férié",F130="Congé spécial",D130="Congé spécial"),0,IF(F130-E130&lt;0,0,IF(F130-E130&lt;=0.00068287037037037,0,F130-E130)))</f>
        <v/>
      </c>
      <c r="M130" s="239">
        <f>IF(AND(O130&lt;&gt;0,C130=""),"Abs",0)</f>
        <v/>
      </c>
      <c r="N130" s="240">
        <f>IFERROR(IF(OR(D130="OFF",D130="Congé",M130="Abs",D130="Congé sans solde",D130="Férié"),"",IF(O130-K130-L130&gt;O130,O130,IF(O130-K130-L130&lt;0,"",O130-K130-L130))),"")</f>
        <v/>
      </c>
      <c r="O130" s="241">
        <f>IF(AG130="2H Pause déjeuner",IF(F130-D130-0.0833333333333333&lt;0,F130-D130-0.0833333333333333+1,F130-D130-0.0833333333333333),IF(OR(AND(F130="OFF",D130="OFF"),AND(F130="Congé",D130="Congé"),AND(F130="Congé sans solde",D130="Congé sans solde"),AND(F130="Congé spécial",D130="Congé spécial"),AND(F130="Férié",D130="Férié"),AND(F130="OFF",D130="Congé"),AND(F130="OFF",D130="Congé sans solde"),AND(F130="OFF",D130="Congé spécial"),AND(F130="OFF",D130="Férié"),AND(F130="Congé",D130="OFF"),AND(F130="Congé",D130="Congé sans solde"),AND(F130="Congé",D130="Congé spécial"),AND(F130="Congé",D130="Férié"),AND(F130="Congé sans solde",D130="OFF"),AND(F130="Congé sans solde",D130="Congé"),AND(F130="Congé sans solde",D130="Congé spécial"),AND(F130="Congé sans solde",D130="Férié"),AND(F130="Congé spécial",D130="OFF"),AND(F130="Congé spécial",D130="Congé"),AND(F130="Congé spécial",D130="Congé sans solde"),AND(F130="Congé spécial",D130="Férié"),AND(F130="Férié",D130="OFF"),AND(F130="Férié",D130="Congé"),AND(F130="Férié",D130="Congé sans solde"),AND(F130="Férié",D130="Congé spécial")),0,IF(OR(F130="OFF",F130="Congé",F130="Congé spécial",F130="Congé sans solde",D130="OFF",D130="Congé",D130="Congé spécial",D130="Congé sans solde"),0.208333333333334,IF(AND(AG130="",F130-D130&lt;0),("24:00:00"-D130)+("00:00:00"+F130)-0.0416666666666667,IF(AND(OR(AG130="Allaitement",AG130="Sans déjeuner"),F130-D130&lt;0),("24:00:00"-D130)+("00:00:00"+F130),IF(AND(AG130="",F130-D130&gt;0.166666666666667),F130-D130-0.0416666666666667,IF(AND(OR(AG130="Allaitement",AG130="Sans déjeuner"),F130-D130&gt;0.166666666666667),F130-D130,F130-D130)))))))</f>
        <v/>
      </c>
      <c r="P130" s="242">
        <f>IFERROR(VLOOKUP($B130,Annuaire_roster!$B:$G,MATCH(P$1,Annuaire_roster!$B$1:$G$1,0),0),"-")</f>
        <v/>
      </c>
      <c r="Q130" s="243" t="n">
        <v>44765</v>
      </c>
      <c r="R130" s="244">
        <f>IF(M130="Abs",O130,0)</f>
        <v/>
      </c>
      <c r="S130" s="244">
        <f>SUM(R130,L130,I130,J130,W130,H130)</f>
        <v/>
      </c>
      <c r="T130" s="209">
        <f>"Sem - "&amp;WEEKNUM(Q130,21)</f>
        <v/>
      </c>
      <c r="U130" s="209">
        <f>PROPER(TEXT(Q130,"mmmm"))</f>
        <v/>
      </c>
      <c r="V130" s="245">
        <f>+TEXT(Q130,"aaa")</f>
        <v/>
      </c>
      <c r="W130" s="240" t="n"/>
      <c r="X130" s="246">
        <f>IFERROR(IF(M130="Abs",0,IF((D130-C130+E130-F130)&lt;0.000694444444444444,0,(D130-C130+E130-F130))),0)</f>
        <v/>
      </c>
      <c r="Y130" s="247">
        <f>IFERROR(VLOOKUP(B130,Annuaire_roster!B:E,4,0),"-")</f>
        <v/>
      </c>
      <c r="Z130" s="247">
        <f>IFERROR(VLOOKUP(B130,Annuaire_roster!B:F,3,0),"-")</f>
        <v/>
      </c>
      <c r="AA130" s="247">
        <f>IFERROR(VLOOKUP(B130,Annuaire_roster!B:I,6,0),"-")</f>
        <v/>
      </c>
      <c r="AB130" s="248">
        <f>IF(AND(D130="Congé",F130="Congé"),0.333333333333333,IF(OR(AND(D130="Congé",F130&lt;&gt;"Congé"),(AND(F130="Congé",D130&lt;&gt;"Congé"))),0.166666666666667,""))</f>
        <v/>
      </c>
      <c r="AC130" s="248">
        <f>IF(AND(D130="Congé sans solde",F130="Congé sans solde"),0.333333333333333,IF(OR(AND(D130="Congé sans solde",F130&lt;&gt;"Congé sans solde"),(AND(F130="Congé sans solde",D130&lt;&gt;"Congé sans solde"))),0.166666666666667,""))</f>
        <v/>
      </c>
      <c r="AD130" s="248">
        <f>IF(AND(D130="Congé spécial",F130="Congé spécial"),0.333333333333333,IF(OR(AND(D130="Congé spécial",F130&lt;&gt;"Congé décès"),(AND(F130="Congé spécial",D130&lt;&gt;"Congé spécial"))),0.166666666666667,""))</f>
        <v/>
      </c>
      <c r="AE130" s="249">
        <f>IF(AND(D130="Férié",F130="Férié"),0.333333333333333,IF(OR(AND(D130="Férié",F130&lt;&gt;"Férié"),(AND(F130="Férié",D130&lt;&gt;"Férié"))),0.166666666666667,""))</f>
        <v/>
      </c>
      <c r="AF130" s="249" t="n"/>
      <c r="AG130" s="244" t="n"/>
    </row>
    <row r="131" hidden="1" ht="12.75" customHeight="1" s="231">
      <c r="A131" s="232">
        <f>VLOOKUP(B131,Annuaire_roster!B:F,5,0)</f>
        <v/>
      </c>
      <c r="B131" s="233" t="inlineStr">
        <is>
          <t>EL HARROUCHI CHAIMAE</t>
        </is>
      </c>
      <c r="C131" s="234">
        <f>IFERROR(IF(COUNTIFS(Connexions!$K:$K,$Q131,Connexions!$E:$E,VLOOKUP($B131,Mapping_Noms!$A:$B,2,0))=0,"",_xlfn.MINIFS(Connexions!$M:$M,Connexions!$K:$K,$Q131,Connexions!$E:$E,VLOOKUP($B131,Mapping_Noms!$A:$B,2,0))-TIME(1,0,0)),"")</f>
        <v/>
      </c>
      <c r="D131" s="234">
        <f t="array" ref="D131:D131">IFERROR(INDEX(Planning2[],MATCH(1,(Planning2[Nom]=B131)*(Planning2[Date]=Q131),0),3),"-")</f>
        <v/>
      </c>
      <c r="E131" s="235">
        <f>IFERROR(IF(COUNTIFS(Connexions!$K:$K,$Q131,Connexions!$E:$E,VLOOKUP($B131,Mapping_Noms!$A:$B,2,0))=0,"",_xlfn.MAXIFS(Connexions!$O:$O,Connexions!$K:$K,$Q131,Connexions!$E:$E,VLOOKUP($B131,Mapping_Noms!$A:$B,2,0))-TIME(1,0,0)),"")</f>
        <v/>
      </c>
      <c r="F131" s="235">
        <f t="array" ref="F131:F131">IFERROR(INDEX(Planning2[],MATCH(1,(Planning2[Nom]=B131)*(Planning2[Date]=Q131),0),4),"-")</f>
        <v/>
      </c>
      <c r="G131" s="405">
        <f>IFERROR(IF(OR(IFERROR(INDEX('Planning Pauses Dej'!$C:$C,MATCH($B131&amp;"|"&amp;TEXT($Q131,"YYYYMMDD"),'Planning Pauses Dej'!$F:$F,0)),"")="",IFERROR(INDEX('Planning Pauses Dej'!$D:$D,MATCH($B131&amp;"|"&amp;TEXT($Q131,"YYYYMMDD"),'Planning Pauses Dej'!$F:$F,0)),"")=""),"",_xlfn.MAXIFS(Connexions!$Q:$Q,Connexions!$K:$K,$Q131,Connexions!$E:$E,VLOOKUP($B131,Mapping_Noms!$A:$B,2,0),Connexions!$O:$O,"&lt;="&amp;(IFERROR(INDEX('Planning Pauses Dej'!$D:$D,MATCH($B131&amp;"|"&amp;TEXT($Q131,"YYYYMMDD"),'Planning Pauses Dej'!$F:$F,0)),"")+TIME(1,0,0)),Connexions!$P:$P,"&gt;="&amp;(IFERROR(INDEX('Planning Pauses Dej'!$C:$C,MATCH($B131&amp;"|"&amp;TEXT($Q131,"YYYYMMDD"),'Planning Pauses Dej'!$F:$F,0)),"")+TIME(1,0,0)))),"")</f>
        <v/>
      </c>
      <c r="H131" s="405">
        <f>IFERROR(IF(OR($G131="",IFERROR(INDEX('Planning Pauses Dej'!$C:$C,MATCH($B131&amp;"|"&amp;TEXT($Q131,"YYYYMMDD"),'Planning Pauses Dej'!$F:$F,0)),"")="",IFERROR(INDEX('Planning Pauses Dej'!$D:$D,MATCH($B131&amp;"|"&amp;TEXT($Q131,"YYYYMMDD"),'Planning Pauses Dej'!$F:$F,0)),"")=""),"",IF($G131&gt;(IFERROR(INDEX('Planning Pauses Dej'!$D:$D,MATCH($B131&amp;"|"&amp;TEXT($Q131,"YYYYMMDD"),'Planning Pauses Dej'!$F:$F,0)),"")-IFERROR(INDEX('Planning Pauses Dej'!$C:$C,MATCH($B131&amp;"|"&amp;TEXT($Q131,"YYYYMMDD"),'Planning Pauses Dej'!$F:$F,0)),"")),$G131-(IFERROR(INDEX('Planning Pauses Dej'!$D:$D,MATCH($B131&amp;"|"&amp;TEXT($Q131,"YYYYMMDD"),'Planning Pauses Dej'!$F:$F,0)),"")-IFERROR(INDEX('Planning Pauses Dej'!$C:$C,MATCH($B131&amp;"|"&amp;TEXT($Q131,"YYYYMMDD"),'Planning Pauses Dej'!$F:$F,0)),"")),0)),"")</f>
        <v/>
      </c>
      <c r="I131" s="251">
        <f>IF(IF(OR(C131="",D131="Congé",D131="OFF",D131="Congé spécial"),"",IF(D131&gt;F131,D131-C131,IF(C131-D131&lt;0,0,C131-D131)))&lt;0.00068287037037037,"",IF(OR(D131="Congé",D131="OFF",C131="",D131="Congé spécial"),"",IF(D131&gt;F131,D131-C131,IF(C131-D131&lt;0,0,C131-D131))))</f>
        <v/>
      </c>
      <c r="J131" s="405">
        <f>IFERROR(IF($G131="","",IF($G131&gt;TIME(1,0,0),$G131-TIME(1,0,0),0)),"")</f>
        <v/>
      </c>
      <c r="K131" s="238">
        <f>IF(SUM(H131:J131)&lt;0.00068287037037037,0,SUM(H131:J131))</f>
        <v/>
      </c>
      <c r="L131" s="236">
        <f>IF(OR(F131="Congé",F131="OFF",M131="Abs",F131="Congé sans solde",F131="Férié",F131="Congé spécial",D131="Congé spécial"),0,IF(F131-E131&lt;0,0,IF(F131-E131&lt;=0.00068287037037037,0,F131-E131)))</f>
        <v/>
      </c>
      <c r="M131" s="239">
        <f>IF(AND(O131&lt;&gt;0,C131=""),"Abs",0)</f>
        <v/>
      </c>
      <c r="N131" s="240">
        <f>IFERROR(IF(OR(D131="OFF",D131="Congé",M131="Abs",D131="Congé sans solde",D131="Férié"),"",IF(O131-K131-L131&gt;O131,O131,IF(O131-K131-L131&lt;0,"",O131-K131-L131))),"")</f>
        <v/>
      </c>
      <c r="O131" s="241">
        <f>IF(AG131="2H Pause déjeuner",IF(F131-D131-0.0833333333333333&lt;0,F131-D131-0.0833333333333333+1,F131-D131-0.0833333333333333),IF(OR(AND(F131="OFF",D131="OFF"),AND(F131="Congé",D131="Congé"),AND(F131="Congé sans solde",D131="Congé sans solde"),AND(F131="Congé spécial",D131="Congé spécial"),AND(F131="Férié",D131="Férié"),AND(F131="OFF",D131="Congé"),AND(F131="OFF",D131="Congé sans solde"),AND(F131="OFF",D131="Congé spécial"),AND(F131="OFF",D131="Férié"),AND(F131="Congé",D131="OFF"),AND(F131="Congé",D131="Congé sans solde"),AND(F131="Congé",D131="Congé spécial"),AND(F131="Congé",D131="Férié"),AND(F131="Congé sans solde",D131="OFF"),AND(F131="Congé sans solde",D131="Congé"),AND(F131="Congé sans solde",D131="Congé spécial"),AND(F131="Congé sans solde",D131="Férié"),AND(F131="Congé spécial",D131="OFF"),AND(F131="Congé spécial",D131="Congé"),AND(F131="Congé spécial",D131="Congé sans solde"),AND(F131="Congé spécial",D131="Férié"),AND(F131="Férié",D131="OFF"),AND(F131="Férié",D131="Congé"),AND(F131="Férié",D131="Congé sans solde"),AND(F131="Férié",D131="Congé spécial")),0,IF(OR(F131="OFF",F131="Congé",F131="Congé spécial",F131="Congé sans solde",D131="OFF",D131="Congé",D131="Congé spécial",D131="Congé sans solde"),0.208333333333334,IF(AND(AG131="",F131-D131&lt;0),("24:00:00"-D131)+("00:00:00"+F131)-0.0416666666666667,IF(AND(OR(AG131="Allaitement",AG131="Sans déjeuner"),F131-D131&lt;0),("24:00:00"-D131)+("00:00:00"+F131),IF(AND(AG131="",F131-D131&gt;0.166666666666667),F131-D131-0.0416666666666667,IF(AND(OR(AG131="Allaitement",AG131="Sans déjeuner"),F131-D131&gt;0.166666666666667),F131-D131,F131-D131)))))))</f>
        <v/>
      </c>
      <c r="P131" s="242">
        <f>IFERROR(VLOOKUP($B131,Annuaire_roster!$B:$G,MATCH(P$1,Annuaire_roster!$B$1:$G$1,0),0),"-")</f>
        <v/>
      </c>
      <c r="Q131" s="243" t="n">
        <v>44765</v>
      </c>
      <c r="R131" s="244">
        <f>IF(M131="Abs",O131,0)</f>
        <v/>
      </c>
      <c r="S131" s="244">
        <f>SUM(R131,L131,I131,J131,W131,H131)</f>
        <v/>
      </c>
      <c r="T131" s="209">
        <f>"Sem - "&amp;WEEKNUM(Q131,21)</f>
        <v/>
      </c>
      <c r="U131" s="209">
        <f>PROPER(TEXT(Q131,"mmmm"))</f>
        <v/>
      </c>
      <c r="V131" s="245">
        <f>+TEXT(Q131,"aaa")</f>
        <v/>
      </c>
      <c r="W131" s="240" t="n"/>
      <c r="X131" s="246">
        <f>IFERROR(IF(M131="Abs",0,IF((D131-C131+E131-F131)&lt;0.000694444444444444,0,(D131-C131+E131-F131))),0)</f>
        <v/>
      </c>
      <c r="Y131" s="247">
        <f>IFERROR(VLOOKUP(B131,Annuaire_roster!B:E,4,0),"-")</f>
        <v/>
      </c>
      <c r="Z131" s="247">
        <f>IFERROR(VLOOKUP(B131,Annuaire_roster!B:F,3,0),"-")</f>
        <v/>
      </c>
      <c r="AA131" s="247">
        <f>IFERROR(VLOOKUP(B131,Annuaire_roster!B:I,6,0),"-")</f>
        <v/>
      </c>
      <c r="AB131" s="248">
        <f>IF(AND(D131="Congé",F131="Congé"),0.333333333333333,IF(OR(AND(D131="Congé",F131&lt;&gt;"Congé"),(AND(F131="Congé",D131&lt;&gt;"Congé"))),0.166666666666667,""))</f>
        <v/>
      </c>
      <c r="AC131" s="248">
        <f>IF(AND(D131="Congé sans solde",F131="Congé sans solde"),0.333333333333333,IF(OR(AND(D131="Congé sans solde",F131&lt;&gt;"Congé sans solde"),(AND(F131="Congé sans solde",D131&lt;&gt;"Congé sans solde"))),0.166666666666667,""))</f>
        <v/>
      </c>
      <c r="AD131" s="248">
        <f>IF(AND(D131="Congé spécial",F131="Congé spécial"),0.333333333333333,IF(OR(AND(D131="Congé spécial",F131&lt;&gt;"Congé décès"),(AND(F131="Congé spécial",D131&lt;&gt;"Congé spécial"))),0.166666666666667,""))</f>
        <v/>
      </c>
      <c r="AE131" s="249">
        <f>IF(AND(D131="Férié",F131="Férié"),0.333333333333333,IF(OR(AND(D131="Férié",F131&lt;&gt;"Férié"),(AND(F131="Férié",D131&lt;&gt;"Férié"))),0.166666666666667,""))</f>
        <v/>
      </c>
      <c r="AF131" s="249" t="n"/>
      <c r="AG131" s="244" t="n"/>
    </row>
    <row r="132" hidden="1" ht="12.75" customHeight="1" s="231">
      <c r="A132" s="232">
        <f>VLOOKUP(B132,Annuaire_roster!B:F,5,0)</f>
        <v/>
      </c>
      <c r="B132" s="233" t="inlineStr">
        <is>
          <t>GUEYE MOUHAMED</t>
        </is>
      </c>
      <c r="C132" s="234">
        <f>IFERROR(IF(COUNTIFS(Connexions!$K:$K,$Q132,Connexions!$E:$E,VLOOKUP($B132,Mapping_Noms!$A:$B,2,0))=0,"",_xlfn.MINIFS(Connexions!$M:$M,Connexions!$K:$K,$Q132,Connexions!$E:$E,VLOOKUP($B132,Mapping_Noms!$A:$B,2,0))-TIME(1,0,0)),"")</f>
        <v/>
      </c>
      <c r="D132" s="234">
        <f t="array" ref="D132:D132">IFERROR(INDEX(Planning2[],MATCH(1,(Planning2[Nom]=B132)*(Planning2[Date]=Q132),0),3),"-")</f>
        <v/>
      </c>
      <c r="E132" s="235">
        <f>IFERROR(IF(COUNTIFS(Connexions!$K:$K,$Q132,Connexions!$E:$E,VLOOKUP($B132,Mapping_Noms!$A:$B,2,0))=0,"",_xlfn.MAXIFS(Connexions!$O:$O,Connexions!$K:$K,$Q132,Connexions!$E:$E,VLOOKUP($B132,Mapping_Noms!$A:$B,2,0))-TIME(1,0,0)),"")</f>
        <v/>
      </c>
      <c r="F132" s="235">
        <f t="array" ref="F132:F132">IFERROR(INDEX(Planning2[],MATCH(1,(Planning2[Nom]=B132)*(Planning2[Date]=Q132),0),4),"-")</f>
        <v/>
      </c>
      <c r="G132" s="405">
        <f>IFERROR(IF(OR(IFERROR(INDEX('Planning Pauses Dej'!$C:$C,MATCH($B132&amp;"|"&amp;TEXT($Q132,"YYYYMMDD"),'Planning Pauses Dej'!$F:$F,0)),"")="",IFERROR(INDEX('Planning Pauses Dej'!$D:$D,MATCH($B132&amp;"|"&amp;TEXT($Q132,"YYYYMMDD"),'Planning Pauses Dej'!$F:$F,0)),"")=""),"",_xlfn.MAXIFS(Connexions!$Q:$Q,Connexions!$K:$K,$Q132,Connexions!$E:$E,VLOOKUP($B132,Mapping_Noms!$A:$B,2,0),Connexions!$O:$O,"&lt;="&amp;(IFERROR(INDEX('Planning Pauses Dej'!$D:$D,MATCH($B132&amp;"|"&amp;TEXT($Q132,"YYYYMMDD"),'Planning Pauses Dej'!$F:$F,0)),"")+TIME(1,0,0)),Connexions!$P:$P,"&gt;="&amp;(IFERROR(INDEX('Planning Pauses Dej'!$C:$C,MATCH($B132&amp;"|"&amp;TEXT($Q132,"YYYYMMDD"),'Planning Pauses Dej'!$F:$F,0)),"")+TIME(1,0,0)))),"")</f>
        <v/>
      </c>
      <c r="H132" s="405">
        <f>IFERROR(IF(OR($G132="",IFERROR(INDEX('Planning Pauses Dej'!$C:$C,MATCH($B132&amp;"|"&amp;TEXT($Q132,"YYYYMMDD"),'Planning Pauses Dej'!$F:$F,0)),"")="",IFERROR(INDEX('Planning Pauses Dej'!$D:$D,MATCH($B132&amp;"|"&amp;TEXT($Q132,"YYYYMMDD"),'Planning Pauses Dej'!$F:$F,0)),"")=""),"",IF($G132&gt;(IFERROR(INDEX('Planning Pauses Dej'!$D:$D,MATCH($B132&amp;"|"&amp;TEXT($Q132,"YYYYMMDD"),'Planning Pauses Dej'!$F:$F,0)),"")-IFERROR(INDEX('Planning Pauses Dej'!$C:$C,MATCH($B132&amp;"|"&amp;TEXT($Q132,"YYYYMMDD"),'Planning Pauses Dej'!$F:$F,0)),"")),$G132-(IFERROR(INDEX('Planning Pauses Dej'!$D:$D,MATCH($B132&amp;"|"&amp;TEXT($Q132,"YYYYMMDD"),'Planning Pauses Dej'!$F:$F,0)),"")-IFERROR(INDEX('Planning Pauses Dej'!$C:$C,MATCH($B132&amp;"|"&amp;TEXT($Q132,"YYYYMMDD"),'Planning Pauses Dej'!$F:$F,0)),"")),0)),"")</f>
        <v/>
      </c>
      <c r="I132" s="251">
        <f>IF(IF(OR(C132="",D132="Congé",D132="OFF",D132="Congé spécial"),"",IF(D132&gt;F132,D132-C132,IF(C132-D132&lt;0,0,C132-D132)))&lt;0.00068287037037037,"",IF(OR(D132="Congé",D132="OFF",C132="",D132="Congé spécial"),"",IF(D132&gt;F132,D132-C132,IF(C132-D132&lt;0,0,C132-D132))))</f>
        <v/>
      </c>
      <c r="J132" s="405">
        <f>IFERROR(IF($G132="","",IF($G132&gt;TIME(1,0,0),$G132-TIME(1,0,0),0)),"")</f>
        <v/>
      </c>
      <c r="K132" s="238">
        <f>IF(SUM(H132:J132)&lt;0.00068287037037037,0,SUM(H132:J132))</f>
        <v/>
      </c>
      <c r="L132" s="236">
        <f>IF(OR(F132="Congé",F132="OFF",M132="Abs",F132="Congé sans solde",F132="Férié",F132="Congé spécial",D132="Congé spécial"),0,IF(F132-E132&lt;0,0,IF(F132-E132&lt;=0.00068287037037037,0,F132-E132)))</f>
        <v/>
      </c>
      <c r="M132" s="239">
        <f>IF(AND(O132&lt;&gt;0,C132=""),"Abs",0)</f>
        <v/>
      </c>
      <c r="N132" s="240">
        <f>IFERROR(IF(OR(D132="OFF",D132="Congé",M132="Abs",D132="Congé sans solde",D132="Férié"),"",IF(O132-K132-L132&gt;O132,O132,IF(O132-K132-L132&lt;0,"",O132-K132-L132))),"")</f>
        <v/>
      </c>
      <c r="O132" s="241">
        <f>IF(AG132="2H Pause déjeuner",IF(F132-D132-0.0833333333333333&lt;0,F132-D132-0.0833333333333333+1,F132-D132-0.0833333333333333),IF(OR(AND(F132="OFF",D132="OFF"),AND(F132="Congé",D132="Congé"),AND(F132="Congé sans solde",D132="Congé sans solde"),AND(F132="Congé spécial",D132="Congé spécial"),AND(F132="Férié",D132="Férié"),AND(F132="OFF",D132="Congé"),AND(F132="OFF",D132="Congé sans solde"),AND(F132="OFF",D132="Congé spécial"),AND(F132="OFF",D132="Férié"),AND(F132="Congé",D132="OFF"),AND(F132="Congé",D132="Congé sans solde"),AND(F132="Congé",D132="Congé spécial"),AND(F132="Congé",D132="Férié"),AND(F132="Congé sans solde",D132="OFF"),AND(F132="Congé sans solde",D132="Congé"),AND(F132="Congé sans solde",D132="Congé spécial"),AND(F132="Congé sans solde",D132="Férié"),AND(F132="Congé spécial",D132="OFF"),AND(F132="Congé spécial",D132="Congé"),AND(F132="Congé spécial",D132="Congé sans solde"),AND(F132="Congé spécial",D132="Férié"),AND(F132="Férié",D132="OFF"),AND(F132="Férié",D132="Congé"),AND(F132="Férié",D132="Congé sans solde"),AND(F132="Férié",D132="Congé spécial")),0,IF(OR(F132="OFF",F132="Congé",F132="Congé spécial",F132="Congé sans solde",D132="OFF",D132="Congé",D132="Congé spécial",D132="Congé sans solde"),0.208333333333334,IF(AND(AG132="",F132-D132&lt;0),("24:00:00"-D132)+("00:00:00"+F132)-0.0416666666666667,IF(AND(OR(AG132="Allaitement",AG132="Sans déjeuner"),F132-D132&lt;0),("24:00:00"-D132)+("00:00:00"+F132),IF(AND(AG132="",F132-D132&gt;0.166666666666667),F132-D132-0.0416666666666667,IF(AND(OR(AG132="Allaitement",AG132="Sans déjeuner"),F132-D132&gt;0.166666666666667),F132-D132,F132-D132)))))))</f>
        <v/>
      </c>
      <c r="P132" s="242">
        <f>IFERROR(VLOOKUP($B132,Annuaire_roster!$B:$G,MATCH(P$1,Annuaire_roster!$B$1:$G$1,0),0),"-")</f>
        <v/>
      </c>
      <c r="Q132" s="243" t="n">
        <v>44765</v>
      </c>
      <c r="R132" s="244">
        <f>IF(M132="Abs",O132,0)</f>
        <v/>
      </c>
      <c r="S132" s="244">
        <f>SUM(R132,L132,I132,J132,W132,H132)</f>
        <v/>
      </c>
      <c r="T132" s="209">
        <f>"Sem - "&amp;WEEKNUM(Q132,21)</f>
        <v/>
      </c>
      <c r="U132" s="209">
        <f>PROPER(TEXT(Q132,"mmmm"))</f>
        <v/>
      </c>
      <c r="V132" s="245">
        <f>+TEXT(Q132,"aaa")</f>
        <v/>
      </c>
      <c r="W132" s="240" t="n"/>
      <c r="X132" s="246">
        <f>IFERROR(IF(M132="Abs",0,IF((D132-C132+E132-F132)&lt;0.000694444444444444,0,(D132-C132+E132-F132))),0)</f>
        <v/>
      </c>
      <c r="Y132" s="247">
        <f>IFERROR(VLOOKUP(B132,Annuaire_roster!B:E,4,0),"-")</f>
        <v/>
      </c>
      <c r="Z132" s="247">
        <f>IFERROR(VLOOKUP(B132,Annuaire_roster!B:F,3,0),"-")</f>
        <v/>
      </c>
      <c r="AA132" s="247">
        <f>IFERROR(VLOOKUP(B132,Annuaire_roster!B:I,6,0),"-")</f>
        <v/>
      </c>
      <c r="AB132" s="248">
        <f>IF(AND(D132="Congé",F132="Congé"),0.333333333333333,IF(OR(AND(D132="Congé",F132&lt;&gt;"Congé"),(AND(F132="Congé",D132&lt;&gt;"Congé"))),0.166666666666667,""))</f>
        <v/>
      </c>
      <c r="AC132" s="248">
        <f>IF(AND(D132="Congé sans solde",F132="Congé sans solde"),0.333333333333333,IF(OR(AND(D132="Congé sans solde",F132&lt;&gt;"Congé sans solde"),(AND(F132="Congé sans solde",D132&lt;&gt;"Congé sans solde"))),0.166666666666667,""))</f>
        <v/>
      </c>
      <c r="AD132" s="248">
        <f>IF(AND(D132="Congé spécial",F132="Congé spécial"),0.333333333333333,IF(OR(AND(D132="Congé spécial",F132&lt;&gt;"Congé décès"),(AND(F132="Congé spécial",D132&lt;&gt;"Congé spécial"))),0.166666666666667,""))</f>
        <v/>
      </c>
      <c r="AE132" s="249">
        <f>IF(AND(D132="Férié",F132="Férié"),0.333333333333333,IF(OR(AND(D132="Férié",F132&lt;&gt;"Férié"),(AND(F132="Férié",D132&lt;&gt;"Férié"))),0.166666666666667,""))</f>
        <v/>
      </c>
      <c r="AF132" s="249" t="n"/>
      <c r="AG132" s="244" t="n"/>
    </row>
    <row r="133" hidden="1" ht="12.75" customHeight="1" s="231">
      <c r="A133" s="232">
        <f>VLOOKUP(B133,Annuaire_roster!B:F,5,0)</f>
        <v/>
      </c>
      <c r="B133" s="233" t="inlineStr">
        <is>
          <t>DIOUF OUSSMANE</t>
        </is>
      </c>
      <c r="C133" s="234">
        <f>IFERROR(IF(COUNTIFS(Connexions!$K:$K,$Q133,Connexions!$E:$E,VLOOKUP($B133,Mapping_Noms!$A:$B,2,0))=0,"",_xlfn.MINIFS(Connexions!$M:$M,Connexions!$K:$K,$Q133,Connexions!$E:$E,VLOOKUP($B133,Mapping_Noms!$A:$B,2,0))-TIME(1,0,0)),"")</f>
        <v/>
      </c>
      <c r="D133" s="234">
        <f t="array" ref="D133:D133">IFERROR(INDEX(Planning2[],MATCH(1,(Planning2[Nom]=B133)*(Planning2[Date]=Q133),0),3),"-")</f>
        <v/>
      </c>
      <c r="E133" s="235">
        <f>IFERROR(IF(COUNTIFS(Connexions!$K:$K,$Q133,Connexions!$E:$E,VLOOKUP($B133,Mapping_Noms!$A:$B,2,0))=0,"",_xlfn.MAXIFS(Connexions!$O:$O,Connexions!$K:$K,$Q133,Connexions!$E:$E,VLOOKUP($B133,Mapping_Noms!$A:$B,2,0))-TIME(1,0,0)),"")</f>
        <v/>
      </c>
      <c r="F133" s="235">
        <f t="array" ref="F133:F133">IFERROR(INDEX(Planning2[],MATCH(1,(Planning2[Nom]=B133)*(Planning2[Date]=Q133),0),4),"-")</f>
        <v/>
      </c>
      <c r="G133" s="405">
        <f>IFERROR(IF(OR(IFERROR(INDEX('Planning Pauses Dej'!$C:$C,MATCH($B133&amp;"|"&amp;TEXT($Q133,"YYYYMMDD"),'Planning Pauses Dej'!$F:$F,0)),"")="",IFERROR(INDEX('Planning Pauses Dej'!$D:$D,MATCH($B133&amp;"|"&amp;TEXT($Q133,"YYYYMMDD"),'Planning Pauses Dej'!$F:$F,0)),"")=""),"",_xlfn.MAXIFS(Connexions!$Q:$Q,Connexions!$K:$K,$Q133,Connexions!$E:$E,VLOOKUP($B133,Mapping_Noms!$A:$B,2,0),Connexions!$O:$O,"&lt;="&amp;(IFERROR(INDEX('Planning Pauses Dej'!$D:$D,MATCH($B133&amp;"|"&amp;TEXT($Q133,"YYYYMMDD"),'Planning Pauses Dej'!$F:$F,0)),"")+TIME(1,0,0)),Connexions!$P:$P,"&gt;="&amp;(IFERROR(INDEX('Planning Pauses Dej'!$C:$C,MATCH($B133&amp;"|"&amp;TEXT($Q133,"YYYYMMDD"),'Planning Pauses Dej'!$F:$F,0)),"")+TIME(1,0,0)))),"")</f>
        <v/>
      </c>
      <c r="H133" s="405">
        <f>IFERROR(IF(OR($G133="",IFERROR(INDEX('Planning Pauses Dej'!$C:$C,MATCH($B133&amp;"|"&amp;TEXT($Q133,"YYYYMMDD"),'Planning Pauses Dej'!$F:$F,0)),"")="",IFERROR(INDEX('Planning Pauses Dej'!$D:$D,MATCH($B133&amp;"|"&amp;TEXT($Q133,"YYYYMMDD"),'Planning Pauses Dej'!$F:$F,0)),"")=""),"",IF($G133&gt;(IFERROR(INDEX('Planning Pauses Dej'!$D:$D,MATCH($B133&amp;"|"&amp;TEXT($Q133,"YYYYMMDD"),'Planning Pauses Dej'!$F:$F,0)),"")-IFERROR(INDEX('Planning Pauses Dej'!$C:$C,MATCH($B133&amp;"|"&amp;TEXT($Q133,"YYYYMMDD"),'Planning Pauses Dej'!$F:$F,0)),"")),$G133-(IFERROR(INDEX('Planning Pauses Dej'!$D:$D,MATCH($B133&amp;"|"&amp;TEXT($Q133,"YYYYMMDD"),'Planning Pauses Dej'!$F:$F,0)),"")-IFERROR(INDEX('Planning Pauses Dej'!$C:$C,MATCH($B133&amp;"|"&amp;TEXT($Q133,"YYYYMMDD"),'Planning Pauses Dej'!$F:$F,0)),"")),0)),"")</f>
        <v/>
      </c>
      <c r="I133" s="251">
        <f>IF(IF(OR(C133="",D133="Congé",D133="OFF",D133="Congé spécial"),"",IF(D133&gt;F133,D133-C133,IF(C133-D133&lt;0,0,C133-D133)))&lt;0.00068287037037037,"",IF(OR(D133="Congé",D133="OFF",C133="",D133="Congé spécial"),"",IF(D133&gt;F133,D133-C133,IF(C133-D133&lt;0,0,C133-D133))))</f>
        <v/>
      </c>
      <c r="J133" s="405">
        <f>IFERROR(IF($G133="","",IF($G133&gt;TIME(1,0,0),$G133-TIME(1,0,0),0)),"")</f>
        <v/>
      </c>
      <c r="K133" s="238">
        <f>IF(SUM(H133:J133)&lt;0.00068287037037037,0,SUM(H133:J133))</f>
        <v/>
      </c>
      <c r="L133" s="236">
        <f>IF(OR(F133="Congé",F133="OFF",M133="Abs",F133="Congé sans solde",F133="Férié",F133="Congé spécial",D133="Congé spécial"),0,IF(F133-E133&lt;0,0,IF(F133-E133&lt;=0.00068287037037037,0,F133-E133)))</f>
        <v/>
      </c>
      <c r="M133" s="239">
        <f>IF(AND(O133&lt;&gt;0,C133=""),"Abs",0)</f>
        <v/>
      </c>
      <c r="N133" s="240">
        <f>IFERROR(IF(OR(D133="OFF",D133="Congé",M133="Abs",D133="Congé sans solde",D133="Férié"),"",IF(O133-K133-L133&gt;O133,O133,IF(O133-K133-L133&lt;0,"",O133-K133-L133))),"")</f>
        <v/>
      </c>
      <c r="O133" s="241">
        <f>IF(AG133="2H Pause déjeuner",IF(F133-D133-0.0833333333333333&lt;0,F133-D133-0.0833333333333333+1,F133-D133-0.0833333333333333),IF(OR(AND(F133="OFF",D133="OFF"),AND(F133="Congé",D133="Congé"),AND(F133="Congé sans solde",D133="Congé sans solde"),AND(F133="Congé spécial",D133="Congé spécial"),AND(F133="Férié",D133="Férié"),AND(F133="OFF",D133="Congé"),AND(F133="OFF",D133="Congé sans solde"),AND(F133="OFF",D133="Congé spécial"),AND(F133="OFF",D133="Férié"),AND(F133="Congé",D133="OFF"),AND(F133="Congé",D133="Congé sans solde"),AND(F133="Congé",D133="Congé spécial"),AND(F133="Congé",D133="Férié"),AND(F133="Congé sans solde",D133="OFF"),AND(F133="Congé sans solde",D133="Congé"),AND(F133="Congé sans solde",D133="Congé spécial"),AND(F133="Congé sans solde",D133="Férié"),AND(F133="Congé spécial",D133="OFF"),AND(F133="Congé spécial",D133="Congé"),AND(F133="Congé spécial",D133="Congé sans solde"),AND(F133="Congé spécial",D133="Férié"),AND(F133="Férié",D133="OFF"),AND(F133="Férié",D133="Congé"),AND(F133="Férié",D133="Congé sans solde"),AND(F133="Férié",D133="Congé spécial")),0,IF(OR(F133="OFF",F133="Congé",F133="Congé spécial",F133="Congé sans solde",D133="OFF",D133="Congé",D133="Congé spécial",D133="Congé sans solde"),0.208333333333334,IF(AND(AG133="",F133-D133&lt;0),("24:00:00"-D133)+("00:00:00"+F133)-0.0416666666666667,IF(AND(OR(AG133="Allaitement",AG133="Sans déjeuner"),F133-D133&lt;0),("24:00:00"-D133)+("00:00:00"+F133),IF(AND(AG133="",F133-D133&gt;0.166666666666667),F133-D133-0.0416666666666667,IF(AND(OR(AG133="Allaitement",AG133="Sans déjeuner"),F133-D133&gt;0.166666666666667),F133-D133,F133-D133)))))))</f>
        <v/>
      </c>
      <c r="P133" s="242">
        <f>IFERROR(VLOOKUP($B133,Annuaire_roster!$B:$G,MATCH(P$1,Annuaire_roster!$B$1:$G$1,0),0),"-")</f>
        <v/>
      </c>
      <c r="Q133" s="243" t="n">
        <v>44765</v>
      </c>
      <c r="R133" s="244">
        <f>IF(M133="Abs",O133,0)</f>
        <v/>
      </c>
      <c r="S133" s="244">
        <f>SUM(R133,L133,I133,J133,W133,H133)</f>
        <v/>
      </c>
      <c r="T133" s="209">
        <f>"Sem - "&amp;WEEKNUM(Q133,21)</f>
        <v/>
      </c>
      <c r="U133" s="209">
        <f>PROPER(TEXT(Q133,"mmmm"))</f>
        <v/>
      </c>
      <c r="V133" s="245">
        <f>+TEXT(Q133,"aaa")</f>
        <v/>
      </c>
      <c r="W133" s="240" t="n"/>
      <c r="X133" s="246">
        <f>IFERROR(IF(M133="Abs",0,IF((D133-C133+E133-F133)&lt;0.000694444444444444,0,(D133-C133+E133-F133))),0)</f>
        <v/>
      </c>
      <c r="Y133" s="247">
        <f>IFERROR(VLOOKUP(B133,Annuaire_roster!B:E,4,0),"-")</f>
        <v/>
      </c>
      <c r="Z133" s="247">
        <f>IFERROR(VLOOKUP(B133,Annuaire_roster!B:F,3,0),"-")</f>
        <v/>
      </c>
      <c r="AA133" s="247">
        <f>IFERROR(VLOOKUP(B133,Annuaire_roster!B:I,6,0),"-")</f>
        <v/>
      </c>
      <c r="AB133" s="248">
        <f>IF(AND(D133="Congé",F133="Congé"),0.333333333333333,IF(OR(AND(D133="Congé",F133&lt;&gt;"Congé"),(AND(F133="Congé",D133&lt;&gt;"Congé"))),0.166666666666667,""))</f>
        <v/>
      </c>
      <c r="AC133" s="248">
        <f>IF(AND(D133="Congé sans solde",F133="Congé sans solde"),0.333333333333333,IF(OR(AND(D133="Congé sans solde",F133&lt;&gt;"Congé sans solde"),(AND(F133="Congé sans solde",D133&lt;&gt;"Congé sans solde"))),0.166666666666667,""))</f>
        <v/>
      </c>
      <c r="AD133" s="248">
        <f>IF(AND(D133="Congé spécial",F133="Congé spécial"),0.333333333333333,IF(OR(AND(D133="Congé spécial",F133&lt;&gt;"Congé décès"),(AND(F133="Congé spécial",D133&lt;&gt;"Congé spécial"))),0.166666666666667,""))</f>
        <v/>
      </c>
      <c r="AE133" s="249">
        <f>IF(AND(D133="Férié",F133="Férié"),0.333333333333333,IF(OR(AND(D133="Férié",F133&lt;&gt;"Férié"),(AND(F133="Férié",D133&lt;&gt;"Férié"))),0.166666666666667,""))</f>
        <v/>
      </c>
      <c r="AF133" s="249" t="n"/>
      <c r="AG133" s="244" t="n"/>
    </row>
    <row r="134" hidden="1" ht="12.75" customHeight="1" s="231">
      <c r="A134" s="232">
        <f>VLOOKUP(B134,Annuaire_roster!B:F,5,0)</f>
        <v/>
      </c>
      <c r="B134" s="233" t="inlineStr">
        <is>
          <t>KANTAOUI SALMA</t>
        </is>
      </c>
      <c r="C134" s="234">
        <f>IFERROR(IF(COUNTIFS(Connexions!$K:$K,$Q134,Connexions!$E:$E,VLOOKUP($B134,Mapping_Noms!$A:$B,2,0))=0,"",_xlfn.MINIFS(Connexions!$M:$M,Connexions!$K:$K,$Q134,Connexions!$E:$E,VLOOKUP($B134,Mapping_Noms!$A:$B,2,0))-TIME(1,0,0)),"")</f>
        <v/>
      </c>
      <c r="D134" s="234">
        <f t="array" ref="D134:D134">IFERROR(INDEX(Planning2[],MATCH(1,(Planning2[Nom]=B134)*(Planning2[Date]=Q134),0),3),"-")</f>
        <v/>
      </c>
      <c r="E134" s="235">
        <f>IFERROR(IF(COUNTIFS(Connexions!$K:$K,$Q134,Connexions!$E:$E,VLOOKUP($B134,Mapping_Noms!$A:$B,2,0))=0,"",_xlfn.MAXIFS(Connexions!$O:$O,Connexions!$K:$K,$Q134,Connexions!$E:$E,VLOOKUP($B134,Mapping_Noms!$A:$B,2,0))-TIME(1,0,0)),"")</f>
        <v/>
      </c>
      <c r="F134" s="235">
        <f t="array" ref="F134:F134">IFERROR(INDEX(Planning2[],MATCH(1,(Planning2[Nom]=B134)*(Planning2[Date]=Q134),0),4),"-")</f>
        <v/>
      </c>
      <c r="G134" s="405">
        <f>IFERROR(IF(OR(IFERROR(INDEX('Planning Pauses Dej'!$C:$C,MATCH($B134&amp;"|"&amp;TEXT($Q134,"YYYYMMDD"),'Planning Pauses Dej'!$F:$F,0)),"")="",IFERROR(INDEX('Planning Pauses Dej'!$D:$D,MATCH($B134&amp;"|"&amp;TEXT($Q134,"YYYYMMDD"),'Planning Pauses Dej'!$F:$F,0)),"")=""),"",_xlfn.MAXIFS(Connexions!$Q:$Q,Connexions!$K:$K,$Q134,Connexions!$E:$E,VLOOKUP($B134,Mapping_Noms!$A:$B,2,0),Connexions!$O:$O,"&lt;="&amp;(IFERROR(INDEX('Planning Pauses Dej'!$D:$D,MATCH($B134&amp;"|"&amp;TEXT($Q134,"YYYYMMDD"),'Planning Pauses Dej'!$F:$F,0)),"")+TIME(1,0,0)),Connexions!$P:$P,"&gt;="&amp;(IFERROR(INDEX('Planning Pauses Dej'!$C:$C,MATCH($B134&amp;"|"&amp;TEXT($Q134,"YYYYMMDD"),'Planning Pauses Dej'!$F:$F,0)),"")+TIME(1,0,0)))),"")</f>
        <v/>
      </c>
      <c r="H134" s="405">
        <f>IFERROR(IF(OR($G134="",IFERROR(INDEX('Planning Pauses Dej'!$C:$C,MATCH($B134&amp;"|"&amp;TEXT($Q134,"YYYYMMDD"),'Planning Pauses Dej'!$F:$F,0)),"")="",IFERROR(INDEX('Planning Pauses Dej'!$D:$D,MATCH($B134&amp;"|"&amp;TEXT($Q134,"YYYYMMDD"),'Planning Pauses Dej'!$F:$F,0)),"")=""),"",IF($G134&gt;(IFERROR(INDEX('Planning Pauses Dej'!$D:$D,MATCH($B134&amp;"|"&amp;TEXT($Q134,"YYYYMMDD"),'Planning Pauses Dej'!$F:$F,0)),"")-IFERROR(INDEX('Planning Pauses Dej'!$C:$C,MATCH($B134&amp;"|"&amp;TEXT($Q134,"YYYYMMDD"),'Planning Pauses Dej'!$F:$F,0)),"")),$G134-(IFERROR(INDEX('Planning Pauses Dej'!$D:$D,MATCH($B134&amp;"|"&amp;TEXT($Q134,"YYYYMMDD"),'Planning Pauses Dej'!$F:$F,0)),"")-IFERROR(INDEX('Planning Pauses Dej'!$C:$C,MATCH($B134&amp;"|"&amp;TEXT($Q134,"YYYYMMDD"),'Planning Pauses Dej'!$F:$F,0)),"")),0)),"")</f>
        <v/>
      </c>
      <c r="I134" s="251">
        <f>IF(IF(OR(C134="",D134="Congé",D134="OFF",D134="Congé spécial"),"",IF(D134&gt;F134,D134-C134,IF(C134-D134&lt;0,0,C134-D134)))&lt;0.00068287037037037,"",IF(OR(D134="Congé",D134="OFF",C134="",D134="Congé spécial"),"",IF(D134&gt;F134,D134-C134,IF(C134-D134&lt;0,0,C134-D134))))</f>
        <v/>
      </c>
      <c r="J134" s="405">
        <f>IFERROR(IF($G134="","",IF($G134&gt;TIME(1,0,0),$G134-TIME(1,0,0),0)),"")</f>
        <v/>
      </c>
      <c r="K134" s="238">
        <f>IF(SUM(H134:J134)&lt;0.00068287037037037,0,SUM(H134:J134))</f>
        <v/>
      </c>
      <c r="L134" s="236">
        <f>IF(OR(F134="Congé",F134="OFF",M134="Abs",F134="Congé sans solde",F134="Férié",F134="Congé spécial",D134="Congé spécial"),0,IF(F134-E134&lt;0,0,IF(F134-E134&lt;=0.00068287037037037,0,F134-E134)))</f>
        <v/>
      </c>
      <c r="M134" s="239">
        <f>IF(AND(O134&lt;&gt;0,C134=""),"Abs",0)</f>
        <v/>
      </c>
      <c r="N134" s="240">
        <f>IFERROR(IF(OR(D134="OFF",D134="Congé",M134="Abs",D134="Congé sans solde",D134="Férié"),"",IF(O134-K134-L134&gt;O134,O134,IF(O134-K134-L134&lt;0,"",O134-K134-L134))),"")</f>
        <v/>
      </c>
      <c r="O134" s="241">
        <f>IF(AG134="2H Pause déjeuner",IF(F134-D134-0.0833333333333333&lt;0,F134-D134-0.0833333333333333+1,F134-D134-0.0833333333333333),IF(OR(AND(F134="OFF",D134="OFF"),AND(F134="Congé",D134="Congé"),AND(F134="Congé sans solde",D134="Congé sans solde"),AND(F134="Congé spécial",D134="Congé spécial"),AND(F134="Férié",D134="Férié"),AND(F134="OFF",D134="Congé"),AND(F134="OFF",D134="Congé sans solde"),AND(F134="OFF",D134="Congé spécial"),AND(F134="OFF",D134="Férié"),AND(F134="Congé",D134="OFF"),AND(F134="Congé",D134="Congé sans solde"),AND(F134="Congé",D134="Congé spécial"),AND(F134="Congé",D134="Férié"),AND(F134="Congé sans solde",D134="OFF"),AND(F134="Congé sans solde",D134="Congé"),AND(F134="Congé sans solde",D134="Congé spécial"),AND(F134="Congé sans solde",D134="Férié"),AND(F134="Congé spécial",D134="OFF"),AND(F134="Congé spécial",D134="Congé"),AND(F134="Congé spécial",D134="Congé sans solde"),AND(F134="Congé spécial",D134="Férié"),AND(F134="Férié",D134="OFF"),AND(F134="Férié",D134="Congé"),AND(F134="Férié",D134="Congé sans solde"),AND(F134="Férié",D134="Congé spécial")),0,IF(OR(F134="OFF",F134="Congé",F134="Congé spécial",F134="Congé sans solde",D134="OFF",D134="Congé",D134="Congé spécial",D134="Congé sans solde"),0.208333333333334,IF(AND(AG134="",F134-D134&lt;0),("24:00:00"-D134)+("00:00:00"+F134)-0.0416666666666667,IF(AND(OR(AG134="Allaitement",AG134="Sans déjeuner"),F134-D134&lt;0),("24:00:00"-D134)+("00:00:00"+F134),IF(AND(AG134="",F134-D134&gt;0.166666666666667),F134-D134-0.0416666666666667,IF(AND(OR(AG134="Allaitement",AG134="Sans déjeuner"),F134-D134&gt;0.166666666666667),F134-D134,F134-D134)))))))</f>
        <v/>
      </c>
      <c r="P134" s="242">
        <f>IFERROR(VLOOKUP($B134,Annuaire_roster!$B:$G,MATCH(P$1,Annuaire_roster!$B$1:$G$1,0),0),"-")</f>
        <v/>
      </c>
      <c r="Q134" s="243" t="n">
        <v>44765</v>
      </c>
      <c r="R134" s="244">
        <f>IF(M134="Abs",O134,0)</f>
        <v/>
      </c>
      <c r="S134" s="244">
        <f>SUM(R134,L134,I134,J134,W134,H134)</f>
        <v/>
      </c>
      <c r="T134" s="209">
        <f>"Sem - "&amp;WEEKNUM(Q134,21)</f>
        <v/>
      </c>
      <c r="U134" s="209">
        <f>PROPER(TEXT(Q134,"mmmm"))</f>
        <v/>
      </c>
      <c r="V134" s="245">
        <f>+TEXT(Q134,"aaa")</f>
        <v/>
      </c>
      <c r="W134" s="240" t="n"/>
      <c r="X134" s="246">
        <f>IFERROR(IF(M134="Abs",0,IF((D134-C134+E134-F134)&lt;0.000694444444444444,0,(D134-C134+E134-F134))),0)</f>
        <v/>
      </c>
      <c r="Y134" s="247">
        <f>IFERROR(VLOOKUP(B134,Annuaire_roster!B:E,4,0),"-")</f>
        <v/>
      </c>
      <c r="Z134" s="247">
        <f>IFERROR(VLOOKUP(B134,Annuaire_roster!B:F,3,0),"-")</f>
        <v/>
      </c>
      <c r="AA134" s="247">
        <f>IFERROR(VLOOKUP(B134,Annuaire_roster!B:I,6,0),"-")</f>
        <v/>
      </c>
      <c r="AB134" s="248">
        <f>IF(AND(D134="Congé",F134="Congé"),0.333333333333333,IF(OR(AND(D134="Congé",F134&lt;&gt;"Congé"),(AND(F134="Congé",D134&lt;&gt;"Congé"))),0.166666666666667,""))</f>
        <v/>
      </c>
      <c r="AC134" s="248">
        <f>IF(AND(D134="Congé sans solde",F134="Congé sans solde"),0.333333333333333,IF(OR(AND(D134="Congé sans solde",F134&lt;&gt;"Congé sans solde"),(AND(F134="Congé sans solde",D134&lt;&gt;"Congé sans solde"))),0.166666666666667,""))</f>
        <v/>
      </c>
      <c r="AD134" s="248">
        <f>IF(AND(D134="Congé spécial",F134="Congé spécial"),0.333333333333333,IF(OR(AND(D134="Congé spécial",F134&lt;&gt;"Congé décès"),(AND(F134="Congé spécial",D134&lt;&gt;"Congé spécial"))),0.166666666666667,""))</f>
        <v/>
      </c>
      <c r="AE134" s="249">
        <f>IF(AND(D134="Férié",F134="Férié"),0.333333333333333,IF(OR(AND(D134="Férié",F134&lt;&gt;"Férié"),(AND(F134="Férié",D134&lt;&gt;"Férié"))),0.166666666666667,""))</f>
        <v/>
      </c>
      <c r="AF134" s="249" t="n"/>
      <c r="AG134" s="244" t="n"/>
    </row>
    <row r="135" hidden="1" ht="12.75" customHeight="1" s="231">
      <c r="A135" s="232">
        <f>VLOOKUP(B135,Annuaire_roster!B:F,5,0)</f>
        <v/>
      </c>
      <c r="B135" s="233" t="inlineStr">
        <is>
          <t>AZHARI ABDELHAMID</t>
        </is>
      </c>
      <c r="C135" s="234">
        <f>IFERROR(IF(COUNTIFS(Connexions!$K:$K,$Q135,Connexions!$E:$E,VLOOKUP($B135,Mapping_Noms!$A:$B,2,0))=0,"",_xlfn.MINIFS(Connexions!$M:$M,Connexions!$K:$K,$Q135,Connexions!$E:$E,VLOOKUP($B135,Mapping_Noms!$A:$B,2,0))-TIME(1,0,0)),"")</f>
        <v/>
      </c>
      <c r="D135" s="234">
        <f t="array" ref="D135:D135">IFERROR(INDEX(Planning2[],MATCH(1,(Planning2[Nom]=B135)*(Planning2[Date]=Q135),0),3),"-")</f>
        <v/>
      </c>
      <c r="E135" s="235">
        <f>IFERROR(IF(COUNTIFS(Connexions!$K:$K,$Q135,Connexions!$E:$E,VLOOKUP($B135,Mapping_Noms!$A:$B,2,0))=0,"",_xlfn.MAXIFS(Connexions!$O:$O,Connexions!$K:$K,$Q135,Connexions!$E:$E,VLOOKUP($B135,Mapping_Noms!$A:$B,2,0))-TIME(1,0,0)),"")</f>
        <v/>
      </c>
      <c r="F135" s="235">
        <f t="array" ref="F135:F135">IFERROR(INDEX(Planning2[],MATCH(1,(Planning2[Nom]=B135)*(Planning2[Date]=Q135),0),4),"-")</f>
        <v/>
      </c>
      <c r="G135" s="405">
        <f>IFERROR(IF(OR(IFERROR(INDEX('Planning Pauses Dej'!$C:$C,MATCH($B135&amp;"|"&amp;TEXT($Q135,"YYYYMMDD"),'Planning Pauses Dej'!$F:$F,0)),"")="",IFERROR(INDEX('Planning Pauses Dej'!$D:$D,MATCH($B135&amp;"|"&amp;TEXT($Q135,"YYYYMMDD"),'Planning Pauses Dej'!$F:$F,0)),"")=""),"",_xlfn.MAXIFS(Connexions!$Q:$Q,Connexions!$K:$K,$Q135,Connexions!$E:$E,VLOOKUP($B135,Mapping_Noms!$A:$B,2,0),Connexions!$O:$O,"&lt;="&amp;(IFERROR(INDEX('Planning Pauses Dej'!$D:$D,MATCH($B135&amp;"|"&amp;TEXT($Q135,"YYYYMMDD"),'Planning Pauses Dej'!$F:$F,0)),"")+TIME(1,0,0)),Connexions!$P:$P,"&gt;="&amp;(IFERROR(INDEX('Planning Pauses Dej'!$C:$C,MATCH($B135&amp;"|"&amp;TEXT($Q135,"YYYYMMDD"),'Planning Pauses Dej'!$F:$F,0)),"")+TIME(1,0,0)))),"")</f>
        <v/>
      </c>
      <c r="H135" s="405">
        <f>IFERROR(IF(OR($G135="",IFERROR(INDEX('Planning Pauses Dej'!$C:$C,MATCH($B135&amp;"|"&amp;TEXT($Q135,"YYYYMMDD"),'Planning Pauses Dej'!$F:$F,0)),"")="",IFERROR(INDEX('Planning Pauses Dej'!$D:$D,MATCH($B135&amp;"|"&amp;TEXT($Q135,"YYYYMMDD"),'Planning Pauses Dej'!$F:$F,0)),"")=""),"",IF($G135&gt;(IFERROR(INDEX('Planning Pauses Dej'!$D:$D,MATCH($B135&amp;"|"&amp;TEXT($Q135,"YYYYMMDD"),'Planning Pauses Dej'!$F:$F,0)),"")-IFERROR(INDEX('Planning Pauses Dej'!$C:$C,MATCH($B135&amp;"|"&amp;TEXT($Q135,"YYYYMMDD"),'Planning Pauses Dej'!$F:$F,0)),"")),$G135-(IFERROR(INDEX('Planning Pauses Dej'!$D:$D,MATCH($B135&amp;"|"&amp;TEXT($Q135,"YYYYMMDD"),'Planning Pauses Dej'!$F:$F,0)),"")-IFERROR(INDEX('Planning Pauses Dej'!$C:$C,MATCH($B135&amp;"|"&amp;TEXT($Q135,"YYYYMMDD"),'Planning Pauses Dej'!$F:$F,0)),"")),0)),"")</f>
        <v/>
      </c>
      <c r="I135" s="251">
        <f>IF(IF(OR(C135="",D135="Congé",D135="OFF",D135="Congé spécial"),"",IF(D135&gt;F135,D135-C135,IF(C135-D135&lt;0,0,C135-D135)))&lt;0.00068287037037037,"",IF(OR(D135="Congé",D135="OFF",C135="",D135="Congé spécial"),"",IF(D135&gt;F135,D135-C135,IF(C135-D135&lt;0,0,C135-D135))))</f>
        <v/>
      </c>
      <c r="J135" s="405">
        <f>IFERROR(IF($G135="","",IF($G135&gt;TIME(1,0,0),$G135-TIME(1,0,0),0)),"")</f>
        <v/>
      </c>
      <c r="K135" s="238">
        <f>IF(SUM(H135:J135)&lt;0.00068287037037037,0,SUM(H135:J135))</f>
        <v/>
      </c>
      <c r="L135" s="236">
        <f>IF(OR(F135="Congé",F135="OFF",M135="Abs",F135="Congé sans solde",F135="Férié",F135="Congé spécial",D135="Congé spécial"),0,IF(F135-E135&lt;0,0,IF(F135-E135&lt;=0.00068287037037037,0,F135-E135)))</f>
        <v/>
      </c>
      <c r="M135" s="239">
        <f>IF(AND(O135&lt;&gt;0,C135=""),"Abs",0)</f>
        <v/>
      </c>
      <c r="N135" s="240">
        <f>IFERROR(IF(OR(D135="OFF",D135="Congé",M135="Abs",D135="Congé sans solde",D135="Férié"),"",IF(O135-K135-L135&gt;O135,O135,IF(O135-K135-L135&lt;0,"",O135-K135-L135))),"")</f>
        <v/>
      </c>
      <c r="O135" s="241">
        <f>IF(AG135="2H Pause déjeuner",IF(F135-D135-0.0833333333333333&lt;0,F135-D135-0.0833333333333333+1,F135-D135-0.0833333333333333),IF(OR(AND(F135="OFF",D135="OFF"),AND(F135="Congé",D135="Congé"),AND(F135="Congé sans solde",D135="Congé sans solde"),AND(F135="Congé spécial",D135="Congé spécial"),AND(F135="Férié",D135="Férié"),AND(F135="OFF",D135="Congé"),AND(F135="OFF",D135="Congé sans solde"),AND(F135="OFF",D135="Congé spécial"),AND(F135="OFF",D135="Férié"),AND(F135="Congé",D135="OFF"),AND(F135="Congé",D135="Congé sans solde"),AND(F135="Congé",D135="Congé spécial"),AND(F135="Congé",D135="Férié"),AND(F135="Congé sans solde",D135="OFF"),AND(F135="Congé sans solde",D135="Congé"),AND(F135="Congé sans solde",D135="Congé spécial"),AND(F135="Congé sans solde",D135="Férié"),AND(F135="Congé spécial",D135="OFF"),AND(F135="Congé spécial",D135="Congé"),AND(F135="Congé spécial",D135="Congé sans solde"),AND(F135="Congé spécial",D135="Férié"),AND(F135="Férié",D135="OFF"),AND(F135="Férié",D135="Congé"),AND(F135="Férié",D135="Congé sans solde"),AND(F135="Férié",D135="Congé spécial")),0,IF(OR(F135="OFF",F135="Congé",F135="Congé spécial",F135="Congé sans solde",D135="OFF",D135="Congé",D135="Congé spécial",D135="Congé sans solde"),0.208333333333334,IF(AND(AG135="",F135-D135&lt;0),("24:00:00"-D135)+("00:00:00"+F135)-0.0416666666666667,IF(AND(OR(AG135="Allaitement",AG135="Sans déjeuner"),F135-D135&lt;0),("24:00:00"-D135)+("00:00:00"+F135),IF(AND(AG135="",F135-D135&gt;0.166666666666667),F135-D135-0.0416666666666667,IF(AND(OR(AG135="Allaitement",AG135="Sans déjeuner"),F135-D135&gt;0.166666666666667),F135-D135,F135-D135)))))))</f>
        <v/>
      </c>
      <c r="P135" s="242">
        <f>IFERROR(VLOOKUP($B135,Annuaire_roster!$B:$G,MATCH(P$1,Annuaire_roster!$B$1:$G$1,0),0),"-")</f>
        <v/>
      </c>
      <c r="Q135" s="243" t="n">
        <v>44765</v>
      </c>
      <c r="R135" s="244">
        <f>IF(M135="Abs",O135,0)</f>
        <v/>
      </c>
      <c r="S135" s="244">
        <f>SUM(R135,L135,I135,J135,W135,H135)</f>
        <v/>
      </c>
      <c r="T135" s="209">
        <f>"Sem - "&amp;WEEKNUM(Q135,21)</f>
        <v/>
      </c>
      <c r="U135" s="209">
        <f>PROPER(TEXT(Q135,"mmmm"))</f>
        <v/>
      </c>
      <c r="V135" s="245">
        <f>+TEXT(Q135,"aaa")</f>
        <v/>
      </c>
      <c r="W135" s="240" t="n"/>
      <c r="X135" s="246">
        <f>IFERROR(IF(M135="Abs",0,IF((D135-C135+E135-F135)&lt;0.000694444444444444,0,(D135-C135+E135-F135))),0)</f>
        <v/>
      </c>
      <c r="Y135" s="247">
        <f>IFERROR(VLOOKUP(B135,Annuaire_roster!B:E,4,0),"-")</f>
        <v/>
      </c>
      <c r="Z135" s="247">
        <f>IFERROR(VLOOKUP(B135,Annuaire_roster!B:F,3,0),"-")</f>
        <v/>
      </c>
      <c r="AA135" s="247">
        <f>IFERROR(VLOOKUP(B135,Annuaire_roster!B:I,6,0),"-")</f>
        <v/>
      </c>
      <c r="AB135" s="248">
        <f>IF(AND(D135="Congé",F135="Congé"),0.333333333333333,IF(OR(AND(D135="Congé",F135&lt;&gt;"Congé"),(AND(F135="Congé",D135&lt;&gt;"Congé"))),0.166666666666667,""))</f>
        <v/>
      </c>
      <c r="AC135" s="248">
        <f>IF(AND(D135="Congé sans solde",F135="Congé sans solde"),0.333333333333333,IF(OR(AND(D135="Congé sans solde",F135&lt;&gt;"Congé sans solde"),(AND(F135="Congé sans solde",D135&lt;&gt;"Congé sans solde"))),0.166666666666667,""))</f>
        <v/>
      </c>
      <c r="AD135" s="248">
        <f>IF(AND(D135="Congé spécial",F135="Congé spécial"),0.333333333333333,IF(OR(AND(D135="Congé spécial",F135&lt;&gt;"Congé décès"),(AND(F135="Congé spécial",D135&lt;&gt;"Congé spécial"))),0.166666666666667,""))</f>
        <v/>
      </c>
      <c r="AE135" s="249">
        <f>IF(AND(D135="Férié",F135="Férié"),0.333333333333333,IF(OR(AND(D135="Férié",F135&lt;&gt;"Férié"),(AND(F135="Férié",D135&lt;&gt;"Férié"))),0.166666666666667,""))</f>
        <v/>
      </c>
      <c r="AF135" s="249" t="n"/>
      <c r="AG135" s="244" t="n"/>
    </row>
    <row r="136" hidden="1" ht="12.75" customHeight="1" s="231">
      <c r="A136" s="232">
        <f>VLOOKUP(B136,Annuaire_roster!B:F,5,0)</f>
        <v/>
      </c>
      <c r="B136" s="233" t="inlineStr">
        <is>
          <t>RACHAD NAWAR</t>
        </is>
      </c>
      <c r="C136" s="234">
        <f>IFERROR(IF(COUNTIFS(Connexions!$K:$K,$Q136,Connexions!$E:$E,VLOOKUP($B136,Mapping_Noms!$A:$B,2,0))=0,"",_xlfn.MINIFS(Connexions!$M:$M,Connexions!$K:$K,$Q136,Connexions!$E:$E,VLOOKUP($B136,Mapping_Noms!$A:$B,2,0))-TIME(1,0,0)),"")</f>
        <v/>
      </c>
      <c r="D136" s="234">
        <f t="array" ref="D136:D136">IFERROR(INDEX(Planning2[],MATCH(1,(Planning2[Nom]=B136)*(Planning2[Date]=Q136),0),3),"-")</f>
        <v/>
      </c>
      <c r="E136" s="235">
        <f>IFERROR(IF(COUNTIFS(Connexions!$K:$K,$Q136,Connexions!$E:$E,VLOOKUP($B136,Mapping_Noms!$A:$B,2,0))=0,"",_xlfn.MAXIFS(Connexions!$O:$O,Connexions!$K:$K,$Q136,Connexions!$E:$E,VLOOKUP($B136,Mapping_Noms!$A:$B,2,0))-TIME(1,0,0)),"")</f>
        <v/>
      </c>
      <c r="F136" s="235">
        <f t="array" ref="F136:F136">IFERROR(INDEX(Planning2[],MATCH(1,(Planning2[Nom]=B136)*(Planning2[Date]=Q136),0),4),"-")</f>
        <v/>
      </c>
      <c r="G136" s="405">
        <f>IFERROR(IF(OR(IFERROR(INDEX('Planning Pauses Dej'!$C:$C,MATCH($B136&amp;"|"&amp;TEXT($Q136,"YYYYMMDD"),'Planning Pauses Dej'!$F:$F,0)),"")="",IFERROR(INDEX('Planning Pauses Dej'!$D:$D,MATCH($B136&amp;"|"&amp;TEXT($Q136,"YYYYMMDD"),'Planning Pauses Dej'!$F:$F,0)),"")=""),"",_xlfn.MAXIFS(Connexions!$Q:$Q,Connexions!$K:$K,$Q136,Connexions!$E:$E,VLOOKUP($B136,Mapping_Noms!$A:$B,2,0),Connexions!$O:$O,"&lt;="&amp;(IFERROR(INDEX('Planning Pauses Dej'!$D:$D,MATCH($B136&amp;"|"&amp;TEXT($Q136,"YYYYMMDD"),'Planning Pauses Dej'!$F:$F,0)),"")+TIME(1,0,0)),Connexions!$P:$P,"&gt;="&amp;(IFERROR(INDEX('Planning Pauses Dej'!$C:$C,MATCH($B136&amp;"|"&amp;TEXT($Q136,"YYYYMMDD"),'Planning Pauses Dej'!$F:$F,0)),"")+TIME(1,0,0)))),"")</f>
        <v/>
      </c>
      <c r="H136" s="405">
        <f>IFERROR(IF(OR($G136="",IFERROR(INDEX('Planning Pauses Dej'!$C:$C,MATCH($B136&amp;"|"&amp;TEXT($Q136,"YYYYMMDD"),'Planning Pauses Dej'!$F:$F,0)),"")="",IFERROR(INDEX('Planning Pauses Dej'!$D:$D,MATCH($B136&amp;"|"&amp;TEXT($Q136,"YYYYMMDD"),'Planning Pauses Dej'!$F:$F,0)),"")=""),"",IF($G136&gt;(IFERROR(INDEX('Planning Pauses Dej'!$D:$D,MATCH($B136&amp;"|"&amp;TEXT($Q136,"YYYYMMDD"),'Planning Pauses Dej'!$F:$F,0)),"")-IFERROR(INDEX('Planning Pauses Dej'!$C:$C,MATCH($B136&amp;"|"&amp;TEXT($Q136,"YYYYMMDD"),'Planning Pauses Dej'!$F:$F,0)),"")),$G136-(IFERROR(INDEX('Planning Pauses Dej'!$D:$D,MATCH($B136&amp;"|"&amp;TEXT($Q136,"YYYYMMDD"),'Planning Pauses Dej'!$F:$F,0)),"")-IFERROR(INDEX('Planning Pauses Dej'!$C:$C,MATCH($B136&amp;"|"&amp;TEXT($Q136,"YYYYMMDD"),'Planning Pauses Dej'!$F:$F,0)),"")),0)),"")</f>
        <v/>
      </c>
      <c r="I136" s="251">
        <f>IF(IF(OR(C136="",D136="Congé",D136="OFF",D136="Congé spécial"),"",IF(D136&gt;F136,D136-C136,IF(C136-D136&lt;0,0,C136-D136)))&lt;0.00068287037037037,"",IF(OR(D136="Congé",D136="OFF",C136="",D136="Congé spécial"),"",IF(D136&gt;F136,D136-C136,IF(C136-D136&lt;0,0,C136-D136))))</f>
        <v/>
      </c>
      <c r="J136" s="405">
        <f>IFERROR(IF($G136="","",IF($G136&gt;TIME(1,0,0),$G136-TIME(1,0,0),0)),"")</f>
        <v/>
      </c>
      <c r="K136" s="238">
        <f>IF(SUM(H136:J136)&lt;0.00068287037037037,0,SUM(H136:J136))</f>
        <v/>
      </c>
      <c r="L136" s="236">
        <f>IF(OR(F136="Congé",F136="OFF",M136="Abs",F136="Congé sans solde",F136="Férié",F136="Congé spécial",D136="Congé spécial"),0,IF(F136-E136&lt;0,0,IF(F136-E136&lt;=0.00068287037037037,0,F136-E136)))</f>
        <v/>
      </c>
      <c r="M136" s="239">
        <f>IF(AND(O136&lt;&gt;0,C136=""),"Abs",0)</f>
        <v/>
      </c>
      <c r="N136" s="240">
        <f>IFERROR(IF(OR(D136="OFF",D136="Congé",M136="Abs",D136="Congé sans solde",D136="Férié"),"",IF(O136-K136-L136&gt;O136,O136,IF(O136-K136-L136&lt;0,"",O136-K136-L136))),"")</f>
        <v/>
      </c>
      <c r="O136" s="241">
        <f>IF(AG136="2H Pause déjeuner",IF(F136-D136-0.0833333333333333&lt;0,F136-D136-0.0833333333333333+1,F136-D136-0.0833333333333333),IF(OR(AND(F136="OFF",D136="OFF"),AND(F136="Congé",D136="Congé"),AND(F136="Congé sans solde",D136="Congé sans solde"),AND(F136="Congé spécial",D136="Congé spécial"),AND(F136="Férié",D136="Férié"),AND(F136="OFF",D136="Congé"),AND(F136="OFF",D136="Congé sans solde"),AND(F136="OFF",D136="Congé spécial"),AND(F136="OFF",D136="Férié"),AND(F136="Congé",D136="OFF"),AND(F136="Congé",D136="Congé sans solde"),AND(F136="Congé",D136="Congé spécial"),AND(F136="Congé",D136="Férié"),AND(F136="Congé sans solde",D136="OFF"),AND(F136="Congé sans solde",D136="Congé"),AND(F136="Congé sans solde",D136="Congé spécial"),AND(F136="Congé sans solde",D136="Férié"),AND(F136="Congé spécial",D136="OFF"),AND(F136="Congé spécial",D136="Congé"),AND(F136="Congé spécial",D136="Congé sans solde"),AND(F136="Congé spécial",D136="Férié"),AND(F136="Férié",D136="OFF"),AND(F136="Férié",D136="Congé"),AND(F136="Férié",D136="Congé sans solde"),AND(F136="Férié",D136="Congé spécial")),0,IF(OR(F136="OFF",F136="Congé",F136="Congé spécial",F136="Congé sans solde",D136="OFF",D136="Congé",D136="Congé spécial",D136="Congé sans solde"),0.208333333333334,IF(AND(AG136="",F136-D136&lt;0),("24:00:00"-D136)+("00:00:00"+F136)-0.0416666666666667,IF(AND(OR(AG136="Allaitement",AG136="Sans déjeuner"),F136-D136&lt;0),("24:00:00"-D136)+("00:00:00"+F136),IF(AND(AG136="",F136-D136&gt;0.166666666666667),F136-D136-0.0416666666666667,IF(AND(OR(AG136="Allaitement",AG136="Sans déjeuner"),F136-D136&gt;0.166666666666667),F136-D136,F136-D136)))))))</f>
        <v/>
      </c>
      <c r="P136" s="242">
        <f>IFERROR(VLOOKUP($B136,Annuaire_roster!$B:$G,MATCH(P$1,Annuaire_roster!$B$1:$G$1,0),0),"-")</f>
        <v/>
      </c>
      <c r="Q136" s="243" t="n">
        <v>44765</v>
      </c>
      <c r="R136" s="244">
        <f>IF(M136="Abs",O136,0)</f>
        <v/>
      </c>
      <c r="S136" s="244">
        <f>SUM(R136,L136,I136,J136,W136,H136)</f>
        <v/>
      </c>
      <c r="T136" s="209">
        <f>"Sem - "&amp;WEEKNUM(Q136,21)</f>
        <v/>
      </c>
      <c r="U136" s="209">
        <f>PROPER(TEXT(Q136,"mmmm"))</f>
        <v/>
      </c>
      <c r="V136" s="245">
        <f>+TEXT(Q136,"aaa")</f>
        <v/>
      </c>
      <c r="W136" s="240" t="n"/>
      <c r="X136" s="246">
        <f>IFERROR(IF(M136="Abs",0,IF((D136-C136+E136-F136)&lt;0.000694444444444444,0,(D136-C136+E136-F136))),0)</f>
        <v/>
      </c>
      <c r="Y136" s="247">
        <f>IFERROR(VLOOKUP(B136,Annuaire_roster!B:E,4,0),"-")</f>
        <v/>
      </c>
      <c r="Z136" s="247">
        <f>IFERROR(VLOOKUP(B136,Annuaire_roster!B:F,3,0),"-")</f>
        <v/>
      </c>
      <c r="AA136" s="247">
        <f>IFERROR(VLOOKUP(B136,Annuaire_roster!B:I,6,0),"-")</f>
        <v/>
      </c>
      <c r="AB136" s="248">
        <f>IF(AND(D136="Congé",F136="Congé"),0.333333333333333,IF(OR(AND(D136="Congé",F136&lt;&gt;"Congé"),(AND(F136="Congé",D136&lt;&gt;"Congé"))),0.166666666666667,""))</f>
        <v/>
      </c>
      <c r="AC136" s="248">
        <f>IF(AND(D136="Congé sans solde",F136="Congé sans solde"),0.333333333333333,IF(OR(AND(D136="Congé sans solde",F136&lt;&gt;"Congé sans solde"),(AND(F136="Congé sans solde",D136&lt;&gt;"Congé sans solde"))),0.166666666666667,""))</f>
        <v/>
      </c>
      <c r="AD136" s="248">
        <f>IF(AND(D136="Congé spécial",F136="Congé spécial"),0.333333333333333,IF(OR(AND(D136="Congé spécial",F136&lt;&gt;"Congé décès"),(AND(F136="Congé spécial",D136&lt;&gt;"Congé spécial"))),0.166666666666667,""))</f>
        <v/>
      </c>
      <c r="AE136" s="249">
        <f>IF(AND(D136="Férié",F136="Férié"),0.333333333333333,IF(OR(AND(D136="Férié",F136&lt;&gt;"Férié"),(AND(F136="Férié",D136&lt;&gt;"Férié"))),0.166666666666667,""))</f>
        <v/>
      </c>
      <c r="AF136" s="249" t="n"/>
      <c r="AG136" s="244" t="n"/>
    </row>
    <row r="137" hidden="1" ht="12.75" customHeight="1" s="231">
      <c r="A137" s="232">
        <f>VLOOKUP(B137,Annuaire_roster!B:F,5,0)</f>
        <v/>
      </c>
      <c r="B137" s="233" t="inlineStr">
        <is>
          <t>ZIOUI DOUNIA</t>
        </is>
      </c>
      <c r="C137" s="234">
        <f>IFERROR(IF(COUNTIFS(Connexions!$K:$K,$Q137,Connexions!$E:$E,VLOOKUP($B137,Mapping_Noms!$A:$B,2,0))=0,"",_xlfn.MINIFS(Connexions!$M:$M,Connexions!$K:$K,$Q137,Connexions!$E:$E,VLOOKUP($B137,Mapping_Noms!$A:$B,2,0))-TIME(1,0,0)),"")</f>
        <v/>
      </c>
      <c r="D137" s="234">
        <f t="array" ref="D137:D137">IFERROR(INDEX(Planning2[],MATCH(1,(Planning2[Nom]=B137)*(Planning2[Date]=Q137),0),3),"-")</f>
        <v/>
      </c>
      <c r="E137" s="235">
        <f>IFERROR(IF(COUNTIFS(Connexions!$K:$K,$Q137,Connexions!$E:$E,VLOOKUP($B137,Mapping_Noms!$A:$B,2,0))=0,"",_xlfn.MAXIFS(Connexions!$O:$O,Connexions!$K:$K,$Q137,Connexions!$E:$E,VLOOKUP($B137,Mapping_Noms!$A:$B,2,0))-TIME(1,0,0)),"")</f>
        <v/>
      </c>
      <c r="F137" s="235">
        <f t="array" ref="F137:F137">IFERROR(INDEX(Planning2[],MATCH(1,(Planning2[Nom]=B137)*(Planning2[Date]=Q137),0),4),"-")</f>
        <v/>
      </c>
      <c r="G137" s="405">
        <f>IFERROR(IF(OR(IFERROR(INDEX('Planning Pauses Dej'!$C:$C,MATCH($B137&amp;"|"&amp;TEXT($Q137,"YYYYMMDD"),'Planning Pauses Dej'!$F:$F,0)),"")="",IFERROR(INDEX('Planning Pauses Dej'!$D:$D,MATCH($B137&amp;"|"&amp;TEXT($Q137,"YYYYMMDD"),'Planning Pauses Dej'!$F:$F,0)),"")=""),"",_xlfn.MAXIFS(Connexions!$Q:$Q,Connexions!$K:$K,$Q137,Connexions!$E:$E,VLOOKUP($B137,Mapping_Noms!$A:$B,2,0),Connexions!$O:$O,"&lt;="&amp;(IFERROR(INDEX('Planning Pauses Dej'!$D:$D,MATCH($B137&amp;"|"&amp;TEXT($Q137,"YYYYMMDD"),'Planning Pauses Dej'!$F:$F,0)),"")+TIME(1,0,0)),Connexions!$P:$P,"&gt;="&amp;(IFERROR(INDEX('Planning Pauses Dej'!$C:$C,MATCH($B137&amp;"|"&amp;TEXT($Q137,"YYYYMMDD"),'Planning Pauses Dej'!$F:$F,0)),"")+TIME(1,0,0)))),"")</f>
        <v/>
      </c>
      <c r="H137" s="405">
        <f>IFERROR(IF(OR($G137="",IFERROR(INDEX('Planning Pauses Dej'!$C:$C,MATCH($B137&amp;"|"&amp;TEXT($Q137,"YYYYMMDD"),'Planning Pauses Dej'!$F:$F,0)),"")="",IFERROR(INDEX('Planning Pauses Dej'!$D:$D,MATCH($B137&amp;"|"&amp;TEXT($Q137,"YYYYMMDD"),'Planning Pauses Dej'!$F:$F,0)),"")=""),"",IF($G137&gt;(IFERROR(INDEX('Planning Pauses Dej'!$D:$D,MATCH($B137&amp;"|"&amp;TEXT($Q137,"YYYYMMDD"),'Planning Pauses Dej'!$F:$F,0)),"")-IFERROR(INDEX('Planning Pauses Dej'!$C:$C,MATCH($B137&amp;"|"&amp;TEXT($Q137,"YYYYMMDD"),'Planning Pauses Dej'!$F:$F,0)),"")),$G137-(IFERROR(INDEX('Planning Pauses Dej'!$D:$D,MATCH($B137&amp;"|"&amp;TEXT($Q137,"YYYYMMDD"),'Planning Pauses Dej'!$F:$F,0)),"")-IFERROR(INDEX('Planning Pauses Dej'!$C:$C,MATCH($B137&amp;"|"&amp;TEXT($Q137,"YYYYMMDD"),'Planning Pauses Dej'!$F:$F,0)),"")),0)),"")</f>
        <v/>
      </c>
      <c r="I137" s="251">
        <f>IF(IF(OR(C137="",D137="Congé",D137="OFF",D137="Congé spécial"),"",IF(D137&gt;F137,D137-C137,IF(C137-D137&lt;0,0,C137-D137)))&lt;0.00068287037037037,"",IF(OR(D137="Congé",D137="OFF",C137="",D137="Congé spécial"),"",IF(D137&gt;F137,D137-C137,IF(C137-D137&lt;0,0,C137-D137))))</f>
        <v/>
      </c>
      <c r="J137" s="405">
        <f>IFERROR(IF($G137="","",IF($G137&gt;TIME(1,0,0),$G137-TIME(1,0,0),0)),"")</f>
        <v/>
      </c>
      <c r="K137" s="238">
        <f>IF(SUM(H137:J137)&lt;0.00068287037037037,0,SUM(H137:J137))</f>
        <v/>
      </c>
      <c r="L137" s="236">
        <f>IF(OR(F137="Congé",F137="OFF",M137="Abs",F137="Congé sans solde",F137="Férié",F137="Congé spécial",D137="Congé spécial"),0,IF(F137-E137&lt;0,0,IF(F137-E137&lt;=0.00068287037037037,0,F137-E137)))</f>
        <v/>
      </c>
      <c r="M137" s="239">
        <f>IF(AND(O137&lt;&gt;0,C137=""),"Abs",0)</f>
        <v/>
      </c>
      <c r="N137" s="240">
        <f>IFERROR(IF(OR(D137="OFF",D137="Congé",M137="Abs",D137="Congé sans solde",D137="Férié"),"",IF(O137-K137-L137&gt;O137,O137,IF(O137-K137-L137&lt;0,"",O137-K137-L137))),"")</f>
        <v/>
      </c>
      <c r="O137" s="241">
        <f>IF(AG137="2H Pause déjeuner",IF(F137-D137-0.0833333333333333&lt;0,F137-D137-0.0833333333333333+1,F137-D137-0.0833333333333333),IF(OR(AND(F137="OFF",D137="OFF"),AND(F137="Congé",D137="Congé"),AND(F137="Congé sans solde",D137="Congé sans solde"),AND(F137="Congé spécial",D137="Congé spécial"),AND(F137="Férié",D137="Férié"),AND(F137="OFF",D137="Congé"),AND(F137="OFF",D137="Congé sans solde"),AND(F137="OFF",D137="Congé spécial"),AND(F137="OFF",D137="Férié"),AND(F137="Congé",D137="OFF"),AND(F137="Congé",D137="Congé sans solde"),AND(F137="Congé",D137="Congé spécial"),AND(F137="Congé",D137="Férié"),AND(F137="Congé sans solde",D137="OFF"),AND(F137="Congé sans solde",D137="Congé"),AND(F137="Congé sans solde",D137="Congé spécial"),AND(F137="Congé sans solde",D137="Férié"),AND(F137="Congé spécial",D137="OFF"),AND(F137="Congé spécial",D137="Congé"),AND(F137="Congé spécial",D137="Congé sans solde"),AND(F137="Congé spécial",D137="Férié"),AND(F137="Férié",D137="OFF"),AND(F137="Férié",D137="Congé"),AND(F137="Férié",D137="Congé sans solde"),AND(F137="Férié",D137="Congé spécial")),0,IF(OR(F137="OFF",F137="Congé",F137="Congé spécial",F137="Congé sans solde",D137="OFF",D137="Congé",D137="Congé spécial",D137="Congé sans solde"),0.208333333333334,IF(AND(AG137="",F137-D137&lt;0),("24:00:00"-D137)+("00:00:00"+F137)-0.0416666666666667,IF(AND(OR(AG137="Allaitement",AG137="Sans déjeuner"),F137-D137&lt;0),("24:00:00"-D137)+("00:00:00"+F137),IF(AND(AG137="",F137-D137&gt;0.166666666666667),F137-D137-0.0416666666666667,IF(AND(OR(AG137="Allaitement",AG137="Sans déjeuner"),F137-D137&gt;0.166666666666667),F137-D137,F137-D137)))))))</f>
        <v/>
      </c>
      <c r="P137" s="242">
        <f>IFERROR(VLOOKUP($B137,Annuaire_roster!$B:$G,MATCH(P$1,Annuaire_roster!$B$1:$G$1,0),0),"-")</f>
        <v/>
      </c>
      <c r="Q137" s="243" t="n">
        <v>44765</v>
      </c>
      <c r="R137" s="244">
        <f>IF(M137="Abs",O137,0)</f>
        <v/>
      </c>
      <c r="S137" s="244">
        <f>SUM(R137,L137,I137,J137,W137,H137)</f>
        <v/>
      </c>
      <c r="T137" s="209">
        <f>"Sem - "&amp;WEEKNUM(Q137,21)</f>
        <v/>
      </c>
      <c r="U137" s="209">
        <f>PROPER(TEXT(Q137,"mmmm"))</f>
        <v/>
      </c>
      <c r="V137" s="245">
        <f>+TEXT(Q137,"aaa")</f>
        <v/>
      </c>
      <c r="W137" s="240" t="n"/>
      <c r="X137" s="246">
        <f>IFERROR(IF(M137="Abs",0,IF((D137-C137+E137-F137)&lt;0.000694444444444444,0,(D137-C137+E137-F137))),0)</f>
        <v/>
      </c>
      <c r="Y137" s="247">
        <f>IFERROR(VLOOKUP(B137,Annuaire_roster!B:E,4,0),"-")</f>
        <v/>
      </c>
      <c r="Z137" s="247">
        <f>IFERROR(VLOOKUP(B137,Annuaire_roster!B:F,3,0),"-")</f>
        <v/>
      </c>
      <c r="AA137" s="247">
        <f>IFERROR(VLOOKUP(B137,Annuaire_roster!B:I,6,0),"-")</f>
        <v/>
      </c>
      <c r="AB137" s="248">
        <f>IF(AND(D137="Congé",F137="Congé"),0.333333333333333,IF(OR(AND(D137="Congé",F137&lt;&gt;"Congé"),(AND(F137="Congé",D137&lt;&gt;"Congé"))),0.166666666666667,""))</f>
        <v/>
      </c>
      <c r="AC137" s="248">
        <f>IF(AND(D137="Congé sans solde",F137="Congé sans solde"),0.333333333333333,IF(OR(AND(D137="Congé sans solde",F137&lt;&gt;"Congé sans solde"),(AND(F137="Congé sans solde",D137&lt;&gt;"Congé sans solde"))),0.166666666666667,""))</f>
        <v/>
      </c>
      <c r="AD137" s="248">
        <f>IF(AND(D137="Congé spécial",F137="Congé spécial"),0.333333333333333,IF(OR(AND(D137="Congé spécial",F137&lt;&gt;"Congé décès"),(AND(F137="Congé spécial",D137&lt;&gt;"Congé spécial"))),0.166666666666667,""))</f>
        <v/>
      </c>
      <c r="AE137" s="249">
        <f>IF(AND(D137="Férié",F137="Férié"),0.333333333333333,IF(OR(AND(D137="Férié",F137&lt;&gt;"Férié"),(AND(F137="Férié",D137&lt;&gt;"Férié"))),0.166666666666667,""))</f>
        <v/>
      </c>
      <c r="AF137" s="249" t="n"/>
      <c r="AG137" s="244" t="n"/>
    </row>
    <row r="138" hidden="1" ht="12.75" customHeight="1" s="231">
      <c r="A138" s="232">
        <f>VLOOKUP(B138,Annuaire_roster!B:F,5,0)</f>
        <v/>
      </c>
      <c r="B138" s="233" t="inlineStr">
        <is>
          <t>AIT ADDI KHADIJA</t>
        </is>
      </c>
      <c r="C138" s="234">
        <f>IFERROR(IF(COUNTIFS(Connexions!$K:$K,$Q138,Connexions!$E:$E,VLOOKUP($B138,Mapping_Noms!$A:$B,2,0))=0,"",_xlfn.MINIFS(Connexions!$M:$M,Connexions!$K:$K,$Q138,Connexions!$E:$E,VLOOKUP($B138,Mapping_Noms!$A:$B,2,0))-TIME(1,0,0)),"")</f>
        <v/>
      </c>
      <c r="D138" s="234">
        <f t="array" ref="D138:D138">IFERROR(INDEX(Planning2[],MATCH(1,(Planning2[Nom]=B138)*(Planning2[Date]=Q138),0),3),"-")</f>
        <v/>
      </c>
      <c r="E138" s="235">
        <f>IFERROR(IF(COUNTIFS(Connexions!$K:$K,$Q138,Connexions!$E:$E,VLOOKUP($B138,Mapping_Noms!$A:$B,2,0))=0,"",_xlfn.MAXIFS(Connexions!$O:$O,Connexions!$K:$K,$Q138,Connexions!$E:$E,VLOOKUP($B138,Mapping_Noms!$A:$B,2,0))-TIME(1,0,0)),"")</f>
        <v/>
      </c>
      <c r="F138" s="235">
        <f t="array" ref="F138:F138">IFERROR(INDEX(Planning2[],MATCH(1,(Planning2[Nom]=B138)*(Planning2[Date]=Q138),0),4),"-")</f>
        <v/>
      </c>
      <c r="G138" s="405">
        <f>IFERROR(IF(OR(IFERROR(INDEX('Planning Pauses Dej'!$C:$C,MATCH($B138&amp;"|"&amp;TEXT($Q138,"YYYYMMDD"),'Planning Pauses Dej'!$F:$F,0)),"")="",IFERROR(INDEX('Planning Pauses Dej'!$D:$D,MATCH($B138&amp;"|"&amp;TEXT($Q138,"YYYYMMDD"),'Planning Pauses Dej'!$F:$F,0)),"")=""),"",_xlfn.MAXIFS(Connexions!$Q:$Q,Connexions!$K:$K,$Q138,Connexions!$E:$E,VLOOKUP($B138,Mapping_Noms!$A:$B,2,0),Connexions!$O:$O,"&lt;="&amp;(IFERROR(INDEX('Planning Pauses Dej'!$D:$D,MATCH($B138&amp;"|"&amp;TEXT($Q138,"YYYYMMDD"),'Planning Pauses Dej'!$F:$F,0)),"")+TIME(1,0,0)),Connexions!$P:$P,"&gt;="&amp;(IFERROR(INDEX('Planning Pauses Dej'!$C:$C,MATCH($B138&amp;"|"&amp;TEXT($Q138,"YYYYMMDD"),'Planning Pauses Dej'!$F:$F,0)),"")+TIME(1,0,0)))),"")</f>
        <v/>
      </c>
      <c r="H138" s="405">
        <f>IFERROR(IF(OR($G138="",IFERROR(INDEX('Planning Pauses Dej'!$C:$C,MATCH($B138&amp;"|"&amp;TEXT($Q138,"YYYYMMDD"),'Planning Pauses Dej'!$F:$F,0)),"")="",IFERROR(INDEX('Planning Pauses Dej'!$D:$D,MATCH($B138&amp;"|"&amp;TEXT($Q138,"YYYYMMDD"),'Planning Pauses Dej'!$F:$F,0)),"")=""),"",IF($G138&gt;(IFERROR(INDEX('Planning Pauses Dej'!$D:$D,MATCH($B138&amp;"|"&amp;TEXT($Q138,"YYYYMMDD"),'Planning Pauses Dej'!$F:$F,0)),"")-IFERROR(INDEX('Planning Pauses Dej'!$C:$C,MATCH($B138&amp;"|"&amp;TEXT($Q138,"YYYYMMDD"),'Planning Pauses Dej'!$F:$F,0)),"")),$G138-(IFERROR(INDEX('Planning Pauses Dej'!$D:$D,MATCH($B138&amp;"|"&amp;TEXT($Q138,"YYYYMMDD"),'Planning Pauses Dej'!$F:$F,0)),"")-IFERROR(INDEX('Planning Pauses Dej'!$C:$C,MATCH($B138&amp;"|"&amp;TEXT($Q138,"YYYYMMDD"),'Planning Pauses Dej'!$F:$F,0)),"")),0)),"")</f>
        <v/>
      </c>
      <c r="I138" s="251">
        <f>IF(IF(OR(C138="",D138="Congé",D138="OFF",D138="Congé spécial"),"",IF(D138&gt;F138,D138-C138,IF(C138-D138&lt;0,0,C138-D138)))&lt;0.00068287037037037,"",IF(OR(D138="Congé",D138="OFF",C138="",D138="Congé spécial"),"",IF(D138&gt;F138,D138-C138,IF(C138-D138&lt;0,0,C138-D138))))</f>
        <v/>
      </c>
      <c r="J138" s="405">
        <f>IFERROR(IF($G138="","",IF($G138&gt;TIME(1,0,0),$G138-TIME(1,0,0),0)),"")</f>
        <v/>
      </c>
      <c r="K138" s="238">
        <f>IF(SUM(H138:J138)&lt;0.00068287037037037,0,SUM(H138:J138))</f>
        <v/>
      </c>
      <c r="L138" s="236">
        <f>IF(OR(F138="Congé",F138="OFF",M138="Abs",F138="Congé sans solde",F138="Férié",F138="Congé spécial",D138="Congé spécial"),0,IF(F138-E138&lt;0,0,IF(F138-E138&lt;=0.00068287037037037,0,F138-E138)))</f>
        <v/>
      </c>
      <c r="M138" s="239">
        <f>IF(AND(O138&lt;&gt;0,C138=""),"Abs",0)</f>
        <v/>
      </c>
      <c r="N138" s="240">
        <f>IFERROR(IF(OR(D138="OFF",D138="Congé",M138="Abs",D138="Congé sans solde",D138="Férié"),"",IF(O138-K138-L138&gt;O138,O138,IF(O138-K138-L138&lt;0,"",O138-K138-L138))),"")</f>
        <v/>
      </c>
      <c r="O138" s="241">
        <f>IF(AG138="2H Pause déjeuner",IF(F138-D138-0.0833333333333333&lt;0,F138-D138-0.0833333333333333+1,F138-D138-0.0833333333333333),IF(OR(AND(F138="OFF",D138="OFF"),AND(F138="Congé",D138="Congé"),AND(F138="Congé sans solde",D138="Congé sans solde"),AND(F138="Congé spécial",D138="Congé spécial"),AND(F138="Férié",D138="Férié"),AND(F138="OFF",D138="Congé"),AND(F138="OFF",D138="Congé sans solde"),AND(F138="OFF",D138="Congé spécial"),AND(F138="OFF",D138="Férié"),AND(F138="Congé",D138="OFF"),AND(F138="Congé",D138="Congé sans solde"),AND(F138="Congé",D138="Congé spécial"),AND(F138="Congé",D138="Férié"),AND(F138="Congé sans solde",D138="OFF"),AND(F138="Congé sans solde",D138="Congé"),AND(F138="Congé sans solde",D138="Congé spécial"),AND(F138="Congé sans solde",D138="Férié"),AND(F138="Congé spécial",D138="OFF"),AND(F138="Congé spécial",D138="Congé"),AND(F138="Congé spécial",D138="Congé sans solde"),AND(F138="Congé spécial",D138="Férié"),AND(F138="Férié",D138="OFF"),AND(F138="Férié",D138="Congé"),AND(F138="Férié",D138="Congé sans solde"),AND(F138="Férié",D138="Congé spécial")),0,IF(OR(F138="OFF",F138="Congé",F138="Congé spécial",F138="Congé sans solde",D138="OFF",D138="Congé",D138="Congé spécial",D138="Congé sans solde"),0.208333333333334,IF(AND(AG138="",F138-D138&lt;0),("24:00:00"-D138)+("00:00:00"+F138)-0.0416666666666667,IF(AND(OR(AG138="Allaitement",AG138="Sans déjeuner"),F138-D138&lt;0),("24:00:00"-D138)+("00:00:00"+F138),IF(AND(AG138="",F138-D138&gt;0.166666666666667),F138-D138-0.0416666666666667,IF(AND(OR(AG138="Allaitement",AG138="Sans déjeuner"),F138-D138&gt;0.166666666666667),F138-D138,F138-D138)))))))</f>
        <v/>
      </c>
      <c r="P138" s="242">
        <f>IFERROR(VLOOKUP($B138,Annuaire_roster!$B:$G,MATCH(P$1,Annuaire_roster!$B$1:$G$1,0),0),"-")</f>
        <v/>
      </c>
      <c r="Q138" s="243" t="n">
        <v>44765</v>
      </c>
      <c r="R138" s="244">
        <f>IF(M138="Abs",O138,0)</f>
        <v/>
      </c>
      <c r="S138" s="244">
        <f>SUM(R138,L138,I138,J138,W138,H138)</f>
        <v/>
      </c>
      <c r="T138" s="209">
        <f>"Sem - "&amp;WEEKNUM(Q138,21)</f>
        <v/>
      </c>
      <c r="U138" s="209">
        <f>PROPER(TEXT(Q138,"mmmm"))</f>
        <v/>
      </c>
      <c r="V138" s="245">
        <f>+TEXT(Q138,"aaa")</f>
        <v/>
      </c>
      <c r="W138" s="240" t="n"/>
      <c r="X138" s="246">
        <f>IFERROR(IF(M138="Abs",0,IF((D138-C138+E138-F138)&lt;0.000694444444444444,0,(D138-C138+E138-F138))),0)</f>
        <v/>
      </c>
      <c r="Y138" s="247">
        <f>IFERROR(VLOOKUP(B138,Annuaire_roster!B:E,4,0),"-")</f>
        <v/>
      </c>
      <c r="Z138" s="247">
        <f>IFERROR(VLOOKUP(B138,Annuaire_roster!B:F,3,0),"-")</f>
        <v/>
      </c>
      <c r="AA138" s="247">
        <f>IFERROR(VLOOKUP(B138,Annuaire_roster!B:I,6,0),"-")</f>
        <v/>
      </c>
      <c r="AB138" s="248">
        <f>IF(AND(D138="Congé",F138="Congé"),0.333333333333333,IF(OR(AND(D138="Congé",F138&lt;&gt;"Congé"),(AND(F138="Congé",D138&lt;&gt;"Congé"))),0.166666666666667,""))</f>
        <v/>
      </c>
      <c r="AC138" s="248">
        <f>IF(AND(D138="Congé sans solde",F138="Congé sans solde"),0.333333333333333,IF(OR(AND(D138="Congé sans solde",F138&lt;&gt;"Congé sans solde"),(AND(F138="Congé sans solde",D138&lt;&gt;"Congé sans solde"))),0.166666666666667,""))</f>
        <v/>
      </c>
      <c r="AD138" s="248">
        <f>IF(AND(D138="Congé spécial",F138="Congé spécial"),0.333333333333333,IF(OR(AND(D138="Congé spécial",F138&lt;&gt;"Congé décès"),(AND(F138="Congé spécial",D138&lt;&gt;"Congé spécial"))),0.166666666666667,""))</f>
        <v/>
      </c>
      <c r="AE138" s="249">
        <f>IF(AND(D138="Férié",F138="Férié"),0.333333333333333,IF(OR(AND(D138="Férié",F138&lt;&gt;"Férié"),(AND(F138="Férié",D138&lt;&gt;"Férié"))),0.166666666666667,""))</f>
        <v/>
      </c>
      <c r="AF138" s="249" t="n"/>
      <c r="AG138" s="244" t="n"/>
    </row>
    <row r="139" hidden="1" ht="12.75" customHeight="1" s="231">
      <c r="A139" s="232">
        <f>VLOOKUP(B139,Annuaire_roster!B:F,5,0)</f>
        <v/>
      </c>
      <c r="B139" s="233" t="inlineStr">
        <is>
          <t>QARBOUI Aymane</t>
        </is>
      </c>
      <c r="C139" s="234">
        <f>IFERROR(IF(COUNTIFS(Connexions!$K:$K,$Q139,Connexions!$E:$E,VLOOKUP($B139,Mapping_Noms!$A:$B,2,0))=0,"",_xlfn.MINIFS(Connexions!$M:$M,Connexions!$K:$K,$Q139,Connexions!$E:$E,VLOOKUP($B139,Mapping_Noms!$A:$B,2,0))-TIME(1,0,0)),"")</f>
        <v/>
      </c>
      <c r="D139" s="234">
        <f t="array" ref="D139:D139">IFERROR(INDEX(Planning2[],MATCH(1,(Planning2[Nom]=B139)*(Planning2[Date]=Q139),0),3),"-")</f>
        <v/>
      </c>
      <c r="E139" s="235">
        <f>IFERROR(IF(COUNTIFS(Connexions!$K:$K,$Q139,Connexions!$E:$E,VLOOKUP($B139,Mapping_Noms!$A:$B,2,0))=0,"",_xlfn.MAXIFS(Connexions!$O:$O,Connexions!$K:$K,$Q139,Connexions!$E:$E,VLOOKUP($B139,Mapping_Noms!$A:$B,2,0))-TIME(1,0,0)),"")</f>
        <v/>
      </c>
      <c r="F139" s="235">
        <f t="array" ref="F139:F139">IFERROR(INDEX(Planning2[],MATCH(1,(Planning2[Nom]=B139)*(Planning2[Date]=Q139),0),4),"-")</f>
        <v/>
      </c>
      <c r="G139" s="405">
        <f>IFERROR(IF(OR(IFERROR(INDEX('Planning Pauses Dej'!$C:$C,MATCH($B139&amp;"|"&amp;TEXT($Q139,"YYYYMMDD"),'Planning Pauses Dej'!$F:$F,0)),"")="",IFERROR(INDEX('Planning Pauses Dej'!$D:$D,MATCH($B139&amp;"|"&amp;TEXT($Q139,"YYYYMMDD"),'Planning Pauses Dej'!$F:$F,0)),"")=""),"",_xlfn.MAXIFS(Connexions!$Q:$Q,Connexions!$K:$K,$Q139,Connexions!$E:$E,VLOOKUP($B139,Mapping_Noms!$A:$B,2,0),Connexions!$O:$O,"&lt;="&amp;(IFERROR(INDEX('Planning Pauses Dej'!$D:$D,MATCH($B139&amp;"|"&amp;TEXT($Q139,"YYYYMMDD"),'Planning Pauses Dej'!$F:$F,0)),"")+TIME(1,0,0)),Connexions!$P:$P,"&gt;="&amp;(IFERROR(INDEX('Planning Pauses Dej'!$C:$C,MATCH($B139&amp;"|"&amp;TEXT($Q139,"YYYYMMDD"),'Planning Pauses Dej'!$F:$F,0)),"")+TIME(1,0,0)))),"")</f>
        <v/>
      </c>
      <c r="H139" s="405">
        <f>IFERROR(IF(OR($G139="",IFERROR(INDEX('Planning Pauses Dej'!$C:$C,MATCH($B139&amp;"|"&amp;TEXT($Q139,"YYYYMMDD"),'Planning Pauses Dej'!$F:$F,0)),"")="",IFERROR(INDEX('Planning Pauses Dej'!$D:$D,MATCH($B139&amp;"|"&amp;TEXT($Q139,"YYYYMMDD"),'Planning Pauses Dej'!$F:$F,0)),"")=""),"",IF($G139&gt;(IFERROR(INDEX('Planning Pauses Dej'!$D:$D,MATCH($B139&amp;"|"&amp;TEXT($Q139,"YYYYMMDD"),'Planning Pauses Dej'!$F:$F,0)),"")-IFERROR(INDEX('Planning Pauses Dej'!$C:$C,MATCH($B139&amp;"|"&amp;TEXT($Q139,"YYYYMMDD"),'Planning Pauses Dej'!$F:$F,0)),"")),$G139-(IFERROR(INDEX('Planning Pauses Dej'!$D:$D,MATCH($B139&amp;"|"&amp;TEXT($Q139,"YYYYMMDD"),'Planning Pauses Dej'!$F:$F,0)),"")-IFERROR(INDEX('Planning Pauses Dej'!$C:$C,MATCH($B139&amp;"|"&amp;TEXT($Q139,"YYYYMMDD"),'Planning Pauses Dej'!$F:$F,0)),"")),0)),"")</f>
        <v/>
      </c>
      <c r="I139" s="251">
        <f>IF(IF(OR(C139="",D139="Congé",D139="OFF",D139="Congé spécial"),"",IF(D139&gt;F139,D139-C139,IF(C139-D139&lt;0,0,C139-D139)))&lt;0.00068287037037037,"",IF(OR(D139="Congé",D139="OFF",C139="",D139="Congé spécial"),"",IF(D139&gt;F139,D139-C139,IF(C139-D139&lt;0,0,C139-D139))))</f>
        <v/>
      </c>
      <c r="J139" s="405">
        <f>IFERROR(IF($G139="","",IF($G139&gt;TIME(1,0,0),$G139-TIME(1,0,0),0)),"")</f>
        <v/>
      </c>
      <c r="K139" s="238">
        <f>IF(SUM(H139:J139)&lt;0.00068287037037037,0,SUM(H139:J139))</f>
        <v/>
      </c>
      <c r="L139" s="236">
        <f>IF(OR(F139="Congé",F139="OFF",M139="Abs",F139="Congé sans solde",F139="Férié",F139="Congé spécial",D139="Congé spécial"),0,IF(F139-E139&lt;0,0,IF(F139-E139&lt;=0.00068287037037037,0,F139-E139)))</f>
        <v/>
      </c>
      <c r="M139" s="239">
        <f>IF(AND(O139&lt;&gt;0,C139=""),"Abs",0)</f>
        <v/>
      </c>
      <c r="N139" s="240">
        <f>IFERROR(IF(OR(D139="OFF",D139="Congé",M139="Abs",D139="Congé sans solde",D139="Férié"),"",IF(O139-K139-L139&gt;O139,O139,IF(O139-K139-L139&lt;0,"",O139-K139-L139))),"")</f>
        <v/>
      </c>
      <c r="O139" s="241">
        <f>IF(AG139="2H Pause déjeuner",IF(F139-D139-0.0833333333333333&lt;0,F139-D139-0.0833333333333333+1,F139-D139-0.0833333333333333),IF(OR(AND(F139="OFF",D139="OFF"),AND(F139="Congé",D139="Congé"),AND(F139="Congé sans solde",D139="Congé sans solde"),AND(F139="Congé spécial",D139="Congé spécial"),AND(F139="Férié",D139="Férié"),AND(F139="OFF",D139="Congé"),AND(F139="OFF",D139="Congé sans solde"),AND(F139="OFF",D139="Congé spécial"),AND(F139="OFF",D139="Férié"),AND(F139="Congé",D139="OFF"),AND(F139="Congé",D139="Congé sans solde"),AND(F139="Congé",D139="Congé spécial"),AND(F139="Congé",D139="Férié"),AND(F139="Congé sans solde",D139="OFF"),AND(F139="Congé sans solde",D139="Congé"),AND(F139="Congé sans solde",D139="Congé spécial"),AND(F139="Congé sans solde",D139="Férié"),AND(F139="Congé spécial",D139="OFF"),AND(F139="Congé spécial",D139="Congé"),AND(F139="Congé spécial",D139="Congé sans solde"),AND(F139="Congé spécial",D139="Férié"),AND(F139="Férié",D139="OFF"),AND(F139="Férié",D139="Congé"),AND(F139="Férié",D139="Congé sans solde"),AND(F139="Férié",D139="Congé spécial")),0,IF(OR(F139="OFF",F139="Congé",F139="Congé spécial",F139="Congé sans solde",D139="OFF",D139="Congé",D139="Congé spécial",D139="Congé sans solde"),0.208333333333334,IF(AND(AG139="",F139-D139&lt;0),("24:00:00"-D139)+("00:00:00"+F139)-0.0416666666666667,IF(AND(OR(AG139="Allaitement",AG139="Sans déjeuner"),F139-D139&lt;0),("24:00:00"-D139)+("00:00:00"+F139),IF(AND(AG139="",F139-D139&gt;0.166666666666667),F139-D139-0.0416666666666667,IF(AND(OR(AG139="Allaitement",AG139="Sans déjeuner"),F139-D139&gt;0.166666666666667),F139-D139,F139-D139)))))))</f>
        <v/>
      </c>
      <c r="P139" s="242">
        <f>IFERROR(VLOOKUP($B139,Annuaire_roster!$B:$G,MATCH(P$1,Annuaire_roster!$B$1:$G$1,0),0),"-")</f>
        <v/>
      </c>
      <c r="Q139" s="243" t="n">
        <v>44765</v>
      </c>
      <c r="R139" s="244">
        <f>IF(M139="Abs",O139,0)</f>
        <v/>
      </c>
      <c r="S139" s="244">
        <f>SUM(R139,L139,I139,J139,W139,H139)</f>
        <v/>
      </c>
      <c r="T139" s="209">
        <f>"Sem - "&amp;WEEKNUM(Q139,21)</f>
        <v/>
      </c>
      <c r="U139" s="209">
        <f>PROPER(TEXT(Q139,"mmmm"))</f>
        <v/>
      </c>
      <c r="V139" s="245">
        <f>+TEXT(Q139,"aaa")</f>
        <v/>
      </c>
      <c r="W139" s="240" t="n"/>
      <c r="X139" s="246">
        <f>IFERROR(IF(M139="Abs",0,IF((D139-C139+E139-F139)&lt;0.000694444444444444,0,(D139-C139+E139-F139))),0)</f>
        <v/>
      </c>
      <c r="Y139" s="247">
        <f>IFERROR(VLOOKUP(B139,Annuaire_roster!B:E,4,0),"-")</f>
        <v/>
      </c>
      <c r="Z139" s="247">
        <f>IFERROR(VLOOKUP(B139,Annuaire_roster!B:F,3,0),"-")</f>
        <v/>
      </c>
      <c r="AA139" s="247">
        <f>IFERROR(VLOOKUP(B139,Annuaire_roster!B:I,6,0),"-")</f>
        <v/>
      </c>
      <c r="AB139" s="248">
        <f>IF(AND(D139="Congé",F139="Congé"),0.333333333333333,IF(OR(AND(D139="Congé",F139&lt;&gt;"Congé"),(AND(F139="Congé",D139&lt;&gt;"Congé"))),0.166666666666667,""))</f>
        <v/>
      </c>
      <c r="AC139" s="248">
        <f>IF(AND(D139="Congé sans solde",F139="Congé sans solde"),0.333333333333333,IF(OR(AND(D139="Congé sans solde",F139&lt;&gt;"Congé sans solde"),(AND(F139="Congé sans solde",D139&lt;&gt;"Congé sans solde"))),0.166666666666667,""))</f>
        <v/>
      </c>
      <c r="AD139" s="248">
        <f>IF(AND(D139="Congé spécial",F139="Congé spécial"),0.333333333333333,IF(OR(AND(D139="Congé spécial",F139&lt;&gt;"Congé décès"),(AND(F139="Congé spécial",D139&lt;&gt;"Congé spécial"))),0.166666666666667,""))</f>
        <v/>
      </c>
      <c r="AE139" s="249">
        <f>IF(AND(D139="Férié",F139="Férié"),0.333333333333333,IF(OR(AND(D139="Férié",F139&lt;&gt;"Férié"),(AND(F139="Férié",D139&lt;&gt;"Férié"))),0.166666666666667,""))</f>
        <v/>
      </c>
      <c r="AF139" s="249" t="n"/>
      <c r="AG139" s="244" t="n"/>
    </row>
    <row r="140" hidden="1" ht="12.75" customHeight="1" s="231">
      <c r="A140" s="232">
        <f>VLOOKUP(B140,Annuaire_roster!B:F,5,0)</f>
        <v/>
      </c>
      <c r="B140" s="233" t="inlineStr">
        <is>
          <t>AIT LARBI HIND</t>
        </is>
      </c>
      <c r="C140" s="234">
        <f>IFERROR(IF(COUNTIFS(Connexions!$K:$K,$Q140,Connexions!$E:$E,VLOOKUP($B140,Mapping_Noms!$A:$B,2,0))=0,"",_xlfn.MINIFS(Connexions!$M:$M,Connexions!$K:$K,$Q140,Connexions!$E:$E,VLOOKUP($B140,Mapping_Noms!$A:$B,2,0))-TIME(1,0,0)),"")</f>
        <v/>
      </c>
      <c r="D140" s="234">
        <f t="array" ref="D140:D140">IFERROR(INDEX(Planning2[],MATCH(1,(Planning2[Nom]=B140)*(Planning2[Date]=Q140),0),3),"-")</f>
        <v/>
      </c>
      <c r="E140" s="235">
        <f>IFERROR(IF(COUNTIFS(Connexions!$K:$K,$Q140,Connexions!$E:$E,VLOOKUP($B140,Mapping_Noms!$A:$B,2,0))=0,"",_xlfn.MAXIFS(Connexions!$O:$O,Connexions!$K:$K,$Q140,Connexions!$E:$E,VLOOKUP($B140,Mapping_Noms!$A:$B,2,0))-TIME(1,0,0)),"")</f>
        <v/>
      </c>
      <c r="F140" s="235">
        <f t="array" ref="F140:F140">IFERROR(INDEX(Planning2[],MATCH(1,(Planning2[Nom]=B140)*(Planning2[Date]=Q140),0),4),"-")</f>
        <v/>
      </c>
      <c r="G140" s="405">
        <f>IFERROR(IF(OR(IFERROR(INDEX('Planning Pauses Dej'!$C:$C,MATCH($B140&amp;"|"&amp;TEXT($Q140,"YYYYMMDD"),'Planning Pauses Dej'!$F:$F,0)),"")="",IFERROR(INDEX('Planning Pauses Dej'!$D:$D,MATCH($B140&amp;"|"&amp;TEXT($Q140,"YYYYMMDD"),'Planning Pauses Dej'!$F:$F,0)),"")=""),"",_xlfn.MAXIFS(Connexions!$Q:$Q,Connexions!$K:$K,$Q140,Connexions!$E:$E,VLOOKUP($B140,Mapping_Noms!$A:$B,2,0),Connexions!$O:$O,"&lt;="&amp;(IFERROR(INDEX('Planning Pauses Dej'!$D:$D,MATCH($B140&amp;"|"&amp;TEXT($Q140,"YYYYMMDD"),'Planning Pauses Dej'!$F:$F,0)),"")+TIME(1,0,0)),Connexions!$P:$P,"&gt;="&amp;(IFERROR(INDEX('Planning Pauses Dej'!$C:$C,MATCH($B140&amp;"|"&amp;TEXT($Q140,"YYYYMMDD"),'Planning Pauses Dej'!$F:$F,0)),"")+TIME(1,0,0)))),"")</f>
        <v/>
      </c>
      <c r="H140" s="405">
        <f>IFERROR(IF(OR($G140="",IFERROR(INDEX('Planning Pauses Dej'!$C:$C,MATCH($B140&amp;"|"&amp;TEXT($Q140,"YYYYMMDD"),'Planning Pauses Dej'!$F:$F,0)),"")="",IFERROR(INDEX('Planning Pauses Dej'!$D:$D,MATCH($B140&amp;"|"&amp;TEXT($Q140,"YYYYMMDD"),'Planning Pauses Dej'!$F:$F,0)),"")=""),"",IF($G140&gt;(IFERROR(INDEX('Planning Pauses Dej'!$D:$D,MATCH($B140&amp;"|"&amp;TEXT($Q140,"YYYYMMDD"),'Planning Pauses Dej'!$F:$F,0)),"")-IFERROR(INDEX('Planning Pauses Dej'!$C:$C,MATCH($B140&amp;"|"&amp;TEXT($Q140,"YYYYMMDD"),'Planning Pauses Dej'!$F:$F,0)),"")),$G140-(IFERROR(INDEX('Planning Pauses Dej'!$D:$D,MATCH($B140&amp;"|"&amp;TEXT($Q140,"YYYYMMDD"),'Planning Pauses Dej'!$F:$F,0)),"")-IFERROR(INDEX('Planning Pauses Dej'!$C:$C,MATCH($B140&amp;"|"&amp;TEXT($Q140,"YYYYMMDD"),'Planning Pauses Dej'!$F:$F,0)),"")),0)),"")</f>
        <v/>
      </c>
      <c r="I140" s="251">
        <f>IF(IF(OR(C140="",D140="Congé",D140="OFF",D140="Congé spécial"),"",IF(D140&gt;F140,D140-C140,IF(C140-D140&lt;0,0,C140-D140)))&lt;0.00068287037037037,"",IF(OR(D140="Congé",D140="OFF",C140="",D140="Congé spécial"),"",IF(D140&gt;F140,D140-C140,IF(C140-D140&lt;0,0,C140-D140))))</f>
        <v/>
      </c>
      <c r="J140" s="405">
        <f>IFERROR(IF($G140="","",IF($G140&gt;TIME(1,0,0),$G140-TIME(1,0,0),0)),"")</f>
        <v/>
      </c>
      <c r="K140" s="238">
        <f>IF(SUM(H140:J140)&lt;0.00068287037037037,0,SUM(H140:J140))</f>
        <v/>
      </c>
      <c r="L140" s="236">
        <f>IF(OR(F140="Congé",F140="OFF",M140="Abs",F140="Congé sans solde",F140="Férié",F140="Congé spécial",D140="Congé spécial"),0,IF(F140-E140&lt;0,0,IF(F140-E140&lt;=0.00068287037037037,0,F140-E140)))</f>
        <v/>
      </c>
      <c r="M140" s="239">
        <f>IF(AND(O140&lt;&gt;0,C140=""),"Abs",0)</f>
        <v/>
      </c>
      <c r="N140" s="240">
        <f>IFERROR(IF(OR(D140="OFF",D140="Congé",M140="Abs",D140="Congé sans solde",D140="Férié"),"",IF(O140-K140-L140&gt;O140,O140,IF(O140-K140-L140&lt;0,"",O140-K140-L140))),"")</f>
        <v/>
      </c>
      <c r="O140" s="241">
        <f>IF(AG140="2H Pause déjeuner",IF(F140-D140-0.0833333333333333&lt;0,F140-D140-0.0833333333333333+1,F140-D140-0.0833333333333333),IF(OR(AND(F140="OFF",D140="OFF"),AND(F140="Congé",D140="Congé"),AND(F140="Congé sans solde",D140="Congé sans solde"),AND(F140="Congé spécial",D140="Congé spécial"),AND(F140="Férié",D140="Férié"),AND(F140="OFF",D140="Congé"),AND(F140="OFF",D140="Congé sans solde"),AND(F140="OFF",D140="Congé spécial"),AND(F140="OFF",D140="Férié"),AND(F140="Congé",D140="OFF"),AND(F140="Congé",D140="Congé sans solde"),AND(F140="Congé",D140="Congé spécial"),AND(F140="Congé",D140="Férié"),AND(F140="Congé sans solde",D140="OFF"),AND(F140="Congé sans solde",D140="Congé"),AND(F140="Congé sans solde",D140="Congé spécial"),AND(F140="Congé sans solde",D140="Férié"),AND(F140="Congé spécial",D140="OFF"),AND(F140="Congé spécial",D140="Congé"),AND(F140="Congé spécial",D140="Congé sans solde"),AND(F140="Congé spécial",D140="Férié"),AND(F140="Férié",D140="OFF"),AND(F140="Férié",D140="Congé"),AND(F140="Férié",D140="Congé sans solde"),AND(F140="Férié",D140="Congé spécial")),0,IF(OR(F140="OFF",F140="Congé",F140="Congé spécial",F140="Congé sans solde",D140="OFF",D140="Congé",D140="Congé spécial",D140="Congé sans solde"),0.208333333333334,IF(AND(AG140="",F140-D140&lt;0),("24:00:00"-D140)+("00:00:00"+F140)-0.0416666666666667,IF(AND(OR(AG140="Allaitement",AG140="Sans déjeuner"),F140-D140&lt;0),("24:00:00"-D140)+("00:00:00"+F140),IF(AND(AG140="",F140-D140&gt;0.166666666666667),F140-D140-0.0416666666666667,IF(AND(OR(AG140="Allaitement",AG140="Sans déjeuner"),F140-D140&gt;0.166666666666667),F140-D140,F140-D140)))))))</f>
        <v/>
      </c>
      <c r="P140" s="242">
        <f>IFERROR(VLOOKUP($B140,Annuaire_roster!$B:$G,MATCH(P$1,Annuaire_roster!$B$1:$G$1,0),0),"-")</f>
        <v/>
      </c>
      <c r="Q140" s="243" t="n">
        <v>44765</v>
      </c>
      <c r="R140" s="244">
        <f>IF(M140="Abs",O140,0)</f>
        <v/>
      </c>
      <c r="S140" s="244">
        <f>SUM(R140,L140,I140,J140,W140,H140)</f>
        <v/>
      </c>
      <c r="T140" s="209">
        <f>"Sem - "&amp;WEEKNUM(Q140,21)</f>
        <v/>
      </c>
      <c r="U140" s="209">
        <f>PROPER(TEXT(Q140,"mmmm"))</f>
        <v/>
      </c>
      <c r="V140" s="245">
        <f>+TEXT(Q140,"aaa")</f>
        <v/>
      </c>
      <c r="W140" s="240" t="n"/>
      <c r="X140" s="246">
        <f>IFERROR(IF(M140="Abs",0,IF((D140-C140+E140-F140)&lt;0.000694444444444444,0,(D140-C140+E140-F140))),0)</f>
        <v/>
      </c>
      <c r="Y140" s="247">
        <f>IFERROR(VLOOKUP(B140,Annuaire_roster!B:E,4,0),"-")</f>
        <v/>
      </c>
      <c r="Z140" s="247">
        <f>IFERROR(VLOOKUP(B140,Annuaire_roster!B:F,3,0),"-")</f>
        <v/>
      </c>
      <c r="AA140" s="247">
        <f>IFERROR(VLOOKUP(B140,Annuaire_roster!B:I,6,0),"-")</f>
        <v/>
      </c>
      <c r="AB140" s="248">
        <f>IF(AND(D140="Congé",F140="Congé"),0.333333333333333,IF(OR(AND(D140="Congé",F140&lt;&gt;"Congé"),(AND(F140="Congé",D140&lt;&gt;"Congé"))),0.166666666666667,""))</f>
        <v/>
      </c>
      <c r="AC140" s="248">
        <f>IF(AND(D140="Congé sans solde",F140="Congé sans solde"),0.333333333333333,IF(OR(AND(D140="Congé sans solde",F140&lt;&gt;"Congé sans solde"),(AND(F140="Congé sans solde",D140&lt;&gt;"Congé sans solde"))),0.166666666666667,""))</f>
        <v/>
      </c>
      <c r="AD140" s="248">
        <f>IF(AND(D140="Congé spécial",F140="Congé spécial"),0.333333333333333,IF(OR(AND(D140="Congé spécial",F140&lt;&gt;"Congé décès"),(AND(F140="Congé spécial",D140&lt;&gt;"Congé spécial"))),0.166666666666667,""))</f>
        <v/>
      </c>
      <c r="AE140" s="249">
        <f>IF(AND(D140="Férié",F140="Férié"),0.333333333333333,IF(OR(AND(D140="Férié",F140&lt;&gt;"Férié"),(AND(F140="Férié",D140&lt;&gt;"Férié"))),0.166666666666667,""))</f>
        <v/>
      </c>
      <c r="AF140" s="249" t="n"/>
      <c r="AG140" s="244" t="n"/>
    </row>
    <row r="141" hidden="1" ht="12.75" customHeight="1" s="231">
      <c r="A141" s="232">
        <f>VLOOKUP(B141,Annuaire_roster!B:F,5,0)</f>
        <v/>
      </c>
      <c r="B141" s="233" t="inlineStr">
        <is>
          <t>ZAKI OMAR</t>
        </is>
      </c>
      <c r="C141" s="234">
        <f>IFERROR(IF(COUNTIFS(Connexions!$K:$K,$Q141,Connexions!$E:$E,VLOOKUP($B141,Mapping_Noms!$A:$B,2,0))=0,"",_xlfn.MINIFS(Connexions!$M:$M,Connexions!$K:$K,$Q141,Connexions!$E:$E,VLOOKUP($B141,Mapping_Noms!$A:$B,2,0))-TIME(1,0,0)),"")</f>
        <v/>
      </c>
      <c r="D141" s="234">
        <f t="array" ref="D141:D141">IFERROR(INDEX(Planning2[],MATCH(1,(Planning2[Nom]=B141)*(Planning2[Date]=Q141),0),3),"-")</f>
        <v/>
      </c>
      <c r="E141" s="235">
        <f>IFERROR(IF(COUNTIFS(Connexions!$K:$K,$Q141,Connexions!$E:$E,VLOOKUP($B141,Mapping_Noms!$A:$B,2,0))=0,"",_xlfn.MAXIFS(Connexions!$O:$O,Connexions!$K:$K,$Q141,Connexions!$E:$E,VLOOKUP($B141,Mapping_Noms!$A:$B,2,0))-TIME(1,0,0)),"")</f>
        <v/>
      </c>
      <c r="F141" s="235">
        <f t="array" ref="F141:F141">IFERROR(INDEX(Planning2[],MATCH(1,(Planning2[Nom]=B141)*(Planning2[Date]=Q141),0),4),"-")</f>
        <v/>
      </c>
      <c r="G141" s="405">
        <f>IFERROR(IF(OR(IFERROR(INDEX('Planning Pauses Dej'!$C:$C,MATCH($B141&amp;"|"&amp;TEXT($Q141,"YYYYMMDD"),'Planning Pauses Dej'!$F:$F,0)),"")="",IFERROR(INDEX('Planning Pauses Dej'!$D:$D,MATCH($B141&amp;"|"&amp;TEXT($Q141,"YYYYMMDD"),'Planning Pauses Dej'!$F:$F,0)),"")=""),"",_xlfn.MAXIFS(Connexions!$Q:$Q,Connexions!$K:$K,$Q141,Connexions!$E:$E,VLOOKUP($B141,Mapping_Noms!$A:$B,2,0),Connexions!$O:$O,"&lt;="&amp;(IFERROR(INDEX('Planning Pauses Dej'!$D:$D,MATCH($B141&amp;"|"&amp;TEXT($Q141,"YYYYMMDD"),'Planning Pauses Dej'!$F:$F,0)),"")+TIME(1,0,0)),Connexions!$P:$P,"&gt;="&amp;(IFERROR(INDEX('Planning Pauses Dej'!$C:$C,MATCH($B141&amp;"|"&amp;TEXT($Q141,"YYYYMMDD"),'Planning Pauses Dej'!$F:$F,0)),"")+TIME(1,0,0)))),"")</f>
        <v/>
      </c>
      <c r="H141" s="405">
        <f>IFERROR(IF(OR($G141="",IFERROR(INDEX('Planning Pauses Dej'!$C:$C,MATCH($B141&amp;"|"&amp;TEXT($Q141,"YYYYMMDD"),'Planning Pauses Dej'!$F:$F,0)),"")="",IFERROR(INDEX('Planning Pauses Dej'!$D:$D,MATCH($B141&amp;"|"&amp;TEXT($Q141,"YYYYMMDD"),'Planning Pauses Dej'!$F:$F,0)),"")=""),"",IF($G141&gt;(IFERROR(INDEX('Planning Pauses Dej'!$D:$D,MATCH($B141&amp;"|"&amp;TEXT($Q141,"YYYYMMDD"),'Planning Pauses Dej'!$F:$F,0)),"")-IFERROR(INDEX('Planning Pauses Dej'!$C:$C,MATCH($B141&amp;"|"&amp;TEXT($Q141,"YYYYMMDD"),'Planning Pauses Dej'!$F:$F,0)),"")),$G141-(IFERROR(INDEX('Planning Pauses Dej'!$D:$D,MATCH($B141&amp;"|"&amp;TEXT($Q141,"YYYYMMDD"),'Planning Pauses Dej'!$F:$F,0)),"")-IFERROR(INDEX('Planning Pauses Dej'!$C:$C,MATCH($B141&amp;"|"&amp;TEXT($Q141,"YYYYMMDD"),'Planning Pauses Dej'!$F:$F,0)),"")),0)),"")</f>
        <v/>
      </c>
      <c r="I141" s="251">
        <f>IF(IF(OR(C141="",D141="Congé",D141="OFF",D141="Congé spécial"),"",IF(D141&gt;F141,D141-C141,IF(C141-D141&lt;0,0,C141-D141)))&lt;0.00068287037037037,"",IF(OR(D141="Congé",D141="OFF",C141="",D141="Congé spécial"),"",IF(D141&gt;F141,D141-C141,IF(C141-D141&lt;0,0,C141-D141))))</f>
        <v/>
      </c>
      <c r="J141" s="405">
        <f>IFERROR(IF($G141="","",IF($G141&gt;TIME(1,0,0),$G141-TIME(1,0,0),0)),"")</f>
        <v/>
      </c>
      <c r="K141" s="238">
        <f>IF(SUM(H141:J141)&lt;0.00068287037037037,0,SUM(H141:J141))</f>
        <v/>
      </c>
      <c r="L141" s="236">
        <f>IF(OR(F141="Congé",F141="OFF",M141="Abs",F141="Congé sans solde",F141="Férié",F141="Congé spécial",D141="Congé spécial"),0,IF(F141-E141&lt;0,0,IF(F141-E141&lt;=0.00068287037037037,0,F141-E141)))</f>
        <v/>
      </c>
      <c r="M141" s="239">
        <f>IF(AND(O141&lt;&gt;0,C141=""),"Abs",0)</f>
        <v/>
      </c>
      <c r="N141" s="240">
        <f>IFERROR(IF(OR(D141="OFF",D141="Congé",M141="Abs",D141="Congé sans solde",D141="Férié"),"",IF(O141-K141-L141&gt;O141,O141,IF(O141-K141-L141&lt;0,"",O141-K141-L141))),"")</f>
        <v/>
      </c>
      <c r="O141" s="241">
        <f>IF(AG141="2H Pause déjeuner",IF(F141-D141-0.0833333333333333&lt;0,F141-D141-0.0833333333333333+1,F141-D141-0.0833333333333333),IF(OR(AND(F141="OFF",D141="OFF"),AND(F141="Congé",D141="Congé"),AND(F141="Congé sans solde",D141="Congé sans solde"),AND(F141="Congé spécial",D141="Congé spécial"),AND(F141="Férié",D141="Férié"),AND(F141="OFF",D141="Congé"),AND(F141="OFF",D141="Congé sans solde"),AND(F141="OFF",D141="Congé spécial"),AND(F141="OFF",D141="Férié"),AND(F141="Congé",D141="OFF"),AND(F141="Congé",D141="Congé sans solde"),AND(F141="Congé",D141="Congé spécial"),AND(F141="Congé",D141="Férié"),AND(F141="Congé sans solde",D141="OFF"),AND(F141="Congé sans solde",D141="Congé"),AND(F141="Congé sans solde",D141="Congé spécial"),AND(F141="Congé sans solde",D141="Férié"),AND(F141="Congé spécial",D141="OFF"),AND(F141="Congé spécial",D141="Congé"),AND(F141="Congé spécial",D141="Congé sans solde"),AND(F141="Congé spécial",D141="Férié"),AND(F141="Férié",D141="OFF"),AND(F141="Férié",D141="Congé"),AND(F141="Férié",D141="Congé sans solde"),AND(F141="Férié",D141="Congé spécial")),0,IF(OR(F141="OFF",F141="Congé",F141="Congé spécial",F141="Congé sans solde",D141="OFF",D141="Congé",D141="Congé spécial",D141="Congé sans solde"),0.208333333333334,IF(AND(AG141="",F141-D141&lt;0),("24:00:00"-D141)+("00:00:00"+F141)-0.0416666666666667,IF(AND(OR(AG141="Allaitement",AG141="Sans déjeuner"),F141-D141&lt;0),("24:00:00"-D141)+("00:00:00"+F141),IF(AND(AG141="",F141-D141&gt;0.166666666666667),F141-D141-0.0416666666666667,IF(AND(OR(AG141="Allaitement",AG141="Sans déjeuner"),F141-D141&gt;0.166666666666667),F141-D141,F141-D141)))))))</f>
        <v/>
      </c>
      <c r="P141" s="242">
        <f>IFERROR(VLOOKUP($B141,Annuaire_roster!$B:$G,MATCH(P$1,Annuaire_roster!$B$1:$G$1,0),0),"-")</f>
        <v/>
      </c>
      <c r="Q141" s="243" t="n">
        <v>44765</v>
      </c>
      <c r="R141" s="244">
        <f>IF(M141="Abs",O141,0)</f>
        <v/>
      </c>
      <c r="S141" s="244">
        <f>SUM(R141,L141,I141,J141,W141,H141)</f>
        <v/>
      </c>
      <c r="T141" s="209">
        <f>"Sem - "&amp;WEEKNUM(Q141,21)</f>
        <v/>
      </c>
      <c r="U141" s="209">
        <f>PROPER(TEXT(Q141,"mmmm"))</f>
        <v/>
      </c>
      <c r="V141" s="245">
        <f>+TEXT(Q141,"aaa")</f>
        <v/>
      </c>
      <c r="W141" s="240" t="n"/>
      <c r="X141" s="246">
        <f>IFERROR(IF(M141="Abs",0,IF((D141-C141+E141-F141)&lt;0.000694444444444444,0,(D141-C141+E141-F141))),0)</f>
        <v/>
      </c>
      <c r="Y141" s="247">
        <f>IFERROR(VLOOKUP(B141,Annuaire_roster!B:E,4,0),"-")</f>
        <v/>
      </c>
      <c r="Z141" s="247">
        <f>IFERROR(VLOOKUP(B141,Annuaire_roster!B:F,3,0),"-")</f>
        <v/>
      </c>
      <c r="AA141" s="247">
        <f>IFERROR(VLOOKUP(B141,Annuaire_roster!B:I,6,0),"-")</f>
        <v/>
      </c>
      <c r="AB141" s="248">
        <f>IF(AND(D141="Congé",F141="Congé"),0.333333333333333,IF(OR(AND(D141="Congé",F141&lt;&gt;"Congé"),(AND(F141="Congé",D141&lt;&gt;"Congé"))),0.166666666666667,""))</f>
        <v/>
      </c>
      <c r="AC141" s="248">
        <f>IF(AND(D141="Congé sans solde",F141="Congé sans solde"),0.333333333333333,IF(OR(AND(D141="Congé sans solde",F141&lt;&gt;"Congé sans solde"),(AND(F141="Congé sans solde",D141&lt;&gt;"Congé sans solde"))),0.166666666666667,""))</f>
        <v/>
      </c>
      <c r="AD141" s="248">
        <f>IF(AND(D141="Congé spécial",F141="Congé spécial"),0.333333333333333,IF(OR(AND(D141="Congé spécial",F141&lt;&gt;"Congé décès"),(AND(F141="Congé spécial",D141&lt;&gt;"Congé spécial"))),0.166666666666667,""))</f>
        <v/>
      </c>
      <c r="AE141" s="249">
        <f>IF(AND(D141="Férié",F141="Férié"),0.333333333333333,IF(OR(AND(D141="Férié",F141&lt;&gt;"Férié"),(AND(F141="Férié",D141&lt;&gt;"Férié"))),0.166666666666667,""))</f>
        <v/>
      </c>
      <c r="AF141" s="249" t="n"/>
      <c r="AG141" s="244" t="n"/>
    </row>
    <row r="142" hidden="1" ht="12.75" customHeight="1" s="231">
      <c r="A142" s="232">
        <f>VLOOKUP(B142,Annuaire_roster!B:F,5,0)</f>
        <v/>
      </c>
      <c r="B142" s="233" t="inlineStr">
        <is>
          <t>ZITOUNI LAMYA</t>
        </is>
      </c>
      <c r="C142" s="234">
        <f>IFERROR(IF(COUNTIFS(Connexions!$K:$K,$Q142,Connexions!$E:$E,VLOOKUP($B142,Mapping_Noms!$A:$B,2,0))=0,"",_xlfn.MINIFS(Connexions!$M:$M,Connexions!$K:$K,$Q142,Connexions!$E:$E,VLOOKUP($B142,Mapping_Noms!$A:$B,2,0))-TIME(1,0,0)),"")</f>
        <v/>
      </c>
      <c r="D142" s="234">
        <f t="array" ref="D142:D142">IFERROR(INDEX(Planning2[],MATCH(1,(Planning2[Nom]=B142)*(Planning2[Date]=Q142),0),3),"-")</f>
        <v/>
      </c>
      <c r="E142" s="235">
        <f>IFERROR(IF(COUNTIFS(Connexions!$K:$K,$Q142,Connexions!$E:$E,VLOOKUP($B142,Mapping_Noms!$A:$B,2,0))=0,"",_xlfn.MAXIFS(Connexions!$O:$O,Connexions!$K:$K,$Q142,Connexions!$E:$E,VLOOKUP($B142,Mapping_Noms!$A:$B,2,0))-TIME(1,0,0)),"")</f>
        <v/>
      </c>
      <c r="F142" s="235">
        <f t="array" ref="F142:F142">IFERROR(INDEX(Planning2[],MATCH(1,(Planning2[Nom]=B142)*(Planning2[Date]=Q142),0),4),"-")</f>
        <v/>
      </c>
      <c r="G142" s="405">
        <f>IFERROR(IF(OR(IFERROR(INDEX('Planning Pauses Dej'!$C:$C,MATCH($B142&amp;"|"&amp;TEXT($Q142,"YYYYMMDD"),'Planning Pauses Dej'!$F:$F,0)),"")="",IFERROR(INDEX('Planning Pauses Dej'!$D:$D,MATCH($B142&amp;"|"&amp;TEXT($Q142,"YYYYMMDD"),'Planning Pauses Dej'!$F:$F,0)),"")=""),"",_xlfn.MAXIFS(Connexions!$Q:$Q,Connexions!$K:$K,$Q142,Connexions!$E:$E,VLOOKUP($B142,Mapping_Noms!$A:$B,2,0),Connexions!$O:$O,"&lt;="&amp;(IFERROR(INDEX('Planning Pauses Dej'!$D:$D,MATCH($B142&amp;"|"&amp;TEXT($Q142,"YYYYMMDD"),'Planning Pauses Dej'!$F:$F,0)),"")+TIME(1,0,0)),Connexions!$P:$P,"&gt;="&amp;(IFERROR(INDEX('Planning Pauses Dej'!$C:$C,MATCH($B142&amp;"|"&amp;TEXT($Q142,"YYYYMMDD"),'Planning Pauses Dej'!$F:$F,0)),"")+TIME(1,0,0)))),"")</f>
        <v/>
      </c>
      <c r="H142" s="405">
        <f>IFERROR(IF(OR($G142="",IFERROR(INDEX('Planning Pauses Dej'!$C:$C,MATCH($B142&amp;"|"&amp;TEXT($Q142,"YYYYMMDD"),'Planning Pauses Dej'!$F:$F,0)),"")="",IFERROR(INDEX('Planning Pauses Dej'!$D:$D,MATCH($B142&amp;"|"&amp;TEXT($Q142,"YYYYMMDD"),'Planning Pauses Dej'!$F:$F,0)),"")=""),"",IF($G142&gt;(IFERROR(INDEX('Planning Pauses Dej'!$D:$D,MATCH($B142&amp;"|"&amp;TEXT($Q142,"YYYYMMDD"),'Planning Pauses Dej'!$F:$F,0)),"")-IFERROR(INDEX('Planning Pauses Dej'!$C:$C,MATCH($B142&amp;"|"&amp;TEXT($Q142,"YYYYMMDD"),'Planning Pauses Dej'!$F:$F,0)),"")),$G142-(IFERROR(INDEX('Planning Pauses Dej'!$D:$D,MATCH($B142&amp;"|"&amp;TEXT($Q142,"YYYYMMDD"),'Planning Pauses Dej'!$F:$F,0)),"")-IFERROR(INDEX('Planning Pauses Dej'!$C:$C,MATCH($B142&amp;"|"&amp;TEXT($Q142,"YYYYMMDD"),'Planning Pauses Dej'!$F:$F,0)),"")),0)),"")</f>
        <v/>
      </c>
      <c r="I142" s="251">
        <f>IF(IF(OR(C142="",D142="Congé",D142="OFF",D142="Congé spécial"),"",IF(D142&gt;F142,D142-C142,IF(C142-D142&lt;0,0,C142-D142)))&lt;0.00068287037037037,"",IF(OR(D142="Congé",D142="OFF",C142="",D142="Congé spécial"),"",IF(D142&gt;F142,D142-C142,IF(C142-D142&lt;0,0,C142-D142))))</f>
        <v/>
      </c>
      <c r="J142" s="405">
        <f>IFERROR(IF($G142="","",IF($G142&gt;TIME(1,0,0),$G142-TIME(1,0,0),0)),"")</f>
        <v/>
      </c>
      <c r="K142" s="238">
        <f>IF(SUM(H142:J142)&lt;0.00068287037037037,0,SUM(H142:J142))</f>
        <v/>
      </c>
      <c r="L142" s="236">
        <f>IF(OR(F142="Congé",F142="OFF",M142="Abs",F142="Congé sans solde",F142="Férié",F142="Congé spécial",D142="Congé spécial"),0,IF(F142-E142&lt;0,0,IF(F142-E142&lt;=0.00068287037037037,0,F142-E142)))</f>
        <v/>
      </c>
      <c r="M142" s="239">
        <f>IF(AND(O142&lt;&gt;0,C142=""),"Abs",0)</f>
        <v/>
      </c>
      <c r="N142" s="240">
        <f>IFERROR(IF(OR(D142="OFF",D142="Congé",M142="Abs",D142="Congé sans solde",D142="Férié"),"",IF(O142-K142-L142&gt;O142,O142,IF(O142-K142-L142&lt;0,"",O142-K142-L142))),"")</f>
        <v/>
      </c>
      <c r="O142" s="241">
        <f>IF(AG142="2H Pause déjeuner",IF(F142-D142-0.0833333333333333&lt;0,F142-D142-0.0833333333333333+1,F142-D142-0.0833333333333333),IF(OR(AND(F142="OFF",D142="OFF"),AND(F142="Congé",D142="Congé"),AND(F142="Congé sans solde",D142="Congé sans solde"),AND(F142="Congé spécial",D142="Congé spécial"),AND(F142="Férié",D142="Férié"),AND(F142="OFF",D142="Congé"),AND(F142="OFF",D142="Congé sans solde"),AND(F142="OFF",D142="Congé spécial"),AND(F142="OFF",D142="Férié"),AND(F142="Congé",D142="OFF"),AND(F142="Congé",D142="Congé sans solde"),AND(F142="Congé",D142="Congé spécial"),AND(F142="Congé",D142="Férié"),AND(F142="Congé sans solde",D142="OFF"),AND(F142="Congé sans solde",D142="Congé"),AND(F142="Congé sans solde",D142="Congé spécial"),AND(F142="Congé sans solde",D142="Férié"),AND(F142="Congé spécial",D142="OFF"),AND(F142="Congé spécial",D142="Congé"),AND(F142="Congé spécial",D142="Congé sans solde"),AND(F142="Congé spécial",D142="Férié"),AND(F142="Férié",D142="OFF"),AND(F142="Férié",D142="Congé"),AND(F142="Férié",D142="Congé sans solde"),AND(F142="Férié",D142="Congé spécial")),0,IF(OR(F142="OFF",F142="Congé",F142="Congé spécial",F142="Congé sans solde",D142="OFF",D142="Congé",D142="Congé spécial",D142="Congé sans solde"),0.208333333333334,IF(AND(AG142="",F142-D142&lt;0),("24:00:00"-D142)+("00:00:00"+F142)-0.0416666666666667,IF(AND(OR(AG142="Allaitement",AG142="Sans déjeuner"),F142-D142&lt;0),("24:00:00"-D142)+("00:00:00"+F142),IF(AND(AG142="",F142-D142&gt;0.166666666666667),F142-D142-0.0416666666666667,IF(AND(OR(AG142="Allaitement",AG142="Sans déjeuner"),F142-D142&gt;0.166666666666667),F142-D142,F142-D142)))))))</f>
        <v/>
      </c>
      <c r="P142" s="242">
        <f>IFERROR(VLOOKUP($B142,Annuaire_roster!$B:$G,MATCH(P$1,Annuaire_roster!$B$1:$G$1,0),0),"-")</f>
        <v/>
      </c>
      <c r="Q142" s="243" t="n">
        <v>44765</v>
      </c>
      <c r="R142" s="244">
        <f>IF(M142="Abs",O142,0)</f>
        <v/>
      </c>
      <c r="S142" s="244">
        <f>SUM(R142,L142,I142,J142,W142,H142)</f>
        <v/>
      </c>
      <c r="T142" s="209">
        <f>"Sem - "&amp;WEEKNUM(Q142,21)</f>
        <v/>
      </c>
      <c r="U142" s="209">
        <f>PROPER(TEXT(Q142,"mmmm"))</f>
        <v/>
      </c>
      <c r="V142" s="245">
        <f>+TEXT(Q142,"aaa")</f>
        <v/>
      </c>
      <c r="W142" s="240" t="n"/>
      <c r="X142" s="246">
        <f>IFERROR(IF(M142="Abs",0,IF((D142-C142+E142-F142)&lt;0.000694444444444444,0,(D142-C142+E142-F142))),0)</f>
        <v/>
      </c>
      <c r="Y142" s="247">
        <f>IFERROR(VLOOKUP(B142,Annuaire_roster!B:E,4,0),"-")</f>
        <v/>
      </c>
      <c r="Z142" s="247">
        <f>IFERROR(VLOOKUP(B142,Annuaire_roster!B:F,3,0),"-")</f>
        <v/>
      </c>
      <c r="AA142" s="247">
        <f>IFERROR(VLOOKUP(B142,Annuaire_roster!B:I,6,0),"-")</f>
        <v/>
      </c>
      <c r="AB142" s="248">
        <f>IF(AND(D142="Congé",F142="Congé"),0.333333333333333,IF(OR(AND(D142="Congé",F142&lt;&gt;"Congé"),(AND(F142="Congé",D142&lt;&gt;"Congé"))),0.166666666666667,""))</f>
        <v/>
      </c>
      <c r="AC142" s="248">
        <f>IF(AND(D142="Congé sans solde",F142="Congé sans solde"),0.333333333333333,IF(OR(AND(D142="Congé sans solde",F142&lt;&gt;"Congé sans solde"),(AND(F142="Congé sans solde",D142&lt;&gt;"Congé sans solde"))),0.166666666666667,""))</f>
        <v/>
      </c>
      <c r="AD142" s="248">
        <f>IF(AND(D142="Congé spécial",F142="Congé spécial"),0.333333333333333,IF(OR(AND(D142="Congé spécial",F142&lt;&gt;"Congé décès"),(AND(F142="Congé spécial",D142&lt;&gt;"Congé spécial"))),0.166666666666667,""))</f>
        <v/>
      </c>
      <c r="AE142" s="249">
        <f>IF(AND(D142="Férié",F142="Férié"),0.333333333333333,IF(OR(AND(D142="Férié",F142&lt;&gt;"Férié"),(AND(F142="Férié",D142&lt;&gt;"Férié"))),0.166666666666667,""))</f>
        <v/>
      </c>
      <c r="AF142" s="249" t="n"/>
      <c r="AG142" s="244" t="n"/>
    </row>
    <row r="143" hidden="1" ht="12.75" customHeight="1" s="231">
      <c r="A143" s="232">
        <f>VLOOKUP(B143,Annuaire_roster!B:F,5,0)</f>
        <v/>
      </c>
      <c r="B143" s="233" t="inlineStr">
        <is>
          <t>BOULHROUD SALMA</t>
        </is>
      </c>
      <c r="C143" s="234">
        <f>IFERROR(IF(COUNTIFS(Connexions!$K:$K,$Q143,Connexions!$E:$E,VLOOKUP($B143,Mapping_Noms!$A:$B,2,0))=0,"",_xlfn.MINIFS(Connexions!$M:$M,Connexions!$K:$K,$Q143,Connexions!$E:$E,VLOOKUP($B143,Mapping_Noms!$A:$B,2,0))-TIME(1,0,0)),"")</f>
        <v/>
      </c>
      <c r="D143" s="234">
        <f t="array" ref="D143:D143">IFERROR(INDEX(Planning2[],MATCH(1,(Planning2[Nom]=B143)*(Planning2[Date]=Q143),0),3),"-")</f>
        <v/>
      </c>
      <c r="E143" s="235">
        <f>IFERROR(IF(COUNTIFS(Connexions!$K:$K,$Q143,Connexions!$E:$E,VLOOKUP($B143,Mapping_Noms!$A:$B,2,0))=0,"",_xlfn.MAXIFS(Connexions!$O:$O,Connexions!$K:$K,$Q143,Connexions!$E:$E,VLOOKUP($B143,Mapping_Noms!$A:$B,2,0))-TIME(1,0,0)),"")</f>
        <v/>
      </c>
      <c r="F143" s="235">
        <f t="array" ref="F143:F143">IFERROR(INDEX(Planning2[],MATCH(1,(Planning2[Nom]=B143)*(Planning2[Date]=Q143),0),4),"-")</f>
        <v/>
      </c>
      <c r="G143" s="405">
        <f>IFERROR(IF(OR(IFERROR(INDEX('Planning Pauses Dej'!$C:$C,MATCH($B143&amp;"|"&amp;TEXT($Q143,"YYYYMMDD"),'Planning Pauses Dej'!$F:$F,0)),"")="",IFERROR(INDEX('Planning Pauses Dej'!$D:$D,MATCH($B143&amp;"|"&amp;TEXT($Q143,"YYYYMMDD"),'Planning Pauses Dej'!$F:$F,0)),"")=""),"",_xlfn.MAXIFS(Connexions!$Q:$Q,Connexions!$K:$K,$Q143,Connexions!$E:$E,VLOOKUP($B143,Mapping_Noms!$A:$B,2,0),Connexions!$O:$O,"&lt;="&amp;(IFERROR(INDEX('Planning Pauses Dej'!$D:$D,MATCH($B143&amp;"|"&amp;TEXT($Q143,"YYYYMMDD"),'Planning Pauses Dej'!$F:$F,0)),"")+TIME(1,0,0)),Connexions!$P:$P,"&gt;="&amp;(IFERROR(INDEX('Planning Pauses Dej'!$C:$C,MATCH($B143&amp;"|"&amp;TEXT($Q143,"YYYYMMDD"),'Planning Pauses Dej'!$F:$F,0)),"")+TIME(1,0,0)))),"")</f>
        <v/>
      </c>
      <c r="H143" s="405">
        <f>IFERROR(IF(OR($G143="",IFERROR(INDEX('Planning Pauses Dej'!$C:$C,MATCH($B143&amp;"|"&amp;TEXT($Q143,"YYYYMMDD"),'Planning Pauses Dej'!$F:$F,0)),"")="",IFERROR(INDEX('Planning Pauses Dej'!$D:$D,MATCH($B143&amp;"|"&amp;TEXT($Q143,"YYYYMMDD"),'Planning Pauses Dej'!$F:$F,0)),"")=""),"",IF($G143&gt;(IFERROR(INDEX('Planning Pauses Dej'!$D:$D,MATCH($B143&amp;"|"&amp;TEXT($Q143,"YYYYMMDD"),'Planning Pauses Dej'!$F:$F,0)),"")-IFERROR(INDEX('Planning Pauses Dej'!$C:$C,MATCH($B143&amp;"|"&amp;TEXT($Q143,"YYYYMMDD"),'Planning Pauses Dej'!$F:$F,0)),"")),$G143-(IFERROR(INDEX('Planning Pauses Dej'!$D:$D,MATCH($B143&amp;"|"&amp;TEXT($Q143,"YYYYMMDD"),'Planning Pauses Dej'!$F:$F,0)),"")-IFERROR(INDEX('Planning Pauses Dej'!$C:$C,MATCH($B143&amp;"|"&amp;TEXT($Q143,"YYYYMMDD"),'Planning Pauses Dej'!$F:$F,0)),"")),0)),"")</f>
        <v/>
      </c>
      <c r="I143" s="251">
        <f>IF(IF(OR(C143="",D143="Congé",D143="OFF",D143="Congé spécial"),"",IF(D143&gt;F143,D143-C143,IF(C143-D143&lt;0,0,C143-D143)))&lt;0.00068287037037037,"",IF(OR(D143="Congé",D143="OFF",C143="",D143="Congé spécial"),"",IF(D143&gt;F143,D143-C143,IF(C143-D143&lt;0,0,C143-D143))))</f>
        <v/>
      </c>
      <c r="J143" s="405">
        <f>IFERROR(IF($G143="","",IF($G143&gt;TIME(1,0,0),$G143-TIME(1,0,0),0)),"")</f>
        <v/>
      </c>
      <c r="K143" s="238">
        <f>IF(SUM(H143:J143)&lt;0.00068287037037037,0,SUM(H143:J143))</f>
        <v/>
      </c>
      <c r="L143" s="236">
        <f>IF(OR(F143="Congé",F143="OFF",M143="Abs",F143="Congé sans solde",F143="Férié",F143="Congé spécial",D143="Congé spécial"),0,IF(F143-E143&lt;0,0,IF(F143-E143&lt;=0.00068287037037037,0,F143-E143)))</f>
        <v/>
      </c>
      <c r="M143" s="239">
        <f>IF(AND(O143&lt;&gt;0,C143=""),"Abs",0)</f>
        <v/>
      </c>
      <c r="N143" s="240">
        <f>IFERROR(IF(OR(D143="OFF",D143="Congé",M143="Abs",D143="Congé sans solde",D143="Férié"),"",IF(O143-K143-L143&gt;O143,O143,IF(O143-K143-L143&lt;0,"",O143-K143-L143))),"")</f>
        <v/>
      </c>
      <c r="O143" s="241">
        <f>IF(AG143="2H Pause déjeuner",IF(F143-D143-0.0833333333333333&lt;0,F143-D143-0.0833333333333333+1,F143-D143-0.0833333333333333),IF(OR(AND(F143="OFF",D143="OFF"),AND(F143="Congé",D143="Congé"),AND(F143="Congé sans solde",D143="Congé sans solde"),AND(F143="Congé spécial",D143="Congé spécial"),AND(F143="Férié",D143="Férié"),AND(F143="OFF",D143="Congé"),AND(F143="OFF",D143="Congé sans solde"),AND(F143="OFF",D143="Congé spécial"),AND(F143="OFF",D143="Férié"),AND(F143="Congé",D143="OFF"),AND(F143="Congé",D143="Congé sans solde"),AND(F143="Congé",D143="Congé spécial"),AND(F143="Congé",D143="Férié"),AND(F143="Congé sans solde",D143="OFF"),AND(F143="Congé sans solde",D143="Congé"),AND(F143="Congé sans solde",D143="Congé spécial"),AND(F143="Congé sans solde",D143="Férié"),AND(F143="Congé spécial",D143="OFF"),AND(F143="Congé spécial",D143="Congé"),AND(F143="Congé spécial",D143="Congé sans solde"),AND(F143="Congé spécial",D143="Férié"),AND(F143="Férié",D143="OFF"),AND(F143="Férié",D143="Congé"),AND(F143="Férié",D143="Congé sans solde"),AND(F143="Férié",D143="Congé spécial")),0,IF(OR(F143="OFF",F143="Congé",F143="Congé spécial",F143="Congé sans solde",D143="OFF",D143="Congé",D143="Congé spécial",D143="Congé sans solde"),0.208333333333334,IF(AND(AG143="",F143-D143&lt;0),("24:00:00"-D143)+("00:00:00"+F143)-0.0416666666666667,IF(AND(OR(AG143="Allaitement",AG143="Sans déjeuner"),F143-D143&lt;0),("24:00:00"-D143)+("00:00:00"+F143),IF(AND(AG143="",F143-D143&gt;0.166666666666667),F143-D143-0.0416666666666667,IF(AND(OR(AG143="Allaitement",AG143="Sans déjeuner"),F143-D143&gt;0.166666666666667),F143-D143,F143-D143)))))))</f>
        <v/>
      </c>
      <c r="P143" s="242">
        <f>IFERROR(VLOOKUP($B143,Annuaire_roster!$B:$G,MATCH(P$1,Annuaire_roster!$B$1:$G$1,0),0),"-")</f>
        <v/>
      </c>
      <c r="Q143" s="243" t="n">
        <v>44765</v>
      </c>
      <c r="R143" s="244">
        <f>IF(M143="Abs",O143,0)</f>
        <v/>
      </c>
      <c r="S143" s="244">
        <f>SUM(R143,L143,I143,J143,W143,H143)</f>
        <v/>
      </c>
      <c r="T143" s="209">
        <f>"Sem - "&amp;WEEKNUM(Q143,21)</f>
        <v/>
      </c>
      <c r="U143" s="209">
        <f>PROPER(TEXT(Q143,"mmmm"))</f>
        <v/>
      </c>
      <c r="V143" s="245">
        <f>+TEXT(Q143,"aaa")</f>
        <v/>
      </c>
      <c r="W143" s="240" t="n"/>
      <c r="X143" s="246">
        <f>IFERROR(IF(M143="Abs",0,IF((D143-C143+E143-F143)&lt;0.000694444444444444,0,(D143-C143+E143-F143))),0)</f>
        <v/>
      </c>
      <c r="Y143" s="247">
        <f>IFERROR(VLOOKUP(B143,Annuaire_roster!B:E,4,0),"-")</f>
        <v/>
      </c>
      <c r="Z143" s="247">
        <f>IFERROR(VLOOKUP(B143,Annuaire_roster!B:F,3,0),"-")</f>
        <v/>
      </c>
      <c r="AA143" s="247">
        <f>IFERROR(VLOOKUP(B143,Annuaire_roster!B:I,6,0),"-")</f>
        <v/>
      </c>
      <c r="AB143" s="248">
        <f>IF(AND(D143="Congé",F143="Congé"),0.333333333333333,IF(OR(AND(D143="Congé",F143&lt;&gt;"Congé"),(AND(F143="Congé",D143&lt;&gt;"Congé"))),0.166666666666667,""))</f>
        <v/>
      </c>
      <c r="AC143" s="248">
        <f>IF(AND(D143="Congé sans solde",F143="Congé sans solde"),0.333333333333333,IF(OR(AND(D143="Congé sans solde",F143&lt;&gt;"Congé sans solde"),(AND(F143="Congé sans solde",D143&lt;&gt;"Congé sans solde"))),0.166666666666667,""))</f>
        <v/>
      </c>
      <c r="AD143" s="248">
        <f>IF(AND(D143="Congé spécial",F143="Congé spécial"),0.333333333333333,IF(OR(AND(D143="Congé spécial",F143&lt;&gt;"Congé décès"),(AND(F143="Congé spécial",D143&lt;&gt;"Congé spécial"))),0.166666666666667,""))</f>
        <v/>
      </c>
      <c r="AE143" s="249">
        <f>IF(AND(D143="Férié",F143="Férié"),0.333333333333333,IF(OR(AND(D143="Férié",F143&lt;&gt;"Férié"),(AND(F143="Férié",D143&lt;&gt;"Férié"))),0.166666666666667,""))</f>
        <v/>
      </c>
      <c r="AF143" s="249" t="n"/>
      <c r="AG143" s="244" t="n"/>
    </row>
    <row r="144" hidden="1" ht="12.75" customHeight="1" s="231">
      <c r="A144" s="232">
        <f>VLOOKUP(B144,Annuaire_roster!B:F,5,0)</f>
        <v/>
      </c>
      <c r="B144" s="233" t="inlineStr">
        <is>
          <t>TOURE ABIBOU</t>
        </is>
      </c>
      <c r="C144" s="234">
        <f>IFERROR(IF(COUNTIFS(Connexions!$K:$K,$Q144,Connexions!$E:$E,VLOOKUP($B144,Mapping_Noms!$A:$B,2,0))=0,"",_xlfn.MINIFS(Connexions!$M:$M,Connexions!$K:$K,$Q144,Connexions!$E:$E,VLOOKUP($B144,Mapping_Noms!$A:$B,2,0))-TIME(1,0,0)),"")</f>
        <v/>
      </c>
      <c r="D144" s="234">
        <f t="array" ref="D144:D144">IFERROR(INDEX(Planning2[],MATCH(1,(Planning2[Nom]=B144)*(Planning2[Date]=Q144),0),3),"-")</f>
        <v/>
      </c>
      <c r="E144" s="235">
        <f>IFERROR(IF(COUNTIFS(Connexions!$K:$K,$Q144,Connexions!$E:$E,VLOOKUP($B144,Mapping_Noms!$A:$B,2,0))=0,"",_xlfn.MAXIFS(Connexions!$O:$O,Connexions!$K:$K,$Q144,Connexions!$E:$E,VLOOKUP($B144,Mapping_Noms!$A:$B,2,0))-TIME(1,0,0)),"")</f>
        <v/>
      </c>
      <c r="F144" s="235">
        <f t="array" ref="F144:F144">IFERROR(INDEX(Planning2[],MATCH(1,(Planning2[Nom]=B144)*(Planning2[Date]=Q144),0),4),"-")</f>
        <v/>
      </c>
      <c r="G144" s="405">
        <f>IFERROR(IF(OR(IFERROR(INDEX('Planning Pauses Dej'!$C:$C,MATCH($B144&amp;"|"&amp;TEXT($Q144,"YYYYMMDD"),'Planning Pauses Dej'!$F:$F,0)),"")="",IFERROR(INDEX('Planning Pauses Dej'!$D:$D,MATCH($B144&amp;"|"&amp;TEXT($Q144,"YYYYMMDD"),'Planning Pauses Dej'!$F:$F,0)),"")=""),"",_xlfn.MAXIFS(Connexions!$Q:$Q,Connexions!$K:$K,$Q144,Connexions!$E:$E,VLOOKUP($B144,Mapping_Noms!$A:$B,2,0),Connexions!$O:$O,"&lt;="&amp;(IFERROR(INDEX('Planning Pauses Dej'!$D:$D,MATCH($B144&amp;"|"&amp;TEXT($Q144,"YYYYMMDD"),'Planning Pauses Dej'!$F:$F,0)),"")+TIME(1,0,0)),Connexions!$P:$P,"&gt;="&amp;(IFERROR(INDEX('Planning Pauses Dej'!$C:$C,MATCH($B144&amp;"|"&amp;TEXT($Q144,"YYYYMMDD"),'Planning Pauses Dej'!$F:$F,0)),"")+TIME(1,0,0)))),"")</f>
        <v/>
      </c>
      <c r="H144" s="405">
        <f>IFERROR(IF(OR($G144="",IFERROR(INDEX('Planning Pauses Dej'!$C:$C,MATCH($B144&amp;"|"&amp;TEXT($Q144,"YYYYMMDD"),'Planning Pauses Dej'!$F:$F,0)),"")="",IFERROR(INDEX('Planning Pauses Dej'!$D:$D,MATCH($B144&amp;"|"&amp;TEXT($Q144,"YYYYMMDD"),'Planning Pauses Dej'!$F:$F,0)),"")=""),"",IF($G144&gt;(IFERROR(INDEX('Planning Pauses Dej'!$D:$D,MATCH($B144&amp;"|"&amp;TEXT($Q144,"YYYYMMDD"),'Planning Pauses Dej'!$F:$F,0)),"")-IFERROR(INDEX('Planning Pauses Dej'!$C:$C,MATCH($B144&amp;"|"&amp;TEXT($Q144,"YYYYMMDD"),'Planning Pauses Dej'!$F:$F,0)),"")),$G144-(IFERROR(INDEX('Planning Pauses Dej'!$D:$D,MATCH($B144&amp;"|"&amp;TEXT($Q144,"YYYYMMDD"),'Planning Pauses Dej'!$F:$F,0)),"")-IFERROR(INDEX('Planning Pauses Dej'!$C:$C,MATCH($B144&amp;"|"&amp;TEXT($Q144,"YYYYMMDD"),'Planning Pauses Dej'!$F:$F,0)),"")),0)),"")</f>
        <v/>
      </c>
      <c r="I144" s="251">
        <f>IF(IF(OR(C144="",D144="Congé",D144="OFF",D144="Congé spécial"),"",IF(D144&gt;F144,D144-C144,IF(C144-D144&lt;0,0,C144-D144)))&lt;0.00068287037037037,"",IF(OR(D144="Congé",D144="OFF",C144="",D144="Congé spécial"),"",IF(D144&gt;F144,D144-C144,IF(C144-D144&lt;0,0,C144-D144))))</f>
        <v/>
      </c>
      <c r="J144" s="405">
        <f>IFERROR(IF($G144="","",IF($G144&gt;TIME(1,0,0),$G144-TIME(1,0,0),0)),"")</f>
        <v/>
      </c>
      <c r="K144" s="238">
        <f>IF(SUM(H144:J144)&lt;0.00068287037037037,0,SUM(H144:J144))</f>
        <v/>
      </c>
      <c r="L144" s="236">
        <f>IF(OR(F144="Congé",F144="OFF",M144="Abs",F144="Congé sans solde",F144="Férié",F144="Congé spécial",D144="Congé spécial"),0,IF(F144-E144&lt;0,0,IF(F144-E144&lt;=0.00068287037037037,0,F144-E144)))</f>
        <v/>
      </c>
      <c r="M144" s="239">
        <f>IF(AND(O144&lt;&gt;0,C144=""),"Abs",0)</f>
        <v/>
      </c>
      <c r="N144" s="240">
        <f>IFERROR(IF(OR(D144="OFF",D144="Congé",M144="Abs",D144="Congé sans solde",D144="Férié"),"",IF(O144-K144-L144&gt;O144,O144,IF(O144-K144-L144&lt;0,"",O144-K144-L144))),"")</f>
        <v/>
      </c>
      <c r="O144" s="241">
        <f>IF(AG144="2H Pause déjeuner",IF(F144-D144-0.0833333333333333&lt;0,F144-D144-0.0833333333333333+1,F144-D144-0.0833333333333333),IF(OR(AND(F144="OFF",D144="OFF"),AND(F144="Congé",D144="Congé"),AND(F144="Congé sans solde",D144="Congé sans solde"),AND(F144="Congé spécial",D144="Congé spécial"),AND(F144="Férié",D144="Férié"),AND(F144="OFF",D144="Congé"),AND(F144="OFF",D144="Congé sans solde"),AND(F144="OFF",D144="Congé spécial"),AND(F144="OFF",D144="Férié"),AND(F144="Congé",D144="OFF"),AND(F144="Congé",D144="Congé sans solde"),AND(F144="Congé",D144="Congé spécial"),AND(F144="Congé",D144="Férié"),AND(F144="Congé sans solde",D144="OFF"),AND(F144="Congé sans solde",D144="Congé"),AND(F144="Congé sans solde",D144="Congé spécial"),AND(F144="Congé sans solde",D144="Férié"),AND(F144="Congé spécial",D144="OFF"),AND(F144="Congé spécial",D144="Congé"),AND(F144="Congé spécial",D144="Congé sans solde"),AND(F144="Congé spécial",D144="Férié"),AND(F144="Férié",D144="OFF"),AND(F144="Férié",D144="Congé"),AND(F144="Férié",D144="Congé sans solde"),AND(F144="Férié",D144="Congé spécial")),0,IF(OR(F144="OFF",F144="Congé",F144="Congé spécial",F144="Congé sans solde",D144="OFF",D144="Congé",D144="Congé spécial",D144="Congé sans solde"),0.208333333333334,IF(AND(AG144="",F144-D144&lt;0),("24:00:00"-D144)+("00:00:00"+F144)-0.0416666666666667,IF(AND(OR(AG144="Allaitement",AG144="Sans déjeuner"),F144-D144&lt;0),("24:00:00"-D144)+("00:00:00"+F144),IF(AND(AG144="",F144-D144&gt;0.166666666666667),F144-D144-0.0416666666666667,IF(AND(OR(AG144="Allaitement",AG144="Sans déjeuner"),F144-D144&gt;0.166666666666667),F144-D144,F144-D144)))))))</f>
        <v/>
      </c>
      <c r="P144" s="242">
        <f>IFERROR(VLOOKUP($B144,Annuaire_roster!$B:$G,MATCH(P$1,Annuaire_roster!$B$1:$G$1,0),0),"-")</f>
        <v/>
      </c>
      <c r="Q144" s="243" t="n">
        <v>44765</v>
      </c>
      <c r="R144" s="244">
        <f>IF(M144="Abs",O144,0)</f>
        <v/>
      </c>
      <c r="S144" s="244">
        <f>SUM(R144,L144,I144,J144,W144,H144)</f>
        <v/>
      </c>
      <c r="T144" s="209">
        <f>"Sem - "&amp;WEEKNUM(Q144,21)</f>
        <v/>
      </c>
      <c r="U144" s="209">
        <f>PROPER(TEXT(Q144,"mmmm"))</f>
        <v/>
      </c>
      <c r="V144" s="245">
        <f>+TEXT(Q144,"aaa")</f>
        <v/>
      </c>
      <c r="W144" s="240" t="n"/>
      <c r="X144" s="246">
        <f>IFERROR(IF(M144="Abs",0,IF((D144-C144+E144-F144)&lt;0.000694444444444444,0,(D144-C144+E144-F144))),0)</f>
        <v/>
      </c>
      <c r="Y144" s="247">
        <f>IFERROR(VLOOKUP(B144,Annuaire_roster!B:E,4,0),"-")</f>
        <v/>
      </c>
      <c r="Z144" s="247">
        <f>IFERROR(VLOOKUP(B144,Annuaire_roster!B:F,3,0),"-")</f>
        <v/>
      </c>
      <c r="AA144" s="247">
        <f>IFERROR(VLOOKUP(B144,Annuaire_roster!B:I,6,0),"-")</f>
        <v/>
      </c>
      <c r="AB144" s="248">
        <f>IF(AND(D144="Congé",F144="Congé"),0.333333333333333,IF(OR(AND(D144="Congé",F144&lt;&gt;"Congé"),(AND(F144="Congé",D144&lt;&gt;"Congé"))),0.166666666666667,""))</f>
        <v/>
      </c>
      <c r="AC144" s="248">
        <f>IF(AND(D144="Congé sans solde",F144="Congé sans solde"),0.333333333333333,IF(OR(AND(D144="Congé sans solde",F144&lt;&gt;"Congé sans solde"),(AND(F144="Congé sans solde",D144&lt;&gt;"Congé sans solde"))),0.166666666666667,""))</f>
        <v/>
      </c>
      <c r="AD144" s="248">
        <f>IF(AND(D144="Congé spécial",F144="Congé spécial"),0.333333333333333,IF(OR(AND(D144="Congé spécial",F144&lt;&gt;"Congé décès"),(AND(F144="Congé spécial",D144&lt;&gt;"Congé spécial"))),0.166666666666667,""))</f>
        <v/>
      </c>
      <c r="AE144" s="249">
        <f>IF(AND(D144="Férié",F144="Férié"),0.333333333333333,IF(OR(AND(D144="Férié",F144&lt;&gt;"Férié"),(AND(F144="Férié",D144&lt;&gt;"Férié"))),0.166666666666667,""))</f>
        <v/>
      </c>
      <c r="AF144" s="249" t="n"/>
      <c r="AG144" s="244" t="n"/>
    </row>
    <row r="145" hidden="1" ht="12.75" customHeight="1" s="231">
      <c r="A145" s="232">
        <f>VLOOKUP(B145,Annuaire_roster!B:F,5,0)</f>
        <v/>
      </c>
      <c r="B145" s="261" t="inlineStr">
        <is>
          <t xml:space="preserve">EL HOUJJAJI Soufiane </t>
        </is>
      </c>
      <c r="C145" s="234">
        <f>IFERROR(IF(COUNTIFS(Connexions!$K:$K,$Q145,Connexions!$E:$E,VLOOKUP($B145,Mapping_Noms!$A:$B,2,0))=0,"",_xlfn.MINIFS(Connexions!$M:$M,Connexions!$K:$K,$Q145,Connexions!$E:$E,VLOOKUP($B145,Mapping_Noms!$A:$B,2,0))-TIME(1,0,0)),"")</f>
        <v/>
      </c>
      <c r="D145" s="234">
        <f t="array" ref="D145:D145">IFERROR(INDEX(Planning2[],MATCH(1,(Planning2[Nom]=B145)*(Planning2[Date]=Q145),0),3),"-")</f>
        <v/>
      </c>
      <c r="E145" s="235">
        <f>IFERROR(IF(COUNTIFS(Connexions!$K:$K,$Q145,Connexions!$E:$E,VLOOKUP($B145,Mapping_Noms!$A:$B,2,0))=0,"",_xlfn.MAXIFS(Connexions!$O:$O,Connexions!$K:$K,$Q145,Connexions!$E:$E,VLOOKUP($B145,Mapping_Noms!$A:$B,2,0))-TIME(1,0,0)),"")</f>
        <v/>
      </c>
      <c r="F145" s="235">
        <f t="array" ref="F145:F145">IFERROR(INDEX(Planning2[],MATCH(1,(Planning2[Nom]=B145)*(Planning2[Date]=Q145),0),4),"-")</f>
        <v/>
      </c>
      <c r="G145" s="405">
        <f>IFERROR(IF(OR(IFERROR(INDEX('Planning Pauses Dej'!$C:$C,MATCH($B145&amp;"|"&amp;TEXT($Q145,"YYYYMMDD"),'Planning Pauses Dej'!$F:$F,0)),"")="",IFERROR(INDEX('Planning Pauses Dej'!$D:$D,MATCH($B145&amp;"|"&amp;TEXT($Q145,"YYYYMMDD"),'Planning Pauses Dej'!$F:$F,0)),"")=""),"",_xlfn.MAXIFS(Connexions!$Q:$Q,Connexions!$K:$K,$Q145,Connexions!$E:$E,VLOOKUP($B145,Mapping_Noms!$A:$B,2,0),Connexions!$O:$O,"&lt;="&amp;(IFERROR(INDEX('Planning Pauses Dej'!$D:$D,MATCH($B145&amp;"|"&amp;TEXT($Q145,"YYYYMMDD"),'Planning Pauses Dej'!$F:$F,0)),"")+TIME(1,0,0)),Connexions!$P:$P,"&gt;="&amp;(IFERROR(INDEX('Planning Pauses Dej'!$C:$C,MATCH($B145&amp;"|"&amp;TEXT($Q145,"YYYYMMDD"),'Planning Pauses Dej'!$F:$F,0)),"")+TIME(1,0,0)))),"")</f>
        <v/>
      </c>
      <c r="H145" s="405">
        <f>IFERROR(IF(OR($G145="",IFERROR(INDEX('Planning Pauses Dej'!$C:$C,MATCH($B145&amp;"|"&amp;TEXT($Q145,"YYYYMMDD"),'Planning Pauses Dej'!$F:$F,0)),"")="",IFERROR(INDEX('Planning Pauses Dej'!$D:$D,MATCH($B145&amp;"|"&amp;TEXT($Q145,"YYYYMMDD"),'Planning Pauses Dej'!$F:$F,0)),"")=""),"",IF($G145&gt;(IFERROR(INDEX('Planning Pauses Dej'!$D:$D,MATCH($B145&amp;"|"&amp;TEXT($Q145,"YYYYMMDD"),'Planning Pauses Dej'!$F:$F,0)),"")-IFERROR(INDEX('Planning Pauses Dej'!$C:$C,MATCH($B145&amp;"|"&amp;TEXT($Q145,"YYYYMMDD"),'Planning Pauses Dej'!$F:$F,0)),"")),$G145-(IFERROR(INDEX('Planning Pauses Dej'!$D:$D,MATCH($B145&amp;"|"&amp;TEXT($Q145,"YYYYMMDD"),'Planning Pauses Dej'!$F:$F,0)),"")-IFERROR(INDEX('Planning Pauses Dej'!$C:$C,MATCH($B145&amp;"|"&amp;TEXT($Q145,"YYYYMMDD"),'Planning Pauses Dej'!$F:$F,0)),"")),0)),"")</f>
        <v/>
      </c>
      <c r="I145" s="251">
        <f>IF(IF(OR(C145="",D145="Congé",D145="OFF",D145="Congé spécial"),"",IF(D145&gt;F145,D145-C145,IF(C145-D145&lt;0,0,C145-D145)))&lt;0.00068287037037037,"",IF(OR(D145="Congé",D145="OFF",C145="",D145="Congé spécial"),"",IF(D145&gt;F145,D145-C145,IF(C145-D145&lt;0,0,C145-D145))))</f>
        <v/>
      </c>
      <c r="J145" s="405">
        <f>IFERROR(IF($G145="","",IF($G145&gt;TIME(1,0,0),$G145-TIME(1,0,0),0)),"")</f>
        <v/>
      </c>
      <c r="K145" s="238">
        <f>IF(SUM(H145:J145)&lt;0.00068287037037037,0,SUM(H145:J145))</f>
        <v/>
      </c>
      <c r="L145" s="236">
        <f>IF(OR(F145="Congé",F145="OFF",M145="Abs",F145="Congé sans solde",F145="Férié",F145="Congé spécial",D145="Congé spécial"),0,IF(F145-E145&lt;0,0,IF(F145-E145&lt;=0.00068287037037037,0,F145-E145)))</f>
        <v/>
      </c>
      <c r="M145" s="239">
        <f>IF(AND(O145&lt;&gt;0,C145=""),"Abs",0)</f>
        <v/>
      </c>
      <c r="N145" s="240">
        <f>IFERROR(IF(OR(D145="OFF",D145="Congé",M145="Abs",D145="Congé sans solde",D145="Férié"),"",IF(O145-K145-L145&gt;O145,O145,IF(O145-K145-L145&lt;0,"",O145-K145-L145))),"")</f>
        <v/>
      </c>
      <c r="O145" s="241">
        <f>IF(AG145="2H Pause déjeuner",IF(F145-D145-0.0833333333333333&lt;0,F145-D145-0.0833333333333333+1,F145-D145-0.0833333333333333),IF(OR(AND(F145="OFF",D145="OFF"),AND(F145="Congé",D145="Congé"),AND(F145="Congé sans solde",D145="Congé sans solde"),AND(F145="Congé spécial",D145="Congé spécial"),AND(F145="Férié",D145="Férié"),AND(F145="OFF",D145="Congé"),AND(F145="OFF",D145="Congé sans solde"),AND(F145="OFF",D145="Congé spécial"),AND(F145="OFF",D145="Férié"),AND(F145="Congé",D145="OFF"),AND(F145="Congé",D145="Congé sans solde"),AND(F145="Congé",D145="Congé spécial"),AND(F145="Congé",D145="Férié"),AND(F145="Congé sans solde",D145="OFF"),AND(F145="Congé sans solde",D145="Congé"),AND(F145="Congé sans solde",D145="Congé spécial"),AND(F145="Congé sans solde",D145="Férié"),AND(F145="Congé spécial",D145="OFF"),AND(F145="Congé spécial",D145="Congé"),AND(F145="Congé spécial",D145="Congé sans solde"),AND(F145="Congé spécial",D145="Férié"),AND(F145="Férié",D145="OFF"),AND(F145="Férié",D145="Congé"),AND(F145="Férié",D145="Congé sans solde"),AND(F145="Férié",D145="Congé spécial")),0,IF(OR(F145="OFF",F145="Congé",F145="Congé spécial",F145="Congé sans solde",D145="OFF",D145="Congé",D145="Congé spécial",D145="Congé sans solde"),0.208333333333334,IF(AND(AG145="",F145-D145&lt;0),("24:00:00"-D145)+("00:00:00"+F145)-0.0416666666666667,IF(AND(OR(AG145="Allaitement",AG145="Sans déjeuner"),F145-D145&lt;0),("24:00:00"-D145)+("00:00:00"+F145),IF(AND(AG145="",F145-D145&gt;0.166666666666667),F145-D145-0.0416666666666667,IF(AND(OR(AG145="Allaitement",AG145="Sans déjeuner"),F145-D145&gt;0.166666666666667),F145-D145,F145-D145)))))))</f>
        <v/>
      </c>
      <c r="P145" s="242">
        <f>IFERROR(VLOOKUP($B145,Annuaire_roster!$B:$G,MATCH(P$1,Annuaire_roster!$B$1:$G$1,0),0),"-")</f>
        <v/>
      </c>
      <c r="Q145" s="243" t="n">
        <v>44765</v>
      </c>
      <c r="R145" s="244">
        <f>IF(M145="Abs",O145,0)</f>
        <v/>
      </c>
      <c r="S145" s="244">
        <f>SUM(R145,L145,I145,J145,W145,H145)</f>
        <v/>
      </c>
      <c r="T145" s="209">
        <f>"Sem - "&amp;WEEKNUM(Q145,21)</f>
        <v/>
      </c>
      <c r="U145" s="209">
        <f>PROPER(TEXT(Q145,"mmmm"))</f>
        <v/>
      </c>
      <c r="V145" s="245">
        <f>+TEXT(Q145,"aaa")</f>
        <v/>
      </c>
      <c r="W145" s="240" t="n"/>
      <c r="X145" s="246">
        <f>IFERROR(IF(M145="Abs",0,IF((D145-C145+E145-F145)&lt;0.000694444444444444,0,(D145-C145+E145-F145))),0)</f>
        <v/>
      </c>
      <c r="Y145" s="247">
        <f>IFERROR(VLOOKUP(B145,Annuaire_roster!B:E,4,0),"-")</f>
        <v/>
      </c>
      <c r="Z145" s="247">
        <f>IFERROR(VLOOKUP(B145,Annuaire_roster!B:F,3,0),"-")</f>
        <v/>
      </c>
      <c r="AA145" s="247">
        <f>IFERROR(VLOOKUP(B145,Annuaire_roster!B:I,6,0),"-")</f>
        <v/>
      </c>
      <c r="AB145" s="248">
        <f>IF(AND(D145="Congé",F145="Congé"),0.333333333333333,IF(OR(AND(D145="Congé",F145&lt;&gt;"Congé"),(AND(F145="Congé",D145&lt;&gt;"Congé"))),0.166666666666667,""))</f>
        <v/>
      </c>
      <c r="AC145" s="248">
        <f>IF(AND(D145="Congé sans solde",F145="Congé sans solde"),0.333333333333333,IF(OR(AND(D145="Congé sans solde",F145&lt;&gt;"Congé sans solde"),(AND(F145="Congé sans solde",D145&lt;&gt;"Congé sans solde"))),0.166666666666667,""))</f>
        <v/>
      </c>
      <c r="AD145" s="248">
        <f>IF(AND(D145="Congé spécial",F145="Congé spécial"),0.333333333333333,IF(OR(AND(D145="Congé spécial",F145&lt;&gt;"Congé décès"),(AND(F145="Congé spécial",D145&lt;&gt;"Congé spécial"))),0.166666666666667,""))</f>
        <v/>
      </c>
      <c r="AE145" s="249">
        <f>IF(AND(D145="Férié",F145="Férié"),0.333333333333333,IF(OR(AND(D145="Férié",F145&lt;&gt;"Férié"),(AND(F145="Férié",D145&lt;&gt;"Férié"))),0.166666666666667,""))</f>
        <v/>
      </c>
      <c r="AF145" s="249" t="n"/>
      <c r="AG145" s="244" t="n"/>
    </row>
    <row r="146" hidden="1" ht="12.75" customHeight="1" s="231">
      <c r="A146" s="232">
        <f>VLOOKUP(B146,Annuaire_roster!B:F,5,0)</f>
        <v/>
      </c>
      <c r="B146" s="233" t="inlineStr">
        <is>
          <t>BOURABAA HASSAN</t>
        </is>
      </c>
      <c r="C146" s="234">
        <f>IFERROR(IF(COUNTIFS(Connexions!$K:$K,$Q146,Connexions!$E:$E,VLOOKUP($B146,Mapping_Noms!$A:$B,2,0))=0,"",_xlfn.MINIFS(Connexions!$M:$M,Connexions!$K:$K,$Q146,Connexions!$E:$E,VLOOKUP($B146,Mapping_Noms!$A:$B,2,0))-TIME(1,0,0)),"")</f>
        <v/>
      </c>
      <c r="D146" s="234">
        <f t="array" ref="D146:D146">IFERROR(INDEX(Planning2[],MATCH(1,(Planning2[Nom]=B146)*(Planning2[Date]=Q146),0),3),"-")</f>
        <v/>
      </c>
      <c r="E146" s="235">
        <f>IFERROR(IF(COUNTIFS(Connexions!$K:$K,$Q146,Connexions!$E:$E,VLOOKUP($B146,Mapping_Noms!$A:$B,2,0))=0,"",_xlfn.MAXIFS(Connexions!$O:$O,Connexions!$K:$K,$Q146,Connexions!$E:$E,VLOOKUP($B146,Mapping_Noms!$A:$B,2,0))-TIME(1,0,0)),"")</f>
        <v/>
      </c>
      <c r="F146" s="235">
        <f t="array" ref="F146:F146">IFERROR(INDEX(Planning2[],MATCH(1,(Planning2[Nom]=B146)*(Planning2[Date]=Q146),0),4),"-")</f>
        <v/>
      </c>
      <c r="G146" s="405">
        <f>IFERROR(IF(OR(IFERROR(INDEX('Planning Pauses Dej'!$C:$C,MATCH($B146&amp;"|"&amp;TEXT($Q146,"YYYYMMDD"),'Planning Pauses Dej'!$F:$F,0)),"")="",IFERROR(INDEX('Planning Pauses Dej'!$D:$D,MATCH($B146&amp;"|"&amp;TEXT($Q146,"YYYYMMDD"),'Planning Pauses Dej'!$F:$F,0)),"")=""),"",_xlfn.MAXIFS(Connexions!$Q:$Q,Connexions!$K:$K,$Q146,Connexions!$E:$E,VLOOKUP($B146,Mapping_Noms!$A:$B,2,0),Connexions!$O:$O,"&lt;="&amp;(IFERROR(INDEX('Planning Pauses Dej'!$D:$D,MATCH($B146&amp;"|"&amp;TEXT($Q146,"YYYYMMDD"),'Planning Pauses Dej'!$F:$F,0)),"")+TIME(1,0,0)),Connexions!$P:$P,"&gt;="&amp;(IFERROR(INDEX('Planning Pauses Dej'!$C:$C,MATCH($B146&amp;"|"&amp;TEXT($Q146,"YYYYMMDD"),'Planning Pauses Dej'!$F:$F,0)),"")+TIME(1,0,0)))),"")</f>
        <v/>
      </c>
      <c r="H146" s="405">
        <f>IFERROR(IF(OR($G146="",IFERROR(INDEX('Planning Pauses Dej'!$C:$C,MATCH($B146&amp;"|"&amp;TEXT($Q146,"YYYYMMDD"),'Planning Pauses Dej'!$F:$F,0)),"")="",IFERROR(INDEX('Planning Pauses Dej'!$D:$D,MATCH($B146&amp;"|"&amp;TEXT($Q146,"YYYYMMDD"),'Planning Pauses Dej'!$F:$F,0)),"")=""),"",IF($G146&gt;(IFERROR(INDEX('Planning Pauses Dej'!$D:$D,MATCH($B146&amp;"|"&amp;TEXT($Q146,"YYYYMMDD"),'Planning Pauses Dej'!$F:$F,0)),"")-IFERROR(INDEX('Planning Pauses Dej'!$C:$C,MATCH($B146&amp;"|"&amp;TEXT($Q146,"YYYYMMDD"),'Planning Pauses Dej'!$F:$F,0)),"")),$G146-(IFERROR(INDEX('Planning Pauses Dej'!$D:$D,MATCH($B146&amp;"|"&amp;TEXT($Q146,"YYYYMMDD"),'Planning Pauses Dej'!$F:$F,0)),"")-IFERROR(INDEX('Planning Pauses Dej'!$C:$C,MATCH($B146&amp;"|"&amp;TEXT($Q146,"YYYYMMDD"),'Planning Pauses Dej'!$F:$F,0)),"")),0)),"")</f>
        <v/>
      </c>
      <c r="I146" s="251">
        <f>IF(IF(OR(C146="",D146="Congé",D146="OFF",D146="Congé spécial"),"",IF(D146&gt;F146,D146-C146,IF(C146-D146&lt;0,0,C146-D146)))&lt;0.00068287037037037,"",IF(OR(D146="Congé",D146="OFF",C146="",D146="Congé spécial"),"",IF(D146&gt;F146,D146-C146,IF(C146-D146&lt;0,0,C146-D146))))</f>
        <v/>
      </c>
      <c r="J146" s="405">
        <f>IFERROR(IF($G146="","",IF($G146&gt;TIME(1,0,0),$G146-TIME(1,0,0),0)),"")</f>
        <v/>
      </c>
      <c r="K146" s="238">
        <f>IF(SUM(H146:J146)&lt;0.00068287037037037,0,SUM(H146:J146))</f>
        <v/>
      </c>
      <c r="L146" s="236">
        <f>IF(OR(F146="Congé",F146="OFF",M146="Abs",F146="Congé sans solde",F146="Férié",F146="Congé spécial",D146="Congé spécial"),0,IF(F146-E146&lt;0,0,IF(F146-E146&lt;=0.00068287037037037,0,F146-E146)))</f>
        <v/>
      </c>
      <c r="M146" s="239">
        <f>IF(AND(O146&lt;&gt;0,C146=""),"Abs",0)</f>
        <v/>
      </c>
      <c r="N146" s="240">
        <f>IFERROR(IF(OR(D146="OFF",D146="Congé",M146="Abs",D146="Congé sans solde",D146="Férié"),"",IF(O146-K146-L146&gt;O146,O146,IF(O146-K146-L146&lt;0,"",O146-K146-L146))),"")</f>
        <v/>
      </c>
      <c r="O146" s="241">
        <f>IF(AG146="2H Pause déjeuner",IF(F146-D146-0.0833333333333333&lt;0,F146-D146-0.0833333333333333+1,F146-D146-0.0833333333333333),IF(OR(AND(F146="OFF",D146="OFF"),AND(F146="Congé",D146="Congé"),AND(F146="Congé sans solde",D146="Congé sans solde"),AND(F146="Congé spécial",D146="Congé spécial"),AND(F146="Férié",D146="Férié"),AND(F146="OFF",D146="Congé"),AND(F146="OFF",D146="Congé sans solde"),AND(F146="OFF",D146="Congé spécial"),AND(F146="OFF",D146="Férié"),AND(F146="Congé",D146="OFF"),AND(F146="Congé",D146="Congé sans solde"),AND(F146="Congé",D146="Congé spécial"),AND(F146="Congé",D146="Férié"),AND(F146="Congé sans solde",D146="OFF"),AND(F146="Congé sans solde",D146="Congé"),AND(F146="Congé sans solde",D146="Congé spécial"),AND(F146="Congé sans solde",D146="Férié"),AND(F146="Congé spécial",D146="OFF"),AND(F146="Congé spécial",D146="Congé"),AND(F146="Congé spécial",D146="Congé sans solde"),AND(F146="Congé spécial",D146="Férié"),AND(F146="Férié",D146="OFF"),AND(F146="Férié",D146="Congé"),AND(F146="Férié",D146="Congé sans solde"),AND(F146="Férié",D146="Congé spécial")),0,IF(OR(F146="OFF",F146="Congé",F146="Congé spécial",F146="Congé sans solde",D146="OFF",D146="Congé",D146="Congé spécial",D146="Congé sans solde"),0.208333333333334,IF(AND(AG146="",F146-D146&lt;0),("24:00:00"-D146)+("00:00:00"+F146)-0.0416666666666667,IF(AND(OR(AG146="Allaitement",AG146="Sans déjeuner"),F146-D146&lt;0),("24:00:00"-D146)+("00:00:00"+F146),IF(AND(AG146="",F146-D146&gt;0.166666666666667),F146-D146-0.0416666666666667,IF(AND(OR(AG146="Allaitement",AG146="Sans déjeuner"),F146-D146&gt;0.166666666666667),F146-D146,F146-D146)))))))</f>
        <v/>
      </c>
      <c r="P146" s="242">
        <f>IFERROR(VLOOKUP($B146,Annuaire_roster!$B:$G,MATCH(P$1,Annuaire_roster!$B$1:$G$1,0),0),"-")</f>
        <v/>
      </c>
      <c r="Q146" s="243" t="n">
        <v>44765</v>
      </c>
      <c r="R146" s="244">
        <f>IF(M146="Abs",O146,0)</f>
        <v/>
      </c>
      <c r="S146" s="244">
        <f>SUM(R146,L146,I146,J146,W146,H146)</f>
        <v/>
      </c>
      <c r="T146" s="209">
        <f>"Sem - "&amp;WEEKNUM(Q146,21)</f>
        <v/>
      </c>
      <c r="U146" s="209">
        <f>PROPER(TEXT(Q146,"mmmm"))</f>
        <v/>
      </c>
      <c r="V146" s="245">
        <f>+TEXT(Q146,"aaa")</f>
        <v/>
      </c>
      <c r="W146" s="240" t="n"/>
      <c r="X146" s="246">
        <f>IFERROR(IF(M146="Abs",0,IF((D146-C146+E146-F146)&lt;0.000694444444444444,0,(D146-C146+E146-F146))),0)</f>
        <v/>
      </c>
      <c r="Y146" s="247">
        <f>IFERROR(VLOOKUP(B146,Annuaire_roster!B:E,4,0),"-")</f>
        <v/>
      </c>
      <c r="Z146" s="247">
        <f>IFERROR(VLOOKUP(B146,Annuaire_roster!B:F,3,0),"-")</f>
        <v/>
      </c>
      <c r="AA146" s="247">
        <f>IFERROR(VLOOKUP(B146,Annuaire_roster!B:I,6,0),"-")</f>
        <v/>
      </c>
      <c r="AB146" s="248">
        <f>IF(AND(D146="Congé",F146="Congé"),0.333333333333333,IF(OR(AND(D146="Congé",F146&lt;&gt;"Congé"),(AND(F146="Congé",D146&lt;&gt;"Congé"))),0.166666666666667,""))</f>
        <v/>
      </c>
      <c r="AC146" s="248">
        <f>IF(AND(D146="Congé sans solde",F146="Congé sans solde"),0.333333333333333,IF(OR(AND(D146="Congé sans solde",F146&lt;&gt;"Congé sans solde"),(AND(F146="Congé sans solde",D146&lt;&gt;"Congé sans solde"))),0.166666666666667,""))</f>
        <v/>
      </c>
      <c r="AD146" s="248">
        <f>IF(AND(D146="Congé spécial",F146="Congé spécial"),0.333333333333333,IF(OR(AND(D146="Congé spécial",F146&lt;&gt;"Congé décès"),(AND(F146="Congé spécial",D146&lt;&gt;"Congé spécial"))),0.166666666666667,""))</f>
        <v/>
      </c>
      <c r="AE146" s="249">
        <f>IF(AND(D146="Férié",F146="Férié"),0.333333333333333,IF(OR(AND(D146="Férié",F146&lt;&gt;"Férié"),(AND(F146="Férié",D146&lt;&gt;"Férié"))),0.166666666666667,""))</f>
        <v/>
      </c>
      <c r="AF146" s="249" t="n"/>
      <c r="AG146" s="244" t="n"/>
    </row>
    <row r="147" hidden="1" ht="12.75" customHeight="1" s="231">
      <c r="A147" s="232">
        <f>VLOOKUP(B147,Annuaire_roster!B:F,5,0)</f>
        <v/>
      </c>
      <c r="B147" s="233" t="inlineStr">
        <is>
          <t>MELLAHI YOUSSEF</t>
        </is>
      </c>
      <c r="C147" s="234">
        <f>IFERROR(IF(COUNTIFS(Connexions!$K:$K,$Q147,Connexions!$E:$E,VLOOKUP($B147,Mapping_Noms!$A:$B,2,0))=0,"",_xlfn.MINIFS(Connexions!$M:$M,Connexions!$K:$K,$Q147,Connexions!$E:$E,VLOOKUP($B147,Mapping_Noms!$A:$B,2,0))-TIME(1,0,0)),"")</f>
        <v/>
      </c>
      <c r="D147" s="234">
        <f t="array" ref="D147:D147">IFERROR(INDEX(Planning2[],MATCH(1,(Planning2[Nom]=B147)*(Planning2[Date]=Q147),0),3),"-")</f>
        <v/>
      </c>
      <c r="E147" s="235">
        <f>IFERROR(IF(COUNTIFS(Connexions!$K:$K,$Q147,Connexions!$E:$E,VLOOKUP($B147,Mapping_Noms!$A:$B,2,0))=0,"",_xlfn.MAXIFS(Connexions!$O:$O,Connexions!$K:$K,$Q147,Connexions!$E:$E,VLOOKUP($B147,Mapping_Noms!$A:$B,2,0))-TIME(1,0,0)),"")</f>
        <v/>
      </c>
      <c r="F147" s="235">
        <f t="array" ref="F147:F147">IFERROR(INDEX(Planning2[],MATCH(1,(Planning2[Nom]=B147)*(Planning2[Date]=Q147),0),4),"-")</f>
        <v/>
      </c>
      <c r="G147" s="405">
        <f>IFERROR(IF(OR(IFERROR(INDEX('Planning Pauses Dej'!$C:$C,MATCH($B147&amp;"|"&amp;TEXT($Q147,"YYYYMMDD"),'Planning Pauses Dej'!$F:$F,0)),"")="",IFERROR(INDEX('Planning Pauses Dej'!$D:$D,MATCH($B147&amp;"|"&amp;TEXT($Q147,"YYYYMMDD"),'Planning Pauses Dej'!$F:$F,0)),"")=""),"",_xlfn.MAXIFS(Connexions!$Q:$Q,Connexions!$K:$K,$Q147,Connexions!$E:$E,VLOOKUP($B147,Mapping_Noms!$A:$B,2,0),Connexions!$O:$O,"&lt;="&amp;(IFERROR(INDEX('Planning Pauses Dej'!$D:$D,MATCH($B147&amp;"|"&amp;TEXT($Q147,"YYYYMMDD"),'Planning Pauses Dej'!$F:$F,0)),"")+TIME(1,0,0)),Connexions!$P:$P,"&gt;="&amp;(IFERROR(INDEX('Planning Pauses Dej'!$C:$C,MATCH($B147&amp;"|"&amp;TEXT($Q147,"YYYYMMDD"),'Planning Pauses Dej'!$F:$F,0)),"")+TIME(1,0,0)))),"")</f>
        <v/>
      </c>
      <c r="H147" s="405">
        <f>IFERROR(IF(OR($G147="",IFERROR(INDEX('Planning Pauses Dej'!$C:$C,MATCH($B147&amp;"|"&amp;TEXT($Q147,"YYYYMMDD"),'Planning Pauses Dej'!$F:$F,0)),"")="",IFERROR(INDEX('Planning Pauses Dej'!$D:$D,MATCH($B147&amp;"|"&amp;TEXT($Q147,"YYYYMMDD"),'Planning Pauses Dej'!$F:$F,0)),"")=""),"",IF($G147&gt;(IFERROR(INDEX('Planning Pauses Dej'!$D:$D,MATCH($B147&amp;"|"&amp;TEXT($Q147,"YYYYMMDD"),'Planning Pauses Dej'!$F:$F,0)),"")-IFERROR(INDEX('Planning Pauses Dej'!$C:$C,MATCH($B147&amp;"|"&amp;TEXT($Q147,"YYYYMMDD"),'Planning Pauses Dej'!$F:$F,0)),"")),$G147-(IFERROR(INDEX('Planning Pauses Dej'!$D:$D,MATCH($B147&amp;"|"&amp;TEXT($Q147,"YYYYMMDD"),'Planning Pauses Dej'!$F:$F,0)),"")-IFERROR(INDEX('Planning Pauses Dej'!$C:$C,MATCH($B147&amp;"|"&amp;TEXT($Q147,"YYYYMMDD"),'Planning Pauses Dej'!$F:$F,0)),"")),0)),"")</f>
        <v/>
      </c>
      <c r="I147" s="251">
        <f>IF(IF(OR(C147="",D147="Congé",D147="OFF",D147="Congé spécial"),"",IF(D147&gt;F147,D147-C147,IF(C147-D147&lt;0,0,C147-D147)))&lt;0.00068287037037037,"",IF(OR(D147="Congé",D147="OFF",C147="",D147="Congé spécial"),"",IF(D147&gt;F147,D147-C147,IF(C147-D147&lt;0,0,C147-D147))))</f>
        <v/>
      </c>
      <c r="J147" s="405">
        <f>IFERROR(IF($G147="","",IF($G147&gt;TIME(1,0,0),$G147-TIME(1,0,0),0)),"")</f>
        <v/>
      </c>
      <c r="K147" s="238">
        <f>IF(SUM(H147:J147)&lt;0.00068287037037037,0,SUM(H147:J147))</f>
        <v/>
      </c>
      <c r="L147" s="236">
        <f>IF(OR(F147="Congé",F147="OFF",M147="Abs",F147="Congé sans solde",F147="Férié",F147="Congé spécial",D147="Congé spécial"),0,IF(F147-E147&lt;0,0,IF(F147-E147&lt;=0.00068287037037037,0,F147-E147)))</f>
        <v/>
      </c>
      <c r="M147" s="239">
        <f>IF(AND(O147&lt;&gt;0,C147=""),"Abs",0)</f>
        <v/>
      </c>
      <c r="N147" s="240">
        <f>IFERROR(IF(OR(D147="OFF",D147="Congé",M147="Abs",D147="Congé sans solde",D147="Férié"),"",IF(O147-K147-L147&gt;O147,O147,IF(O147-K147-L147&lt;0,"",O147-K147-L147))),"")</f>
        <v/>
      </c>
      <c r="O147" s="241">
        <f>IF(AG147="2H Pause déjeuner",IF(F147-D147-0.0833333333333333&lt;0,F147-D147-0.0833333333333333+1,F147-D147-0.0833333333333333),IF(OR(AND(F147="OFF",D147="OFF"),AND(F147="Congé",D147="Congé"),AND(F147="Congé sans solde",D147="Congé sans solde"),AND(F147="Congé spécial",D147="Congé spécial"),AND(F147="Férié",D147="Férié"),AND(F147="OFF",D147="Congé"),AND(F147="OFF",D147="Congé sans solde"),AND(F147="OFF",D147="Congé spécial"),AND(F147="OFF",D147="Férié"),AND(F147="Congé",D147="OFF"),AND(F147="Congé",D147="Congé sans solde"),AND(F147="Congé",D147="Congé spécial"),AND(F147="Congé",D147="Férié"),AND(F147="Congé sans solde",D147="OFF"),AND(F147="Congé sans solde",D147="Congé"),AND(F147="Congé sans solde",D147="Congé spécial"),AND(F147="Congé sans solde",D147="Férié"),AND(F147="Congé spécial",D147="OFF"),AND(F147="Congé spécial",D147="Congé"),AND(F147="Congé spécial",D147="Congé sans solde"),AND(F147="Congé spécial",D147="Férié"),AND(F147="Férié",D147="OFF"),AND(F147="Férié",D147="Congé"),AND(F147="Férié",D147="Congé sans solde"),AND(F147="Férié",D147="Congé spécial")),0,IF(OR(F147="OFF",F147="Congé",F147="Congé spécial",F147="Congé sans solde",D147="OFF",D147="Congé",D147="Congé spécial",D147="Congé sans solde"),0.208333333333334,IF(AND(AG147="",F147-D147&lt;0),("24:00:00"-D147)+("00:00:00"+F147)-0.0416666666666667,IF(AND(OR(AG147="Allaitement",AG147="Sans déjeuner"),F147-D147&lt;0),("24:00:00"-D147)+("00:00:00"+F147),IF(AND(AG147="",F147-D147&gt;0.166666666666667),F147-D147-0.0416666666666667,IF(AND(OR(AG147="Allaitement",AG147="Sans déjeuner"),F147-D147&gt;0.166666666666667),F147-D147,F147-D147)))))))</f>
        <v/>
      </c>
      <c r="P147" s="242">
        <f>IFERROR(VLOOKUP($B147,Annuaire_roster!$B:$G,MATCH(P$1,Annuaire_roster!$B$1:$G$1,0),0),"-")</f>
        <v/>
      </c>
      <c r="Q147" s="243" t="n">
        <v>44765</v>
      </c>
      <c r="R147" s="244">
        <f>IF(M147="Abs",O147,0)</f>
        <v/>
      </c>
      <c r="S147" s="244">
        <f>SUM(R147,L147,I147,J147,W147,H147)</f>
        <v/>
      </c>
      <c r="T147" s="209">
        <f>"Sem - "&amp;WEEKNUM(Q147,21)</f>
        <v/>
      </c>
      <c r="U147" s="209">
        <f>PROPER(TEXT(Q147,"mmmm"))</f>
        <v/>
      </c>
      <c r="V147" s="245">
        <f>+TEXT(Q147,"aaa")</f>
        <v/>
      </c>
      <c r="W147" s="240" t="n"/>
      <c r="X147" s="246">
        <f>IFERROR(IF(M147="Abs",0,IF((D147-C147+E147-F147)&lt;0.000694444444444444,0,(D147-C147+E147-F147))),0)</f>
        <v/>
      </c>
      <c r="Y147" s="247">
        <f>IFERROR(VLOOKUP(B147,Annuaire_roster!B:E,4,0),"-")</f>
        <v/>
      </c>
      <c r="Z147" s="247">
        <f>IFERROR(VLOOKUP(B147,Annuaire_roster!B:F,3,0),"-")</f>
        <v/>
      </c>
      <c r="AA147" s="247">
        <f>IFERROR(VLOOKUP(B147,Annuaire_roster!B:I,6,0),"-")</f>
        <v/>
      </c>
      <c r="AB147" s="248">
        <f>IF(AND(D147="Congé",F147="Congé"),0.333333333333333,IF(OR(AND(D147="Congé",F147&lt;&gt;"Congé"),(AND(F147="Congé",D147&lt;&gt;"Congé"))),0.166666666666667,""))</f>
        <v/>
      </c>
      <c r="AC147" s="248">
        <f>IF(AND(D147="Congé sans solde",F147="Congé sans solde"),0.333333333333333,IF(OR(AND(D147="Congé sans solde",F147&lt;&gt;"Congé sans solde"),(AND(F147="Congé sans solde",D147&lt;&gt;"Congé sans solde"))),0.166666666666667,""))</f>
        <v/>
      </c>
      <c r="AD147" s="248">
        <f>IF(AND(D147="Congé spécial",F147="Congé spécial"),0.333333333333333,IF(OR(AND(D147="Congé spécial",F147&lt;&gt;"Congé décès"),(AND(F147="Congé spécial",D147&lt;&gt;"Congé spécial"))),0.166666666666667,""))</f>
        <v/>
      </c>
      <c r="AE147" s="249">
        <f>IF(AND(D147="Férié",F147="Férié"),0.333333333333333,IF(OR(AND(D147="Férié",F147&lt;&gt;"Férié"),(AND(F147="Férié",D147&lt;&gt;"Férié"))),0.166666666666667,""))</f>
        <v/>
      </c>
      <c r="AF147" s="249" t="n"/>
      <c r="AG147" s="244" t="n"/>
    </row>
    <row r="148" hidden="1" ht="12.75" customHeight="1" s="231">
      <c r="A148" s="232">
        <f>VLOOKUP(B148,Annuaire_roster!B:F,5,0)</f>
        <v/>
      </c>
      <c r="B148" s="233" t="inlineStr">
        <is>
          <t>NIANG NDEYE ABSA</t>
        </is>
      </c>
      <c r="C148" s="234">
        <f>IFERROR(IF(COUNTIFS(Connexions!$K:$K,$Q148,Connexions!$E:$E,VLOOKUP($B148,Mapping_Noms!$A:$B,2,0))=0,"",_xlfn.MINIFS(Connexions!$M:$M,Connexions!$K:$K,$Q148,Connexions!$E:$E,VLOOKUP($B148,Mapping_Noms!$A:$B,2,0))-TIME(1,0,0)),"")</f>
        <v/>
      </c>
      <c r="D148" s="234">
        <f t="array" ref="D148:D148">IFERROR(INDEX(Planning2[],MATCH(1,(Planning2[Nom]=B148)*(Planning2[Date]=Q148),0),3),"-")</f>
        <v/>
      </c>
      <c r="E148" s="235">
        <f>IFERROR(IF(COUNTIFS(Connexions!$K:$K,$Q148,Connexions!$E:$E,VLOOKUP($B148,Mapping_Noms!$A:$B,2,0))=0,"",_xlfn.MAXIFS(Connexions!$O:$O,Connexions!$K:$K,$Q148,Connexions!$E:$E,VLOOKUP($B148,Mapping_Noms!$A:$B,2,0))-TIME(1,0,0)),"")</f>
        <v/>
      </c>
      <c r="F148" s="235">
        <f t="array" ref="F148:F148">IFERROR(INDEX(Planning2[],MATCH(1,(Planning2[Nom]=B148)*(Planning2[Date]=Q148),0),4),"-")</f>
        <v/>
      </c>
      <c r="G148" s="405">
        <f>IFERROR(IF(OR(IFERROR(INDEX('Planning Pauses Dej'!$C:$C,MATCH($B148&amp;"|"&amp;TEXT($Q148,"YYYYMMDD"),'Planning Pauses Dej'!$F:$F,0)),"")="",IFERROR(INDEX('Planning Pauses Dej'!$D:$D,MATCH($B148&amp;"|"&amp;TEXT($Q148,"YYYYMMDD"),'Planning Pauses Dej'!$F:$F,0)),"")=""),"",_xlfn.MAXIFS(Connexions!$Q:$Q,Connexions!$K:$K,$Q148,Connexions!$E:$E,VLOOKUP($B148,Mapping_Noms!$A:$B,2,0),Connexions!$O:$O,"&lt;="&amp;(IFERROR(INDEX('Planning Pauses Dej'!$D:$D,MATCH($B148&amp;"|"&amp;TEXT($Q148,"YYYYMMDD"),'Planning Pauses Dej'!$F:$F,0)),"")+TIME(1,0,0)),Connexions!$P:$P,"&gt;="&amp;(IFERROR(INDEX('Planning Pauses Dej'!$C:$C,MATCH($B148&amp;"|"&amp;TEXT($Q148,"YYYYMMDD"),'Planning Pauses Dej'!$F:$F,0)),"")+TIME(1,0,0)))),"")</f>
        <v/>
      </c>
      <c r="H148" s="405">
        <f>IFERROR(IF(OR($G148="",IFERROR(INDEX('Planning Pauses Dej'!$C:$C,MATCH($B148&amp;"|"&amp;TEXT($Q148,"YYYYMMDD"),'Planning Pauses Dej'!$F:$F,0)),"")="",IFERROR(INDEX('Planning Pauses Dej'!$D:$D,MATCH($B148&amp;"|"&amp;TEXT($Q148,"YYYYMMDD"),'Planning Pauses Dej'!$F:$F,0)),"")=""),"",IF($G148&gt;(IFERROR(INDEX('Planning Pauses Dej'!$D:$D,MATCH($B148&amp;"|"&amp;TEXT($Q148,"YYYYMMDD"),'Planning Pauses Dej'!$F:$F,0)),"")-IFERROR(INDEX('Planning Pauses Dej'!$C:$C,MATCH($B148&amp;"|"&amp;TEXT($Q148,"YYYYMMDD"),'Planning Pauses Dej'!$F:$F,0)),"")),$G148-(IFERROR(INDEX('Planning Pauses Dej'!$D:$D,MATCH($B148&amp;"|"&amp;TEXT($Q148,"YYYYMMDD"),'Planning Pauses Dej'!$F:$F,0)),"")-IFERROR(INDEX('Planning Pauses Dej'!$C:$C,MATCH($B148&amp;"|"&amp;TEXT($Q148,"YYYYMMDD"),'Planning Pauses Dej'!$F:$F,0)),"")),0)),"")</f>
        <v/>
      </c>
      <c r="I148" s="251">
        <f>IF(IF(OR(C148="",D148="Congé",D148="OFF",D148="Congé spécial"),"",IF(D148&gt;F148,D148-C148,IF(C148-D148&lt;0,0,C148-D148)))&lt;0.00068287037037037,"",IF(OR(D148="Congé",D148="OFF",C148="",D148="Congé spécial"),"",IF(D148&gt;F148,D148-C148,IF(C148-D148&lt;0,0,C148-D148))))</f>
        <v/>
      </c>
      <c r="J148" s="405">
        <f>IFERROR(IF($G148="","",IF($G148&gt;TIME(1,0,0),$G148-TIME(1,0,0),0)),"")</f>
        <v/>
      </c>
      <c r="K148" s="238">
        <f>IF(SUM(H148:J148)&lt;0.00068287037037037,0,SUM(H148:J148))</f>
        <v/>
      </c>
      <c r="L148" s="236">
        <f>IF(OR(F148="Congé",F148="OFF",M148="Abs",F148="Congé sans solde",F148="Férié",F148="Congé spécial",D148="Congé spécial"),0,IF(F148-E148&lt;0,0,IF(F148-E148&lt;=0.00068287037037037,0,F148-E148)))</f>
        <v/>
      </c>
      <c r="M148" s="239">
        <f>IF(AND(O148&lt;&gt;0,C148=""),"Abs",0)</f>
        <v/>
      </c>
      <c r="N148" s="240">
        <f>IFERROR(IF(OR(D148="OFF",D148="Congé",M148="Abs",D148="Congé sans solde",D148="Férié"),"",IF(O148-K148-L148&gt;O148,O148,IF(O148-K148-L148&lt;0,"",O148-K148-L148))),"")</f>
        <v/>
      </c>
      <c r="O148" s="241">
        <f>IF(AG148="2H Pause déjeuner",IF(F148-D148-0.0833333333333333&lt;0,F148-D148-0.0833333333333333+1,F148-D148-0.0833333333333333),IF(OR(AND(F148="OFF",D148="OFF"),AND(F148="Congé",D148="Congé"),AND(F148="Congé sans solde",D148="Congé sans solde"),AND(F148="Congé spécial",D148="Congé spécial"),AND(F148="Férié",D148="Férié"),AND(F148="OFF",D148="Congé"),AND(F148="OFF",D148="Congé sans solde"),AND(F148="OFF",D148="Congé spécial"),AND(F148="OFF",D148="Férié"),AND(F148="Congé",D148="OFF"),AND(F148="Congé",D148="Congé sans solde"),AND(F148="Congé",D148="Congé spécial"),AND(F148="Congé",D148="Férié"),AND(F148="Congé sans solde",D148="OFF"),AND(F148="Congé sans solde",D148="Congé"),AND(F148="Congé sans solde",D148="Congé spécial"),AND(F148="Congé sans solde",D148="Férié"),AND(F148="Congé spécial",D148="OFF"),AND(F148="Congé spécial",D148="Congé"),AND(F148="Congé spécial",D148="Congé sans solde"),AND(F148="Congé spécial",D148="Férié"),AND(F148="Férié",D148="OFF"),AND(F148="Férié",D148="Congé"),AND(F148="Férié",D148="Congé sans solde"),AND(F148="Férié",D148="Congé spécial")),0,IF(OR(F148="OFF",F148="Congé",F148="Congé spécial",F148="Congé sans solde",D148="OFF",D148="Congé",D148="Congé spécial",D148="Congé sans solde"),0.208333333333334,IF(AND(AG148="",F148-D148&lt;0),("24:00:00"-D148)+("00:00:00"+F148)-0.0416666666666667,IF(AND(OR(AG148="Allaitement",AG148="Sans déjeuner"),F148-D148&lt;0),("24:00:00"-D148)+("00:00:00"+F148),IF(AND(AG148="",F148-D148&gt;0.166666666666667),F148-D148-0.0416666666666667,IF(AND(OR(AG148="Allaitement",AG148="Sans déjeuner"),F148-D148&gt;0.166666666666667),F148-D148,F148-D148)))))))</f>
        <v/>
      </c>
      <c r="P148" s="242">
        <f>IFERROR(VLOOKUP($B148,Annuaire_roster!$B:$G,MATCH(P$1,Annuaire_roster!$B$1:$G$1,0),0),"-")</f>
        <v/>
      </c>
      <c r="Q148" s="243" t="n">
        <v>44765</v>
      </c>
      <c r="R148" s="244">
        <f>IF(M148="Abs",O148,0)</f>
        <v/>
      </c>
      <c r="S148" s="244">
        <f>SUM(R148,L148,I148,J148,W148,H148)</f>
        <v/>
      </c>
      <c r="T148" s="209">
        <f>"Sem - "&amp;WEEKNUM(Q148,21)</f>
        <v/>
      </c>
      <c r="U148" s="209">
        <f>PROPER(TEXT(Q148,"mmmm"))</f>
        <v/>
      </c>
      <c r="V148" s="245">
        <f>+TEXT(Q148,"aaa")</f>
        <v/>
      </c>
      <c r="W148" s="240" t="n"/>
      <c r="X148" s="246">
        <f>IFERROR(IF(M148="Abs",0,IF((D148-C148+E148-F148)&lt;0.000694444444444444,0,(D148-C148+E148-F148))),0)</f>
        <v/>
      </c>
      <c r="Y148" s="247">
        <f>IFERROR(VLOOKUP(B148,Annuaire_roster!B:E,4,0),"-")</f>
        <v/>
      </c>
      <c r="Z148" s="247">
        <f>IFERROR(VLOOKUP(B148,Annuaire_roster!B:F,3,0),"-")</f>
        <v/>
      </c>
      <c r="AA148" s="247">
        <f>IFERROR(VLOOKUP(B148,Annuaire_roster!B:I,6,0),"-")</f>
        <v/>
      </c>
      <c r="AB148" s="248">
        <f>IF(AND(D148="Congé",F148="Congé"),0.333333333333333,IF(OR(AND(D148="Congé",F148&lt;&gt;"Congé"),(AND(F148="Congé",D148&lt;&gt;"Congé"))),0.166666666666667,""))</f>
        <v/>
      </c>
      <c r="AC148" s="248">
        <f>IF(AND(D148="Congé sans solde",F148="Congé sans solde"),0.333333333333333,IF(OR(AND(D148="Congé sans solde",F148&lt;&gt;"Congé sans solde"),(AND(F148="Congé sans solde",D148&lt;&gt;"Congé sans solde"))),0.166666666666667,""))</f>
        <v/>
      </c>
      <c r="AD148" s="248">
        <f>IF(AND(D148="Congé spécial",F148="Congé spécial"),0.333333333333333,IF(OR(AND(D148="Congé spécial",F148&lt;&gt;"Congé décès"),(AND(F148="Congé spécial",D148&lt;&gt;"Congé spécial"))),0.166666666666667,""))</f>
        <v/>
      </c>
      <c r="AE148" s="249">
        <f>IF(AND(D148="Férié",F148="Férié"),0.333333333333333,IF(OR(AND(D148="Férié",F148&lt;&gt;"Férié"),(AND(F148="Férié",D148&lt;&gt;"Férié"))),0.166666666666667,""))</f>
        <v/>
      </c>
      <c r="AF148" s="249" t="n"/>
      <c r="AG148" s="244" t="n"/>
    </row>
    <row r="149" hidden="1" ht="12.75" customHeight="1" s="231">
      <c r="A149" s="232">
        <f>VLOOKUP(B149,Annuaire_roster!B:F,5,0)</f>
        <v/>
      </c>
      <c r="B149" s="233" t="inlineStr">
        <is>
          <t>GUEYE GORA</t>
        </is>
      </c>
      <c r="C149" s="234">
        <f>IFERROR(IF(COUNTIFS(Connexions!$K:$K,$Q149,Connexions!$E:$E,VLOOKUP($B149,Mapping_Noms!$A:$B,2,0))=0,"",_xlfn.MINIFS(Connexions!$M:$M,Connexions!$K:$K,$Q149,Connexions!$E:$E,VLOOKUP($B149,Mapping_Noms!$A:$B,2,0))-TIME(1,0,0)),"")</f>
        <v/>
      </c>
      <c r="D149" s="234">
        <f t="array" ref="D149:D149">IFERROR(INDEX(Planning2[],MATCH(1,(Planning2[Nom]=B149)*(Planning2[Date]=Q149),0),3),"-")</f>
        <v/>
      </c>
      <c r="E149" s="235">
        <f>IFERROR(IF(COUNTIFS(Connexions!$K:$K,$Q149,Connexions!$E:$E,VLOOKUP($B149,Mapping_Noms!$A:$B,2,0))=0,"",_xlfn.MAXIFS(Connexions!$O:$O,Connexions!$K:$K,$Q149,Connexions!$E:$E,VLOOKUP($B149,Mapping_Noms!$A:$B,2,0))-TIME(1,0,0)),"")</f>
        <v/>
      </c>
      <c r="F149" s="235">
        <f t="array" ref="F149:F149">IFERROR(INDEX(Planning2[],MATCH(1,(Planning2[Nom]=B149)*(Planning2[Date]=Q149),0),4),"-")</f>
        <v/>
      </c>
      <c r="G149" s="405">
        <f>IFERROR(IF(OR(IFERROR(INDEX('Planning Pauses Dej'!$C:$C,MATCH($B149&amp;"|"&amp;TEXT($Q149,"YYYYMMDD"),'Planning Pauses Dej'!$F:$F,0)),"")="",IFERROR(INDEX('Planning Pauses Dej'!$D:$D,MATCH($B149&amp;"|"&amp;TEXT($Q149,"YYYYMMDD"),'Planning Pauses Dej'!$F:$F,0)),"")=""),"",_xlfn.MAXIFS(Connexions!$Q:$Q,Connexions!$K:$K,$Q149,Connexions!$E:$E,VLOOKUP($B149,Mapping_Noms!$A:$B,2,0),Connexions!$O:$O,"&lt;="&amp;(IFERROR(INDEX('Planning Pauses Dej'!$D:$D,MATCH($B149&amp;"|"&amp;TEXT($Q149,"YYYYMMDD"),'Planning Pauses Dej'!$F:$F,0)),"")+TIME(1,0,0)),Connexions!$P:$P,"&gt;="&amp;(IFERROR(INDEX('Planning Pauses Dej'!$C:$C,MATCH($B149&amp;"|"&amp;TEXT($Q149,"YYYYMMDD"),'Planning Pauses Dej'!$F:$F,0)),"")+TIME(1,0,0)))),"")</f>
        <v/>
      </c>
      <c r="H149" s="405">
        <f>IFERROR(IF(OR($G149="",IFERROR(INDEX('Planning Pauses Dej'!$C:$C,MATCH($B149&amp;"|"&amp;TEXT($Q149,"YYYYMMDD"),'Planning Pauses Dej'!$F:$F,0)),"")="",IFERROR(INDEX('Planning Pauses Dej'!$D:$D,MATCH($B149&amp;"|"&amp;TEXT($Q149,"YYYYMMDD"),'Planning Pauses Dej'!$F:$F,0)),"")=""),"",IF($G149&gt;(IFERROR(INDEX('Planning Pauses Dej'!$D:$D,MATCH($B149&amp;"|"&amp;TEXT($Q149,"YYYYMMDD"),'Planning Pauses Dej'!$F:$F,0)),"")-IFERROR(INDEX('Planning Pauses Dej'!$C:$C,MATCH($B149&amp;"|"&amp;TEXT($Q149,"YYYYMMDD"),'Planning Pauses Dej'!$F:$F,0)),"")),$G149-(IFERROR(INDEX('Planning Pauses Dej'!$D:$D,MATCH($B149&amp;"|"&amp;TEXT($Q149,"YYYYMMDD"),'Planning Pauses Dej'!$F:$F,0)),"")-IFERROR(INDEX('Planning Pauses Dej'!$C:$C,MATCH($B149&amp;"|"&amp;TEXT($Q149,"YYYYMMDD"),'Planning Pauses Dej'!$F:$F,0)),"")),0)),"")</f>
        <v/>
      </c>
      <c r="I149" s="251">
        <f>IF(IF(OR(C149="",D149="Congé",D149="OFF",D149="Congé spécial"),"",IF(D149&gt;F149,D149-C149,IF(C149-D149&lt;0,0,C149-D149)))&lt;0.00068287037037037,"",IF(OR(D149="Congé",D149="OFF",C149="",D149="Congé spécial"),"",IF(D149&gt;F149,D149-C149,IF(C149-D149&lt;0,0,C149-D149))))</f>
        <v/>
      </c>
      <c r="J149" s="405">
        <f>IFERROR(IF($G149="","",IF($G149&gt;TIME(1,0,0),$G149-TIME(1,0,0),0)),"")</f>
        <v/>
      </c>
      <c r="K149" s="238">
        <f>IF(SUM(H149:J149)&lt;0.00068287037037037,0,SUM(H149:J149))</f>
        <v/>
      </c>
      <c r="L149" s="236">
        <f>IF(OR(F149="Congé",F149="OFF",M149="Abs",F149="Congé sans solde",F149="Férié",F149="Congé spécial",D149="Congé spécial"),0,IF(F149-E149&lt;0,0,IF(F149-E149&lt;=0.00068287037037037,0,F149-E149)))</f>
        <v/>
      </c>
      <c r="M149" s="239">
        <f>IF(AND(O149&lt;&gt;0,C149=""),"Abs",0)</f>
        <v/>
      </c>
      <c r="N149" s="240">
        <f>IFERROR(IF(OR(D149="OFF",D149="Congé",M149="Abs",D149="Congé sans solde",D149="Férié"),"",IF(O149-K149-L149&gt;O149,O149,IF(O149-K149-L149&lt;0,"",O149-K149-L149))),"")</f>
        <v/>
      </c>
      <c r="O149" s="241">
        <f>IF(AG149="2H Pause déjeuner",IF(F149-D149-0.0833333333333333&lt;0,F149-D149-0.0833333333333333+1,F149-D149-0.0833333333333333),IF(OR(AND(F149="OFF",D149="OFF"),AND(F149="Congé",D149="Congé"),AND(F149="Congé sans solde",D149="Congé sans solde"),AND(F149="Congé spécial",D149="Congé spécial"),AND(F149="Férié",D149="Férié"),AND(F149="OFF",D149="Congé"),AND(F149="OFF",D149="Congé sans solde"),AND(F149="OFF",D149="Congé spécial"),AND(F149="OFF",D149="Férié"),AND(F149="Congé",D149="OFF"),AND(F149="Congé",D149="Congé sans solde"),AND(F149="Congé",D149="Congé spécial"),AND(F149="Congé",D149="Férié"),AND(F149="Congé sans solde",D149="OFF"),AND(F149="Congé sans solde",D149="Congé"),AND(F149="Congé sans solde",D149="Congé spécial"),AND(F149="Congé sans solde",D149="Férié"),AND(F149="Congé spécial",D149="OFF"),AND(F149="Congé spécial",D149="Congé"),AND(F149="Congé spécial",D149="Congé sans solde"),AND(F149="Congé spécial",D149="Férié"),AND(F149="Férié",D149="OFF"),AND(F149="Férié",D149="Congé"),AND(F149="Férié",D149="Congé sans solde"),AND(F149="Férié",D149="Congé spécial")),0,IF(OR(F149="OFF",F149="Congé",F149="Congé spécial",F149="Congé sans solde",D149="OFF",D149="Congé",D149="Congé spécial",D149="Congé sans solde"),0.208333333333334,IF(AND(AG149="",F149-D149&lt;0),("24:00:00"-D149)+("00:00:00"+F149)-0.0416666666666667,IF(AND(OR(AG149="Allaitement",AG149="Sans déjeuner"),F149-D149&lt;0),("24:00:00"-D149)+("00:00:00"+F149),IF(AND(AG149="",F149-D149&gt;0.166666666666667),F149-D149-0.0416666666666667,IF(AND(OR(AG149="Allaitement",AG149="Sans déjeuner"),F149-D149&gt;0.166666666666667),F149-D149,F149-D149)))))))</f>
        <v/>
      </c>
      <c r="P149" s="242">
        <f>IFERROR(VLOOKUP($B149,Annuaire_roster!$B:$G,MATCH(P$1,Annuaire_roster!$B$1:$G$1,0),0),"-")</f>
        <v/>
      </c>
      <c r="Q149" s="243" t="n">
        <v>44765</v>
      </c>
      <c r="R149" s="244">
        <f>IF(M149="Abs",O149,0)</f>
        <v/>
      </c>
      <c r="S149" s="244">
        <f>SUM(R149,L149,I149,J149,W149,H149)</f>
        <v/>
      </c>
      <c r="T149" s="209">
        <f>"Sem - "&amp;WEEKNUM(Q149,21)</f>
        <v/>
      </c>
      <c r="U149" s="209">
        <f>PROPER(TEXT(Q149,"mmmm"))</f>
        <v/>
      </c>
      <c r="V149" s="245">
        <f>+TEXT(Q149,"aaa")</f>
        <v/>
      </c>
      <c r="W149" s="240" t="n"/>
      <c r="X149" s="246">
        <f>IFERROR(IF(M149="Abs",0,IF((D149-C149+E149-F149)&lt;0.000694444444444444,0,(D149-C149+E149-F149))),0)</f>
        <v/>
      </c>
      <c r="Y149" s="247">
        <f>IFERROR(VLOOKUP(B149,Annuaire_roster!B:E,4,0),"-")</f>
        <v/>
      </c>
      <c r="Z149" s="247">
        <f>IFERROR(VLOOKUP(B149,Annuaire_roster!B:F,3,0),"-")</f>
        <v/>
      </c>
      <c r="AA149" s="247">
        <f>IFERROR(VLOOKUP(B149,Annuaire_roster!B:I,6,0),"-")</f>
        <v/>
      </c>
      <c r="AB149" s="248">
        <f>IF(AND(D149="Congé",F149="Congé"),0.333333333333333,IF(OR(AND(D149="Congé",F149&lt;&gt;"Congé"),(AND(F149="Congé",D149&lt;&gt;"Congé"))),0.166666666666667,""))</f>
        <v/>
      </c>
      <c r="AC149" s="248">
        <f>IF(AND(D149="Congé sans solde",F149="Congé sans solde"),0.333333333333333,IF(OR(AND(D149="Congé sans solde",F149&lt;&gt;"Congé sans solde"),(AND(F149="Congé sans solde",D149&lt;&gt;"Congé sans solde"))),0.166666666666667,""))</f>
        <v/>
      </c>
      <c r="AD149" s="248">
        <f>IF(AND(D149="Congé spécial",F149="Congé spécial"),0.333333333333333,IF(OR(AND(D149="Congé spécial",F149&lt;&gt;"Congé décès"),(AND(F149="Congé spécial",D149&lt;&gt;"Congé spécial"))),0.166666666666667,""))</f>
        <v/>
      </c>
      <c r="AE149" s="249">
        <f>IF(AND(D149="Férié",F149="Férié"),0.333333333333333,IF(OR(AND(D149="Férié",F149&lt;&gt;"Férié"),(AND(F149="Férié",D149&lt;&gt;"Férié"))),0.166666666666667,""))</f>
        <v/>
      </c>
      <c r="AF149" s="249" t="n"/>
      <c r="AG149" s="244" t="n"/>
    </row>
    <row r="150" hidden="1" ht="12.75" customHeight="1" s="231">
      <c r="A150" s="232">
        <f>VLOOKUP(B150,Annuaire_roster!B:F,5,0)</f>
        <v/>
      </c>
      <c r="B150" s="233" t="inlineStr">
        <is>
          <t>SOUOUD ZAKARIA</t>
        </is>
      </c>
      <c r="C150" s="234">
        <f>IFERROR(IF(COUNTIFS(Connexions!$K:$K,$Q150,Connexions!$E:$E,VLOOKUP($B150,Mapping_Noms!$A:$B,2,0))=0,"",_xlfn.MINIFS(Connexions!$M:$M,Connexions!$K:$K,$Q150,Connexions!$E:$E,VLOOKUP($B150,Mapping_Noms!$A:$B,2,0))-TIME(1,0,0)),"")</f>
        <v/>
      </c>
      <c r="D150" s="234">
        <f t="array" ref="D150:D150">IFERROR(INDEX(Planning2[],MATCH(1,(Planning2[Nom]=B150)*(Planning2[Date]=Q150),0),3),"-")</f>
        <v/>
      </c>
      <c r="E150" s="235">
        <f>IFERROR(IF(COUNTIFS(Connexions!$K:$K,$Q150,Connexions!$E:$E,VLOOKUP($B150,Mapping_Noms!$A:$B,2,0))=0,"",_xlfn.MAXIFS(Connexions!$O:$O,Connexions!$K:$K,$Q150,Connexions!$E:$E,VLOOKUP($B150,Mapping_Noms!$A:$B,2,0))-TIME(1,0,0)),"")</f>
        <v/>
      </c>
      <c r="F150" s="235">
        <f t="array" ref="F150:F150">IFERROR(INDEX(Planning2[],MATCH(1,(Planning2[Nom]=B150)*(Planning2[Date]=Q150),0),4),"-")</f>
        <v/>
      </c>
      <c r="G150" s="405">
        <f>IFERROR(IF(OR(IFERROR(INDEX('Planning Pauses Dej'!$C:$C,MATCH($B150&amp;"|"&amp;TEXT($Q150,"YYYYMMDD"),'Planning Pauses Dej'!$F:$F,0)),"")="",IFERROR(INDEX('Planning Pauses Dej'!$D:$D,MATCH($B150&amp;"|"&amp;TEXT($Q150,"YYYYMMDD"),'Planning Pauses Dej'!$F:$F,0)),"")=""),"",_xlfn.MAXIFS(Connexions!$Q:$Q,Connexions!$K:$K,$Q150,Connexions!$E:$E,VLOOKUP($B150,Mapping_Noms!$A:$B,2,0),Connexions!$O:$O,"&lt;="&amp;(IFERROR(INDEX('Planning Pauses Dej'!$D:$D,MATCH($B150&amp;"|"&amp;TEXT($Q150,"YYYYMMDD"),'Planning Pauses Dej'!$F:$F,0)),"")+TIME(1,0,0)),Connexions!$P:$P,"&gt;="&amp;(IFERROR(INDEX('Planning Pauses Dej'!$C:$C,MATCH($B150&amp;"|"&amp;TEXT($Q150,"YYYYMMDD"),'Planning Pauses Dej'!$F:$F,0)),"")+TIME(1,0,0)))),"")</f>
        <v/>
      </c>
      <c r="H150" s="405">
        <f>IFERROR(IF(OR($G150="",IFERROR(INDEX('Planning Pauses Dej'!$C:$C,MATCH($B150&amp;"|"&amp;TEXT($Q150,"YYYYMMDD"),'Planning Pauses Dej'!$F:$F,0)),"")="",IFERROR(INDEX('Planning Pauses Dej'!$D:$D,MATCH($B150&amp;"|"&amp;TEXT($Q150,"YYYYMMDD"),'Planning Pauses Dej'!$F:$F,0)),"")=""),"",IF($G150&gt;(IFERROR(INDEX('Planning Pauses Dej'!$D:$D,MATCH($B150&amp;"|"&amp;TEXT($Q150,"YYYYMMDD"),'Planning Pauses Dej'!$F:$F,0)),"")-IFERROR(INDEX('Planning Pauses Dej'!$C:$C,MATCH($B150&amp;"|"&amp;TEXT($Q150,"YYYYMMDD"),'Planning Pauses Dej'!$F:$F,0)),"")),$G150-(IFERROR(INDEX('Planning Pauses Dej'!$D:$D,MATCH($B150&amp;"|"&amp;TEXT($Q150,"YYYYMMDD"),'Planning Pauses Dej'!$F:$F,0)),"")-IFERROR(INDEX('Planning Pauses Dej'!$C:$C,MATCH($B150&amp;"|"&amp;TEXT($Q150,"YYYYMMDD"),'Planning Pauses Dej'!$F:$F,0)),"")),0)),"")</f>
        <v/>
      </c>
      <c r="I150" s="251">
        <f>IF(IF(OR(C150="",D150="Congé",D150="OFF",D150="Congé spécial"),"",IF(D150&gt;F150,D150-C150,IF(C150-D150&lt;0,0,C150-D150)))&lt;0.00068287037037037,"",IF(OR(D150="Congé",D150="OFF",C150="",D150="Congé spécial"),"",IF(D150&gt;F150,D150-C150,IF(C150-D150&lt;0,0,C150-D150))))</f>
        <v/>
      </c>
      <c r="J150" s="405">
        <f>IFERROR(IF($G150="","",IF($G150&gt;TIME(1,0,0),$G150-TIME(1,0,0),0)),"")</f>
        <v/>
      </c>
      <c r="K150" s="238">
        <f>IF(SUM(H150:J150)&lt;0.00068287037037037,0,SUM(H150:J150))</f>
        <v/>
      </c>
      <c r="L150" s="236">
        <f>IF(OR(F150="Congé",F150="OFF",M150="Abs",F150="Congé sans solde",F150="Férié",F150="Congé spécial",D150="Congé spécial"),0,IF(F150-E150&lt;0,0,IF(F150-E150&lt;=0.00068287037037037,0,F150-E150)))</f>
        <v/>
      </c>
      <c r="M150" s="239">
        <f>IF(AND(O150&lt;&gt;0,C150=""),"Abs",0)</f>
        <v/>
      </c>
      <c r="N150" s="240">
        <f>IFERROR(IF(OR(D150="OFF",D150="Congé",M150="Abs",D150="Congé sans solde",D150="Férié"),"",IF(O150-K150-L150&gt;O150,O150,IF(O150-K150-L150&lt;0,"",O150-K150-L150))),"")</f>
        <v/>
      </c>
      <c r="O150" s="241">
        <f>IF(AG150="2H Pause déjeuner",IF(F150-D150-0.0833333333333333&lt;0,F150-D150-0.0833333333333333+1,F150-D150-0.0833333333333333),IF(OR(AND(F150="OFF",D150="OFF"),AND(F150="Congé",D150="Congé"),AND(F150="Congé sans solde",D150="Congé sans solde"),AND(F150="Congé spécial",D150="Congé spécial"),AND(F150="Férié",D150="Férié"),AND(F150="OFF",D150="Congé"),AND(F150="OFF",D150="Congé sans solde"),AND(F150="OFF",D150="Congé spécial"),AND(F150="OFF",D150="Férié"),AND(F150="Congé",D150="OFF"),AND(F150="Congé",D150="Congé sans solde"),AND(F150="Congé",D150="Congé spécial"),AND(F150="Congé",D150="Férié"),AND(F150="Congé sans solde",D150="OFF"),AND(F150="Congé sans solde",D150="Congé"),AND(F150="Congé sans solde",D150="Congé spécial"),AND(F150="Congé sans solde",D150="Férié"),AND(F150="Congé spécial",D150="OFF"),AND(F150="Congé spécial",D150="Congé"),AND(F150="Congé spécial",D150="Congé sans solde"),AND(F150="Congé spécial",D150="Férié"),AND(F150="Férié",D150="OFF"),AND(F150="Férié",D150="Congé"),AND(F150="Férié",D150="Congé sans solde"),AND(F150="Férié",D150="Congé spécial")),0,IF(OR(F150="OFF",F150="Congé",F150="Congé spécial",F150="Congé sans solde",D150="OFF",D150="Congé",D150="Congé spécial",D150="Congé sans solde"),0.208333333333334,IF(AND(AG150="",F150-D150&lt;0),("24:00:00"-D150)+("00:00:00"+F150)-0.0416666666666667,IF(AND(OR(AG150="Allaitement",AG150="Sans déjeuner"),F150-D150&lt;0),("24:00:00"-D150)+("00:00:00"+F150),IF(AND(AG150="",F150-D150&gt;0.166666666666667),F150-D150-0.0416666666666667,IF(AND(OR(AG150="Allaitement",AG150="Sans déjeuner"),F150-D150&gt;0.166666666666667),F150-D150,F150-D150)))))))</f>
        <v/>
      </c>
      <c r="P150" s="242">
        <f>IFERROR(VLOOKUP($B150,Annuaire_roster!$B:$G,MATCH(P$1,Annuaire_roster!$B$1:$G$1,0),0),"-")</f>
        <v/>
      </c>
      <c r="Q150" s="243" t="n">
        <v>44765</v>
      </c>
      <c r="R150" s="244">
        <f>IF(M150="Abs",O150,0)</f>
        <v/>
      </c>
      <c r="S150" s="244">
        <f>SUM(R150,L150,I150,J150,W150,H150)</f>
        <v/>
      </c>
      <c r="T150" s="209">
        <f>"Sem - "&amp;WEEKNUM(Q150,21)</f>
        <v/>
      </c>
      <c r="U150" s="209">
        <f>PROPER(TEXT(Q150,"mmmm"))</f>
        <v/>
      </c>
      <c r="V150" s="245">
        <f>+TEXT(Q150,"aaa")</f>
        <v/>
      </c>
      <c r="W150" s="240" t="n"/>
      <c r="X150" s="246">
        <f>IFERROR(IF(M150="Abs",0,IF((D150-C150+E150-F150)&lt;0.000694444444444444,0,(D150-C150+E150-F150))),0)</f>
        <v/>
      </c>
      <c r="Y150" s="247">
        <f>IFERROR(VLOOKUP(B150,Annuaire_roster!B:E,4,0),"-")</f>
        <v/>
      </c>
      <c r="Z150" s="247">
        <f>IFERROR(VLOOKUP(B150,Annuaire_roster!B:F,3,0),"-")</f>
        <v/>
      </c>
      <c r="AA150" s="247">
        <f>IFERROR(VLOOKUP(B150,Annuaire_roster!B:I,6,0),"-")</f>
        <v/>
      </c>
      <c r="AB150" s="248">
        <f>IF(AND(D150="Congé",F150="Congé"),0.333333333333333,IF(OR(AND(D150="Congé",F150&lt;&gt;"Congé"),(AND(F150="Congé",D150&lt;&gt;"Congé"))),0.166666666666667,""))</f>
        <v/>
      </c>
      <c r="AC150" s="248">
        <f>IF(AND(D150="Congé sans solde",F150="Congé sans solde"),0.333333333333333,IF(OR(AND(D150="Congé sans solde",F150&lt;&gt;"Congé sans solde"),(AND(F150="Congé sans solde",D150&lt;&gt;"Congé sans solde"))),0.166666666666667,""))</f>
        <v/>
      </c>
      <c r="AD150" s="248">
        <f>IF(AND(D150="Congé spécial",F150="Congé spécial"),0.333333333333333,IF(OR(AND(D150="Congé spécial",F150&lt;&gt;"Congé décès"),(AND(F150="Congé spécial",D150&lt;&gt;"Congé spécial"))),0.166666666666667,""))</f>
        <v/>
      </c>
      <c r="AE150" s="249">
        <f>IF(AND(D150="Férié",F150="Férié"),0.333333333333333,IF(OR(AND(D150="Férié",F150&lt;&gt;"Férié"),(AND(F150="Férié",D150&lt;&gt;"Férié"))),0.166666666666667,""))</f>
        <v/>
      </c>
      <c r="AF150" s="249" t="n"/>
      <c r="AG150" s="244" t="n"/>
    </row>
    <row r="151" hidden="1" ht="12.75" customHeight="1" s="231">
      <c r="A151" s="232">
        <f>VLOOKUP(B151,Annuaire_roster!B:F,5,0)</f>
        <v/>
      </c>
      <c r="B151" s="233" t="inlineStr">
        <is>
          <t>EL HOUSSAINI HOUDA</t>
        </is>
      </c>
      <c r="C151" s="234">
        <f>IFERROR(IF(COUNTIFS(Connexions!$K:$K,$Q151,Connexions!$E:$E,VLOOKUP($B151,Mapping_Noms!$A:$B,2,0))=0,"",_xlfn.MINIFS(Connexions!$M:$M,Connexions!$K:$K,$Q151,Connexions!$E:$E,VLOOKUP($B151,Mapping_Noms!$A:$B,2,0))-TIME(1,0,0)),"")</f>
        <v/>
      </c>
      <c r="D151" s="234">
        <f t="array" ref="D151:D151">IFERROR(INDEX(Planning2[],MATCH(1,(Planning2[Nom]=B151)*(Planning2[Date]=Q151),0),3),"-")</f>
        <v/>
      </c>
      <c r="E151" s="235">
        <f>IFERROR(IF(COUNTIFS(Connexions!$K:$K,$Q151,Connexions!$E:$E,VLOOKUP($B151,Mapping_Noms!$A:$B,2,0))=0,"",_xlfn.MAXIFS(Connexions!$O:$O,Connexions!$K:$K,$Q151,Connexions!$E:$E,VLOOKUP($B151,Mapping_Noms!$A:$B,2,0))-TIME(1,0,0)),"")</f>
        <v/>
      </c>
      <c r="F151" s="235">
        <f t="array" ref="F151:F151">IFERROR(INDEX(Planning2[],MATCH(1,(Planning2[Nom]=B151)*(Planning2[Date]=Q151),0),4),"-")</f>
        <v/>
      </c>
      <c r="G151" s="405">
        <f>IFERROR(IF(OR(IFERROR(INDEX('Planning Pauses Dej'!$C:$C,MATCH($B151&amp;"|"&amp;TEXT($Q151,"YYYYMMDD"),'Planning Pauses Dej'!$F:$F,0)),"")="",IFERROR(INDEX('Planning Pauses Dej'!$D:$D,MATCH($B151&amp;"|"&amp;TEXT($Q151,"YYYYMMDD"),'Planning Pauses Dej'!$F:$F,0)),"")=""),"",_xlfn.MAXIFS(Connexions!$Q:$Q,Connexions!$K:$K,$Q151,Connexions!$E:$E,VLOOKUP($B151,Mapping_Noms!$A:$B,2,0),Connexions!$O:$O,"&lt;="&amp;(IFERROR(INDEX('Planning Pauses Dej'!$D:$D,MATCH($B151&amp;"|"&amp;TEXT($Q151,"YYYYMMDD"),'Planning Pauses Dej'!$F:$F,0)),"")+TIME(1,0,0)),Connexions!$P:$P,"&gt;="&amp;(IFERROR(INDEX('Planning Pauses Dej'!$C:$C,MATCH($B151&amp;"|"&amp;TEXT($Q151,"YYYYMMDD"),'Planning Pauses Dej'!$F:$F,0)),"")+TIME(1,0,0)))),"")</f>
        <v/>
      </c>
      <c r="H151" s="405">
        <f>IFERROR(IF(OR($G151="",IFERROR(INDEX('Planning Pauses Dej'!$C:$C,MATCH($B151&amp;"|"&amp;TEXT($Q151,"YYYYMMDD"),'Planning Pauses Dej'!$F:$F,0)),"")="",IFERROR(INDEX('Planning Pauses Dej'!$D:$D,MATCH($B151&amp;"|"&amp;TEXT($Q151,"YYYYMMDD"),'Planning Pauses Dej'!$F:$F,0)),"")=""),"",IF($G151&gt;(IFERROR(INDEX('Planning Pauses Dej'!$D:$D,MATCH($B151&amp;"|"&amp;TEXT($Q151,"YYYYMMDD"),'Planning Pauses Dej'!$F:$F,0)),"")-IFERROR(INDEX('Planning Pauses Dej'!$C:$C,MATCH($B151&amp;"|"&amp;TEXT($Q151,"YYYYMMDD"),'Planning Pauses Dej'!$F:$F,0)),"")),$G151-(IFERROR(INDEX('Planning Pauses Dej'!$D:$D,MATCH($B151&amp;"|"&amp;TEXT($Q151,"YYYYMMDD"),'Planning Pauses Dej'!$F:$F,0)),"")-IFERROR(INDEX('Planning Pauses Dej'!$C:$C,MATCH($B151&amp;"|"&amp;TEXT($Q151,"YYYYMMDD"),'Planning Pauses Dej'!$F:$F,0)),"")),0)),"")</f>
        <v/>
      </c>
      <c r="I151" s="251">
        <f>IF(IF(OR(C151="",D151="Congé",D151="OFF",D151="Congé spécial"),"",IF(D151&gt;F151,D151-C151,IF(C151-D151&lt;0,0,C151-D151)))&lt;0.00068287037037037,"",IF(OR(D151="Congé",D151="OFF",C151="",D151="Congé spécial"),"",IF(D151&gt;F151,D151-C151,IF(C151-D151&lt;0,0,C151-D151))))</f>
        <v/>
      </c>
      <c r="J151" s="405">
        <f>IFERROR(IF($G151="","",IF($G151&gt;TIME(1,0,0),$G151-TIME(1,0,0),0)),"")</f>
        <v/>
      </c>
      <c r="K151" s="238">
        <f>IF(SUM(H151:J151)&lt;0.00068287037037037,0,SUM(H151:J151))</f>
        <v/>
      </c>
      <c r="L151" s="236">
        <f>IF(OR(F151="Congé",F151="OFF",M151="Abs",F151="Congé sans solde",F151="Férié",F151="Congé spécial",D151="Congé spécial"),0,IF(F151-E151&lt;0,0,IF(F151-E151&lt;=0.00068287037037037,0,F151-E151)))</f>
        <v/>
      </c>
      <c r="M151" s="239">
        <f>IF(AND(O151&lt;&gt;0,C151=""),"Abs",0)</f>
        <v/>
      </c>
      <c r="N151" s="240">
        <f>IFERROR(IF(OR(D151="OFF",D151="Congé",M151="Abs",D151="Congé sans solde",D151="Férié"),"",IF(O151-K151-L151&gt;O151,O151,IF(O151-K151-L151&lt;0,"",O151-K151-L151))),"")</f>
        <v/>
      </c>
      <c r="O151" s="241">
        <f>IF(AG151="2H Pause déjeuner",IF(F151-D151-0.0833333333333333&lt;0,F151-D151-0.0833333333333333+1,F151-D151-0.0833333333333333),IF(OR(AND(F151="OFF",D151="OFF"),AND(F151="Congé",D151="Congé"),AND(F151="Congé sans solde",D151="Congé sans solde"),AND(F151="Congé spécial",D151="Congé spécial"),AND(F151="Férié",D151="Férié"),AND(F151="OFF",D151="Congé"),AND(F151="OFF",D151="Congé sans solde"),AND(F151="OFF",D151="Congé spécial"),AND(F151="OFF",D151="Férié"),AND(F151="Congé",D151="OFF"),AND(F151="Congé",D151="Congé sans solde"),AND(F151="Congé",D151="Congé spécial"),AND(F151="Congé",D151="Férié"),AND(F151="Congé sans solde",D151="OFF"),AND(F151="Congé sans solde",D151="Congé"),AND(F151="Congé sans solde",D151="Congé spécial"),AND(F151="Congé sans solde",D151="Férié"),AND(F151="Congé spécial",D151="OFF"),AND(F151="Congé spécial",D151="Congé"),AND(F151="Congé spécial",D151="Congé sans solde"),AND(F151="Congé spécial",D151="Férié"),AND(F151="Férié",D151="OFF"),AND(F151="Férié",D151="Congé"),AND(F151="Férié",D151="Congé sans solde"),AND(F151="Férié",D151="Congé spécial")),0,IF(OR(F151="OFF",F151="Congé",F151="Congé spécial",F151="Congé sans solde",D151="OFF",D151="Congé",D151="Congé spécial",D151="Congé sans solde"),0.208333333333334,IF(AND(AG151="",F151-D151&lt;0),("24:00:00"-D151)+("00:00:00"+F151)-0.0416666666666667,IF(AND(OR(AG151="Allaitement",AG151="Sans déjeuner"),F151-D151&lt;0),("24:00:00"-D151)+("00:00:00"+F151),IF(AND(AG151="",F151-D151&gt;0.166666666666667),F151-D151-0.0416666666666667,IF(AND(OR(AG151="Allaitement",AG151="Sans déjeuner"),F151-D151&gt;0.166666666666667),F151-D151,F151-D151)))))))</f>
        <v/>
      </c>
      <c r="P151" s="242">
        <f>IFERROR(VLOOKUP($B151,Annuaire_roster!$B:$G,MATCH(P$1,Annuaire_roster!$B$1:$G$1,0),0),"-")</f>
        <v/>
      </c>
      <c r="Q151" s="243" t="n">
        <v>44765</v>
      </c>
      <c r="R151" s="244">
        <f>IF(M151="Abs",O151,0)</f>
        <v/>
      </c>
      <c r="S151" s="244">
        <f>SUM(R151,L151,I151,J151,W151,H151)</f>
        <v/>
      </c>
      <c r="T151" s="209">
        <f>"Sem - "&amp;WEEKNUM(Q151,21)</f>
        <v/>
      </c>
      <c r="U151" s="209">
        <f>PROPER(TEXT(Q151,"mmmm"))</f>
        <v/>
      </c>
      <c r="V151" s="245">
        <f>+TEXT(Q151,"aaa")</f>
        <v/>
      </c>
      <c r="W151" s="240" t="n"/>
      <c r="X151" s="246">
        <f>IFERROR(IF(M151="Abs",0,IF((D151-C151+E151-F151)&lt;0.000694444444444444,0,(D151-C151+E151-F151))),0)</f>
        <v/>
      </c>
      <c r="Y151" s="247">
        <f>IFERROR(VLOOKUP(B151,Annuaire_roster!B:E,4,0),"-")</f>
        <v/>
      </c>
      <c r="Z151" s="247">
        <f>IFERROR(VLOOKUP(B151,Annuaire_roster!B:F,3,0),"-")</f>
        <v/>
      </c>
      <c r="AA151" s="247">
        <f>IFERROR(VLOOKUP(B151,Annuaire_roster!B:I,6,0),"-")</f>
        <v/>
      </c>
      <c r="AB151" s="248">
        <f>IF(AND(D151="Congé",F151="Congé"),0.333333333333333,IF(OR(AND(D151="Congé",F151&lt;&gt;"Congé"),(AND(F151="Congé",D151&lt;&gt;"Congé"))),0.166666666666667,""))</f>
        <v/>
      </c>
      <c r="AC151" s="248">
        <f>IF(AND(D151="Congé sans solde",F151="Congé sans solde"),0.333333333333333,IF(OR(AND(D151="Congé sans solde",F151&lt;&gt;"Congé sans solde"),(AND(F151="Congé sans solde",D151&lt;&gt;"Congé sans solde"))),0.166666666666667,""))</f>
        <v/>
      </c>
      <c r="AD151" s="248">
        <f>IF(AND(D151="Congé spécial",F151="Congé spécial"),0.333333333333333,IF(OR(AND(D151="Congé spécial",F151&lt;&gt;"Congé décès"),(AND(F151="Congé spécial",D151&lt;&gt;"Congé spécial"))),0.166666666666667,""))</f>
        <v/>
      </c>
      <c r="AE151" s="249">
        <f>IF(AND(D151="Férié",F151="Férié"),0.333333333333333,IF(OR(AND(D151="Férié",F151&lt;&gt;"Férié"),(AND(F151="Férié",D151&lt;&gt;"Férié"))),0.166666666666667,""))</f>
        <v/>
      </c>
      <c r="AF151" s="249" t="n"/>
      <c r="AG151" s="244" t="n"/>
    </row>
    <row r="152" hidden="1" ht="12.75" customHeight="1" s="231">
      <c r="A152" s="232">
        <f>VLOOKUP(B152,Annuaire_roster!B:F,5,0)</f>
        <v/>
      </c>
      <c r="B152" s="233" t="inlineStr">
        <is>
          <t>NUNEZ LUCIEN BERNARD</t>
        </is>
      </c>
      <c r="C152" s="234">
        <f>IFERROR(IF(COUNTIFS(Connexions!$K:$K,$Q152,Connexions!$E:$E,VLOOKUP($B152,Mapping_Noms!$A:$B,2,0))=0,"",_xlfn.MINIFS(Connexions!$M:$M,Connexions!$K:$K,$Q152,Connexions!$E:$E,VLOOKUP($B152,Mapping_Noms!$A:$B,2,0))-TIME(1,0,0)),"")</f>
        <v/>
      </c>
      <c r="D152" s="234">
        <f t="array" ref="D152:D152">IFERROR(INDEX(Planning2[],MATCH(1,(Planning2[Nom]=B152)*(Planning2[Date]=Q152),0),3),"-")</f>
        <v/>
      </c>
      <c r="E152" s="235">
        <f>IFERROR(IF(COUNTIFS(Connexions!$K:$K,$Q152,Connexions!$E:$E,VLOOKUP($B152,Mapping_Noms!$A:$B,2,0))=0,"",_xlfn.MAXIFS(Connexions!$O:$O,Connexions!$K:$K,$Q152,Connexions!$E:$E,VLOOKUP($B152,Mapping_Noms!$A:$B,2,0))-TIME(1,0,0)),"")</f>
        <v/>
      </c>
      <c r="F152" s="235">
        <f t="array" ref="F152:F152">IFERROR(INDEX(Planning2[],MATCH(1,(Planning2[Nom]=B152)*(Planning2[Date]=Q152),0),4),"-")</f>
        <v/>
      </c>
      <c r="G152" s="405">
        <f>IFERROR(IF(OR(IFERROR(INDEX('Planning Pauses Dej'!$C:$C,MATCH($B152&amp;"|"&amp;TEXT($Q152,"YYYYMMDD"),'Planning Pauses Dej'!$F:$F,0)),"")="",IFERROR(INDEX('Planning Pauses Dej'!$D:$D,MATCH($B152&amp;"|"&amp;TEXT($Q152,"YYYYMMDD"),'Planning Pauses Dej'!$F:$F,0)),"")=""),"",_xlfn.MAXIFS(Connexions!$Q:$Q,Connexions!$K:$K,$Q152,Connexions!$E:$E,VLOOKUP($B152,Mapping_Noms!$A:$B,2,0),Connexions!$O:$O,"&lt;="&amp;(IFERROR(INDEX('Planning Pauses Dej'!$D:$D,MATCH($B152&amp;"|"&amp;TEXT($Q152,"YYYYMMDD"),'Planning Pauses Dej'!$F:$F,0)),"")+TIME(1,0,0)),Connexions!$P:$P,"&gt;="&amp;(IFERROR(INDEX('Planning Pauses Dej'!$C:$C,MATCH($B152&amp;"|"&amp;TEXT($Q152,"YYYYMMDD"),'Planning Pauses Dej'!$F:$F,0)),"")+TIME(1,0,0)))),"")</f>
        <v/>
      </c>
      <c r="H152" s="405">
        <f>IFERROR(IF(OR($G152="",IFERROR(INDEX('Planning Pauses Dej'!$C:$C,MATCH($B152&amp;"|"&amp;TEXT($Q152,"YYYYMMDD"),'Planning Pauses Dej'!$F:$F,0)),"")="",IFERROR(INDEX('Planning Pauses Dej'!$D:$D,MATCH($B152&amp;"|"&amp;TEXT($Q152,"YYYYMMDD"),'Planning Pauses Dej'!$F:$F,0)),"")=""),"",IF($G152&gt;(IFERROR(INDEX('Planning Pauses Dej'!$D:$D,MATCH($B152&amp;"|"&amp;TEXT($Q152,"YYYYMMDD"),'Planning Pauses Dej'!$F:$F,0)),"")-IFERROR(INDEX('Planning Pauses Dej'!$C:$C,MATCH($B152&amp;"|"&amp;TEXT($Q152,"YYYYMMDD"),'Planning Pauses Dej'!$F:$F,0)),"")),$G152-(IFERROR(INDEX('Planning Pauses Dej'!$D:$D,MATCH($B152&amp;"|"&amp;TEXT($Q152,"YYYYMMDD"),'Planning Pauses Dej'!$F:$F,0)),"")-IFERROR(INDEX('Planning Pauses Dej'!$C:$C,MATCH($B152&amp;"|"&amp;TEXT($Q152,"YYYYMMDD"),'Planning Pauses Dej'!$F:$F,0)),"")),0)),"")</f>
        <v/>
      </c>
      <c r="I152" s="251">
        <f>IF(IF(OR(C152="",D152="Congé",D152="OFF",D152="Congé spécial"),"",IF(D152&gt;F152,D152-C152,IF(C152-D152&lt;0,0,C152-D152)))&lt;0.00068287037037037,"",IF(OR(D152="Congé",D152="OFF",C152="",D152="Congé spécial"),"",IF(D152&gt;F152,D152-C152,IF(C152-D152&lt;0,0,C152-D152))))</f>
        <v/>
      </c>
      <c r="J152" s="405">
        <f>IFERROR(IF($G152="","",IF($G152&gt;TIME(1,0,0),$G152-TIME(1,0,0),0)),"")</f>
        <v/>
      </c>
      <c r="K152" s="238">
        <f>IF(SUM(H152:J152)&lt;0.00068287037037037,0,SUM(H152:J152))</f>
        <v/>
      </c>
      <c r="L152" s="236">
        <f>IF(OR(F152="Congé",F152="OFF",M152="Abs",F152="Congé sans solde",F152="Férié",F152="Congé spécial",D152="Congé spécial"),0,IF(F152-E152&lt;0,0,IF(F152-E152&lt;=0.00068287037037037,0,F152-E152)))</f>
        <v/>
      </c>
      <c r="M152" s="239">
        <f>IF(AND(O152&lt;&gt;0,C152=""),"Abs",0)</f>
        <v/>
      </c>
      <c r="N152" s="240">
        <f>IFERROR(IF(OR(D152="OFF",D152="Congé",M152="Abs",D152="Congé sans solde",D152="Férié"),"",IF(O152-K152-L152&gt;O152,O152,IF(O152-K152-L152&lt;0,"",O152-K152-L152))),"")</f>
        <v/>
      </c>
      <c r="O152" s="241">
        <f>IF(AG152="2H Pause déjeuner",IF(F152-D152-0.0833333333333333&lt;0,F152-D152-0.0833333333333333+1,F152-D152-0.0833333333333333),IF(OR(AND(F152="OFF",D152="OFF"),AND(F152="Congé",D152="Congé"),AND(F152="Congé sans solde",D152="Congé sans solde"),AND(F152="Congé spécial",D152="Congé spécial"),AND(F152="Férié",D152="Férié"),AND(F152="OFF",D152="Congé"),AND(F152="OFF",D152="Congé sans solde"),AND(F152="OFF",D152="Congé spécial"),AND(F152="OFF",D152="Férié"),AND(F152="Congé",D152="OFF"),AND(F152="Congé",D152="Congé sans solde"),AND(F152="Congé",D152="Congé spécial"),AND(F152="Congé",D152="Férié"),AND(F152="Congé sans solde",D152="OFF"),AND(F152="Congé sans solde",D152="Congé"),AND(F152="Congé sans solde",D152="Congé spécial"),AND(F152="Congé sans solde",D152="Férié"),AND(F152="Congé spécial",D152="OFF"),AND(F152="Congé spécial",D152="Congé"),AND(F152="Congé spécial",D152="Congé sans solde"),AND(F152="Congé spécial",D152="Férié"),AND(F152="Férié",D152="OFF"),AND(F152="Férié",D152="Congé"),AND(F152="Férié",D152="Congé sans solde"),AND(F152="Férié",D152="Congé spécial")),0,IF(OR(F152="OFF",F152="Congé",F152="Congé spécial",F152="Congé sans solde",D152="OFF",D152="Congé",D152="Congé spécial",D152="Congé sans solde"),0.208333333333334,IF(AND(AG152="",F152-D152&lt;0),("24:00:00"-D152)+("00:00:00"+F152)-0.0416666666666667,IF(AND(OR(AG152="Allaitement",AG152="Sans déjeuner"),F152-D152&lt;0),("24:00:00"-D152)+("00:00:00"+F152),IF(AND(AG152="",F152-D152&gt;0.166666666666667),F152-D152-0.0416666666666667,IF(AND(OR(AG152="Allaitement",AG152="Sans déjeuner"),F152-D152&gt;0.166666666666667),F152-D152,F152-D152)))))))</f>
        <v/>
      </c>
      <c r="P152" s="242">
        <f>IFERROR(VLOOKUP($B152,Annuaire_roster!$B:$G,MATCH(P$1,Annuaire_roster!$B$1:$G$1,0),0),"-")</f>
        <v/>
      </c>
      <c r="Q152" s="243" t="n">
        <v>44765</v>
      </c>
      <c r="R152" s="244">
        <f>IF(M152="Abs",O152,0)</f>
        <v/>
      </c>
      <c r="S152" s="244">
        <f>SUM(R152,L152,I152,J152,W152,H152)</f>
        <v/>
      </c>
      <c r="T152" s="209">
        <f>"Sem - "&amp;WEEKNUM(Q152,21)</f>
        <v/>
      </c>
      <c r="U152" s="209">
        <f>PROPER(TEXT(Q152,"mmmm"))</f>
        <v/>
      </c>
      <c r="V152" s="245">
        <f>+TEXT(Q152,"aaa")</f>
        <v/>
      </c>
      <c r="W152" s="240" t="n"/>
      <c r="X152" s="246">
        <f>IFERROR(IF(M152="Abs",0,IF((D152-C152+E152-F152)&lt;0.000694444444444444,0,(D152-C152+E152-F152))),0)</f>
        <v/>
      </c>
      <c r="Y152" s="247">
        <f>IFERROR(VLOOKUP(B152,Annuaire_roster!B:E,4,0),"-")</f>
        <v/>
      </c>
      <c r="Z152" s="247">
        <f>IFERROR(VLOOKUP(B152,Annuaire_roster!B:F,3,0),"-")</f>
        <v/>
      </c>
      <c r="AA152" s="247">
        <f>IFERROR(VLOOKUP(B152,Annuaire_roster!B:I,6,0),"-")</f>
        <v/>
      </c>
      <c r="AB152" s="248">
        <f>IF(AND(D152="Congé",F152="Congé"),0.333333333333333,IF(OR(AND(D152="Congé",F152&lt;&gt;"Congé"),(AND(F152="Congé",D152&lt;&gt;"Congé"))),0.166666666666667,""))</f>
        <v/>
      </c>
      <c r="AC152" s="248">
        <f>IF(AND(D152="Congé sans solde",F152="Congé sans solde"),0.333333333333333,IF(OR(AND(D152="Congé sans solde",F152&lt;&gt;"Congé sans solde"),(AND(F152="Congé sans solde",D152&lt;&gt;"Congé sans solde"))),0.166666666666667,""))</f>
        <v/>
      </c>
      <c r="AD152" s="248">
        <f>IF(AND(D152="Congé spécial",F152="Congé spécial"),0.333333333333333,IF(OR(AND(D152="Congé spécial",F152&lt;&gt;"Congé décès"),(AND(F152="Congé spécial",D152&lt;&gt;"Congé spécial"))),0.166666666666667,""))</f>
        <v/>
      </c>
      <c r="AE152" s="249">
        <f>IF(AND(D152="Férié",F152="Férié"),0.333333333333333,IF(OR(AND(D152="Férié",F152&lt;&gt;"Férié"),(AND(F152="Férié",D152&lt;&gt;"Férié"))),0.166666666666667,""))</f>
        <v/>
      </c>
      <c r="AF152" s="249" t="n"/>
      <c r="AG152" s="244" t="n"/>
    </row>
    <row r="153" hidden="1" ht="12.75" customHeight="1" s="231">
      <c r="A153" s="232">
        <f>VLOOKUP(B153,Annuaire_roster!B:F,5,0)</f>
        <v/>
      </c>
      <c r="B153" s="233" t="inlineStr">
        <is>
          <t>AINELKITANE ZINEB</t>
        </is>
      </c>
      <c r="C153" s="234">
        <f>IFERROR(IF(COUNTIFS(Connexions!$K:$K,$Q153,Connexions!$E:$E,VLOOKUP($B153,Mapping_Noms!$A:$B,2,0))=0,"",_xlfn.MINIFS(Connexions!$M:$M,Connexions!$K:$K,$Q153,Connexions!$E:$E,VLOOKUP($B153,Mapping_Noms!$A:$B,2,0))-TIME(1,0,0)),"")</f>
        <v/>
      </c>
      <c r="D153" s="234">
        <f t="array" ref="D153:D153">IFERROR(INDEX(Planning2[],MATCH(1,(Planning2[Nom]=B153)*(Planning2[Date]=Q153),0),3),"-")</f>
        <v/>
      </c>
      <c r="E153" s="235">
        <f>IFERROR(IF(COUNTIFS(Connexions!$K:$K,$Q153,Connexions!$E:$E,VLOOKUP($B153,Mapping_Noms!$A:$B,2,0))=0,"",_xlfn.MAXIFS(Connexions!$O:$O,Connexions!$K:$K,$Q153,Connexions!$E:$E,VLOOKUP($B153,Mapping_Noms!$A:$B,2,0))-TIME(1,0,0)),"")</f>
        <v/>
      </c>
      <c r="F153" s="235">
        <f t="array" ref="F153:F153">IFERROR(INDEX(Planning2[],MATCH(1,(Planning2[Nom]=B153)*(Planning2[Date]=Q153),0),4),"-")</f>
        <v/>
      </c>
      <c r="G153" s="405">
        <f>IFERROR(IF(OR(IFERROR(INDEX('Planning Pauses Dej'!$C:$C,MATCH($B153&amp;"|"&amp;TEXT($Q153,"YYYYMMDD"),'Planning Pauses Dej'!$F:$F,0)),"")="",IFERROR(INDEX('Planning Pauses Dej'!$D:$D,MATCH($B153&amp;"|"&amp;TEXT($Q153,"YYYYMMDD"),'Planning Pauses Dej'!$F:$F,0)),"")=""),"",_xlfn.MAXIFS(Connexions!$Q:$Q,Connexions!$K:$K,$Q153,Connexions!$E:$E,VLOOKUP($B153,Mapping_Noms!$A:$B,2,0),Connexions!$O:$O,"&lt;="&amp;(IFERROR(INDEX('Planning Pauses Dej'!$D:$D,MATCH($B153&amp;"|"&amp;TEXT($Q153,"YYYYMMDD"),'Planning Pauses Dej'!$F:$F,0)),"")+TIME(1,0,0)),Connexions!$P:$P,"&gt;="&amp;(IFERROR(INDEX('Planning Pauses Dej'!$C:$C,MATCH($B153&amp;"|"&amp;TEXT($Q153,"YYYYMMDD"),'Planning Pauses Dej'!$F:$F,0)),"")+TIME(1,0,0)))),"")</f>
        <v/>
      </c>
      <c r="H153" s="405">
        <f>IFERROR(IF(OR($G153="",IFERROR(INDEX('Planning Pauses Dej'!$C:$C,MATCH($B153&amp;"|"&amp;TEXT($Q153,"YYYYMMDD"),'Planning Pauses Dej'!$F:$F,0)),"")="",IFERROR(INDEX('Planning Pauses Dej'!$D:$D,MATCH($B153&amp;"|"&amp;TEXT($Q153,"YYYYMMDD"),'Planning Pauses Dej'!$F:$F,0)),"")=""),"",IF($G153&gt;(IFERROR(INDEX('Planning Pauses Dej'!$D:$D,MATCH($B153&amp;"|"&amp;TEXT($Q153,"YYYYMMDD"),'Planning Pauses Dej'!$F:$F,0)),"")-IFERROR(INDEX('Planning Pauses Dej'!$C:$C,MATCH($B153&amp;"|"&amp;TEXT($Q153,"YYYYMMDD"),'Planning Pauses Dej'!$F:$F,0)),"")),$G153-(IFERROR(INDEX('Planning Pauses Dej'!$D:$D,MATCH($B153&amp;"|"&amp;TEXT($Q153,"YYYYMMDD"),'Planning Pauses Dej'!$F:$F,0)),"")-IFERROR(INDEX('Planning Pauses Dej'!$C:$C,MATCH($B153&amp;"|"&amp;TEXT($Q153,"YYYYMMDD"),'Planning Pauses Dej'!$F:$F,0)),"")),0)),"")</f>
        <v/>
      </c>
      <c r="I153" s="251">
        <f>IF(IF(OR(C153="",D153="Congé",D153="OFF",D153="Congé spécial"),"",IF(D153&gt;F153,D153-C153,IF(C153-D153&lt;0,0,C153-D153)))&lt;0.00068287037037037,"",IF(OR(D153="Congé",D153="OFF",C153="",D153="Congé spécial"),"",IF(D153&gt;F153,D153-C153,IF(C153-D153&lt;0,0,C153-D153))))</f>
        <v/>
      </c>
      <c r="J153" s="405">
        <f>IFERROR(IF($G153="","",IF($G153&gt;TIME(1,0,0),$G153-TIME(1,0,0),0)),"")</f>
        <v/>
      </c>
      <c r="K153" s="238">
        <f>IF(SUM(H153:J153)&lt;0.00068287037037037,0,SUM(H153:J153))</f>
        <v/>
      </c>
      <c r="L153" s="236">
        <f>IF(OR(F153="Congé",F153="OFF",M153="Abs",F153="Congé sans solde",F153="Férié",F153="Congé spécial",D153="Congé spécial"),0,IF(F153-E153&lt;0,0,IF(F153-E153&lt;=0.00068287037037037,0,F153-E153)))</f>
        <v/>
      </c>
      <c r="M153" s="239">
        <f>IF(AND(O153&lt;&gt;0,C153=""),"Abs",0)</f>
        <v/>
      </c>
      <c r="N153" s="240">
        <f>IFERROR(IF(OR(D153="OFF",D153="Congé",M153="Abs",D153="Congé sans solde",D153="Férié"),"",IF(O153-K153-L153&gt;O153,O153,IF(O153-K153-L153&lt;0,"",O153-K153-L153))),"")</f>
        <v/>
      </c>
      <c r="O153" s="241">
        <f>IF(AG153="2H Pause déjeuner",IF(F153-D153-0.0833333333333333&lt;0,F153-D153-0.0833333333333333+1,F153-D153-0.0833333333333333),IF(OR(AND(F153="OFF",D153="OFF"),AND(F153="Congé",D153="Congé"),AND(F153="Congé sans solde",D153="Congé sans solde"),AND(F153="Congé spécial",D153="Congé spécial"),AND(F153="Férié",D153="Férié"),AND(F153="OFF",D153="Congé"),AND(F153="OFF",D153="Congé sans solde"),AND(F153="OFF",D153="Congé spécial"),AND(F153="OFF",D153="Férié"),AND(F153="Congé",D153="OFF"),AND(F153="Congé",D153="Congé sans solde"),AND(F153="Congé",D153="Congé spécial"),AND(F153="Congé",D153="Férié"),AND(F153="Congé sans solde",D153="OFF"),AND(F153="Congé sans solde",D153="Congé"),AND(F153="Congé sans solde",D153="Congé spécial"),AND(F153="Congé sans solde",D153="Férié"),AND(F153="Congé spécial",D153="OFF"),AND(F153="Congé spécial",D153="Congé"),AND(F153="Congé spécial",D153="Congé sans solde"),AND(F153="Congé spécial",D153="Férié"),AND(F153="Férié",D153="OFF"),AND(F153="Férié",D153="Congé"),AND(F153="Férié",D153="Congé sans solde"),AND(F153="Férié",D153="Congé spécial")),0,IF(OR(F153="OFF",F153="Congé",F153="Congé spécial",F153="Congé sans solde",D153="OFF",D153="Congé",D153="Congé spécial",D153="Congé sans solde"),0.208333333333334,IF(AND(AG153="",F153-D153&lt;0),("24:00:00"-D153)+("00:00:00"+F153)-0.0416666666666667,IF(AND(OR(AG153="Allaitement",AG153="Sans déjeuner"),F153-D153&lt;0),("24:00:00"-D153)+("00:00:00"+F153),IF(AND(AG153="",F153-D153&gt;0.166666666666667),F153-D153-0.0416666666666667,IF(AND(OR(AG153="Allaitement",AG153="Sans déjeuner"),F153-D153&gt;0.166666666666667),F153-D153,F153-D153)))))))</f>
        <v/>
      </c>
      <c r="P153" s="242">
        <f>IFERROR(VLOOKUP($B153,Annuaire_roster!$B:$G,MATCH(P$1,Annuaire_roster!$B$1:$G$1,0),0),"-")</f>
        <v/>
      </c>
      <c r="Q153" s="243" t="n">
        <v>44765</v>
      </c>
      <c r="R153" s="244">
        <f>IF(M153="Abs",O153,0)</f>
        <v/>
      </c>
      <c r="S153" s="244">
        <f>SUM(R153,L153,I153,J153,W153,H153)</f>
        <v/>
      </c>
      <c r="T153" s="209">
        <f>"Sem - "&amp;WEEKNUM(Q153,21)</f>
        <v/>
      </c>
      <c r="U153" s="209">
        <f>PROPER(TEXT(Q153,"mmmm"))</f>
        <v/>
      </c>
      <c r="V153" s="245">
        <f>+TEXT(Q153,"aaa")</f>
        <v/>
      </c>
      <c r="W153" s="240" t="n"/>
      <c r="X153" s="246">
        <f>IFERROR(IF(M153="Abs",0,IF((D153-C153+E153-F153)&lt;0.000694444444444444,0,(D153-C153+E153-F153))),0)</f>
        <v/>
      </c>
      <c r="Y153" s="247">
        <f>IFERROR(VLOOKUP(B153,Annuaire_roster!B:E,4,0),"-")</f>
        <v/>
      </c>
      <c r="Z153" s="247">
        <f>IFERROR(VLOOKUP(B153,Annuaire_roster!B:F,3,0),"-")</f>
        <v/>
      </c>
      <c r="AA153" s="247">
        <f>IFERROR(VLOOKUP(B153,Annuaire_roster!B:I,6,0),"-")</f>
        <v/>
      </c>
      <c r="AB153" s="248">
        <f>IF(AND(D153="Congé",F153="Congé"),0.333333333333333,IF(OR(AND(D153="Congé",F153&lt;&gt;"Congé"),(AND(F153="Congé",D153&lt;&gt;"Congé"))),0.166666666666667,""))</f>
        <v/>
      </c>
      <c r="AC153" s="248">
        <f>IF(AND(D153="Congé sans solde",F153="Congé sans solde"),0.333333333333333,IF(OR(AND(D153="Congé sans solde",F153&lt;&gt;"Congé sans solde"),(AND(F153="Congé sans solde",D153&lt;&gt;"Congé sans solde"))),0.166666666666667,""))</f>
        <v/>
      </c>
      <c r="AD153" s="248">
        <f>IF(AND(D153="Congé spécial",F153="Congé spécial"),0.333333333333333,IF(OR(AND(D153="Congé spécial",F153&lt;&gt;"Congé décès"),(AND(F153="Congé spécial",D153&lt;&gt;"Congé spécial"))),0.166666666666667,""))</f>
        <v/>
      </c>
      <c r="AE153" s="249">
        <f>IF(AND(D153="Férié",F153="Férié"),0.333333333333333,IF(OR(AND(D153="Férié",F153&lt;&gt;"Férié"),(AND(F153="Férié",D153&lt;&gt;"Férié"))),0.166666666666667,""))</f>
        <v/>
      </c>
      <c r="AF153" s="249" t="n"/>
      <c r="AG153" s="244" t="n"/>
    </row>
    <row r="154" hidden="1" ht="12.75" customHeight="1" s="231">
      <c r="A154" s="232">
        <f>VLOOKUP(B154,Annuaire_roster!B:F,5,0)</f>
        <v/>
      </c>
      <c r="B154" s="233" t="inlineStr">
        <is>
          <t>BENSAR ANAS</t>
        </is>
      </c>
      <c r="C154" s="234">
        <f>IFERROR(IF(COUNTIFS(Connexions!$K:$K,$Q154,Connexions!$E:$E,VLOOKUP($B154,Mapping_Noms!$A:$B,2,0))=0,"",_xlfn.MINIFS(Connexions!$M:$M,Connexions!$K:$K,$Q154,Connexions!$E:$E,VLOOKUP($B154,Mapping_Noms!$A:$B,2,0))-TIME(1,0,0)),"")</f>
        <v/>
      </c>
      <c r="D154" s="234">
        <f t="array" ref="D154:D154">IFERROR(INDEX(Planning2[],MATCH(1,(Planning2[Nom]=B154)*(Planning2[Date]=Q154),0),3),"-")</f>
        <v/>
      </c>
      <c r="E154" s="235">
        <f>IFERROR(IF(COUNTIFS(Connexions!$K:$K,$Q154,Connexions!$E:$E,VLOOKUP($B154,Mapping_Noms!$A:$B,2,0))=0,"",_xlfn.MAXIFS(Connexions!$O:$O,Connexions!$K:$K,$Q154,Connexions!$E:$E,VLOOKUP($B154,Mapping_Noms!$A:$B,2,0))-TIME(1,0,0)),"")</f>
        <v/>
      </c>
      <c r="F154" s="235">
        <f t="array" ref="F154:F154">IFERROR(INDEX(Planning2[],MATCH(1,(Planning2[Nom]=B154)*(Planning2[Date]=Q154),0),4),"-")</f>
        <v/>
      </c>
      <c r="G154" s="405">
        <f>IFERROR(IF(OR(IFERROR(INDEX('Planning Pauses Dej'!$C:$C,MATCH($B154&amp;"|"&amp;TEXT($Q154,"YYYYMMDD"),'Planning Pauses Dej'!$F:$F,0)),"")="",IFERROR(INDEX('Planning Pauses Dej'!$D:$D,MATCH($B154&amp;"|"&amp;TEXT($Q154,"YYYYMMDD"),'Planning Pauses Dej'!$F:$F,0)),"")=""),"",_xlfn.MAXIFS(Connexions!$Q:$Q,Connexions!$K:$K,$Q154,Connexions!$E:$E,VLOOKUP($B154,Mapping_Noms!$A:$B,2,0),Connexions!$O:$O,"&lt;="&amp;(IFERROR(INDEX('Planning Pauses Dej'!$D:$D,MATCH($B154&amp;"|"&amp;TEXT($Q154,"YYYYMMDD"),'Planning Pauses Dej'!$F:$F,0)),"")+TIME(1,0,0)),Connexions!$P:$P,"&gt;="&amp;(IFERROR(INDEX('Planning Pauses Dej'!$C:$C,MATCH($B154&amp;"|"&amp;TEXT($Q154,"YYYYMMDD"),'Planning Pauses Dej'!$F:$F,0)),"")+TIME(1,0,0)))),"")</f>
        <v/>
      </c>
      <c r="H154" s="405">
        <f>IFERROR(IF(OR($G154="",IFERROR(INDEX('Planning Pauses Dej'!$C:$C,MATCH($B154&amp;"|"&amp;TEXT($Q154,"YYYYMMDD"),'Planning Pauses Dej'!$F:$F,0)),"")="",IFERROR(INDEX('Planning Pauses Dej'!$D:$D,MATCH($B154&amp;"|"&amp;TEXT($Q154,"YYYYMMDD"),'Planning Pauses Dej'!$F:$F,0)),"")=""),"",IF($G154&gt;(IFERROR(INDEX('Planning Pauses Dej'!$D:$D,MATCH($B154&amp;"|"&amp;TEXT($Q154,"YYYYMMDD"),'Planning Pauses Dej'!$F:$F,0)),"")-IFERROR(INDEX('Planning Pauses Dej'!$C:$C,MATCH($B154&amp;"|"&amp;TEXT($Q154,"YYYYMMDD"),'Planning Pauses Dej'!$F:$F,0)),"")),$G154-(IFERROR(INDEX('Planning Pauses Dej'!$D:$D,MATCH($B154&amp;"|"&amp;TEXT($Q154,"YYYYMMDD"),'Planning Pauses Dej'!$F:$F,0)),"")-IFERROR(INDEX('Planning Pauses Dej'!$C:$C,MATCH($B154&amp;"|"&amp;TEXT($Q154,"YYYYMMDD"),'Planning Pauses Dej'!$F:$F,0)),"")),0)),"")</f>
        <v/>
      </c>
      <c r="I154" s="251">
        <f>IF(IF(OR(C154="",D154="Congé",D154="OFF",D154="Congé spécial"),"",IF(D154&gt;F154,D154-C154,IF(C154-D154&lt;0,0,C154-D154)))&lt;0.00068287037037037,"",IF(OR(D154="Congé",D154="OFF",C154="",D154="Congé spécial"),"",IF(D154&gt;F154,D154-C154,IF(C154-D154&lt;0,0,C154-D154))))</f>
        <v/>
      </c>
      <c r="J154" s="405">
        <f>IFERROR(IF($G154="","",IF($G154&gt;TIME(1,0,0),$G154-TIME(1,0,0),0)),"")</f>
        <v/>
      </c>
      <c r="K154" s="238">
        <f>IF(SUM(H154:J154)&lt;0.00068287037037037,0,SUM(H154:J154))</f>
        <v/>
      </c>
      <c r="L154" s="236">
        <f>IF(OR(F154="Congé",F154="OFF",M154="Abs",F154="Congé sans solde",F154="Férié",F154="Congé spécial",D154="Congé spécial"),0,IF(F154-E154&lt;0,0,IF(F154-E154&lt;=0.00068287037037037,0,F154-E154)))</f>
        <v/>
      </c>
      <c r="M154" s="239">
        <f>IF(AND(O154&lt;&gt;0,C154=""),"Abs",0)</f>
        <v/>
      </c>
      <c r="N154" s="240">
        <f>IFERROR(IF(OR(D154="OFF",D154="Congé",M154="Abs",D154="Congé sans solde",D154="Férié"),"",IF(O154-K154-L154&gt;O154,O154,IF(O154-K154-L154&lt;0,"",O154-K154-L154))),"")</f>
        <v/>
      </c>
      <c r="O154" s="241">
        <f>IF(AG154="2H Pause déjeuner",IF(F154-D154-0.0833333333333333&lt;0,F154-D154-0.0833333333333333+1,F154-D154-0.0833333333333333),IF(OR(AND(F154="OFF",D154="OFF"),AND(F154="Congé",D154="Congé"),AND(F154="Congé sans solde",D154="Congé sans solde"),AND(F154="Congé spécial",D154="Congé spécial"),AND(F154="Férié",D154="Férié"),AND(F154="OFF",D154="Congé"),AND(F154="OFF",D154="Congé sans solde"),AND(F154="OFF",D154="Congé spécial"),AND(F154="OFF",D154="Férié"),AND(F154="Congé",D154="OFF"),AND(F154="Congé",D154="Congé sans solde"),AND(F154="Congé",D154="Congé spécial"),AND(F154="Congé",D154="Férié"),AND(F154="Congé sans solde",D154="OFF"),AND(F154="Congé sans solde",D154="Congé"),AND(F154="Congé sans solde",D154="Congé spécial"),AND(F154="Congé sans solde",D154="Férié"),AND(F154="Congé spécial",D154="OFF"),AND(F154="Congé spécial",D154="Congé"),AND(F154="Congé spécial",D154="Congé sans solde"),AND(F154="Congé spécial",D154="Férié"),AND(F154="Férié",D154="OFF"),AND(F154="Férié",D154="Congé"),AND(F154="Férié",D154="Congé sans solde"),AND(F154="Férié",D154="Congé spécial")),0,IF(OR(F154="OFF",F154="Congé",F154="Congé spécial",F154="Congé sans solde",D154="OFF",D154="Congé",D154="Congé spécial",D154="Congé sans solde"),0.208333333333334,IF(AND(AG154="",F154-D154&lt;0),("24:00:00"-D154)+("00:00:00"+F154)-0.0416666666666667,IF(AND(OR(AG154="Allaitement",AG154="Sans déjeuner"),F154-D154&lt;0),("24:00:00"-D154)+("00:00:00"+F154),IF(AND(AG154="",F154-D154&gt;0.166666666666667),F154-D154-0.0416666666666667,IF(AND(OR(AG154="Allaitement",AG154="Sans déjeuner"),F154-D154&gt;0.166666666666667),F154-D154,F154-D154)))))))</f>
        <v/>
      </c>
      <c r="P154" s="242">
        <f>IFERROR(VLOOKUP($B154,Annuaire_roster!$B:$G,MATCH(P$1,Annuaire_roster!$B$1:$G$1,0),0),"-")</f>
        <v/>
      </c>
      <c r="Q154" s="243" t="n">
        <v>44765</v>
      </c>
      <c r="R154" s="244">
        <f>IF(M154="Abs",O154,0)</f>
        <v/>
      </c>
      <c r="S154" s="244">
        <f>SUM(R154,L154,I154,J154,W154,H154)</f>
        <v/>
      </c>
      <c r="T154" s="209">
        <f>"Sem - "&amp;WEEKNUM(Q154,21)</f>
        <v/>
      </c>
      <c r="U154" s="209">
        <f>PROPER(TEXT(Q154,"mmmm"))</f>
        <v/>
      </c>
      <c r="V154" s="245">
        <f>+TEXT(Q154,"aaa")</f>
        <v/>
      </c>
      <c r="W154" s="240" t="n"/>
      <c r="X154" s="246">
        <f>IFERROR(IF(M154="Abs",0,IF((D154-C154+E154-F154)&lt;0.000694444444444444,0,(D154-C154+E154-F154))),0)</f>
        <v/>
      </c>
      <c r="Y154" s="247">
        <f>IFERROR(VLOOKUP(B154,Annuaire_roster!B:E,4,0),"-")</f>
        <v/>
      </c>
      <c r="Z154" s="247">
        <f>IFERROR(VLOOKUP(B154,Annuaire_roster!B:F,3,0),"-")</f>
        <v/>
      </c>
      <c r="AA154" s="247">
        <f>IFERROR(VLOOKUP(B154,Annuaire_roster!B:I,6,0),"-")</f>
        <v/>
      </c>
      <c r="AB154" s="248">
        <f>IF(AND(D154="Congé",F154="Congé"),0.333333333333333,IF(OR(AND(D154="Congé",F154&lt;&gt;"Congé"),(AND(F154="Congé",D154&lt;&gt;"Congé"))),0.166666666666667,""))</f>
        <v/>
      </c>
      <c r="AC154" s="248">
        <f>IF(AND(D154="Congé sans solde",F154="Congé sans solde"),0.333333333333333,IF(OR(AND(D154="Congé sans solde",F154&lt;&gt;"Congé sans solde"),(AND(F154="Congé sans solde",D154&lt;&gt;"Congé sans solde"))),0.166666666666667,""))</f>
        <v/>
      </c>
      <c r="AD154" s="248">
        <f>IF(AND(D154="Congé spécial",F154="Congé spécial"),0.333333333333333,IF(OR(AND(D154="Congé spécial",F154&lt;&gt;"Congé décès"),(AND(F154="Congé spécial",D154&lt;&gt;"Congé spécial"))),0.166666666666667,""))</f>
        <v/>
      </c>
      <c r="AE154" s="249">
        <f>IF(AND(D154="Férié",F154="Férié"),0.333333333333333,IF(OR(AND(D154="Férié",F154&lt;&gt;"Férié"),(AND(F154="Férié",D154&lt;&gt;"Férié"))),0.166666666666667,""))</f>
        <v/>
      </c>
      <c r="AF154" s="249" t="n"/>
      <c r="AG154" s="244" t="n"/>
    </row>
    <row r="155" hidden="1" ht="12.75" customHeight="1" s="231">
      <c r="A155" s="232">
        <f>VLOOKUP(B155,Annuaire_roster!B:F,5,0)</f>
        <v/>
      </c>
      <c r="B155" s="233" t="inlineStr">
        <is>
          <t>NEMMAOUI MOUNIRA</t>
        </is>
      </c>
      <c r="C155" s="234">
        <f>IFERROR(IF(COUNTIFS(Connexions!$K:$K,$Q155,Connexions!$E:$E,VLOOKUP($B155,Mapping_Noms!$A:$B,2,0))=0,"",_xlfn.MINIFS(Connexions!$M:$M,Connexions!$K:$K,$Q155,Connexions!$E:$E,VLOOKUP($B155,Mapping_Noms!$A:$B,2,0))-TIME(1,0,0)),"")</f>
        <v/>
      </c>
      <c r="D155" s="234">
        <f t="array" ref="D155:D155">IFERROR(INDEX(Planning2[],MATCH(1,(Planning2[Nom]=B155)*(Planning2[Date]=Q155),0),3),"-")</f>
        <v/>
      </c>
      <c r="E155" s="235">
        <f>IFERROR(IF(COUNTIFS(Connexions!$K:$K,$Q155,Connexions!$E:$E,VLOOKUP($B155,Mapping_Noms!$A:$B,2,0))=0,"",_xlfn.MAXIFS(Connexions!$O:$O,Connexions!$K:$K,$Q155,Connexions!$E:$E,VLOOKUP($B155,Mapping_Noms!$A:$B,2,0))-TIME(1,0,0)),"")</f>
        <v/>
      </c>
      <c r="F155" s="235">
        <f t="array" ref="F155:F155">IFERROR(INDEX(Planning2[],MATCH(1,(Planning2[Nom]=B155)*(Planning2[Date]=Q155),0),4),"-")</f>
        <v/>
      </c>
      <c r="G155" s="405">
        <f>IFERROR(IF(OR(IFERROR(INDEX('Planning Pauses Dej'!$C:$C,MATCH($B155&amp;"|"&amp;TEXT($Q155,"YYYYMMDD"),'Planning Pauses Dej'!$F:$F,0)),"")="",IFERROR(INDEX('Planning Pauses Dej'!$D:$D,MATCH($B155&amp;"|"&amp;TEXT($Q155,"YYYYMMDD"),'Planning Pauses Dej'!$F:$F,0)),"")=""),"",_xlfn.MAXIFS(Connexions!$Q:$Q,Connexions!$K:$K,$Q155,Connexions!$E:$E,VLOOKUP($B155,Mapping_Noms!$A:$B,2,0),Connexions!$O:$O,"&lt;="&amp;(IFERROR(INDEX('Planning Pauses Dej'!$D:$D,MATCH($B155&amp;"|"&amp;TEXT($Q155,"YYYYMMDD"),'Planning Pauses Dej'!$F:$F,0)),"")+TIME(1,0,0)),Connexions!$P:$P,"&gt;="&amp;(IFERROR(INDEX('Planning Pauses Dej'!$C:$C,MATCH($B155&amp;"|"&amp;TEXT($Q155,"YYYYMMDD"),'Planning Pauses Dej'!$F:$F,0)),"")+TIME(1,0,0)))),"")</f>
        <v/>
      </c>
      <c r="H155" s="405">
        <f>IFERROR(IF(OR($G155="",IFERROR(INDEX('Planning Pauses Dej'!$C:$C,MATCH($B155&amp;"|"&amp;TEXT($Q155,"YYYYMMDD"),'Planning Pauses Dej'!$F:$F,0)),"")="",IFERROR(INDEX('Planning Pauses Dej'!$D:$D,MATCH($B155&amp;"|"&amp;TEXT($Q155,"YYYYMMDD"),'Planning Pauses Dej'!$F:$F,0)),"")=""),"",IF($G155&gt;(IFERROR(INDEX('Planning Pauses Dej'!$D:$D,MATCH($B155&amp;"|"&amp;TEXT($Q155,"YYYYMMDD"),'Planning Pauses Dej'!$F:$F,0)),"")-IFERROR(INDEX('Planning Pauses Dej'!$C:$C,MATCH($B155&amp;"|"&amp;TEXT($Q155,"YYYYMMDD"),'Planning Pauses Dej'!$F:$F,0)),"")),$G155-(IFERROR(INDEX('Planning Pauses Dej'!$D:$D,MATCH($B155&amp;"|"&amp;TEXT($Q155,"YYYYMMDD"),'Planning Pauses Dej'!$F:$F,0)),"")-IFERROR(INDEX('Planning Pauses Dej'!$C:$C,MATCH($B155&amp;"|"&amp;TEXT($Q155,"YYYYMMDD"),'Planning Pauses Dej'!$F:$F,0)),"")),0)),"")</f>
        <v/>
      </c>
      <c r="I155" s="251">
        <f>IF(IF(OR(C155="",D155="Congé",D155="OFF",D155="Congé spécial"),"",IF(D155&gt;F155,D155-C155,IF(C155-D155&lt;0,0,C155-D155)))&lt;0.00068287037037037,"",IF(OR(D155="Congé",D155="OFF",C155="",D155="Congé spécial"),"",IF(D155&gt;F155,D155-C155,IF(C155-D155&lt;0,0,C155-D155))))</f>
        <v/>
      </c>
      <c r="J155" s="405">
        <f>IFERROR(IF($G155="","",IF($G155&gt;TIME(1,0,0),$G155-TIME(1,0,0),0)),"")</f>
        <v/>
      </c>
      <c r="K155" s="238">
        <f>IF(SUM(H155:J155)&lt;0.00068287037037037,0,SUM(H155:J155))</f>
        <v/>
      </c>
      <c r="L155" s="236">
        <f>IF(OR(F155="Congé",F155="OFF",M155="Abs",F155="Congé sans solde",F155="Férié",F155="Congé spécial",D155="Congé spécial"),0,IF(F155-E155&lt;0,0,IF(F155-E155&lt;=0.00068287037037037,0,F155-E155)))</f>
        <v/>
      </c>
      <c r="M155" s="239">
        <f>IF(AND(O155&lt;&gt;0,C155=""),"Abs",0)</f>
        <v/>
      </c>
      <c r="N155" s="240">
        <f>IFERROR(IF(OR(D155="OFF",D155="Congé",M155="Abs",D155="Congé sans solde",D155="Férié"),"",IF(O155-K155-L155&gt;O155,O155,IF(O155-K155-L155&lt;0,"",O155-K155-L155))),"")</f>
        <v/>
      </c>
      <c r="O155" s="241">
        <f>IF(AG155="2H Pause déjeuner",IF(F155-D155-0.0833333333333333&lt;0,F155-D155-0.0833333333333333+1,F155-D155-0.0833333333333333),IF(OR(AND(F155="OFF",D155="OFF"),AND(F155="Congé",D155="Congé"),AND(F155="Congé sans solde",D155="Congé sans solde"),AND(F155="Congé spécial",D155="Congé spécial"),AND(F155="Férié",D155="Férié"),AND(F155="OFF",D155="Congé"),AND(F155="OFF",D155="Congé sans solde"),AND(F155="OFF",D155="Congé spécial"),AND(F155="OFF",D155="Férié"),AND(F155="Congé",D155="OFF"),AND(F155="Congé",D155="Congé sans solde"),AND(F155="Congé",D155="Congé spécial"),AND(F155="Congé",D155="Férié"),AND(F155="Congé sans solde",D155="OFF"),AND(F155="Congé sans solde",D155="Congé"),AND(F155="Congé sans solde",D155="Congé spécial"),AND(F155="Congé sans solde",D155="Férié"),AND(F155="Congé spécial",D155="OFF"),AND(F155="Congé spécial",D155="Congé"),AND(F155="Congé spécial",D155="Congé sans solde"),AND(F155="Congé spécial",D155="Férié"),AND(F155="Férié",D155="OFF"),AND(F155="Férié",D155="Congé"),AND(F155="Férié",D155="Congé sans solde"),AND(F155="Férié",D155="Congé spécial")),0,IF(OR(F155="OFF",F155="Congé",F155="Congé spécial",F155="Congé sans solde",D155="OFF",D155="Congé",D155="Congé spécial",D155="Congé sans solde"),0.208333333333334,IF(AND(AG155="",F155-D155&lt;0),("24:00:00"-D155)+("00:00:00"+F155)-0.0416666666666667,IF(AND(OR(AG155="Allaitement",AG155="Sans déjeuner"),F155-D155&lt;0),("24:00:00"-D155)+("00:00:00"+F155),IF(AND(AG155="",F155-D155&gt;0.166666666666667),F155-D155-0.0416666666666667,IF(AND(OR(AG155="Allaitement",AG155="Sans déjeuner"),F155-D155&gt;0.166666666666667),F155-D155,F155-D155)))))))</f>
        <v/>
      </c>
      <c r="P155" s="242">
        <f>IFERROR(VLOOKUP($B155,Annuaire_roster!$B:$G,MATCH(P$1,Annuaire_roster!$B$1:$G$1,0),0),"-")</f>
        <v/>
      </c>
      <c r="Q155" s="243" t="n">
        <v>44765</v>
      </c>
      <c r="R155" s="244">
        <f>IF(M155="Abs",O155,0)</f>
        <v/>
      </c>
      <c r="S155" s="244">
        <f>SUM(R155,L155,I155,J155,W155,H155)</f>
        <v/>
      </c>
      <c r="T155" s="209">
        <f>"Sem - "&amp;WEEKNUM(Q155,21)</f>
        <v/>
      </c>
      <c r="U155" s="209">
        <f>PROPER(TEXT(Q155,"mmmm"))</f>
        <v/>
      </c>
      <c r="V155" s="245">
        <f>+TEXT(Q155,"aaa")</f>
        <v/>
      </c>
      <c r="W155" s="240" t="n"/>
      <c r="X155" s="246">
        <f>IFERROR(IF(M155="Abs",0,IF((D155-C155+E155-F155)&lt;0.000694444444444444,0,(D155-C155+E155-F155))),0)</f>
        <v/>
      </c>
      <c r="Y155" s="247">
        <f>IFERROR(VLOOKUP(B155,Annuaire_roster!B:E,4,0),"-")</f>
        <v/>
      </c>
      <c r="Z155" s="247">
        <f>IFERROR(VLOOKUP(B155,Annuaire_roster!B:F,3,0),"-")</f>
        <v/>
      </c>
      <c r="AA155" s="247">
        <f>IFERROR(VLOOKUP(B155,Annuaire_roster!B:I,6,0),"-")</f>
        <v/>
      </c>
      <c r="AB155" s="248">
        <f>IF(AND(D155="Congé",F155="Congé"),0.333333333333333,IF(OR(AND(D155="Congé",F155&lt;&gt;"Congé"),(AND(F155="Congé",D155&lt;&gt;"Congé"))),0.166666666666667,""))</f>
        <v/>
      </c>
      <c r="AC155" s="248">
        <f>IF(AND(D155="Congé sans solde",F155="Congé sans solde"),0.333333333333333,IF(OR(AND(D155="Congé sans solde",F155&lt;&gt;"Congé sans solde"),(AND(F155="Congé sans solde",D155&lt;&gt;"Congé sans solde"))),0.166666666666667,""))</f>
        <v/>
      </c>
      <c r="AD155" s="248">
        <f>IF(AND(D155="Congé spécial",F155="Congé spécial"),0.333333333333333,IF(OR(AND(D155="Congé spécial",F155&lt;&gt;"Congé décès"),(AND(F155="Congé spécial",D155&lt;&gt;"Congé spécial"))),0.166666666666667,""))</f>
        <v/>
      </c>
      <c r="AE155" s="249">
        <f>IF(AND(D155="Férié",F155="Férié"),0.333333333333333,IF(OR(AND(D155="Férié",F155&lt;&gt;"Férié"),(AND(F155="Férié",D155&lt;&gt;"Férié"))),0.166666666666667,""))</f>
        <v/>
      </c>
      <c r="AF155" s="249" t="n"/>
      <c r="AG155" s="244" t="n"/>
    </row>
    <row r="156" hidden="1" ht="12.75" customHeight="1" s="231">
      <c r="A156" s="232">
        <f>VLOOKUP(B156,Annuaire_roster!B:F,5,0)</f>
        <v/>
      </c>
      <c r="B156" s="233" t="inlineStr">
        <is>
          <t xml:space="preserve">DERKAOUI AMAL </t>
        </is>
      </c>
      <c r="C156" s="234">
        <f>IFERROR(IF(COUNTIFS(Connexions!$K:$K,$Q156,Connexions!$E:$E,VLOOKUP($B156,Mapping_Noms!$A:$B,2,0))=0,"",_xlfn.MINIFS(Connexions!$M:$M,Connexions!$K:$K,$Q156,Connexions!$E:$E,VLOOKUP($B156,Mapping_Noms!$A:$B,2,0))-TIME(1,0,0)),"")</f>
        <v/>
      </c>
      <c r="D156" s="234">
        <f t="array" ref="D156:D156">IFERROR(INDEX(Planning2[],MATCH(1,(Planning2[Nom]=B156)*(Planning2[Date]=Q156),0),3),"-")</f>
        <v/>
      </c>
      <c r="E156" s="235">
        <f>IFERROR(IF(COUNTIFS(Connexions!$K:$K,$Q156,Connexions!$E:$E,VLOOKUP($B156,Mapping_Noms!$A:$B,2,0))=0,"",_xlfn.MAXIFS(Connexions!$O:$O,Connexions!$K:$K,$Q156,Connexions!$E:$E,VLOOKUP($B156,Mapping_Noms!$A:$B,2,0))-TIME(1,0,0)),"")</f>
        <v/>
      </c>
      <c r="F156" s="235">
        <f t="array" ref="F156:F156">IFERROR(INDEX(Planning2[],MATCH(1,(Planning2[Nom]=B156)*(Planning2[Date]=Q156),0),4),"-")</f>
        <v/>
      </c>
      <c r="G156" s="405">
        <f>IFERROR(IF(OR(IFERROR(INDEX('Planning Pauses Dej'!$C:$C,MATCH($B156&amp;"|"&amp;TEXT($Q156,"YYYYMMDD"),'Planning Pauses Dej'!$F:$F,0)),"")="",IFERROR(INDEX('Planning Pauses Dej'!$D:$D,MATCH($B156&amp;"|"&amp;TEXT($Q156,"YYYYMMDD"),'Planning Pauses Dej'!$F:$F,0)),"")=""),"",_xlfn.MAXIFS(Connexions!$Q:$Q,Connexions!$K:$K,$Q156,Connexions!$E:$E,VLOOKUP($B156,Mapping_Noms!$A:$B,2,0),Connexions!$O:$O,"&lt;="&amp;(IFERROR(INDEX('Planning Pauses Dej'!$D:$D,MATCH($B156&amp;"|"&amp;TEXT($Q156,"YYYYMMDD"),'Planning Pauses Dej'!$F:$F,0)),"")+TIME(1,0,0)),Connexions!$P:$P,"&gt;="&amp;(IFERROR(INDEX('Planning Pauses Dej'!$C:$C,MATCH($B156&amp;"|"&amp;TEXT($Q156,"YYYYMMDD"),'Planning Pauses Dej'!$F:$F,0)),"")+TIME(1,0,0)))),"")</f>
        <v/>
      </c>
      <c r="H156" s="405">
        <f>IFERROR(IF(OR($G156="",IFERROR(INDEX('Planning Pauses Dej'!$C:$C,MATCH($B156&amp;"|"&amp;TEXT($Q156,"YYYYMMDD"),'Planning Pauses Dej'!$F:$F,0)),"")="",IFERROR(INDEX('Planning Pauses Dej'!$D:$D,MATCH($B156&amp;"|"&amp;TEXT($Q156,"YYYYMMDD"),'Planning Pauses Dej'!$F:$F,0)),"")=""),"",IF($G156&gt;(IFERROR(INDEX('Planning Pauses Dej'!$D:$D,MATCH($B156&amp;"|"&amp;TEXT($Q156,"YYYYMMDD"),'Planning Pauses Dej'!$F:$F,0)),"")-IFERROR(INDEX('Planning Pauses Dej'!$C:$C,MATCH($B156&amp;"|"&amp;TEXT($Q156,"YYYYMMDD"),'Planning Pauses Dej'!$F:$F,0)),"")),$G156-(IFERROR(INDEX('Planning Pauses Dej'!$D:$D,MATCH($B156&amp;"|"&amp;TEXT($Q156,"YYYYMMDD"),'Planning Pauses Dej'!$F:$F,0)),"")-IFERROR(INDEX('Planning Pauses Dej'!$C:$C,MATCH($B156&amp;"|"&amp;TEXT($Q156,"YYYYMMDD"),'Planning Pauses Dej'!$F:$F,0)),"")),0)),"")</f>
        <v/>
      </c>
      <c r="I156" s="251">
        <f>IF(IF(OR(C156="",D156="Congé",D156="OFF",D156="Congé spécial"),"",IF(D156&gt;F156,D156-C156,IF(C156-D156&lt;0,0,C156-D156)))&lt;0.00068287037037037,"",IF(OR(D156="Congé",D156="OFF",C156="",D156="Congé spécial"),"",IF(D156&gt;F156,D156-C156,IF(C156-D156&lt;0,0,C156-D156))))</f>
        <v/>
      </c>
      <c r="J156" s="405">
        <f>IFERROR(IF($G156="","",IF($G156&gt;TIME(1,0,0),$G156-TIME(1,0,0),0)),"")</f>
        <v/>
      </c>
      <c r="K156" s="238">
        <f>IF(SUM(H156:J156)&lt;0.00068287037037037,0,SUM(H156:J156))</f>
        <v/>
      </c>
      <c r="L156" s="236">
        <f>IF(OR(F156="Congé",F156="OFF",M156="Abs",F156="Congé sans solde",F156="Férié",F156="Congé spécial",D156="Congé spécial"),0,IF(F156-E156&lt;0,0,IF(F156-E156&lt;=0.00068287037037037,0,F156-E156)))</f>
        <v/>
      </c>
      <c r="M156" s="239">
        <f>IF(AND(O156&lt;&gt;0,C156=""),"Abs",0)</f>
        <v/>
      </c>
      <c r="N156" s="240">
        <f>IFERROR(IF(OR(D156="OFF",D156="Congé",M156="Abs",D156="Congé sans solde",D156="Férié"),"",IF(O156-K156-L156&gt;O156,O156,IF(O156-K156-L156&lt;0,"",O156-K156-L156))),"")</f>
        <v/>
      </c>
      <c r="O156" s="241">
        <f>IF(AG156="2H Pause déjeuner",IF(F156-D156-0.0833333333333333&lt;0,F156-D156-0.0833333333333333+1,F156-D156-0.0833333333333333),IF(OR(AND(F156="OFF",D156="OFF"),AND(F156="Congé",D156="Congé"),AND(F156="Congé sans solde",D156="Congé sans solde"),AND(F156="Congé spécial",D156="Congé spécial"),AND(F156="Férié",D156="Férié"),AND(F156="OFF",D156="Congé"),AND(F156="OFF",D156="Congé sans solde"),AND(F156="OFF",D156="Congé spécial"),AND(F156="OFF",D156="Férié"),AND(F156="Congé",D156="OFF"),AND(F156="Congé",D156="Congé sans solde"),AND(F156="Congé",D156="Congé spécial"),AND(F156="Congé",D156="Férié"),AND(F156="Congé sans solde",D156="OFF"),AND(F156="Congé sans solde",D156="Congé"),AND(F156="Congé sans solde",D156="Congé spécial"),AND(F156="Congé sans solde",D156="Férié"),AND(F156="Congé spécial",D156="OFF"),AND(F156="Congé spécial",D156="Congé"),AND(F156="Congé spécial",D156="Congé sans solde"),AND(F156="Congé spécial",D156="Férié"),AND(F156="Férié",D156="OFF"),AND(F156="Férié",D156="Congé"),AND(F156="Férié",D156="Congé sans solde"),AND(F156="Férié",D156="Congé spécial")),0,IF(OR(F156="OFF",F156="Congé",F156="Congé spécial",F156="Congé sans solde",D156="OFF",D156="Congé",D156="Congé spécial",D156="Congé sans solde"),0.208333333333334,IF(AND(AG156="",F156-D156&lt;0),("24:00:00"-D156)+("00:00:00"+F156)-0.0416666666666667,IF(AND(OR(AG156="Allaitement",AG156="Sans déjeuner"),F156-D156&lt;0),("24:00:00"-D156)+("00:00:00"+F156),IF(AND(AG156="",F156-D156&gt;0.166666666666667),F156-D156-0.0416666666666667,IF(AND(OR(AG156="Allaitement",AG156="Sans déjeuner"),F156-D156&gt;0.166666666666667),F156-D156,F156-D156)))))))</f>
        <v/>
      </c>
      <c r="P156" s="242">
        <f>IFERROR(VLOOKUP($B156,Annuaire_roster!$B:$G,MATCH(P$1,Annuaire_roster!$B$1:$G$1,0),0),"-")</f>
        <v/>
      </c>
      <c r="Q156" s="243" t="n">
        <v>44765</v>
      </c>
      <c r="R156" s="244">
        <f>IF(M156="Abs",O156,0)</f>
        <v/>
      </c>
      <c r="S156" s="244">
        <f>SUM(R156,L156,I156,J156,W156,H156)</f>
        <v/>
      </c>
      <c r="T156" s="209">
        <f>"Sem - "&amp;WEEKNUM(Q156,21)</f>
        <v/>
      </c>
      <c r="U156" s="209">
        <f>PROPER(TEXT(Q156,"mmmm"))</f>
        <v/>
      </c>
      <c r="V156" s="245">
        <f>+TEXT(Q156,"aaa")</f>
        <v/>
      </c>
      <c r="W156" s="240" t="n"/>
      <c r="X156" s="246">
        <f>IFERROR(IF(M156="Abs",0,IF((D156-C156+E156-F156)&lt;0.000694444444444444,0,(D156-C156+E156-F156))),0)</f>
        <v/>
      </c>
      <c r="Y156" s="247">
        <f>IFERROR(VLOOKUP(B156,Annuaire_roster!B:E,4,0),"-")</f>
        <v/>
      </c>
      <c r="Z156" s="247">
        <f>IFERROR(VLOOKUP(B156,Annuaire_roster!B:F,3,0),"-")</f>
        <v/>
      </c>
      <c r="AA156" s="247">
        <f>IFERROR(VLOOKUP(B156,Annuaire_roster!B:I,6,0),"-")</f>
        <v/>
      </c>
      <c r="AB156" s="248">
        <f>IF(AND(D156="Congé",F156="Congé"),0.333333333333333,IF(OR(AND(D156="Congé",F156&lt;&gt;"Congé"),(AND(F156="Congé",D156&lt;&gt;"Congé"))),0.166666666666667,""))</f>
        <v/>
      </c>
      <c r="AC156" s="248">
        <f>IF(AND(D156="Congé sans solde",F156="Congé sans solde"),0.333333333333333,IF(OR(AND(D156="Congé sans solde",F156&lt;&gt;"Congé sans solde"),(AND(F156="Congé sans solde",D156&lt;&gt;"Congé sans solde"))),0.166666666666667,""))</f>
        <v/>
      </c>
      <c r="AD156" s="248">
        <f>IF(AND(D156="Congé spécial",F156="Congé spécial"),0.333333333333333,IF(OR(AND(D156="Congé spécial",F156&lt;&gt;"Congé décès"),(AND(F156="Congé spécial",D156&lt;&gt;"Congé spécial"))),0.166666666666667,""))</f>
        <v/>
      </c>
      <c r="AE156" s="249">
        <f>IF(AND(D156="Férié",F156="Férié"),0.333333333333333,IF(OR(AND(D156="Férié",F156&lt;&gt;"Férié"),(AND(F156="Férié",D156&lt;&gt;"Férié"))),0.166666666666667,""))</f>
        <v/>
      </c>
      <c r="AF156" s="249" t="n"/>
      <c r="AG156" s="244" t="n"/>
    </row>
    <row r="157" hidden="1" ht="12.75" customHeight="1" s="231">
      <c r="A157" s="232">
        <f>VLOOKUP(B157,Annuaire_roster!B:F,5,0)</f>
        <v/>
      </c>
      <c r="B157" s="233" t="inlineStr">
        <is>
          <t xml:space="preserve">LALOUN MANAL </t>
        </is>
      </c>
      <c r="C157" s="234">
        <f>IFERROR(IF(COUNTIFS(Connexions!$K:$K,$Q157,Connexions!$E:$E,VLOOKUP($B157,Mapping_Noms!$A:$B,2,0))=0,"",_xlfn.MINIFS(Connexions!$M:$M,Connexions!$K:$K,$Q157,Connexions!$E:$E,VLOOKUP($B157,Mapping_Noms!$A:$B,2,0))-TIME(1,0,0)),"")</f>
        <v/>
      </c>
      <c r="D157" s="234">
        <f t="array" ref="D157:D157">IFERROR(INDEX(Planning2[],MATCH(1,(Planning2[Nom]=B157)*(Planning2[Date]=Q157),0),3),"-")</f>
        <v/>
      </c>
      <c r="E157" s="235">
        <f>IFERROR(IF(COUNTIFS(Connexions!$K:$K,$Q157,Connexions!$E:$E,VLOOKUP($B157,Mapping_Noms!$A:$B,2,0))=0,"",_xlfn.MAXIFS(Connexions!$O:$O,Connexions!$K:$K,$Q157,Connexions!$E:$E,VLOOKUP($B157,Mapping_Noms!$A:$B,2,0))-TIME(1,0,0)),"")</f>
        <v/>
      </c>
      <c r="F157" s="235">
        <f t="array" ref="F157:F157">IFERROR(INDEX(Planning2[],MATCH(1,(Planning2[Nom]=B157)*(Planning2[Date]=Q157),0),4),"-")</f>
        <v/>
      </c>
      <c r="G157" s="405">
        <f>IFERROR(IF(OR(IFERROR(INDEX('Planning Pauses Dej'!$C:$C,MATCH($B157&amp;"|"&amp;TEXT($Q157,"YYYYMMDD"),'Planning Pauses Dej'!$F:$F,0)),"")="",IFERROR(INDEX('Planning Pauses Dej'!$D:$D,MATCH($B157&amp;"|"&amp;TEXT($Q157,"YYYYMMDD"),'Planning Pauses Dej'!$F:$F,0)),"")=""),"",_xlfn.MAXIFS(Connexions!$Q:$Q,Connexions!$K:$K,$Q157,Connexions!$E:$E,VLOOKUP($B157,Mapping_Noms!$A:$B,2,0),Connexions!$O:$O,"&lt;="&amp;(IFERROR(INDEX('Planning Pauses Dej'!$D:$D,MATCH($B157&amp;"|"&amp;TEXT($Q157,"YYYYMMDD"),'Planning Pauses Dej'!$F:$F,0)),"")+TIME(1,0,0)),Connexions!$P:$P,"&gt;="&amp;(IFERROR(INDEX('Planning Pauses Dej'!$C:$C,MATCH($B157&amp;"|"&amp;TEXT($Q157,"YYYYMMDD"),'Planning Pauses Dej'!$F:$F,0)),"")+TIME(1,0,0)))),"")</f>
        <v/>
      </c>
      <c r="H157" s="405">
        <f>IFERROR(IF(OR($G157="",IFERROR(INDEX('Planning Pauses Dej'!$C:$C,MATCH($B157&amp;"|"&amp;TEXT($Q157,"YYYYMMDD"),'Planning Pauses Dej'!$F:$F,0)),"")="",IFERROR(INDEX('Planning Pauses Dej'!$D:$D,MATCH($B157&amp;"|"&amp;TEXT($Q157,"YYYYMMDD"),'Planning Pauses Dej'!$F:$F,0)),"")=""),"",IF($G157&gt;(IFERROR(INDEX('Planning Pauses Dej'!$D:$D,MATCH($B157&amp;"|"&amp;TEXT($Q157,"YYYYMMDD"),'Planning Pauses Dej'!$F:$F,0)),"")-IFERROR(INDEX('Planning Pauses Dej'!$C:$C,MATCH($B157&amp;"|"&amp;TEXT($Q157,"YYYYMMDD"),'Planning Pauses Dej'!$F:$F,0)),"")),$G157-(IFERROR(INDEX('Planning Pauses Dej'!$D:$D,MATCH($B157&amp;"|"&amp;TEXT($Q157,"YYYYMMDD"),'Planning Pauses Dej'!$F:$F,0)),"")-IFERROR(INDEX('Planning Pauses Dej'!$C:$C,MATCH($B157&amp;"|"&amp;TEXT($Q157,"YYYYMMDD"),'Planning Pauses Dej'!$F:$F,0)),"")),0)),"")</f>
        <v/>
      </c>
      <c r="I157" s="251">
        <f>IF(IF(OR(C157="",D157="Congé",D157="OFF",D157="Congé spécial"),"",IF(D157&gt;F157,D157-C157,IF(C157-D157&lt;0,0,C157-D157)))&lt;0.00068287037037037,"",IF(OR(D157="Congé",D157="OFF",C157="",D157="Congé spécial"),"",IF(D157&gt;F157,D157-C157,IF(C157-D157&lt;0,0,C157-D157))))</f>
        <v/>
      </c>
      <c r="J157" s="405">
        <f>IFERROR(IF($G157="","",IF($G157&gt;TIME(1,0,0),$G157-TIME(1,0,0),0)),"")</f>
        <v/>
      </c>
      <c r="K157" s="238">
        <f>IF(SUM(H157:J157)&lt;0.00068287037037037,0,SUM(H157:J157))</f>
        <v/>
      </c>
      <c r="L157" s="236">
        <f>IF(OR(F157="Congé",F157="OFF",M157="Abs",F157="Congé sans solde",F157="Férié",F157="Congé spécial",D157="Congé spécial"),0,IF(F157-E157&lt;0,0,IF(F157-E157&lt;=0.00068287037037037,0,F157-E157)))</f>
        <v/>
      </c>
      <c r="M157" s="239">
        <f>IF(AND(O157&lt;&gt;0,C157=""),"Abs",0)</f>
        <v/>
      </c>
      <c r="N157" s="240">
        <f>IFERROR(IF(OR(D157="OFF",D157="Congé",M157="Abs",D157="Congé sans solde",D157="Férié"),"",IF(O157-K157-L157&gt;O157,O157,IF(O157-K157-L157&lt;0,"",O157-K157-L157))),"")</f>
        <v/>
      </c>
      <c r="O157" s="241">
        <f>IF(AG157="2H Pause déjeuner",IF(F157-D157-0.0833333333333333&lt;0,F157-D157-0.0833333333333333+1,F157-D157-0.0833333333333333),IF(OR(AND(F157="OFF",D157="OFF"),AND(F157="Congé",D157="Congé"),AND(F157="Congé sans solde",D157="Congé sans solde"),AND(F157="Congé spécial",D157="Congé spécial"),AND(F157="Férié",D157="Férié"),AND(F157="OFF",D157="Congé"),AND(F157="OFF",D157="Congé sans solde"),AND(F157="OFF",D157="Congé spécial"),AND(F157="OFF",D157="Férié"),AND(F157="Congé",D157="OFF"),AND(F157="Congé",D157="Congé sans solde"),AND(F157="Congé",D157="Congé spécial"),AND(F157="Congé",D157="Férié"),AND(F157="Congé sans solde",D157="OFF"),AND(F157="Congé sans solde",D157="Congé"),AND(F157="Congé sans solde",D157="Congé spécial"),AND(F157="Congé sans solde",D157="Férié"),AND(F157="Congé spécial",D157="OFF"),AND(F157="Congé spécial",D157="Congé"),AND(F157="Congé spécial",D157="Congé sans solde"),AND(F157="Congé spécial",D157="Férié"),AND(F157="Férié",D157="OFF"),AND(F157="Férié",D157="Congé"),AND(F157="Férié",D157="Congé sans solde"),AND(F157="Férié",D157="Congé spécial")),0,IF(OR(F157="OFF",F157="Congé",F157="Congé spécial",F157="Congé sans solde",D157="OFF",D157="Congé",D157="Congé spécial",D157="Congé sans solde"),0.208333333333334,IF(AND(AG157="",F157-D157&lt;0),("24:00:00"-D157)+("00:00:00"+F157)-0.0416666666666667,IF(AND(OR(AG157="Allaitement",AG157="Sans déjeuner"),F157-D157&lt;0),("24:00:00"-D157)+("00:00:00"+F157),IF(AND(AG157="",F157-D157&gt;0.166666666666667),F157-D157-0.0416666666666667,IF(AND(OR(AG157="Allaitement",AG157="Sans déjeuner"),F157-D157&gt;0.166666666666667),F157-D157,F157-D157)))))))</f>
        <v/>
      </c>
      <c r="P157" s="242">
        <f>IFERROR(VLOOKUP($B157,Annuaire_roster!$B:$G,MATCH(P$1,Annuaire_roster!$B$1:$G$1,0),0),"-")</f>
        <v/>
      </c>
      <c r="Q157" s="243" t="n">
        <v>44765</v>
      </c>
      <c r="R157" s="244">
        <f>IF(M157="Abs",O157,0)</f>
        <v/>
      </c>
      <c r="S157" s="244">
        <f>SUM(R157,L157,I157,J157,W157,H157)</f>
        <v/>
      </c>
      <c r="T157" s="209">
        <f>"Sem - "&amp;WEEKNUM(Q157,21)</f>
        <v/>
      </c>
      <c r="U157" s="209">
        <f>PROPER(TEXT(Q157,"mmmm"))</f>
        <v/>
      </c>
      <c r="V157" s="245">
        <f>+TEXT(Q157,"aaa")</f>
        <v/>
      </c>
      <c r="W157" s="240" t="n"/>
      <c r="X157" s="246">
        <f>IFERROR(IF(M157="Abs",0,IF((D157-C157+E157-F157)&lt;0.000694444444444444,0,(D157-C157+E157-F157))),0)</f>
        <v/>
      </c>
      <c r="Y157" s="247">
        <f>IFERROR(VLOOKUP(B157,Annuaire_roster!B:E,4,0),"-")</f>
        <v/>
      </c>
      <c r="Z157" s="247">
        <f>IFERROR(VLOOKUP(B157,Annuaire_roster!B:F,3,0),"-")</f>
        <v/>
      </c>
      <c r="AA157" s="247">
        <f>IFERROR(VLOOKUP(B157,Annuaire_roster!B:I,6,0),"-")</f>
        <v/>
      </c>
      <c r="AB157" s="248">
        <f>IF(AND(D157="Congé",F157="Congé"),0.333333333333333,IF(OR(AND(D157="Congé",F157&lt;&gt;"Congé"),(AND(F157="Congé",D157&lt;&gt;"Congé"))),0.166666666666667,""))</f>
        <v/>
      </c>
      <c r="AC157" s="248">
        <f>IF(AND(D157="Congé sans solde",F157="Congé sans solde"),0.333333333333333,IF(OR(AND(D157="Congé sans solde",F157&lt;&gt;"Congé sans solde"),(AND(F157="Congé sans solde",D157&lt;&gt;"Congé sans solde"))),0.166666666666667,""))</f>
        <v/>
      </c>
      <c r="AD157" s="248">
        <f>IF(AND(D157="Congé spécial",F157="Congé spécial"),0.333333333333333,IF(OR(AND(D157="Congé spécial",F157&lt;&gt;"Congé décès"),(AND(F157="Congé spécial",D157&lt;&gt;"Congé spécial"))),0.166666666666667,""))</f>
        <v/>
      </c>
      <c r="AE157" s="249">
        <f>IF(AND(D157="Férié",F157="Férié"),0.333333333333333,IF(OR(AND(D157="Férié",F157&lt;&gt;"Férié"),(AND(F157="Férié",D157&lt;&gt;"Férié"))),0.166666666666667,""))</f>
        <v/>
      </c>
      <c r="AF157" s="249" t="n"/>
      <c r="AG157" s="244" t="n"/>
    </row>
    <row r="158" hidden="1" ht="12.75" customHeight="1" s="231">
      <c r="A158" s="232">
        <f>VLOOKUP(B158,Annuaire_roster!B:F,5,0)</f>
        <v/>
      </c>
      <c r="B158" s="233" t="inlineStr">
        <is>
          <t>IHASSANE Ikram</t>
        </is>
      </c>
      <c r="C158" s="234">
        <f>IFERROR(IF(COUNTIFS(Connexions!$K:$K,$Q158,Connexions!$E:$E,VLOOKUP($B158,Mapping_Noms!$A:$B,2,0))=0,"",_xlfn.MINIFS(Connexions!$M:$M,Connexions!$K:$K,$Q158,Connexions!$E:$E,VLOOKUP($B158,Mapping_Noms!$A:$B,2,0))-TIME(1,0,0)),"")</f>
        <v/>
      </c>
      <c r="D158" s="234">
        <f t="array" ref="D158:D158">IFERROR(INDEX(Planning2[],MATCH(1,(Planning2[Nom]=B158)*(Planning2[Date]=Q158),0),3),"-")</f>
        <v/>
      </c>
      <c r="E158" s="235">
        <f>IFERROR(IF(COUNTIFS(Connexions!$K:$K,$Q158,Connexions!$E:$E,VLOOKUP($B158,Mapping_Noms!$A:$B,2,0))=0,"",_xlfn.MAXIFS(Connexions!$O:$O,Connexions!$K:$K,$Q158,Connexions!$E:$E,VLOOKUP($B158,Mapping_Noms!$A:$B,2,0))-TIME(1,0,0)),"")</f>
        <v/>
      </c>
      <c r="F158" s="235">
        <f t="array" ref="F158:F158">IFERROR(INDEX(Planning2[],MATCH(1,(Planning2[Nom]=B158)*(Planning2[Date]=Q158),0),4),"-")</f>
        <v/>
      </c>
      <c r="G158" s="405">
        <f>IFERROR(IF(OR(IFERROR(INDEX('Planning Pauses Dej'!$C:$C,MATCH($B158&amp;"|"&amp;TEXT($Q158,"YYYYMMDD"),'Planning Pauses Dej'!$F:$F,0)),"")="",IFERROR(INDEX('Planning Pauses Dej'!$D:$D,MATCH($B158&amp;"|"&amp;TEXT($Q158,"YYYYMMDD"),'Planning Pauses Dej'!$F:$F,0)),"")=""),"",_xlfn.MAXIFS(Connexions!$Q:$Q,Connexions!$K:$K,$Q158,Connexions!$E:$E,VLOOKUP($B158,Mapping_Noms!$A:$B,2,0),Connexions!$O:$O,"&lt;="&amp;(IFERROR(INDEX('Planning Pauses Dej'!$D:$D,MATCH($B158&amp;"|"&amp;TEXT($Q158,"YYYYMMDD"),'Planning Pauses Dej'!$F:$F,0)),"")+TIME(1,0,0)),Connexions!$P:$P,"&gt;="&amp;(IFERROR(INDEX('Planning Pauses Dej'!$C:$C,MATCH($B158&amp;"|"&amp;TEXT($Q158,"YYYYMMDD"),'Planning Pauses Dej'!$F:$F,0)),"")+TIME(1,0,0)))),"")</f>
        <v/>
      </c>
      <c r="H158" s="405">
        <f>IFERROR(IF(OR($G158="",IFERROR(INDEX('Planning Pauses Dej'!$C:$C,MATCH($B158&amp;"|"&amp;TEXT($Q158,"YYYYMMDD"),'Planning Pauses Dej'!$F:$F,0)),"")="",IFERROR(INDEX('Planning Pauses Dej'!$D:$D,MATCH($B158&amp;"|"&amp;TEXT($Q158,"YYYYMMDD"),'Planning Pauses Dej'!$F:$F,0)),"")=""),"",IF($G158&gt;(IFERROR(INDEX('Planning Pauses Dej'!$D:$D,MATCH($B158&amp;"|"&amp;TEXT($Q158,"YYYYMMDD"),'Planning Pauses Dej'!$F:$F,0)),"")-IFERROR(INDEX('Planning Pauses Dej'!$C:$C,MATCH($B158&amp;"|"&amp;TEXT($Q158,"YYYYMMDD"),'Planning Pauses Dej'!$F:$F,0)),"")),$G158-(IFERROR(INDEX('Planning Pauses Dej'!$D:$D,MATCH($B158&amp;"|"&amp;TEXT($Q158,"YYYYMMDD"),'Planning Pauses Dej'!$F:$F,0)),"")-IFERROR(INDEX('Planning Pauses Dej'!$C:$C,MATCH($B158&amp;"|"&amp;TEXT($Q158,"YYYYMMDD"),'Planning Pauses Dej'!$F:$F,0)),"")),0)),"")</f>
        <v/>
      </c>
      <c r="I158" s="251">
        <f>IF(IF(OR(C158="",D158="Congé",D158="OFF",D158="Congé spécial"),"",IF(D158&gt;F158,D158-C158,IF(C158-D158&lt;0,0,C158-D158)))&lt;0.00068287037037037,"",IF(OR(D158="Congé",D158="OFF",C158="",D158="Congé spécial"),"",IF(D158&gt;F158,D158-C158,IF(C158-D158&lt;0,0,C158-D158))))</f>
        <v/>
      </c>
      <c r="J158" s="405">
        <f>IFERROR(IF($G158="","",IF($G158&gt;TIME(1,0,0),$G158-TIME(1,0,0),0)),"")</f>
        <v/>
      </c>
      <c r="K158" s="238">
        <f>IF(SUM(H158:J158)&lt;0.00068287037037037,0,SUM(H158:J158))</f>
        <v/>
      </c>
      <c r="L158" s="236">
        <f>IF(OR(F158="Congé",F158="OFF",M158="Abs",F158="Congé sans solde",F158="Férié",F158="Congé spécial",D158="Congé spécial"),0,IF(F158-E158&lt;0,0,IF(F158-E158&lt;=0.00068287037037037,0,F158-E158)))</f>
        <v/>
      </c>
      <c r="M158" s="239">
        <f>IF(AND(O158&lt;&gt;0,C158=""),"Abs",0)</f>
        <v/>
      </c>
      <c r="N158" s="240">
        <f>IFERROR(IF(OR(D158="OFF",D158="Congé",M158="Abs",D158="Congé sans solde",D158="Férié"),"",IF(O158-K158-L158&gt;O158,O158,IF(O158-K158-L158&lt;0,"",O158-K158-L158))),"")</f>
        <v/>
      </c>
      <c r="O158" s="241">
        <f>IF(AG158="2H Pause déjeuner",IF(F158-D158-0.0833333333333333&lt;0,F158-D158-0.0833333333333333+1,F158-D158-0.0833333333333333),IF(OR(AND(F158="OFF",D158="OFF"),AND(F158="Congé",D158="Congé"),AND(F158="Congé sans solde",D158="Congé sans solde"),AND(F158="Congé spécial",D158="Congé spécial"),AND(F158="Férié",D158="Férié"),AND(F158="OFF",D158="Congé"),AND(F158="OFF",D158="Congé sans solde"),AND(F158="OFF",D158="Congé spécial"),AND(F158="OFF",D158="Férié"),AND(F158="Congé",D158="OFF"),AND(F158="Congé",D158="Congé sans solde"),AND(F158="Congé",D158="Congé spécial"),AND(F158="Congé",D158="Férié"),AND(F158="Congé sans solde",D158="OFF"),AND(F158="Congé sans solde",D158="Congé"),AND(F158="Congé sans solde",D158="Congé spécial"),AND(F158="Congé sans solde",D158="Férié"),AND(F158="Congé spécial",D158="OFF"),AND(F158="Congé spécial",D158="Congé"),AND(F158="Congé spécial",D158="Congé sans solde"),AND(F158="Congé spécial",D158="Férié"),AND(F158="Férié",D158="OFF"),AND(F158="Férié",D158="Congé"),AND(F158="Férié",D158="Congé sans solde"),AND(F158="Férié",D158="Congé spécial")),0,IF(OR(F158="OFF",F158="Congé",F158="Congé spécial",F158="Congé sans solde",D158="OFF",D158="Congé",D158="Congé spécial",D158="Congé sans solde"),0.208333333333334,IF(AND(AG158="",F158-D158&lt;0),("24:00:00"-D158)+("00:00:00"+F158)-0.0416666666666667,IF(AND(OR(AG158="Allaitement",AG158="Sans déjeuner"),F158-D158&lt;0),("24:00:00"-D158)+("00:00:00"+F158),IF(AND(AG158="",F158-D158&gt;0.166666666666667),F158-D158-0.0416666666666667,IF(AND(OR(AG158="Allaitement",AG158="Sans déjeuner"),F158-D158&gt;0.166666666666667),F158-D158,F158-D158)))))))</f>
        <v/>
      </c>
      <c r="P158" s="242">
        <f>IFERROR(VLOOKUP($B158,Annuaire_roster!$B:$G,MATCH(P$1,Annuaire_roster!$B$1:$G$1,0),0),"-")</f>
        <v/>
      </c>
      <c r="Q158" s="243" t="n">
        <v>44765</v>
      </c>
      <c r="R158" s="244">
        <f>IF(M158="Abs",O158,0)</f>
        <v/>
      </c>
      <c r="S158" s="244">
        <f>SUM(R158,L158,I158,J158,W158,H158)</f>
        <v/>
      </c>
      <c r="T158" s="209">
        <f>"Sem - "&amp;WEEKNUM(Q158,21)</f>
        <v/>
      </c>
      <c r="U158" s="209">
        <f>PROPER(TEXT(Q158,"mmmm"))</f>
        <v/>
      </c>
      <c r="V158" s="245">
        <f>+TEXT(Q158,"aaa")</f>
        <v/>
      </c>
      <c r="W158" s="240" t="n"/>
      <c r="X158" s="246">
        <f>IFERROR(IF(M158="Abs",0,IF((D158-C158+E158-F158)&lt;0.000694444444444444,0,(D158-C158+E158-F158))),0)</f>
        <v/>
      </c>
      <c r="Y158" s="247">
        <f>IFERROR(VLOOKUP(B158,Annuaire_roster!B:E,4,0),"-")</f>
        <v/>
      </c>
      <c r="Z158" s="247">
        <f>IFERROR(VLOOKUP(B158,Annuaire_roster!B:F,3,0),"-")</f>
        <v/>
      </c>
      <c r="AA158" s="247">
        <f>IFERROR(VLOOKUP(B158,Annuaire_roster!B:I,6,0),"-")</f>
        <v/>
      </c>
      <c r="AB158" s="248">
        <f>IF(AND(D158="Congé",F158="Congé"),0.333333333333333,IF(OR(AND(D158="Congé",F158&lt;&gt;"Congé"),(AND(F158="Congé",D158&lt;&gt;"Congé"))),0.166666666666667,""))</f>
        <v/>
      </c>
      <c r="AC158" s="248">
        <f>IF(AND(D158="Congé sans solde",F158="Congé sans solde"),0.333333333333333,IF(OR(AND(D158="Congé sans solde",F158&lt;&gt;"Congé sans solde"),(AND(F158="Congé sans solde",D158&lt;&gt;"Congé sans solde"))),0.166666666666667,""))</f>
        <v/>
      </c>
      <c r="AD158" s="248">
        <f>IF(AND(D158="Congé spécial",F158="Congé spécial"),0.333333333333333,IF(OR(AND(D158="Congé spécial",F158&lt;&gt;"Congé décès"),(AND(F158="Congé spécial",D158&lt;&gt;"Congé spécial"))),0.166666666666667,""))</f>
        <v/>
      </c>
      <c r="AE158" s="249">
        <f>IF(AND(D158="Férié",F158="Férié"),0.333333333333333,IF(OR(AND(D158="Férié",F158&lt;&gt;"Férié"),(AND(F158="Férié",D158&lt;&gt;"Férié"))),0.166666666666667,""))</f>
        <v/>
      </c>
      <c r="AF158" s="249" t="n"/>
      <c r="AG158" s="244" t="n"/>
    </row>
    <row r="159" hidden="1" ht="12.75" customHeight="1" s="231">
      <c r="A159" s="232">
        <f>VLOOKUP(B159,Annuaire_roster!B:F,5,0)</f>
        <v/>
      </c>
      <c r="B159" s="233" t="inlineStr">
        <is>
          <t>LAFDIL NADA</t>
        </is>
      </c>
      <c r="C159" s="234">
        <f>IFERROR(IF(COUNTIFS(Connexions!$K:$K,$Q159,Connexions!$E:$E,VLOOKUP($B159,Mapping_Noms!$A:$B,2,0))=0,"",_xlfn.MINIFS(Connexions!$M:$M,Connexions!$K:$K,$Q159,Connexions!$E:$E,VLOOKUP($B159,Mapping_Noms!$A:$B,2,0))-TIME(1,0,0)),"")</f>
        <v/>
      </c>
      <c r="D159" s="234">
        <f t="array" ref="D159:D159">IFERROR(INDEX(Planning2[],MATCH(1,(Planning2[Nom]=B159)*(Planning2[Date]=Q159),0),3),"-")</f>
        <v/>
      </c>
      <c r="E159" s="235">
        <f>IFERROR(IF(COUNTIFS(Connexions!$K:$K,$Q159,Connexions!$E:$E,VLOOKUP($B159,Mapping_Noms!$A:$B,2,0))=0,"",_xlfn.MAXIFS(Connexions!$O:$O,Connexions!$K:$K,$Q159,Connexions!$E:$E,VLOOKUP($B159,Mapping_Noms!$A:$B,2,0))-TIME(1,0,0)),"")</f>
        <v/>
      </c>
      <c r="F159" s="235">
        <f t="array" ref="F159:F159">IFERROR(INDEX(Planning2[],MATCH(1,(Planning2[Nom]=B159)*(Planning2[Date]=Q159),0),4),"-")</f>
        <v/>
      </c>
      <c r="G159" s="405">
        <f>IFERROR(IF(OR(IFERROR(INDEX('Planning Pauses Dej'!$C:$C,MATCH($B159&amp;"|"&amp;TEXT($Q159,"YYYYMMDD"),'Planning Pauses Dej'!$F:$F,0)),"")="",IFERROR(INDEX('Planning Pauses Dej'!$D:$D,MATCH($B159&amp;"|"&amp;TEXT($Q159,"YYYYMMDD"),'Planning Pauses Dej'!$F:$F,0)),"")=""),"",_xlfn.MAXIFS(Connexions!$Q:$Q,Connexions!$K:$K,$Q159,Connexions!$E:$E,VLOOKUP($B159,Mapping_Noms!$A:$B,2,0),Connexions!$O:$O,"&lt;="&amp;(IFERROR(INDEX('Planning Pauses Dej'!$D:$D,MATCH($B159&amp;"|"&amp;TEXT($Q159,"YYYYMMDD"),'Planning Pauses Dej'!$F:$F,0)),"")+TIME(1,0,0)),Connexions!$P:$P,"&gt;="&amp;(IFERROR(INDEX('Planning Pauses Dej'!$C:$C,MATCH($B159&amp;"|"&amp;TEXT($Q159,"YYYYMMDD"),'Planning Pauses Dej'!$F:$F,0)),"")+TIME(1,0,0)))),"")</f>
        <v/>
      </c>
      <c r="H159" s="405">
        <f>IFERROR(IF(OR($G159="",IFERROR(INDEX('Planning Pauses Dej'!$C:$C,MATCH($B159&amp;"|"&amp;TEXT($Q159,"YYYYMMDD"),'Planning Pauses Dej'!$F:$F,0)),"")="",IFERROR(INDEX('Planning Pauses Dej'!$D:$D,MATCH($B159&amp;"|"&amp;TEXT($Q159,"YYYYMMDD"),'Planning Pauses Dej'!$F:$F,0)),"")=""),"",IF($G159&gt;(IFERROR(INDEX('Planning Pauses Dej'!$D:$D,MATCH($B159&amp;"|"&amp;TEXT($Q159,"YYYYMMDD"),'Planning Pauses Dej'!$F:$F,0)),"")-IFERROR(INDEX('Planning Pauses Dej'!$C:$C,MATCH($B159&amp;"|"&amp;TEXT($Q159,"YYYYMMDD"),'Planning Pauses Dej'!$F:$F,0)),"")),$G159-(IFERROR(INDEX('Planning Pauses Dej'!$D:$D,MATCH($B159&amp;"|"&amp;TEXT($Q159,"YYYYMMDD"),'Planning Pauses Dej'!$F:$F,0)),"")-IFERROR(INDEX('Planning Pauses Dej'!$C:$C,MATCH($B159&amp;"|"&amp;TEXT($Q159,"YYYYMMDD"),'Planning Pauses Dej'!$F:$F,0)),"")),0)),"")</f>
        <v/>
      </c>
      <c r="I159" s="251">
        <f>IF(IF(OR(C159="",D159="Congé",D159="OFF",D159="Congé spécial"),"",IF(D159&gt;F159,D159-C159,IF(C159-D159&lt;0,0,C159-D159)))&lt;0.00068287037037037,"",IF(OR(D159="Congé",D159="OFF",C159="",D159="Congé spécial"),"",IF(D159&gt;F159,D159-C159,IF(C159-D159&lt;0,0,C159-D159))))</f>
        <v/>
      </c>
      <c r="J159" s="405">
        <f>IFERROR(IF($G159="","",IF($G159&gt;TIME(1,0,0),$G159-TIME(1,0,0),0)),"")</f>
        <v/>
      </c>
      <c r="K159" s="238">
        <f>IF(SUM(H159:J159)&lt;0.00068287037037037,0,SUM(H159:J159))</f>
        <v/>
      </c>
      <c r="L159" s="236">
        <f>IF(OR(F159="Congé",F159="OFF",M159="Abs",F159="Congé sans solde",F159="Férié",F159="Congé spécial",D159="Congé spécial"),0,IF(F159-E159&lt;0,0,IF(F159-E159&lt;=0.00068287037037037,0,F159-E159)))</f>
        <v/>
      </c>
      <c r="M159" s="239">
        <f>IF(AND(O159&lt;&gt;0,C159=""),"Abs",0)</f>
        <v/>
      </c>
      <c r="N159" s="240">
        <f>IFERROR(IF(OR(D159="OFF",D159="Congé",M159="Abs",D159="Congé sans solde",D159="Férié"),"",IF(O159-K159-L159&gt;O159,O159,IF(O159-K159-L159&lt;0,"",O159-K159-L159))),"")</f>
        <v/>
      </c>
      <c r="O159" s="241">
        <f>IF(AG159="2H Pause déjeuner",IF(F159-D159-0.0833333333333333&lt;0,F159-D159-0.0833333333333333+1,F159-D159-0.0833333333333333),IF(OR(AND(F159="OFF",D159="OFF"),AND(F159="Congé",D159="Congé"),AND(F159="Congé sans solde",D159="Congé sans solde"),AND(F159="Congé spécial",D159="Congé spécial"),AND(F159="Férié",D159="Férié"),AND(F159="OFF",D159="Congé"),AND(F159="OFF",D159="Congé sans solde"),AND(F159="OFF",D159="Congé spécial"),AND(F159="OFF",D159="Férié"),AND(F159="Congé",D159="OFF"),AND(F159="Congé",D159="Congé sans solde"),AND(F159="Congé",D159="Congé spécial"),AND(F159="Congé",D159="Férié"),AND(F159="Congé sans solde",D159="OFF"),AND(F159="Congé sans solde",D159="Congé"),AND(F159="Congé sans solde",D159="Congé spécial"),AND(F159="Congé sans solde",D159="Férié"),AND(F159="Congé spécial",D159="OFF"),AND(F159="Congé spécial",D159="Congé"),AND(F159="Congé spécial",D159="Congé sans solde"),AND(F159="Congé spécial",D159="Férié"),AND(F159="Férié",D159="OFF"),AND(F159="Férié",D159="Congé"),AND(F159="Férié",D159="Congé sans solde"),AND(F159="Férié",D159="Congé spécial")),0,IF(OR(F159="OFF",F159="Congé",F159="Congé spécial",F159="Congé sans solde",D159="OFF",D159="Congé",D159="Congé spécial",D159="Congé sans solde"),0.208333333333334,IF(AND(AG159="",F159-D159&lt;0),("24:00:00"-D159)+("00:00:00"+F159)-0.0416666666666667,IF(AND(OR(AG159="Allaitement",AG159="Sans déjeuner"),F159-D159&lt;0),("24:00:00"-D159)+("00:00:00"+F159),IF(AND(AG159="",F159-D159&gt;0.166666666666667),F159-D159-0.0416666666666667,IF(AND(OR(AG159="Allaitement",AG159="Sans déjeuner"),F159-D159&gt;0.166666666666667),F159-D159,F159-D159)))))))</f>
        <v/>
      </c>
      <c r="P159" s="242">
        <f>IFERROR(VLOOKUP($B159,Annuaire_roster!$B:$G,MATCH(P$1,Annuaire_roster!$B$1:$G$1,0),0),"-")</f>
        <v/>
      </c>
      <c r="Q159" s="243" t="n">
        <v>44765</v>
      </c>
      <c r="R159" s="244">
        <f>IF(M159="Abs",O159,0)</f>
        <v/>
      </c>
      <c r="S159" s="244">
        <f>SUM(R159,L159,I159,J159,W159,H159)</f>
        <v/>
      </c>
      <c r="T159" s="209">
        <f>"Sem - "&amp;WEEKNUM(Q159,21)</f>
        <v/>
      </c>
      <c r="U159" s="209">
        <f>PROPER(TEXT(Q159,"mmmm"))</f>
        <v/>
      </c>
      <c r="V159" s="245">
        <f>+TEXT(Q159,"aaa")</f>
        <v/>
      </c>
      <c r="W159" s="240" t="n"/>
      <c r="X159" s="246">
        <f>IFERROR(IF(M159="Abs",0,IF((D159-C159+E159-F159)&lt;0.000694444444444444,0,(D159-C159+E159-F159))),0)</f>
        <v/>
      </c>
      <c r="Y159" s="247">
        <f>IFERROR(VLOOKUP(B159,Annuaire_roster!B:E,4,0),"-")</f>
        <v/>
      </c>
      <c r="Z159" s="247">
        <f>IFERROR(VLOOKUP(B159,Annuaire_roster!B:F,3,0),"-")</f>
        <v/>
      </c>
      <c r="AA159" s="247">
        <f>IFERROR(VLOOKUP(B159,Annuaire_roster!B:I,6,0),"-")</f>
        <v/>
      </c>
      <c r="AB159" s="248">
        <f>IF(AND(D159="Congé",F159="Congé"),0.333333333333333,IF(OR(AND(D159="Congé",F159&lt;&gt;"Congé"),(AND(F159="Congé",D159&lt;&gt;"Congé"))),0.166666666666667,""))</f>
        <v/>
      </c>
      <c r="AC159" s="248">
        <f>IF(AND(D159="Congé sans solde",F159="Congé sans solde"),0.333333333333333,IF(OR(AND(D159="Congé sans solde",F159&lt;&gt;"Congé sans solde"),(AND(F159="Congé sans solde",D159&lt;&gt;"Congé sans solde"))),0.166666666666667,""))</f>
        <v/>
      </c>
      <c r="AD159" s="248">
        <f>IF(AND(D159="Congé spécial",F159="Congé spécial"),0.333333333333333,IF(OR(AND(D159="Congé spécial",F159&lt;&gt;"Congé décès"),(AND(F159="Congé spécial",D159&lt;&gt;"Congé spécial"))),0.166666666666667,""))</f>
        <v/>
      </c>
      <c r="AE159" s="249">
        <f>IF(AND(D159="Férié",F159="Férié"),0.333333333333333,IF(OR(AND(D159="Férié",F159&lt;&gt;"Férié"),(AND(F159="Férié",D159&lt;&gt;"Férié"))),0.166666666666667,""))</f>
        <v/>
      </c>
      <c r="AF159" s="249" t="n"/>
      <c r="AG159" s="244" t="n"/>
    </row>
    <row r="160" hidden="1" ht="12.75" customHeight="1" s="231">
      <c r="A160" s="232">
        <f>VLOOKUP(B160,Annuaire_roster!B:F,5,0)</f>
        <v/>
      </c>
      <c r="B160" s="233" t="inlineStr">
        <is>
          <t>SIDIBE MOUSKEBA DALAFINA</t>
        </is>
      </c>
      <c r="C160" s="234">
        <f>IFERROR(IF(COUNTIFS(Connexions!$K:$K,$Q160,Connexions!$E:$E,VLOOKUP($B160,Mapping_Noms!$A:$B,2,0))=0,"",_xlfn.MINIFS(Connexions!$M:$M,Connexions!$K:$K,$Q160,Connexions!$E:$E,VLOOKUP($B160,Mapping_Noms!$A:$B,2,0))-TIME(1,0,0)),"")</f>
        <v/>
      </c>
      <c r="D160" s="234">
        <f t="array" ref="D160:D160">IFERROR(INDEX(Planning2[],MATCH(1,(Planning2[Nom]=B160)*(Planning2[Date]=Q160),0),3),"-")</f>
        <v/>
      </c>
      <c r="E160" s="235">
        <f>IFERROR(IF(COUNTIFS(Connexions!$K:$K,$Q160,Connexions!$E:$E,VLOOKUP($B160,Mapping_Noms!$A:$B,2,0))=0,"",_xlfn.MAXIFS(Connexions!$O:$O,Connexions!$K:$K,$Q160,Connexions!$E:$E,VLOOKUP($B160,Mapping_Noms!$A:$B,2,0))-TIME(1,0,0)),"")</f>
        <v/>
      </c>
      <c r="F160" s="235">
        <f t="array" ref="F160:F160">IFERROR(INDEX(Planning2[],MATCH(1,(Planning2[Nom]=B160)*(Planning2[Date]=Q160),0),4),"-")</f>
        <v/>
      </c>
      <c r="G160" s="405">
        <f>IFERROR(IF(OR(IFERROR(INDEX('Planning Pauses Dej'!$C:$C,MATCH($B160&amp;"|"&amp;TEXT($Q160,"YYYYMMDD"),'Planning Pauses Dej'!$F:$F,0)),"")="",IFERROR(INDEX('Planning Pauses Dej'!$D:$D,MATCH($B160&amp;"|"&amp;TEXT($Q160,"YYYYMMDD"),'Planning Pauses Dej'!$F:$F,0)),"")=""),"",_xlfn.MAXIFS(Connexions!$Q:$Q,Connexions!$K:$K,$Q160,Connexions!$E:$E,VLOOKUP($B160,Mapping_Noms!$A:$B,2,0),Connexions!$O:$O,"&lt;="&amp;(IFERROR(INDEX('Planning Pauses Dej'!$D:$D,MATCH($B160&amp;"|"&amp;TEXT($Q160,"YYYYMMDD"),'Planning Pauses Dej'!$F:$F,0)),"")+TIME(1,0,0)),Connexions!$P:$P,"&gt;="&amp;(IFERROR(INDEX('Planning Pauses Dej'!$C:$C,MATCH($B160&amp;"|"&amp;TEXT($Q160,"YYYYMMDD"),'Planning Pauses Dej'!$F:$F,0)),"")+TIME(1,0,0)))),"")</f>
        <v/>
      </c>
      <c r="H160" s="405">
        <f>IFERROR(IF(OR($G160="",IFERROR(INDEX('Planning Pauses Dej'!$C:$C,MATCH($B160&amp;"|"&amp;TEXT($Q160,"YYYYMMDD"),'Planning Pauses Dej'!$F:$F,0)),"")="",IFERROR(INDEX('Planning Pauses Dej'!$D:$D,MATCH($B160&amp;"|"&amp;TEXT($Q160,"YYYYMMDD"),'Planning Pauses Dej'!$F:$F,0)),"")=""),"",IF($G160&gt;(IFERROR(INDEX('Planning Pauses Dej'!$D:$D,MATCH($B160&amp;"|"&amp;TEXT($Q160,"YYYYMMDD"),'Planning Pauses Dej'!$F:$F,0)),"")-IFERROR(INDEX('Planning Pauses Dej'!$C:$C,MATCH($B160&amp;"|"&amp;TEXT($Q160,"YYYYMMDD"),'Planning Pauses Dej'!$F:$F,0)),"")),$G160-(IFERROR(INDEX('Planning Pauses Dej'!$D:$D,MATCH($B160&amp;"|"&amp;TEXT($Q160,"YYYYMMDD"),'Planning Pauses Dej'!$F:$F,0)),"")-IFERROR(INDEX('Planning Pauses Dej'!$C:$C,MATCH($B160&amp;"|"&amp;TEXT($Q160,"YYYYMMDD"),'Planning Pauses Dej'!$F:$F,0)),"")),0)),"")</f>
        <v/>
      </c>
      <c r="I160" s="251">
        <f>IF(IF(OR(C160="",D160="Congé",D160="OFF",D160="Congé spécial"),"",IF(D160&gt;F160,D160-C160,IF(C160-D160&lt;0,0,C160-D160)))&lt;0.00068287037037037,"",IF(OR(D160="Congé",D160="OFF",C160="",D160="Congé spécial"),"",IF(D160&gt;F160,D160-C160,IF(C160-D160&lt;0,0,C160-D160))))</f>
        <v/>
      </c>
      <c r="J160" s="405">
        <f>IFERROR(IF($G160="","",IF($G160&gt;TIME(1,0,0),$G160-TIME(1,0,0),0)),"")</f>
        <v/>
      </c>
      <c r="K160" s="238">
        <f>IF(SUM(H160:J160)&lt;0.00068287037037037,0,SUM(H160:J160))</f>
        <v/>
      </c>
      <c r="L160" s="236">
        <f>IF(OR(F160="Congé",F160="OFF",M160="Abs",F160="Congé sans solde",F160="Férié",F160="Congé spécial",D160="Congé spécial"),0,IF(F160-E160&lt;0,0,IF(F160-E160&lt;=0.00068287037037037,0,F160-E160)))</f>
        <v/>
      </c>
      <c r="M160" s="239">
        <f>IF(AND(O160&lt;&gt;0,C160=""),"Abs",0)</f>
        <v/>
      </c>
      <c r="N160" s="240">
        <f>IFERROR(IF(OR(D160="OFF",D160="Congé",M160="Abs",D160="Congé sans solde",D160="Férié"),"",IF(O160-K160-L160&gt;O160,O160,IF(O160-K160-L160&lt;0,"",O160-K160-L160))),"")</f>
        <v/>
      </c>
      <c r="O160" s="241">
        <f>IF(AG160="2H Pause déjeuner",IF(F160-D160-0.0833333333333333&lt;0,F160-D160-0.0833333333333333+1,F160-D160-0.0833333333333333),IF(OR(AND(F160="OFF",D160="OFF"),AND(F160="Congé",D160="Congé"),AND(F160="Congé sans solde",D160="Congé sans solde"),AND(F160="Congé spécial",D160="Congé spécial"),AND(F160="Férié",D160="Férié"),AND(F160="OFF",D160="Congé"),AND(F160="OFF",D160="Congé sans solde"),AND(F160="OFF",D160="Congé spécial"),AND(F160="OFF",D160="Férié"),AND(F160="Congé",D160="OFF"),AND(F160="Congé",D160="Congé sans solde"),AND(F160="Congé",D160="Congé spécial"),AND(F160="Congé",D160="Férié"),AND(F160="Congé sans solde",D160="OFF"),AND(F160="Congé sans solde",D160="Congé"),AND(F160="Congé sans solde",D160="Congé spécial"),AND(F160="Congé sans solde",D160="Férié"),AND(F160="Congé spécial",D160="OFF"),AND(F160="Congé spécial",D160="Congé"),AND(F160="Congé spécial",D160="Congé sans solde"),AND(F160="Congé spécial",D160="Férié"),AND(F160="Férié",D160="OFF"),AND(F160="Férié",D160="Congé"),AND(F160="Férié",D160="Congé sans solde"),AND(F160="Férié",D160="Congé spécial")),0,IF(OR(F160="OFF",F160="Congé",F160="Congé spécial",F160="Congé sans solde",D160="OFF",D160="Congé",D160="Congé spécial",D160="Congé sans solde"),0.208333333333334,IF(AND(AG160="",F160-D160&lt;0),("24:00:00"-D160)+("00:00:00"+F160)-0.0416666666666667,IF(AND(OR(AG160="Allaitement",AG160="Sans déjeuner"),F160-D160&lt;0),("24:00:00"-D160)+("00:00:00"+F160),IF(AND(AG160="",F160-D160&gt;0.166666666666667),F160-D160-0.0416666666666667,IF(AND(OR(AG160="Allaitement",AG160="Sans déjeuner"),F160-D160&gt;0.166666666666667),F160-D160,F160-D160)))))))</f>
        <v/>
      </c>
      <c r="P160" s="242">
        <f>IFERROR(VLOOKUP($B160,Annuaire_roster!$B:$G,MATCH(P$1,Annuaire_roster!$B$1:$G$1,0),0),"-")</f>
        <v/>
      </c>
      <c r="Q160" s="243" t="n">
        <v>44765</v>
      </c>
      <c r="R160" s="244">
        <f>IF(M160="Abs",O160,0)</f>
        <v/>
      </c>
      <c r="S160" s="244">
        <f>SUM(R160,L160,I160,J160,W160,H160)</f>
        <v/>
      </c>
      <c r="T160" s="209">
        <f>"Sem - "&amp;WEEKNUM(Q160,21)</f>
        <v/>
      </c>
      <c r="U160" s="209">
        <f>PROPER(TEXT(Q160,"mmmm"))</f>
        <v/>
      </c>
      <c r="V160" s="245">
        <f>+TEXT(Q160,"aaa")</f>
        <v/>
      </c>
      <c r="W160" s="240" t="n"/>
      <c r="X160" s="246">
        <f>IFERROR(IF(M160="Abs",0,IF((D160-C160+E160-F160)&lt;0.000694444444444444,0,(D160-C160+E160-F160))),0)</f>
        <v/>
      </c>
      <c r="Y160" s="247">
        <f>IFERROR(VLOOKUP(B160,Annuaire_roster!B:E,4,0),"-")</f>
        <v/>
      </c>
      <c r="Z160" s="247">
        <f>IFERROR(VLOOKUP(B160,Annuaire_roster!B:F,3,0),"-")</f>
        <v/>
      </c>
      <c r="AA160" s="247">
        <f>IFERROR(VLOOKUP(B160,Annuaire_roster!B:I,6,0),"-")</f>
        <v/>
      </c>
      <c r="AB160" s="248">
        <f>IF(AND(D160="Congé",F160="Congé"),0.333333333333333,IF(OR(AND(D160="Congé",F160&lt;&gt;"Congé"),(AND(F160="Congé",D160&lt;&gt;"Congé"))),0.166666666666667,""))</f>
        <v/>
      </c>
      <c r="AC160" s="248">
        <f>IF(AND(D160="Congé sans solde",F160="Congé sans solde"),0.333333333333333,IF(OR(AND(D160="Congé sans solde",F160&lt;&gt;"Congé sans solde"),(AND(F160="Congé sans solde",D160&lt;&gt;"Congé sans solde"))),0.166666666666667,""))</f>
        <v/>
      </c>
      <c r="AD160" s="248">
        <f>IF(AND(D160="Congé spécial",F160="Congé spécial"),0.333333333333333,IF(OR(AND(D160="Congé spécial",F160&lt;&gt;"Congé décès"),(AND(F160="Congé spécial",D160&lt;&gt;"Congé spécial"))),0.166666666666667,""))</f>
        <v/>
      </c>
      <c r="AE160" s="249">
        <f>IF(AND(D160="Férié",F160="Férié"),0.333333333333333,IF(OR(AND(D160="Férié",F160&lt;&gt;"Férié"),(AND(F160="Férié",D160&lt;&gt;"Férié"))),0.166666666666667,""))</f>
        <v/>
      </c>
      <c r="AF160" s="249" t="n"/>
      <c r="AG160" s="244" t="n"/>
    </row>
    <row r="161" hidden="1" ht="12.75" customHeight="1" s="231">
      <c r="A161" s="232">
        <f>VLOOKUP(B161,Annuaire_roster!B:F,5,0)</f>
        <v/>
      </c>
      <c r="B161" s="233" t="inlineStr">
        <is>
          <t>SECK DIARRA</t>
        </is>
      </c>
      <c r="C161" s="234">
        <f>IFERROR(IF(COUNTIFS(Connexions!$K:$K,$Q161,Connexions!$E:$E,VLOOKUP($B161,Mapping_Noms!$A:$B,2,0))=0,"",_xlfn.MINIFS(Connexions!$M:$M,Connexions!$K:$K,$Q161,Connexions!$E:$E,VLOOKUP($B161,Mapping_Noms!$A:$B,2,0))-TIME(1,0,0)),"")</f>
        <v/>
      </c>
      <c r="D161" s="234">
        <f t="array" ref="D161:D161">IFERROR(INDEX(Planning2[],MATCH(1,(Planning2[Nom]=B161)*(Planning2[Date]=Q161),0),3),"-")</f>
        <v/>
      </c>
      <c r="E161" s="235">
        <f>IFERROR(IF(COUNTIFS(Connexions!$K:$K,$Q161,Connexions!$E:$E,VLOOKUP($B161,Mapping_Noms!$A:$B,2,0))=0,"",_xlfn.MAXIFS(Connexions!$O:$O,Connexions!$K:$K,$Q161,Connexions!$E:$E,VLOOKUP($B161,Mapping_Noms!$A:$B,2,0))-TIME(1,0,0)),"")</f>
        <v/>
      </c>
      <c r="F161" s="235">
        <f t="array" ref="F161:F161">IFERROR(INDEX(Planning2[],MATCH(1,(Planning2[Nom]=B161)*(Planning2[Date]=Q161),0),4),"-")</f>
        <v/>
      </c>
      <c r="G161" s="405">
        <f>IFERROR(IF(OR(IFERROR(INDEX('Planning Pauses Dej'!$C:$C,MATCH($B161&amp;"|"&amp;TEXT($Q161,"YYYYMMDD"),'Planning Pauses Dej'!$F:$F,0)),"")="",IFERROR(INDEX('Planning Pauses Dej'!$D:$D,MATCH($B161&amp;"|"&amp;TEXT($Q161,"YYYYMMDD"),'Planning Pauses Dej'!$F:$F,0)),"")=""),"",_xlfn.MAXIFS(Connexions!$Q:$Q,Connexions!$K:$K,$Q161,Connexions!$E:$E,VLOOKUP($B161,Mapping_Noms!$A:$B,2,0),Connexions!$O:$O,"&lt;="&amp;(IFERROR(INDEX('Planning Pauses Dej'!$D:$D,MATCH($B161&amp;"|"&amp;TEXT($Q161,"YYYYMMDD"),'Planning Pauses Dej'!$F:$F,0)),"")+TIME(1,0,0)),Connexions!$P:$P,"&gt;="&amp;(IFERROR(INDEX('Planning Pauses Dej'!$C:$C,MATCH($B161&amp;"|"&amp;TEXT($Q161,"YYYYMMDD"),'Planning Pauses Dej'!$F:$F,0)),"")+TIME(1,0,0)))),"")</f>
        <v/>
      </c>
      <c r="H161" s="405">
        <f>IFERROR(IF(OR($G161="",IFERROR(INDEX('Planning Pauses Dej'!$C:$C,MATCH($B161&amp;"|"&amp;TEXT($Q161,"YYYYMMDD"),'Planning Pauses Dej'!$F:$F,0)),"")="",IFERROR(INDEX('Planning Pauses Dej'!$D:$D,MATCH($B161&amp;"|"&amp;TEXT($Q161,"YYYYMMDD"),'Planning Pauses Dej'!$F:$F,0)),"")=""),"",IF($G161&gt;(IFERROR(INDEX('Planning Pauses Dej'!$D:$D,MATCH($B161&amp;"|"&amp;TEXT($Q161,"YYYYMMDD"),'Planning Pauses Dej'!$F:$F,0)),"")-IFERROR(INDEX('Planning Pauses Dej'!$C:$C,MATCH($B161&amp;"|"&amp;TEXT($Q161,"YYYYMMDD"),'Planning Pauses Dej'!$F:$F,0)),"")),$G161-(IFERROR(INDEX('Planning Pauses Dej'!$D:$D,MATCH($B161&amp;"|"&amp;TEXT($Q161,"YYYYMMDD"),'Planning Pauses Dej'!$F:$F,0)),"")-IFERROR(INDEX('Planning Pauses Dej'!$C:$C,MATCH($B161&amp;"|"&amp;TEXT($Q161,"YYYYMMDD"),'Planning Pauses Dej'!$F:$F,0)),"")),0)),"")</f>
        <v/>
      </c>
      <c r="I161" s="251">
        <f>IF(IF(OR(C161="",D161="Congé",D161="OFF",D161="Congé spécial"),"",IF(D161&gt;F161,D161-C161,IF(C161-D161&lt;0,0,C161-D161)))&lt;0.00068287037037037,"",IF(OR(D161="Congé",D161="OFF",C161="",D161="Congé spécial"),"",IF(D161&gt;F161,D161-C161,IF(C161-D161&lt;0,0,C161-D161))))</f>
        <v/>
      </c>
      <c r="J161" s="405">
        <f>IFERROR(IF($G161="","",IF($G161&gt;TIME(1,0,0),$G161-TIME(1,0,0),0)),"")</f>
        <v/>
      </c>
      <c r="K161" s="238">
        <f>IF(SUM(H161:J161)&lt;0.00068287037037037,0,SUM(H161:J161))</f>
        <v/>
      </c>
      <c r="L161" s="236">
        <f>IF(OR(F161="Congé",F161="OFF",M161="Abs",F161="Congé sans solde",F161="Férié",F161="Congé spécial",D161="Congé spécial"),0,IF(F161-E161&lt;0,0,IF(F161-E161&lt;=0.00068287037037037,0,F161-E161)))</f>
        <v/>
      </c>
      <c r="M161" s="239">
        <f>IF(AND(O161&lt;&gt;0,C161=""),"Abs",0)</f>
        <v/>
      </c>
      <c r="N161" s="240">
        <f>IFERROR(IF(OR(D161="OFF",D161="Congé",M161="Abs",D161="Congé sans solde",D161="Férié"),"",IF(O161-K161-L161&gt;O161,O161,IF(O161-K161-L161&lt;0,"",O161-K161-L161))),"")</f>
        <v/>
      </c>
      <c r="O161" s="241">
        <f>IF(AG161="2H Pause déjeuner",IF(F161-D161-0.0833333333333333&lt;0,F161-D161-0.0833333333333333+1,F161-D161-0.0833333333333333),IF(OR(AND(F161="OFF",D161="OFF"),AND(F161="Congé",D161="Congé"),AND(F161="Congé sans solde",D161="Congé sans solde"),AND(F161="Congé spécial",D161="Congé spécial"),AND(F161="Férié",D161="Férié"),AND(F161="OFF",D161="Congé"),AND(F161="OFF",D161="Congé sans solde"),AND(F161="OFF",D161="Congé spécial"),AND(F161="OFF",D161="Férié"),AND(F161="Congé",D161="OFF"),AND(F161="Congé",D161="Congé sans solde"),AND(F161="Congé",D161="Congé spécial"),AND(F161="Congé",D161="Férié"),AND(F161="Congé sans solde",D161="OFF"),AND(F161="Congé sans solde",D161="Congé"),AND(F161="Congé sans solde",D161="Congé spécial"),AND(F161="Congé sans solde",D161="Férié"),AND(F161="Congé spécial",D161="OFF"),AND(F161="Congé spécial",D161="Congé"),AND(F161="Congé spécial",D161="Congé sans solde"),AND(F161="Congé spécial",D161="Férié"),AND(F161="Férié",D161="OFF"),AND(F161="Férié",D161="Congé"),AND(F161="Férié",D161="Congé sans solde"),AND(F161="Férié",D161="Congé spécial")),0,IF(OR(F161="OFF",F161="Congé",F161="Congé spécial",F161="Congé sans solde",D161="OFF",D161="Congé",D161="Congé spécial",D161="Congé sans solde"),0.208333333333334,IF(AND(AG161="",F161-D161&lt;0),("24:00:00"-D161)+("00:00:00"+F161)-0.0416666666666667,IF(AND(OR(AG161="Allaitement",AG161="Sans déjeuner"),F161-D161&lt;0),("24:00:00"-D161)+("00:00:00"+F161),IF(AND(AG161="",F161-D161&gt;0.166666666666667),F161-D161-0.0416666666666667,IF(AND(OR(AG161="Allaitement",AG161="Sans déjeuner"),F161-D161&gt;0.166666666666667),F161-D161,F161-D161)))))))</f>
        <v/>
      </c>
      <c r="P161" s="242">
        <f>IFERROR(VLOOKUP($B161,Annuaire_roster!$B:$G,MATCH(P$1,Annuaire_roster!$B$1:$G$1,0),0),"-")</f>
        <v/>
      </c>
      <c r="Q161" s="243" t="n">
        <v>44765</v>
      </c>
      <c r="R161" s="244">
        <f>IF(M161="Abs",O161,0)</f>
        <v/>
      </c>
      <c r="S161" s="244">
        <f>SUM(R161,L161,I161,J161,W161,H161)</f>
        <v/>
      </c>
      <c r="T161" s="209">
        <f>"Sem - "&amp;WEEKNUM(Q161,21)</f>
        <v/>
      </c>
      <c r="U161" s="209">
        <f>PROPER(TEXT(Q161,"mmmm"))</f>
        <v/>
      </c>
      <c r="V161" s="245">
        <f>+TEXT(Q161,"aaa")</f>
        <v/>
      </c>
      <c r="W161" s="240" t="n"/>
      <c r="X161" s="246">
        <f>IFERROR(IF(M161="Abs",0,IF((D161-C161+E161-F161)&lt;0.000694444444444444,0,(D161-C161+E161-F161))),0)</f>
        <v/>
      </c>
      <c r="Y161" s="247">
        <f>IFERROR(VLOOKUP(B161,Annuaire_roster!B:E,4,0),"-")</f>
        <v/>
      </c>
      <c r="Z161" s="247">
        <f>IFERROR(VLOOKUP(B161,Annuaire_roster!B:F,3,0),"-")</f>
        <v/>
      </c>
      <c r="AA161" s="247">
        <f>IFERROR(VLOOKUP(B161,Annuaire_roster!B:I,6,0),"-")</f>
        <v/>
      </c>
      <c r="AB161" s="248">
        <f>IF(AND(D161="Congé",F161="Congé"),0.333333333333333,IF(OR(AND(D161="Congé",F161&lt;&gt;"Congé"),(AND(F161="Congé",D161&lt;&gt;"Congé"))),0.166666666666667,""))</f>
        <v/>
      </c>
      <c r="AC161" s="248">
        <f>IF(AND(D161="Congé sans solde",F161="Congé sans solde"),0.333333333333333,IF(OR(AND(D161="Congé sans solde",F161&lt;&gt;"Congé sans solde"),(AND(F161="Congé sans solde",D161&lt;&gt;"Congé sans solde"))),0.166666666666667,""))</f>
        <v/>
      </c>
      <c r="AD161" s="248">
        <f>IF(AND(D161="Congé spécial",F161="Congé spécial"),0.333333333333333,IF(OR(AND(D161="Congé spécial",F161&lt;&gt;"Congé décès"),(AND(F161="Congé spécial",D161&lt;&gt;"Congé spécial"))),0.166666666666667,""))</f>
        <v/>
      </c>
      <c r="AE161" s="249">
        <f>IF(AND(D161="Férié",F161="Férié"),0.333333333333333,IF(OR(AND(D161="Férié",F161&lt;&gt;"Férié"),(AND(F161="Férié",D161&lt;&gt;"Férié"))),0.166666666666667,""))</f>
        <v/>
      </c>
      <c r="AF161" s="249" t="n"/>
      <c r="AG161" s="244" t="n"/>
    </row>
    <row r="162" hidden="1" ht="12.75" customHeight="1" s="231">
      <c r="A162" s="232">
        <f>VLOOKUP(B162,Annuaire_roster!B:F,5,0)</f>
        <v/>
      </c>
      <c r="B162" s="233" t="inlineStr">
        <is>
          <t>EL-AOUAQUI BOUCHRA</t>
        </is>
      </c>
      <c r="C162" s="234">
        <f>IFERROR(IF(COUNTIFS(Connexions!$K:$K,$Q162,Connexions!$E:$E,VLOOKUP($B162,Mapping_Noms!$A:$B,2,0))=0,"",_xlfn.MINIFS(Connexions!$M:$M,Connexions!$K:$K,$Q162,Connexions!$E:$E,VLOOKUP($B162,Mapping_Noms!$A:$B,2,0))-TIME(1,0,0)),"")</f>
        <v/>
      </c>
      <c r="D162" s="234">
        <f t="array" ref="D162:D162">IFERROR(INDEX(Planning2[],MATCH(1,(Planning2[Nom]=B162)*(Planning2[Date]=Q162),0),3),"-")</f>
        <v/>
      </c>
      <c r="E162" s="235">
        <f>IFERROR(IF(COUNTIFS(Connexions!$K:$K,$Q162,Connexions!$E:$E,VLOOKUP($B162,Mapping_Noms!$A:$B,2,0))=0,"",_xlfn.MAXIFS(Connexions!$O:$O,Connexions!$K:$K,$Q162,Connexions!$E:$E,VLOOKUP($B162,Mapping_Noms!$A:$B,2,0))-TIME(1,0,0)),"")</f>
        <v/>
      </c>
      <c r="F162" s="235">
        <f t="array" ref="F162:F162">IFERROR(INDEX(Planning2[],MATCH(1,(Planning2[Nom]=B162)*(Planning2[Date]=Q162),0),4),"-")</f>
        <v/>
      </c>
      <c r="G162" s="405">
        <f>IFERROR(IF(OR(IFERROR(INDEX('Planning Pauses Dej'!$C:$C,MATCH($B162&amp;"|"&amp;TEXT($Q162,"YYYYMMDD"),'Planning Pauses Dej'!$F:$F,0)),"")="",IFERROR(INDEX('Planning Pauses Dej'!$D:$D,MATCH($B162&amp;"|"&amp;TEXT($Q162,"YYYYMMDD"),'Planning Pauses Dej'!$F:$F,0)),"")=""),"",_xlfn.MAXIFS(Connexions!$Q:$Q,Connexions!$K:$K,$Q162,Connexions!$E:$E,VLOOKUP($B162,Mapping_Noms!$A:$B,2,0),Connexions!$O:$O,"&lt;="&amp;(IFERROR(INDEX('Planning Pauses Dej'!$D:$D,MATCH($B162&amp;"|"&amp;TEXT($Q162,"YYYYMMDD"),'Planning Pauses Dej'!$F:$F,0)),"")+TIME(1,0,0)),Connexions!$P:$P,"&gt;="&amp;(IFERROR(INDEX('Planning Pauses Dej'!$C:$C,MATCH($B162&amp;"|"&amp;TEXT($Q162,"YYYYMMDD"),'Planning Pauses Dej'!$F:$F,0)),"")+TIME(1,0,0)))),"")</f>
        <v/>
      </c>
      <c r="H162" s="405">
        <f>IFERROR(IF(OR($G162="",IFERROR(INDEX('Planning Pauses Dej'!$C:$C,MATCH($B162&amp;"|"&amp;TEXT($Q162,"YYYYMMDD"),'Planning Pauses Dej'!$F:$F,0)),"")="",IFERROR(INDEX('Planning Pauses Dej'!$D:$D,MATCH($B162&amp;"|"&amp;TEXT($Q162,"YYYYMMDD"),'Planning Pauses Dej'!$F:$F,0)),"")=""),"",IF($G162&gt;(IFERROR(INDEX('Planning Pauses Dej'!$D:$D,MATCH($B162&amp;"|"&amp;TEXT($Q162,"YYYYMMDD"),'Planning Pauses Dej'!$F:$F,0)),"")-IFERROR(INDEX('Planning Pauses Dej'!$C:$C,MATCH($B162&amp;"|"&amp;TEXT($Q162,"YYYYMMDD"),'Planning Pauses Dej'!$F:$F,0)),"")),$G162-(IFERROR(INDEX('Planning Pauses Dej'!$D:$D,MATCH($B162&amp;"|"&amp;TEXT($Q162,"YYYYMMDD"),'Planning Pauses Dej'!$F:$F,0)),"")-IFERROR(INDEX('Planning Pauses Dej'!$C:$C,MATCH($B162&amp;"|"&amp;TEXT($Q162,"YYYYMMDD"),'Planning Pauses Dej'!$F:$F,0)),"")),0)),"")</f>
        <v/>
      </c>
      <c r="I162" s="251">
        <f>IF(IF(OR(C162="",D162="Congé",D162="OFF",D162="Congé spécial"),"",IF(D162&gt;F162,D162-C162,IF(C162-D162&lt;0,0,C162-D162)))&lt;0.00068287037037037,"",IF(OR(D162="Congé",D162="OFF",C162="",D162="Congé spécial"),"",IF(D162&gt;F162,D162-C162,IF(C162-D162&lt;0,0,C162-D162))))</f>
        <v/>
      </c>
      <c r="J162" s="405">
        <f>IFERROR(IF($G162="","",IF($G162&gt;TIME(1,0,0),$G162-TIME(1,0,0),0)),"")</f>
        <v/>
      </c>
      <c r="K162" s="238">
        <f>IF(SUM(H162:J162)&lt;0.00068287037037037,0,SUM(H162:J162))</f>
        <v/>
      </c>
      <c r="L162" s="236">
        <f>IF(OR(F162="Congé",F162="OFF",M162="Abs",F162="Congé sans solde",F162="Férié",F162="Congé spécial",D162="Congé spécial"),0,IF(F162-E162&lt;0,0,IF(F162-E162&lt;=0.00068287037037037,0,F162-E162)))</f>
        <v/>
      </c>
      <c r="M162" s="239">
        <f>IF(AND(O162&lt;&gt;0,C162=""),"Abs",0)</f>
        <v/>
      </c>
      <c r="N162" s="240">
        <f>IFERROR(IF(OR(D162="OFF",D162="Congé",M162="Abs",D162="Congé sans solde",D162="Férié"),"",IF(O162-K162-L162&gt;O162,O162,IF(O162-K162-L162&lt;0,"",O162-K162-L162))),"")</f>
        <v/>
      </c>
      <c r="O162" s="241">
        <f>IF(AG162="2H Pause déjeuner",IF(F162-D162-0.0833333333333333&lt;0,F162-D162-0.0833333333333333+1,F162-D162-0.0833333333333333),IF(OR(AND(F162="OFF",D162="OFF"),AND(F162="Congé",D162="Congé"),AND(F162="Congé sans solde",D162="Congé sans solde"),AND(F162="Congé spécial",D162="Congé spécial"),AND(F162="Férié",D162="Férié"),AND(F162="OFF",D162="Congé"),AND(F162="OFF",D162="Congé sans solde"),AND(F162="OFF",D162="Congé spécial"),AND(F162="OFF",D162="Férié"),AND(F162="Congé",D162="OFF"),AND(F162="Congé",D162="Congé sans solde"),AND(F162="Congé",D162="Congé spécial"),AND(F162="Congé",D162="Férié"),AND(F162="Congé sans solde",D162="OFF"),AND(F162="Congé sans solde",D162="Congé"),AND(F162="Congé sans solde",D162="Congé spécial"),AND(F162="Congé sans solde",D162="Férié"),AND(F162="Congé spécial",D162="OFF"),AND(F162="Congé spécial",D162="Congé"),AND(F162="Congé spécial",D162="Congé sans solde"),AND(F162="Congé spécial",D162="Férié"),AND(F162="Férié",D162="OFF"),AND(F162="Férié",D162="Congé"),AND(F162="Férié",D162="Congé sans solde"),AND(F162="Férié",D162="Congé spécial")),0,IF(OR(F162="OFF",F162="Congé",F162="Congé spécial",F162="Congé sans solde",D162="OFF",D162="Congé",D162="Congé spécial",D162="Congé sans solde"),0.208333333333334,IF(AND(AG162="",F162-D162&lt;0),("24:00:00"-D162)+("00:00:00"+F162)-0.0416666666666667,IF(AND(OR(AG162="Allaitement",AG162="Sans déjeuner"),F162-D162&lt;0),("24:00:00"-D162)+("00:00:00"+F162),IF(AND(AG162="",F162-D162&gt;0.166666666666667),F162-D162-0.0416666666666667,IF(AND(OR(AG162="Allaitement",AG162="Sans déjeuner"),F162-D162&gt;0.166666666666667),F162-D162,F162-D162)))))))</f>
        <v/>
      </c>
      <c r="P162" s="242">
        <f>IFERROR(VLOOKUP($B162,Annuaire_roster!$B:$G,MATCH(P$1,Annuaire_roster!$B$1:$G$1,0),0),"-")</f>
        <v/>
      </c>
      <c r="Q162" s="243" t="n">
        <v>44766</v>
      </c>
      <c r="R162" s="244">
        <f>IF(M162="Abs",O162,0)</f>
        <v/>
      </c>
      <c r="S162" s="244">
        <f>SUM(R162,L162,I162,J162,W162,H162)</f>
        <v/>
      </c>
      <c r="T162" s="209">
        <f>"Sem - "&amp;WEEKNUM(Q162,21)</f>
        <v/>
      </c>
      <c r="U162" s="209">
        <f>PROPER(TEXT(Q162,"mmmm"))</f>
        <v/>
      </c>
      <c r="V162" s="245">
        <f>+TEXT(Q162,"aaa")</f>
        <v/>
      </c>
      <c r="W162" s="240" t="n"/>
      <c r="X162" s="246">
        <f>IFERROR(IF(M162="Abs",0,IF((D162-C162+E162-F162)&lt;0.000694444444444444,0,(D162-C162+E162-F162))),0)</f>
        <v/>
      </c>
      <c r="Y162" s="247">
        <f>IFERROR(VLOOKUP(B162,Annuaire_roster!B:E,4,0),"-")</f>
        <v/>
      </c>
      <c r="Z162" s="247">
        <f>IFERROR(VLOOKUP(B162,Annuaire_roster!B:F,3,0),"-")</f>
        <v/>
      </c>
      <c r="AA162" s="247">
        <f>IFERROR(VLOOKUP(B162,Annuaire_roster!B:I,6,0),"-")</f>
        <v/>
      </c>
      <c r="AB162" s="248">
        <f>IF(AND(D162="Congé",F162="Congé"),0.333333333333333,IF(OR(AND(D162="Congé",F162&lt;&gt;"Congé"),(AND(F162="Congé",D162&lt;&gt;"Congé"))),0.166666666666667,""))</f>
        <v/>
      </c>
      <c r="AC162" s="248">
        <f>IF(AND(D162="Congé sans solde",F162="Congé sans solde"),0.333333333333333,IF(OR(AND(D162="Congé sans solde",F162&lt;&gt;"Congé sans solde"),(AND(F162="Congé sans solde",D162&lt;&gt;"Congé sans solde"))),0.166666666666667,""))</f>
        <v/>
      </c>
      <c r="AD162" s="248">
        <f>IF(AND(D162="Congé spécial",F162="Congé spécial"),0.333333333333333,IF(OR(AND(D162="Congé spécial",F162&lt;&gt;"Congé décès"),(AND(F162="Congé spécial",D162&lt;&gt;"Congé spécial"))),0.166666666666667,""))</f>
        <v/>
      </c>
      <c r="AE162" s="249">
        <f>IF(AND(D162="Férié",F162="Férié"),0.333333333333333,IF(OR(AND(D162="Férié",F162&lt;&gt;"Férié"),(AND(F162="Férié",D162&lt;&gt;"Férié"))),0.166666666666667,""))</f>
        <v/>
      </c>
      <c r="AF162" s="249" t="n"/>
      <c r="AG162" s="244" t="n"/>
    </row>
    <row r="163" hidden="1" ht="12.75" customHeight="1" s="231">
      <c r="A163" s="232">
        <f>VLOOKUP(B163,Annuaire_roster!B:F,5,0)</f>
        <v/>
      </c>
      <c r="B163" s="233" t="inlineStr">
        <is>
          <t>NIANG NDEYE ABSA</t>
        </is>
      </c>
      <c r="C163" s="234">
        <f>IFERROR(IF(COUNTIFS(Connexions!$K:$K,$Q163,Connexions!$E:$E,VLOOKUP($B163,Mapping_Noms!$A:$B,2,0))=0,"",_xlfn.MINIFS(Connexions!$M:$M,Connexions!$K:$K,$Q163,Connexions!$E:$E,VLOOKUP($B163,Mapping_Noms!$A:$B,2,0))-TIME(1,0,0)),"")</f>
        <v/>
      </c>
      <c r="D163" s="234">
        <f t="array" ref="D163:D163">IFERROR(INDEX(Planning2[],MATCH(1,(Planning2[Nom]=B163)*(Planning2[Date]=Q163),0),3),"-")</f>
        <v/>
      </c>
      <c r="E163" s="235">
        <f>IFERROR(IF(COUNTIFS(Connexions!$K:$K,$Q163,Connexions!$E:$E,VLOOKUP($B163,Mapping_Noms!$A:$B,2,0))=0,"",_xlfn.MAXIFS(Connexions!$O:$O,Connexions!$K:$K,$Q163,Connexions!$E:$E,VLOOKUP($B163,Mapping_Noms!$A:$B,2,0))-TIME(1,0,0)),"")</f>
        <v/>
      </c>
      <c r="F163" s="235">
        <f t="array" ref="F163:F163">IFERROR(INDEX(Planning2[],MATCH(1,(Planning2[Nom]=B163)*(Planning2[Date]=Q163),0),4),"-")</f>
        <v/>
      </c>
      <c r="G163" s="405">
        <f>IFERROR(IF(OR(IFERROR(INDEX('Planning Pauses Dej'!$C:$C,MATCH($B163&amp;"|"&amp;TEXT($Q163,"YYYYMMDD"),'Planning Pauses Dej'!$F:$F,0)),"")="",IFERROR(INDEX('Planning Pauses Dej'!$D:$D,MATCH($B163&amp;"|"&amp;TEXT($Q163,"YYYYMMDD"),'Planning Pauses Dej'!$F:$F,0)),"")=""),"",_xlfn.MAXIFS(Connexions!$Q:$Q,Connexions!$K:$K,$Q163,Connexions!$E:$E,VLOOKUP($B163,Mapping_Noms!$A:$B,2,0),Connexions!$O:$O,"&lt;="&amp;(IFERROR(INDEX('Planning Pauses Dej'!$D:$D,MATCH($B163&amp;"|"&amp;TEXT($Q163,"YYYYMMDD"),'Planning Pauses Dej'!$F:$F,0)),"")+TIME(1,0,0)),Connexions!$P:$P,"&gt;="&amp;(IFERROR(INDEX('Planning Pauses Dej'!$C:$C,MATCH($B163&amp;"|"&amp;TEXT($Q163,"YYYYMMDD"),'Planning Pauses Dej'!$F:$F,0)),"")+TIME(1,0,0)))),"")</f>
        <v/>
      </c>
      <c r="H163" s="405">
        <f>IFERROR(IF(OR($G163="",IFERROR(INDEX('Planning Pauses Dej'!$C:$C,MATCH($B163&amp;"|"&amp;TEXT($Q163,"YYYYMMDD"),'Planning Pauses Dej'!$F:$F,0)),"")="",IFERROR(INDEX('Planning Pauses Dej'!$D:$D,MATCH($B163&amp;"|"&amp;TEXT($Q163,"YYYYMMDD"),'Planning Pauses Dej'!$F:$F,0)),"")=""),"",IF($G163&gt;(IFERROR(INDEX('Planning Pauses Dej'!$D:$D,MATCH($B163&amp;"|"&amp;TEXT($Q163,"YYYYMMDD"),'Planning Pauses Dej'!$F:$F,0)),"")-IFERROR(INDEX('Planning Pauses Dej'!$C:$C,MATCH($B163&amp;"|"&amp;TEXT($Q163,"YYYYMMDD"),'Planning Pauses Dej'!$F:$F,0)),"")),$G163-(IFERROR(INDEX('Planning Pauses Dej'!$D:$D,MATCH($B163&amp;"|"&amp;TEXT($Q163,"YYYYMMDD"),'Planning Pauses Dej'!$F:$F,0)),"")-IFERROR(INDEX('Planning Pauses Dej'!$C:$C,MATCH($B163&amp;"|"&amp;TEXT($Q163,"YYYYMMDD"),'Planning Pauses Dej'!$F:$F,0)),"")),0)),"")</f>
        <v/>
      </c>
      <c r="I163" s="251">
        <f>IF(IF(OR(C163="",D163="Congé",D163="OFF",D163="Congé spécial"),"",IF(D163&gt;F163,D163-C163,IF(C163-D163&lt;0,0,C163-D163)))&lt;0.00068287037037037,"",IF(OR(D163="Congé",D163="OFF",C163="",D163="Congé spécial"),"",IF(D163&gt;F163,D163-C163,IF(C163-D163&lt;0,0,C163-D163))))</f>
        <v/>
      </c>
      <c r="J163" s="405">
        <f>IFERROR(IF($G163="","",IF($G163&gt;TIME(1,0,0),$G163-TIME(1,0,0),0)),"")</f>
        <v/>
      </c>
      <c r="K163" s="238">
        <f>IF(SUM(H163:J163)&lt;0.00068287037037037,0,SUM(H163:J163))</f>
        <v/>
      </c>
      <c r="L163" s="236">
        <f>IF(OR(F163="Congé",F163="OFF",M163="Abs",F163="Congé sans solde",F163="Férié",F163="Congé spécial",D163="Congé spécial"),0,IF(F163-E163&lt;0,0,IF(F163-E163&lt;=0.00068287037037037,0,F163-E163)))</f>
        <v/>
      </c>
      <c r="M163" s="239">
        <f>IF(AND(O163&lt;&gt;0,C163=""),"Abs",0)</f>
        <v/>
      </c>
      <c r="N163" s="240">
        <f>IFERROR(IF(OR(D163="OFF",D163="Congé",M163="Abs",D163="Congé sans solde",D163="Férié"),"",IF(O163-K163-L163&gt;O163,O163,IF(O163-K163-L163&lt;0,"",O163-K163-L163))),"")</f>
        <v/>
      </c>
      <c r="O163" s="241">
        <f>IF(AG163="2H Pause déjeuner",IF(F163-D163-0.0833333333333333&lt;0,F163-D163-0.0833333333333333+1,F163-D163-0.0833333333333333),IF(OR(AND(F163="OFF",D163="OFF"),AND(F163="Congé",D163="Congé"),AND(F163="Congé sans solde",D163="Congé sans solde"),AND(F163="Congé spécial",D163="Congé spécial"),AND(F163="Férié",D163="Férié"),AND(F163="OFF",D163="Congé"),AND(F163="OFF",D163="Congé sans solde"),AND(F163="OFF",D163="Congé spécial"),AND(F163="OFF",D163="Férié"),AND(F163="Congé",D163="OFF"),AND(F163="Congé",D163="Congé sans solde"),AND(F163="Congé",D163="Congé spécial"),AND(F163="Congé",D163="Férié"),AND(F163="Congé sans solde",D163="OFF"),AND(F163="Congé sans solde",D163="Congé"),AND(F163="Congé sans solde",D163="Congé spécial"),AND(F163="Congé sans solde",D163="Férié"),AND(F163="Congé spécial",D163="OFF"),AND(F163="Congé spécial",D163="Congé"),AND(F163="Congé spécial",D163="Congé sans solde"),AND(F163="Congé spécial",D163="Férié"),AND(F163="Férié",D163="OFF"),AND(F163="Férié",D163="Congé"),AND(F163="Férié",D163="Congé sans solde"),AND(F163="Férié",D163="Congé spécial")),0,IF(OR(F163="OFF",F163="Congé",F163="Congé spécial",F163="Congé sans solde",D163="OFF",D163="Congé",D163="Congé spécial",D163="Congé sans solde"),0.208333333333334,IF(AND(AG163="",F163-D163&lt;0),("24:00:00"-D163)+("00:00:00"+F163)-0.0416666666666667,IF(AND(OR(AG163="Allaitement",AG163="Sans déjeuner"),F163-D163&lt;0),("24:00:00"-D163)+("00:00:00"+F163),IF(AND(AG163="",F163-D163&gt;0.166666666666667),F163-D163-0.0416666666666667,IF(AND(OR(AG163="Allaitement",AG163="Sans déjeuner"),F163-D163&gt;0.166666666666667),F163-D163,F163-D163)))))))</f>
        <v/>
      </c>
      <c r="P163" s="242">
        <f>IFERROR(VLOOKUP($B163,Annuaire_roster!$B:$G,MATCH(P$1,Annuaire_roster!$B$1:$G$1,0),0),"-")</f>
        <v/>
      </c>
      <c r="Q163" s="243" t="n">
        <v>44766</v>
      </c>
      <c r="R163" s="244">
        <f>IF(M163="Abs",O163,0)</f>
        <v/>
      </c>
      <c r="S163" s="244">
        <f>SUM(R163,L163,I163,J163,W163,H163)</f>
        <v/>
      </c>
      <c r="T163" s="209">
        <f>"Sem - "&amp;WEEKNUM(Q163,21)</f>
        <v/>
      </c>
      <c r="U163" s="209">
        <f>PROPER(TEXT(Q163,"mmmm"))</f>
        <v/>
      </c>
      <c r="V163" s="245">
        <f>+TEXT(Q163,"aaa")</f>
        <v/>
      </c>
      <c r="W163" s="240" t="n"/>
      <c r="X163" s="246">
        <f>IFERROR(IF(M163="Abs",0,IF((D163-C163+E163-F163)&lt;0.000694444444444444,0,(D163-C163+E163-F163))),0)</f>
        <v/>
      </c>
      <c r="Y163" s="247">
        <f>IFERROR(VLOOKUP(B163,Annuaire_roster!B:E,4,0),"-")</f>
        <v/>
      </c>
      <c r="Z163" s="247">
        <f>IFERROR(VLOOKUP(B163,Annuaire_roster!B:F,3,0),"-")</f>
        <v/>
      </c>
      <c r="AA163" s="247">
        <f>IFERROR(VLOOKUP(B163,Annuaire_roster!B:I,6,0),"-")</f>
        <v/>
      </c>
      <c r="AB163" s="248">
        <f>IF(AND(D163="Congé",F163="Congé"),0.333333333333333,IF(OR(AND(D163="Congé",F163&lt;&gt;"Congé"),(AND(F163="Congé",D163&lt;&gt;"Congé"))),0.166666666666667,""))</f>
        <v/>
      </c>
      <c r="AC163" s="248">
        <f>IF(AND(D163="Congé sans solde",F163="Congé sans solde"),0.333333333333333,IF(OR(AND(D163="Congé sans solde",F163&lt;&gt;"Congé sans solde"),(AND(F163="Congé sans solde",D163&lt;&gt;"Congé sans solde"))),0.166666666666667,""))</f>
        <v/>
      </c>
      <c r="AD163" s="248">
        <f>IF(AND(D163="Congé spécial",F163="Congé spécial"),0.333333333333333,IF(OR(AND(D163="Congé spécial",F163&lt;&gt;"Congé décès"),(AND(F163="Congé spécial",D163&lt;&gt;"Congé spécial"))),0.166666666666667,""))</f>
        <v/>
      </c>
      <c r="AE163" s="249">
        <f>IF(AND(D163="Férié",F163="Férié"),0.333333333333333,IF(OR(AND(D163="Férié",F163&lt;&gt;"Férié"),(AND(F163="Férié",D163&lt;&gt;"Férié"))),0.166666666666667,""))</f>
        <v/>
      </c>
      <c r="AF163" s="249" t="n"/>
      <c r="AG163" s="244" t="n"/>
    </row>
    <row r="164" hidden="1" ht="12.75" customHeight="1" s="231">
      <c r="A164" s="232">
        <f>VLOOKUP(B164,Annuaire_roster!B:F,5,0)</f>
        <v/>
      </c>
      <c r="B164" s="233" t="inlineStr">
        <is>
          <t>LAFDIL NADA</t>
        </is>
      </c>
      <c r="C164" s="234">
        <f>IFERROR(IF(COUNTIFS(Connexions!$K:$K,$Q164,Connexions!$E:$E,VLOOKUP($B164,Mapping_Noms!$A:$B,2,0))=0,"",_xlfn.MINIFS(Connexions!$M:$M,Connexions!$K:$K,$Q164,Connexions!$E:$E,VLOOKUP($B164,Mapping_Noms!$A:$B,2,0))-TIME(1,0,0)),"")</f>
        <v/>
      </c>
      <c r="D164" s="234">
        <f t="array" ref="D164:D164">IFERROR(INDEX(Planning2[],MATCH(1,(Planning2[Nom]=B164)*(Planning2[Date]=Q164),0),3),"-")</f>
        <v/>
      </c>
      <c r="E164" s="235">
        <f>IFERROR(IF(COUNTIFS(Connexions!$K:$K,$Q164,Connexions!$E:$E,VLOOKUP($B164,Mapping_Noms!$A:$B,2,0))=0,"",_xlfn.MAXIFS(Connexions!$O:$O,Connexions!$K:$K,$Q164,Connexions!$E:$E,VLOOKUP($B164,Mapping_Noms!$A:$B,2,0))-TIME(1,0,0)),"")</f>
        <v/>
      </c>
      <c r="F164" s="235">
        <f t="array" ref="F164:F164">IFERROR(INDEX(Planning2[],MATCH(1,(Planning2[Nom]=B164)*(Planning2[Date]=Q164),0),4),"-")</f>
        <v/>
      </c>
      <c r="G164" s="405">
        <f>IFERROR(IF(OR(IFERROR(INDEX('Planning Pauses Dej'!$C:$C,MATCH($B164&amp;"|"&amp;TEXT($Q164,"YYYYMMDD"),'Planning Pauses Dej'!$F:$F,0)),"")="",IFERROR(INDEX('Planning Pauses Dej'!$D:$D,MATCH($B164&amp;"|"&amp;TEXT($Q164,"YYYYMMDD"),'Planning Pauses Dej'!$F:$F,0)),"")=""),"",_xlfn.MAXIFS(Connexions!$Q:$Q,Connexions!$K:$K,$Q164,Connexions!$E:$E,VLOOKUP($B164,Mapping_Noms!$A:$B,2,0),Connexions!$O:$O,"&lt;="&amp;(IFERROR(INDEX('Planning Pauses Dej'!$D:$D,MATCH($B164&amp;"|"&amp;TEXT($Q164,"YYYYMMDD"),'Planning Pauses Dej'!$F:$F,0)),"")+TIME(1,0,0)),Connexions!$P:$P,"&gt;="&amp;(IFERROR(INDEX('Planning Pauses Dej'!$C:$C,MATCH($B164&amp;"|"&amp;TEXT($Q164,"YYYYMMDD"),'Planning Pauses Dej'!$F:$F,0)),"")+TIME(1,0,0)))),"")</f>
        <v/>
      </c>
      <c r="H164" s="405">
        <f>IFERROR(IF(OR($G164="",IFERROR(INDEX('Planning Pauses Dej'!$C:$C,MATCH($B164&amp;"|"&amp;TEXT($Q164,"YYYYMMDD"),'Planning Pauses Dej'!$F:$F,0)),"")="",IFERROR(INDEX('Planning Pauses Dej'!$D:$D,MATCH($B164&amp;"|"&amp;TEXT($Q164,"YYYYMMDD"),'Planning Pauses Dej'!$F:$F,0)),"")=""),"",IF($G164&gt;(IFERROR(INDEX('Planning Pauses Dej'!$D:$D,MATCH($B164&amp;"|"&amp;TEXT($Q164,"YYYYMMDD"),'Planning Pauses Dej'!$F:$F,0)),"")-IFERROR(INDEX('Planning Pauses Dej'!$C:$C,MATCH($B164&amp;"|"&amp;TEXT($Q164,"YYYYMMDD"),'Planning Pauses Dej'!$F:$F,0)),"")),$G164-(IFERROR(INDEX('Planning Pauses Dej'!$D:$D,MATCH($B164&amp;"|"&amp;TEXT($Q164,"YYYYMMDD"),'Planning Pauses Dej'!$F:$F,0)),"")-IFERROR(INDEX('Planning Pauses Dej'!$C:$C,MATCH($B164&amp;"|"&amp;TEXT($Q164,"YYYYMMDD"),'Planning Pauses Dej'!$F:$F,0)),"")),0)),"")</f>
        <v/>
      </c>
      <c r="I164" s="251">
        <f>IF(IF(OR(C164="",D164="Congé",D164="OFF",D164="Congé spécial"),"",IF(D164&gt;F164,D164-C164,IF(C164-D164&lt;0,0,C164-D164)))&lt;0.00068287037037037,"",IF(OR(D164="Congé",D164="OFF",C164="",D164="Congé spécial"),"",IF(D164&gt;F164,D164-C164,IF(C164-D164&lt;0,0,C164-D164))))</f>
        <v/>
      </c>
      <c r="J164" s="405">
        <f>IFERROR(IF($G164="","",IF($G164&gt;TIME(1,0,0),$G164-TIME(1,0,0),0)),"")</f>
        <v/>
      </c>
      <c r="K164" s="238">
        <f>IF(SUM(H164:J164)&lt;0.00068287037037037,0,SUM(H164:J164))</f>
        <v/>
      </c>
      <c r="L164" s="236">
        <f>IF(OR(F164="Congé",F164="OFF",M164="Abs",F164="Congé sans solde",F164="Férié",F164="Congé spécial",D164="Congé spécial"),0,IF(F164-E164&lt;0,0,IF(F164-E164&lt;=0.00068287037037037,0,F164-E164)))</f>
        <v/>
      </c>
      <c r="M164" s="239">
        <f>IF(AND(O164&lt;&gt;0,C164=""),"Abs",0)</f>
        <v/>
      </c>
      <c r="N164" s="240">
        <f>IFERROR(IF(OR(D164="OFF",D164="Congé",M164="Abs",D164="Congé sans solde",D164="Férié"),"",IF(O164-K164-L164&gt;O164,O164,IF(O164-K164-L164&lt;0,"",O164-K164-L164))),"")</f>
        <v/>
      </c>
      <c r="O164" s="241">
        <f>IF(AG164="2H Pause déjeuner",IF(F164-D164-0.0833333333333333&lt;0,F164-D164-0.0833333333333333+1,F164-D164-0.0833333333333333),IF(OR(AND(F164="OFF",D164="OFF"),AND(F164="Congé",D164="Congé"),AND(F164="Congé sans solde",D164="Congé sans solde"),AND(F164="Congé spécial",D164="Congé spécial"),AND(F164="Férié",D164="Férié"),AND(F164="OFF",D164="Congé"),AND(F164="OFF",D164="Congé sans solde"),AND(F164="OFF",D164="Congé spécial"),AND(F164="OFF",D164="Férié"),AND(F164="Congé",D164="OFF"),AND(F164="Congé",D164="Congé sans solde"),AND(F164="Congé",D164="Congé spécial"),AND(F164="Congé",D164="Férié"),AND(F164="Congé sans solde",D164="OFF"),AND(F164="Congé sans solde",D164="Congé"),AND(F164="Congé sans solde",D164="Congé spécial"),AND(F164="Congé sans solde",D164="Férié"),AND(F164="Congé spécial",D164="OFF"),AND(F164="Congé spécial",D164="Congé"),AND(F164="Congé spécial",D164="Congé sans solde"),AND(F164="Congé spécial",D164="Férié"),AND(F164="Férié",D164="OFF"),AND(F164="Férié",D164="Congé"),AND(F164="Férié",D164="Congé sans solde"),AND(F164="Férié",D164="Congé spécial")),0,IF(OR(F164="OFF",F164="Congé",F164="Congé spécial",F164="Congé sans solde",D164="OFF",D164="Congé",D164="Congé spécial",D164="Congé sans solde"),0.208333333333334,IF(AND(AG164="",F164-D164&lt;0),("24:00:00"-D164)+("00:00:00"+F164)-0.0416666666666667,IF(AND(OR(AG164="Allaitement",AG164="Sans déjeuner"),F164-D164&lt;0),("24:00:00"-D164)+("00:00:00"+F164),IF(AND(AG164="",F164-D164&gt;0.166666666666667),F164-D164-0.0416666666666667,IF(AND(OR(AG164="Allaitement",AG164="Sans déjeuner"),F164-D164&gt;0.166666666666667),F164-D164,F164-D164)))))))</f>
        <v/>
      </c>
      <c r="P164" s="242">
        <f>IFERROR(VLOOKUP($B164,Annuaire_roster!$B:$G,MATCH(P$1,Annuaire_roster!$B$1:$G$1,0),0),"-")</f>
        <v/>
      </c>
      <c r="Q164" s="243" t="n">
        <v>44766</v>
      </c>
      <c r="R164" s="244">
        <f>IF(M164="Abs",O164,0)</f>
        <v/>
      </c>
      <c r="S164" s="244">
        <f>SUM(R164,L164,I164,J164,W164,H164)</f>
        <v/>
      </c>
      <c r="T164" s="209">
        <f>"Sem - "&amp;WEEKNUM(Q164,21)</f>
        <v/>
      </c>
      <c r="U164" s="209">
        <f>PROPER(TEXT(Q164,"mmmm"))</f>
        <v/>
      </c>
      <c r="V164" s="245">
        <f>+TEXT(Q164,"aaa")</f>
        <v/>
      </c>
      <c r="W164" s="240" t="n"/>
      <c r="X164" s="246">
        <f>IFERROR(IF(M164="Abs",0,IF((D164-C164+E164-F164)&lt;0.000694444444444444,0,(D164-C164+E164-F164))),0)</f>
        <v/>
      </c>
      <c r="Y164" s="247">
        <f>IFERROR(VLOOKUP(B164,Annuaire_roster!B:E,4,0),"-")</f>
        <v/>
      </c>
      <c r="Z164" s="247">
        <f>IFERROR(VLOOKUP(B164,Annuaire_roster!B:F,3,0),"-")</f>
        <v/>
      </c>
      <c r="AA164" s="247">
        <f>IFERROR(VLOOKUP(B164,Annuaire_roster!B:I,6,0),"-")</f>
        <v/>
      </c>
      <c r="AB164" s="248">
        <f>IF(AND(D164="Congé",F164="Congé"),0.333333333333333,IF(OR(AND(D164="Congé",F164&lt;&gt;"Congé"),(AND(F164="Congé",D164&lt;&gt;"Congé"))),0.166666666666667,""))</f>
        <v/>
      </c>
      <c r="AC164" s="248">
        <f>IF(AND(D164="Congé sans solde",F164="Congé sans solde"),0.333333333333333,IF(OR(AND(D164="Congé sans solde",F164&lt;&gt;"Congé sans solde"),(AND(F164="Congé sans solde",D164&lt;&gt;"Congé sans solde"))),0.166666666666667,""))</f>
        <v/>
      </c>
      <c r="AD164" s="248">
        <f>IF(AND(D164="Congé spécial",F164="Congé spécial"),0.333333333333333,IF(OR(AND(D164="Congé spécial",F164&lt;&gt;"Congé décès"),(AND(F164="Congé spécial",D164&lt;&gt;"Congé spécial"))),0.166666666666667,""))</f>
        <v/>
      </c>
      <c r="AE164" s="249">
        <f>IF(AND(D164="Férié",F164="Férié"),0.333333333333333,IF(OR(AND(D164="Férié",F164&lt;&gt;"Férié"),(AND(F164="Férié",D164&lt;&gt;"Férié"))),0.166666666666667,""))</f>
        <v/>
      </c>
      <c r="AF164" s="249" t="n"/>
      <c r="AG164" s="244" t="n"/>
    </row>
    <row r="165" hidden="1" ht="12.75" customHeight="1" s="231">
      <c r="A165" s="232">
        <f>VLOOKUP(B165,Annuaire_roster!B:F,5,0)</f>
        <v/>
      </c>
      <c r="B165" s="233" t="inlineStr">
        <is>
          <t>ZITOUNI LAMYA</t>
        </is>
      </c>
      <c r="C165" s="234">
        <f>IFERROR(IF(COUNTIFS(Connexions!$K:$K,$Q165,Connexions!$E:$E,VLOOKUP($B165,Mapping_Noms!$A:$B,2,0))=0,"",_xlfn.MINIFS(Connexions!$M:$M,Connexions!$K:$K,$Q165,Connexions!$E:$E,VLOOKUP($B165,Mapping_Noms!$A:$B,2,0))-TIME(1,0,0)),"")</f>
        <v/>
      </c>
      <c r="D165" s="234">
        <f t="array" ref="D165:D165">IFERROR(INDEX(Planning2[],MATCH(1,(Planning2[Nom]=B165)*(Planning2[Date]=Q165),0),3),"-")</f>
        <v/>
      </c>
      <c r="E165" s="235">
        <f>IFERROR(IF(COUNTIFS(Connexions!$K:$K,$Q165,Connexions!$E:$E,VLOOKUP($B165,Mapping_Noms!$A:$B,2,0))=0,"",_xlfn.MAXIFS(Connexions!$O:$O,Connexions!$K:$K,$Q165,Connexions!$E:$E,VLOOKUP($B165,Mapping_Noms!$A:$B,2,0))-TIME(1,0,0)),"")</f>
        <v/>
      </c>
      <c r="F165" s="235">
        <f t="array" ref="F165:F165">IFERROR(INDEX(Planning2[],MATCH(1,(Planning2[Nom]=B165)*(Planning2[Date]=Q165),0),4),"-")</f>
        <v/>
      </c>
      <c r="G165" s="405">
        <f>IFERROR(IF(OR(IFERROR(INDEX('Planning Pauses Dej'!$C:$C,MATCH($B165&amp;"|"&amp;TEXT($Q165,"YYYYMMDD"),'Planning Pauses Dej'!$F:$F,0)),"")="",IFERROR(INDEX('Planning Pauses Dej'!$D:$D,MATCH($B165&amp;"|"&amp;TEXT($Q165,"YYYYMMDD"),'Planning Pauses Dej'!$F:$F,0)),"")=""),"",_xlfn.MAXIFS(Connexions!$Q:$Q,Connexions!$K:$K,$Q165,Connexions!$E:$E,VLOOKUP($B165,Mapping_Noms!$A:$B,2,0),Connexions!$O:$O,"&lt;="&amp;(IFERROR(INDEX('Planning Pauses Dej'!$D:$D,MATCH($B165&amp;"|"&amp;TEXT($Q165,"YYYYMMDD"),'Planning Pauses Dej'!$F:$F,0)),"")+TIME(1,0,0)),Connexions!$P:$P,"&gt;="&amp;(IFERROR(INDEX('Planning Pauses Dej'!$C:$C,MATCH($B165&amp;"|"&amp;TEXT($Q165,"YYYYMMDD"),'Planning Pauses Dej'!$F:$F,0)),"")+TIME(1,0,0)))),"")</f>
        <v/>
      </c>
      <c r="H165" s="405">
        <f>IFERROR(IF(OR($G165="",IFERROR(INDEX('Planning Pauses Dej'!$C:$C,MATCH($B165&amp;"|"&amp;TEXT($Q165,"YYYYMMDD"),'Planning Pauses Dej'!$F:$F,0)),"")="",IFERROR(INDEX('Planning Pauses Dej'!$D:$D,MATCH($B165&amp;"|"&amp;TEXT($Q165,"YYYYMMDD"),'Planning Pauses Dej'!$F:$F,0)),"")=""),"",IF($G165&gt;(IFERROR(INDEX('Planning Pauses Dej'!$D:$D,MATCH($B165&amp;"|"&amp;TEXT($Q165,"YYYYMMDD"),'Planning Pauses Dej'!$F:$F,0)),"")-IFERROR(INDEX('Planning Pauses Dej'!$C:$C,MATCH($B165&amp;"|"&amp;TEXT($Q165,"YYYYMMDD"),'Planning Pauses Dej'!$F:$F,0)),"")),$G165-(IFERROR(INDEX('Planning Pauses Dej'!$D:$D,MATCH($B165&amp;"|"&amp;TEXT($Q165,"YYYYMMDD"),'Planning Pauses Dej'!$F:$F,0)),"")-IFERROR(INDEX('Planning Pauses Dej'!$C:$C,MATCH($B165&amp;"|"&amp;TEXT($Q165,"YYYYMMDD"),'Planning Pauses Dej'!$F:$F,0)),"")),0)),"")</f>
        <v/>
      </c>
      <c r="I165" s="251">
        <f>IF(IF(OR(C165="",D165="Congé",D165="OFF",D165="Congé spécial"),"",IF(D165&gt;F165,D165-C165,IF(C165-D165&lt;0,0,C165-D165)))&lt;0.00068287037037037,"",IF(OR(D165="Congé",D165="OFF",C165="",D165="Congé spécial"),"",IF(D165&gt;F165,D165-C165,IF(C165-D165&lt;0,0,C165-D165))))</f>
        <v/>
      </c>
      <c r="J165" s="405">
        <f>IFERROR(IF($G165="","",IF($G165&gt;TIME(1,0,0),$G165-TIME(1,0,0),0)),"")</f>
        <v/>
      </c>
      <c r="K165" s="238">
        <f>IF(SUM(H165:J165)&lt;0.00068287037037037,0,SUM(H165:J165))</f>
        <v/>
      </c>
      <c r="L165" s="236">
        <f>IF(OR(F165="Congé",F165="OFF",M165="Abs",F165="Congé sans solde",F165="Férié",F165="Congé spécial",D165="Congé spécial"),0,IF(F165-E165&lt;0,0,IF(F165-E165&lt;=0.00068287037037037,0,F165-E165)))</f>
        <v/>
      </c>
      <c r="M165" s="239">
        <f>IF(AND(O165&lt;&gt;0,C165=""),"Abs",0)</f>
        <v/>
      </c>
      <c r="N165" s="240">
        <f>IFERROR(IF(OR(D165="OFF",D165="Congé",M165="Abs",D165="Congé sans solde",D165="Férié"),"",IF(O165-K165-L165&gt;O165,O165,IF(O165-K165-L165&lt;0,"",O165-K165-L165))),"")</f>
        <v/>
      </c>
      <c r="O165" s="241">
        <f>IF(AG165="2H Pause déjeuner",IF(F165-D165-0.0833333333333333&lt;0,F165-D165-0.0833333333333333+1,F165-D165-0.0833333333333333),IF(OR(AND(F165="OFF",D165="OFF"),AND(F165="Congé",D165="Congé"),AND(F165="Congé sans solde",D165="Congé sans solde"),AND(F165="Congé spécial",D165="Congé spécial"),AND(F165="Férié",D165="Férié"),AND(F165="OFF",D165="Congé"),AND(F165="OFF",D165="Congé sans solde"),AND(F165="OFF",D165="Congé spécial"),AND(F165="OFF",D165="Férié"),AND(F165="Congé",D165="OFF"),AND(F165="Congé",D165="Congé sans solde"),AND(F165="Congé",D165="Congé spécial"),AND(F165="Congé",D165="Férié"),AND(F165="Congé sans solde",D165="OFF"),AND(F165="Congé sans solde",D165="Congé"),AND(F165="Congé sans solde",D165="Congé spécial"),AND(F165="Congé sans solde",D165="Férié"),AND(F165="Congé spécial",D165="OFF"),AND(F165="Congé spécial",D165="Congé"),AND(F165="Congé spécial",D165="Congé sans solde"),AND(F165="Congé spécial",D165="Férié"),AND(F165="Férié",D165="OFF"),AND(F165="Férié",D165="Congé"),AND(F165="Férié",D165="Congé sans solde"),AND(F165="Férié",D165="Congé spécial")),0,IF(OR(F165="OFF",F165="Congé",F165="Congé spécial",F165="Congé sans solde",D165="OFF",D165="Congé",D165="Congé spécial",D165="Congé sans solde"),0.208333333333334,IF(AND(AG165="",F165-D165&lt;0),("24:00:00"-D165)+("00:00:00"+F165)-0.0416666666666667,IF(AND(OR(AG165="Allaitement",AG165="Sans déjeuner"),F165-D165&lt;0),("24:00:00"-D165)+("00:00:00"+F165),IF(AND(AG165="",F165-D165&gt;0.166666666666667),F165-D165-0.0416666666666667,IF(AND(OR(AG165="Allaitement",AG165="Sans déjeuner"),F165-D165&gt;0.166666666666667),F165-D165,F165-D165)))))))</f>
        <v/>
      </c>
      <c r="P165" s="242">
        <f>IFERROR(VLOOKUP($B165,Annuaire_roster!$B:$G,MATCH(P$1,Annuaire_roster!$B$1:$G$1,0),0),"-")</f>
        <v/>
      </c>
      <c r="Q165" s="243" t="n">
        <v>44766</v>
      </c>
      <c r="R165" s="244">
        <f>IF(M165="Abs",O165,0)</f>
        <v/>
      </c>
      <c r="S165" s="244">
        <f>SUM(R165,L165,I165,J165,W165,H165)</f>
        <v/>
      </c>
      <c r="T165" s="209">
        <f>"Sem - "&amp;WEEKNUM(Q165,21)</f>
        <v/>
      </c>
      <c r="U165" s="209">
        <f>PROPER(TEXT(Q165,"mmmm"))</f>
        <v/>
      </c>
      <c r="V165" s="245">
        <f>+TEXT(Q165,"aaa")</f>
        <v/>
      </c>
      <c r="W165" s="240" t="n"/>
      <c r="X165" s="246">
        <f>IFERROR(IF(M165="Abs",0,IF((D165-C165+E165-F165)&lt;0.000694444444444444,0,(D165-C165+E165-F165))),0)</f>
        <v/>
      </c>
      <c r="Y165" s="247">
        <f>IFERROR(VLOOKUP(B165,Annuaire_roster!B:E,4,0),"-")</f>
        <v/>
      </c>
      <c r="Z165" s="247">
        <f>IFERROR(VLOOKUP(B165,Annuaire_roster!B:F,3,0),"-")</f>
        <v/>
      </c>
      <c r="AA165" s="247">
        <f>IFERROR(VLOOKUP(B165,Annuaire_roster!B:I,6,0),"-")</f>
        <v/>
      </c>
      <c r="AB165" s="248">
        <f>IF(AND(D165="Congé",F165="Congé"),0.333333333333333,IF(OR(AND(D165="Congé",F165&lt;&gt;"Congé"),(AND(F165="Congé",D165&lt;&gt;"Congé"))),0.166666666666667,""))</f>
        <v/>
      </c>
      <c r="AC165" s="248">
        <f>IF(AND(D165="Congé sans solde",F165="Congé sans solde"),0.333333333333333,IF(OR(AND(D165="Congé sans solde",F165&lt;&gt;"Congé sans solde"),(AND(F165="Congé sans solde",D165&lt;&gt;"Congé sans solde"))),0.166666666666667,""))</f>
        <v/>
      </c>
      <c r="AD165" s="248">
        <f>IF(AND(D165="Congé spécial",F165="Congé spécial"),0.333333333333333,IF(OR(AND(D165="Congé spécial",F165&lt;&gt;"Congé décès"),(AND(F165="Congé spécial",D165&lt;&gt;"Congé spécial"))),0.166666666666667,""))</f>
        <v/>
      </c>
      <c r="AE165" s="249">
        <f>IF(AND(D165="Férié",F165="Férié"),0.333333333333333,IF(OR(AND(D165="Férié",F165&lt;&gt;"Férié"),(AND(F165="Férié",D165&lt;&gt;"Férié"))),0.166666666666667,""))</f>
        <v/>
      </c>
      <c r="AF165" s="249" t="n"/>
      <c r="AG165" s="244" t="n"/>
    </row>
    <row r="166" hidden="1" ht="12.75" customHeight="1" s="231">
      <c r="A166" s="232">
        <f>VLOOKUP(B166,Annuaire_roster!B:F,5,0)</f>
        <v/>
      </c>
      <c r="B166" s="233" t="inlineStr">
        <is>
          <t>BOURABAA HASSAN</t>
        </is>
      </c>
      <c r="C166" s="234">
        <f>IFERROR(IF(COUNTIFS(Connexions!$K:$K,$Q166,Connexions!$E:$E,VLOOKUP($B166,Mapping_Noms!$A:$B,2,0))=0,"",_xlfn.MINIFS(Connexions!$M:$M,Connexions!$K:$K,$Q166,Connexions!$E:$E,VLOOKUP($B166,Mapping_Noms!$A:$B,2,0))-TIME(1,0,0)),"")</f>
        <v/>
      </c>
      <c r="D166" s="234">
        <f t="array" ref="D166:D166">IFERROR(INDEX(Planning2[],MATCH(1,(Planning2[Nom]=B166)*(Planning2[Date]=Q166),0),3),"-")</f>
        <v/>
      </c>
      <c r="E166" s="235">
        <f>IFERROR(IF(COUNTIFS(Connexions!$K:$K,$Q166,Connexions!$E:$E,VLOOKUP($B166,Mapping_Noms!$A:$B,2,0))=0,"",_xlfn.MAXIFS(Connexions!$O:$O,Connexions!$K:$K,$Q166,Connexions!$E:$E,VLOOKUP($B166,Mapping_Noms!$A:$B,2,0))-TIME(1,0,0)),"")</f>
        <v/>
      </c>
      <c r="F166" s="235">
        <f t="array" ref="F166:F166">IFERROR(INDEX(Planning2[],MATCH(1,(Planning2[Nom]=B166)*(Planning2[Date]=Q166),0),4),"-")</f>
        <v/>
      </c>
      <c r="G166" s="405">
        <f>IFERROR(IF(OR(IFERROR(INDEX('Planning Pauses Dej'!$C:$C,MATCH($B166&amp;"|"&amp;TEXT($Q166,"YYYYMMDD"),'Planning Pauses Dej'!$F:$F,0)),"")="",IFERROR(INDEX('Planning Pauses Dej'!$D:$D,MATCH($B166&amp;"|"&amp;TEXT($Q166,"YYYYMMDD"),'Planning Pauses Dej'!$F:$F,0)),"")=""),"",_xlfn.MAXIFS(Connexions!$Q:$Q,Connexions!$K:$K,$Q166,Connexions!$E:$E,VLOOKUP($B166,Mapping_Noms!$A:$B,2,0),Connexions!$O:$O,"&lt;="&amp;(IFERROR(INDEX('Planning Pauses Dej'!$D:$D,MATCH($B166&amp;"|"&amp;TEXT($Q166,"YYYYMMDD"),'Planning Pauses Dej'!$F:$F,0)),"")+TIME(1,0,0)),Connexions!$P:$P,"&gt;="&amp;(IFERROR(INDEX('Planning Pauses Dej'!$C:$C,MATCH($B166&amp;"|"&amp;TEXT($Q166,"YYYYMMDD"),'Planning Pauses Dej'!$F:$F,0)),"")+TIME(1,0,0)))),"")</f>
        <v/>
      </c>
      <c r="H166" s="405">
        <f>IFERROR(IF(OR($G166="",IFERROR(INDEX('Planning Pauses Dej'!$C:$C,MATCH($B166&amp;"|"&amp;TEXT($Q166,"YYYYMMDD"),'Planning Pauses Dej'!$F:$F,0)),"")="",IFERROR(INDEX('Planning Pauses Dej'!$D:$D,MATCH($B166&amp;"|"&amp;TEXT($Q166,"YYYYMMDD"),'Planning Pauses Dej'!$F:$F,0)),"")=""),"",IF($G166&gt;(IFERROR(INDEX('Planning Pauses Dej'!$D:$D,MATCH($B166&amp;"|"&amp;TEXT($Q166,"YYYYMMDD"),'Planning Pauses Dej'!$F:$F,0)),"")-IFERROR(INDEX('Planning Pauses Dej'!$C:$C,MATCH($B166&amp;"|"&amp;TEXT($Q166,"YYYYMMDD"),'Planning Pauses Dej'!$F:$F,0)),"")),$G166-(IFERROR(INDEX('Planning Pauses Dej'!$D:$D,MATCH($B166&amp;"|"&amp;TEXT($Q166,"YYYYMMDD"),'Planning Pauses Dej'!$F:$F,0)),"")-IFERROR(INDEX('Planning Pauses Dej'!$C:$C,MATCH($B166&amp;"|"&amp;TEXT($Q166,"YYYYMMDD"),'Planning Pauses Dej'!$F:$F,0)),"")),0)),"")</f>
        <v/>
      </c>
      <c r="I166" s="251">
        <f>IF(IF(OR(C166="",D166="Congé",D166="OFF",D166="Congé spécial"),"",IF(D166&gt;F166,D166-C166,IF(C166-D166&lt;0,0,C166-D166)))&lt;0.00068287037037037,"",IF(OR(D166="Congé",D166="OFF",C166="",D166="Congé spécial"),"",IF(D166&gt;F166,D166-C166,IF(C166-D166&lt;0,0,C166-D166))))</f>
        <v/>
      </c>
      <c r="J166" s="405">
        <f>IFERROR(IF($G166="","",IF($G166&gt;TIME(1,0,0),$G166-TIME(1,0,0),0)),"")</f>
        <v/>
      </c>
      <c r="K166" s="238">
        <f>IF(SUM(H166:J166)&lt;0.00068287037037037,0,SUM(H166:J166))</f>
        <v/>
      </c>
      <c r="L166" s="236">
        <f>IF(OR(F166="Congé",F166="OFF",M166="Abs",F166="Congé sans solde",F166="Férié",F166="Congé spécial",D166="Congé spécial"),0,IF(F166-E166&lt;0,0,IF(F166-E166&lt;=0.00068287037037037,0,F166-E166)))</f>
        <v/>
      </c>
      <c r="M166" s="239">
        <f>IF(AND(O166&lt;&gt;0,C166=""),"Abs",0)</f>
        <v/>
      </c>
      <c r="N166" s="240">
        <f>IFERROR(IF(OR(D166="OFF",D166="Congé",M166="Abs",D166="Congé sans solde",D166="Férié"),"",IF(O166-K166-L166&gt;O166,O166,IF(O166-K166-L166&lt;0,"",O166-K166-L166))),"")</f>
        <v/>
      </c>
      <c r="O166" s="241">
        <f>IF(AG166="2H Pause déjeuner",IF(F166-D166-0.0833333333333333&lt;0,F166-D166-0.0833333333333333+1,F166-D166-0.0833333333333333),IF(OR(AND(F166="OFF",D166="OFF"),AND(F166="Congé",D166="Congé"),AND(F166="Congé sans solde",D166="Congé sans solde"),AND(F166="Congé spécial",D166="Congé spécial"),AND(F166="Férié",D166="Férié"),AND(F166="OFF",D166="Congé"),AND(F166="OFF",D166="Congé sans solde"),AND(F166="OFF",D166="Congé spécial"),AND(F166="OFF",D166="Férié"),AND(F166="Congé",D166="OFF"),AND(F166="Congé",D166="Congé sans solde"),AND(F166="Congé",D166="Congé spécial"),AND(F166="Congé",D166="Férié"),AND(F166="Congé sans solde",D166="OFF"),AND(F166="Congé sans solde",D166="Congé"),AND(F166="Congé sans solde",D166="Congé spécial"),AND(F166="Congé sans solde",D166="Férié"),AND(F166="Congé spécial",D166="OFF"),AND(F166="Congé spécial",D166="Congé"),AND(F166="Congé spécial",D166="Congé sans solde"),AND(F166="Congé spécial",D166="Férié"),AND(F166="Férié",D166="OFF"),AND(F166="Férié",D166="Congé"),AND(F166="Férié",D166="Congé sans solde"),AND(F166="Férié",D166="Congé spécial")),0,IF(OR(F166="OFF",F166="Congé",F166="Congé spécial",F166="Congé sans solde",D166="OFF",D166="Congé",D166="Congé spécial",D166="Congé sans solde"),0.208333333333334,IF(AND(AG166="",F166-D166&lt;0),("24:00:00"-D166)+("00:00:00"+F166)-0.0416666666666667,IF(AND(OR(AG166="Allaitement",AG166="Sans déjeuner"),F166-D166&lt;0),("24:00:00"-D166)+("00:00:00"+F166),IF(AND(AG166="",F166-D166&gt;0.166666666666667),F166-D166-0.0416666666666667,IF(AND(OR(AG166="Allaitement",AG166="Sans déjeuner"),F166-D166&gt;0.166666666666667),F166-D166,F166-D166)))))))</f>
        <v/>
      </c>
      <c r="P166" s="242">
        <f>IFERROR(VLOOKUP($B166,Annuaire_roster!$B:$G,MATCH(P$1,Annuaire_roster!$B$1:$G$1,0),0),"-")</f>
        <v/>
      </c>
      <c r="Q166" s="243" t="n">
        <v>44766</v>
      </c>
      <c r="R166" s="244">
        <f>IF(M166="Abs",O166,0)</f>
        <v/>
      </c>
      <c r="S166" s="244">
        <f>SUM(R166,L166,I166,J166,W166,H166)</f>
        <v/>
      </c>
      <c r="T166" s="209">
        <f>"Sem - "&amp;WEEKNUM(Q166,21)</f>
        <v/>
      </c>
      <c r="U166" s="209">
        <f>PROPER(TEXT(Q166,"mmmm"))</f>
        <v/>
      </c>
      <c r="V166" s="245">
        <f>+TEXT(Q166,"aaa")</f>
        <v/>
      </c>
      <c r="W166" s="240" t="n"/>
      <c r="X166" s="246">
        <f>IFERROR(IF(M166="Abs",0,IF((D166-C166+E166-F166)&lt;0.000694444444444444,0,(D166-C166+E166-F166))),0)</f>
        <v/>
      </c>
      <c r="Y166" s="247">
        <f>IFERROR(VLOOKUP(B166,Annuaire_roster!B:E,4,0),"-")</f>
        <v/>
      </c>
      <c r="Z166" s="247">
        <f>IFERROR(VLOOKUP(B166,Annuaire_roster!B:F,3,0),"-")</f>
        <v/>
      </c>
      <c r="AA166" s="247">
        <f>IFERROR(VLOOKUP(B166,Annuaire_roster!B:I,6,0),"-")</f>
        <v/>
      </c>
      <c r="AB166" s="248">
        <f>IF(AND(D166="Congé",F166="Congé"),0.333333333333333,IF(OR(AND(D166="Congé",F166&lt;&gt;"Congé"),(AND(F166="Congé",D166&lt;&gt;"Congé"))),0.166666666666667,""))</f>
        <v/>
      </c>
      <c r="AC166" s="248">
        <f>IF(AND(D166="Congé sans solde",F166="Congé sans solde"),0.333333333333333,IF(OR(AND(D166="Congé sans solde",F166&lt;&gt;"Congé sans solde"),(AND(F166="Congé sans solde",D166&lt;&gt;"Congé sans solde"))),0.166666666666667,""))</f>
        <v/>
      </c>
      <c r="AD166" s="248">
        <f>IF(AND(D166="Congé spécial",F166="Congé spécial"),0.333333333333333,IF(OR(AND(D166="Congé spécial",F166&lt;&gt;"Congé décès"),(AND(F166="Congé spécial",D166&lt;&gt;"Congé spécial"))),0.166666666666667,""))</f>
        <v/>
      </c>
      <c r="AE166" s="249">
        <f>IF(AND(D166="Férié",F166="Férié"),0.333333333333333,IF(OR(AND(D166="Férié",F166&lt;&gt;"Férié"),(AND(F166="Férié",D166&lt;&gt;"Férié"))),0.166666666666667,""))</f>
        <v/>
      </c>
      <c r="AF166" s="249" t="n"/>
      <c r="AG166" s="244" t="n"/>
    </row>
    <row r="167" hidden="1" ht="12.75" customHeight="1" s="231">
      <c r="A167" s="232">
        <f>VLOOKUP(B167,Annuaire_roster!B:F,5,0)</f>
        <v/>
      </c>
      <c r="B167" s="233" t="inlineStr">
        <is>
          <t xml:space="preserve">EL HOUJJAJI Soufiane </t>
        </is>
      </c>
      <c r="C167" s="234">
        <f>IFERROR(IF(COUNTIFS(Connexions!$K:$K,$Q167,Connexions!$E:$E,VLOOKUP($B167,Mapping_Noms!$A:$B,2,0))=0,"",_xlfn.MINIFS(Connexions!$M:$M,Connexions!$K:$K,$Q167,Connexions!$E:$E,VLOOKUP($B167,Mapping_Noms!$A:$B,2,0))-TIME(1,0,0)),"")</f>
        <v/>
      </c>
      <c r="D167" s="234">
        <f t="array" ref="D167:D167">IFERROR(INDEX(Planning2[],MATCH(1,(Planning2[Nom]=B167)*(Planning2[Date]=Q167),0),3),"-")</f>
        <v/>
      </c>
      <c r="E167" s="235">
        <f>IFERROR(IF(COUNTIFS(Connexions!$K:$K,$Q167,Connexions!$E:$E,VLOOKUP($B167,Mapping_Noms!$A:$B,2,0))=0,"",_xlfn.MAXIFS(Connexions!$O:$O,Connexions!$K:$K,$Q167,Connexions!$E:$E,VLOOKUP($B167,Mapping_Noms!$A:$B,2,0))-TIME(1,0,0)),"")</f>
        <v/>
      </c>
      <c r="F167" s="235">
        <f t="array" ref="F167:F167">IFERROR(INDEX(Planning2[],MATCH(1,(Planning2[Nom]=B167)*(Planning2[Date]=Q167),0),4),"-")</f>
        <v/>
      </c>
      <c r="G167" s="405">
        <f>IFERROR(IF(OR(IFERROR(INDEX('Planning Pauses Dej'!$C:$C,MATCH($B167&amp;"|"&amp;TEXT($Q167,"YYYYMMDD"),'Planning Pauses Dej'!$F:$F,0)),"")="",IFERROR(INDEX('Planning Pauses Dej'!$D:$D,MATCH($B167&amp;"|"&amp;TEXT($Q167,"YYYYMMDD"),'Planning Pauses Dej'!$F:$F,0)),"")=""),"",_xlfn.MAXIFS(Connexions!$Q:$Q,Connexions!$K:$K,$Q167,Connexions!$E:$E,VLOOKUP($B167,Mapping_Noms!$A:$B,2,0),Connexions!$O:$O,"&lt;="&amp;(IFERROR(INDEX('Planning Pauses Dej'!$D:$D,MATCH($B167&amp;"|"&amp;TEXT($Q167,"YYYYMMDD"),'Planning Pauses Dej'!$F:$F,0)),"")+TIME(1,0,0)),Connexions!$P:$P,"&gt;="&amp;(IFERROR(INDEX('Planning Pauses Dej'!$C:$C,MATCH($B167&amp;"|"&amp;TEXT($Q167,"YYYYMMDD"),'Planning Pauses Dej'!$F:$F,0)),"")+TIME(1,0,0)))),"")</f>
        <v/>
      </c>
      <c r="H167" s="405">
        <f>IFERROR(IF(OR($G167="",IFERROR(INDEX('Planning Pauses Dej'!$C:$C,MATCH($B167&amp;"|"&amp;TEXT($Q167,"YYYYMMDD"),'Planning Pauses Dej'!$F:$F,0)),"")="",IFERROR(INDEX('Planning Pauses Dej'!$D:$D,MATCH($B167&amp;"|"&amp;TEXT($Q167,"YYYYMMDD"),'Planning Pauses Dej'!$F:$F,0)),"")=""),"",IF($G167&gt;(IFERROR(INDEX('Planning Pauses Dej'!$D:$D,MATCH($B167&amp;"|"&amp;TEXT($Q167,"YYYYMMDD"),'Planning Pauses Dej'!$F:$F,0)),"")-IFERROR(INDEX('Planning Pauses Dej'!$C:$C,MATCH($B167&amp;"|"&amp;TEXT($Q167,"YYYYMMDD"),'Planning Pauses Dej'!$F:$F,0)),"")),$G167-(IFERROR(INDEX('Planning Pauses Dej'!$D:$D,MATCH($B167&amp;"|"&amp;TEXT($Q167,"YYYYMMDD"),'Planning Pauses Dej'!$F:$F,0)),"")-IFERROR(INDEX('Planning Pauses Dej'!$C:$C,MATCH($B167&amp;"|"&amp;TEXT($Q167,"YYYYMMDD"),'Planning Pauses Dej'!$F:$F,0)),"")),0)),"")</f>
        <v/>
      </c>
      <c r="I167" s="251">
        <f>IF(IF(OR(C167="",D167="Congé",D167="OFF",D167="Congé spécial"),"",IF(D167&gt;F167,D167-C167,IF(C167-D167&lt;0,0,C167-D167)))&lt;0.00068287037037037,"",IF(OR(D167="Congé",D167="OFF",C167="",D167="Congé spécial"),"",IF(D167&gt;F167,D167-C167,IF(C167-D167&lt;0,0,C167-D167))))</f>
        <v/>
      </c>
      <c r="J167" s="405">
        <f>IFERROR(IF($G167="","",IF($G167&gt;TIME(1,0,0),$G167-TIME(1,0,0),0)),"")</f>
        <v/>
      </c>
      <c r="K167" s="238">
        <f>IF(SUM(H167:J167)&lt;0.00068287037037037,0,SUM(H167:J167))</f>
        <v/>
      </c>
      <c r="L167" s="236">
        <f>IF(OR(F167="Congé",F167="OFF",M167="Abs",F167="Congé sans solde",F167="Férié",F167="Congé spécial",D167="Congé spécial"),0,IF(F167-E167&lt;0,0,IF(F167-E167&lt;=0.00068287037037037,0,F167-E167)))</f>
        <v/>
      </c>
      <c r="M167" s="239">
        <f>IF(AND(O167&lt;&gt;0,C167=""),"Abs",0)</f>
        <v/>
      </c>
      <c r="N167" s="240">
        <f>IFERROR(IF(OR(D167="OFF",D167="Congé",M167="Abs",D167="Congé sans solde",D167="Férié"),"",IF(O167-K167-L167&gt;O167,O167,IF(O167-K167-L167&lt;0,"",O167-K167-L167))),"")</f>
        <v/>
      </c>
      <c r="O167" s="241">
        <f>IF(AG167="2H Pause déjeuner",IF(F167-D167-0.0833333333333333&lt;0,F167-D167-0.0833333333333333+1,F167-D167-0.0833333333333333),IF(OR(AND(F167="OFF",D167="OFF"),AND(F167="Congé",D167="Congé"),AND(F167="Congé sans solde",D167="Congé sans solde"),AND(F167="Congé spécial",D167="Congé spécial"),AND(F167="Férié",D167="Férié"),AND(F167="OFF",D167="Congé"),AND(F167="OFF",D167="Congé sans solde"),AND(F167="OFF",D167="Congé spécial"),AND(F167="OFF",D167="Férié"),AND(F167="Congé",D167="OFF"),AND(F167="Congé",D167="Congé sans solde"),AND(F167="Congé",D167="Congé spécial"),AND(F167="Congé",D167="Férié"),AND(F167="Congé sans solde",D167="OFF"),AND(F167="Congé sans solde",D167="Congé"),AND(F167="Congé sans solde",D167="Congé spécial"),AND(F167="Congé sans solde",D167="Férié"),AND(F167="Congé spécial",D167="OFF"),AND(F167="Congé spécial",D167="Congé"),AND(F167="Congé spécial",D167="Congé sans solde"),AND(F167="Congé spécial",D167="Férié"),AND(F167="Férié",D167="OFF"),AND(F167="Férié",D167="Congé"),AND(F167="Férié",D167="Congé sans solde"),AND(F167="Férié",D167="Congé spécial")),0,IF(OR(F167="OFF",F167="Congé",F167="Congé spécial",F167="Congé sans solde",D167="OFF",D167="Congé",D167="Congé spécial",D167="Congé sans solde"),0.208333333333334,IF(AND(AG167="",F167-D167&lt;0),("24:00:00"-D167)+("00:00:00"+F167)-0.0416666666666667,IF(AND(OR(AG167="Allaitement",AG167="Sans déjeuner"),F167-D167&lt;0),("24:00:00"-D167)+("00:00:00"+F167),IF(AND(AG167="",F167-D167&gt;0.166666666666667),F167-D167-0.0416666666666667,IF(AND(OR(AG167="Allaitement",AG167="Sans déjeuner"),F167-D167&gt;0.166666666666667),F167-D167,F167-D167)))))))</f>
        <v/>
      </c>
      <c r="P167" s="242">
        <f>IFERROR(VLOOKUP($B167,Annuaire_roster!$B:$G,MATCH(P$1,Annuaire_roster!$B$1:$G$1,0),0),"-")</f>
        <v/>
      </c>
      <c r="Q167" s="243" t="n">
        <v>44766</v>
      </c>
      <c r="R167" s="244">
        <f>IF(M167="Abs",O167,0)</f>
        <v/>
      </c>
      <c r="S167" s="244">
        <f>SUM(R167,L167,I167,J167,W167,H167)</f>
        <v/>
      </c>
      <c r="T167" s="209">
        <f>"Sem - "&amp;WEEKNUM(Q167,21)</f>
        <v/>
      </c>
      <c r="U167" s="209">
        <f>PROPER(TEXT(Q167,"mmmm"))</f>
        <v/>
      </c>
      <c r="V167" s="245">
        <f>+TEXT(Q167,"aaa")</f>
        <v/>
      </c>
      <c r="W167" s="240" t="n"/>
      <c r="X167" s="246">
        <f>IFERROR(IF(M167="Abs",0,IF((D167-C167+E167-F167)&lt;0.000694444444444444,0,(D167-C167+E167-F167))),0)</f>
        <v/>
      </c>
      <c r="Y167" s="247">
        <f>IFERROR(VLOOKUP(B167,Annuaire_roster!B:E,4,0),"-")</f>
        <v/>
      </c>
      <c r="Z167" s="247">
        <f>IFERROR(VLOOKUP(B167,Annuaire_roster!B:F,3,0),"-")</f>
        <v/>
      </c>
      <c r="AA167" s="247">
        <f>IFERROR(VLOOKUP(B167,Annuaire_roster!B:I,6,0),"-")</f>
        <v/>
      </c>
      <c r="AB167" s="248">
        <f>IF(AND(D167="Congé",F167="Congé"),0.333333333333333,IF(OR(AND(D167="Congé",F167&lt;&gt;"Congé"),(AND(F167="Congé",D167&lt;&gt;"Congé"))),0.166666666666667,""))</f>
        <v/>
      </c>
      <c r="AC167" s="248">
        <f>IF(AND(D167="Congé sans solde",F167="Congé sans solde"),0.333333333333333,IF(OR(AND(D167="Congé sans solde",F167&lt;&gt;"Congé sans solde"),(AND(F167="Congé sans solde",D167&lt;&gt;"Congé sans solde"))),0.166666666666667,""))</f>
        <v/>
      </c>
      <c r="AD167" s="248">
        <f>IF(AND(D167="Congé spécial",F167="Congé spécial"),0.333333333333333,IF(OR(AND(D167="Congé spécial",F167&lt;&gt;"Congé décès"),(AND(F167="Congé spécial",D167&lt;&gt;"Congé spécial"))),0.166666666666667,""))</f>
        <v/>
      </c>
      <c r="AE167" s="249">
        <f>IF(AND(D167="Férié",F167="Férié"),0.333333333333333,IF(OR(AND(D167="Férié",F167&lt;&gt;"Férié"),(AND(F167="Férié",D167&lt;&gt;"Férié"))),0.166666666666667,""))</f>
        <v/>
      </c>
      <c r="AF167" s="249" t="n"/>
      <c r="AG167" s="244" t="n"/>
    </row>
    <row r="168" hidden="1" ht="12.75" customHeight="1" s="231">
      <c r="A168" s="232">
        <f>VLOOKUP(B168,Annuaire_roster!B:F,5,0)</f>
        <v/>
      </c>
      <c r="B168" s="233" t="inlineStr">
        <is>
          <t>GUEYE MOUHAMED</t>
        </is>
      </c>
      <c r="C168" s="234">
        <f>IFERROR(IF(COUNTIFS(Connexions!$K:$K,$Q168,Connexions!$E:$E,VLOOKUP($B168,Mapping_Noms!$A:$B,2,0))=0,"",_xlfn.MINIFS(Connexions!$M:$M,Connexions!$K:$K,$Q168,Connexions!$E:$E,VLOOKUP($B168,Mapping_Noms!$A:$B,2,0))-TIME(1,0,0)),"")</f>
        <v/>
      </c>
      <c r="D168" s="234">
        <f t="array" ref="D168:D168">IFERROR(INDEX(Planning2[],MATCH(1,(Planning2[Nom]=B168)*(Planning2[Date]=Q168),0),3),"-")</f>
        <v/>
      </c>
      <c r="E168" s="235">
        <f>IFERROR(IF(COUNTIFS(Connexions!$K:$K,$Q168,Connexions!$E:$E,VLOOKUP($B168,Mapping_Noms!$A:$B,2,0))=0,"",_xlfn.MAXIFS(Connexions!$O:$O,Connexions!$K:$K,$Q168,Connexions!$E:$E,VLOOKUP($B168,Mapping_Noms!$A:$B,2,0))-TIME(1,0,0)),"")</f>
        <v/>
      </c>
      <c r="F168" s="235">
        <f t="array" ref="F168:F168">IFERROR(INDEX(Planning2[],MATCH(1,(Planning2[Nom]=B168)*(Planning2[Date]=Q168),0),4),"-")</f>
        <v/>
      </c>
      <c r="G168" s="405">
        <f>IFERROR(IF(OR(IFERROR(INDEX('Planning Pauses Dej'!$C:$C,MATCH($B168&amp;"|"&amp;TEXT($Q168,"YYYYMMDD"),'Planning Pauses Dej'!$F:$F,0)),"")="",IFERROR(INDEX('Planning Pauses Dej'!$D:$D,MATCH($B168&amp;"|"&amp;TEXT($Q168,"YYYYMMDD"),'Planning Pauses Dej'!$F:$F,0)),"")=""),"",_xlfn.MAXIFS(Connexions!$Q:$Q,Connexions!$K:$K,$Q168,Connexions!$E:$E,VLOOKUP($B168,Mapping_Noms!$A:$B,2,0),Connexions!$O:$O,"&lt;="&amp;(IFERROR(INDEX('Planning Pauses Dej'!$D:$D,MATCH($B168&amp;"|"&amp;TEXT($Q168,"YYYYMMDD"),'Planning Pauses Dej'!$F:$F,0)),"")+TIME(1,0,0)),Connexions!$P:$P,"&gt;="&amp;(IFERROR(INDEX('Planning Pauses Dej'!$C:$C,MATCH($B168&amp;"|"&amp;TEXT($Q168,"YYYYMMDD"),'Planning Pauses Dej'!$F:$F,0)),"")+TIME(1,0,0)))),"")</f>
        <v/>
      </c>
      <c r="H168" s="405">
        <f>IFERROR(IF(OR($G168="",IFERROR(INDEX('Planning Pauses Dej'!$C:$C,MATCH($B168&amp;"|"&amp;TEXT($Q168,"YYYYMMDD"),'Planning Pauses Dej'!$F:$F,0)),"")="",IFERROR(INDEX('Planning Pauses Dej'!$D:$D,MATCH($B168&amp;"|"&amp;TEXT($Q168,"YYYYMMDD"),'Planning Pauses Dej'!$F:$F,0)),"")=""),"",IF($G168&gt;(IFERROR(INDEX('Planning Pauses Dej'!$D:$D,MATCH($B168&amp;"|"&amp;TEXT($Q168,"YYYYMMDD"),'Planning Pauses Dej'!$F:$F,0)),"")-IFERROR(INDEX('Planning Pauses Dej'!$C:$C,MATCH($B168&amp;"|"&amp;TEXT($Q168,"YYYYMMDD"),'Planning Pauses Dej'!$F:$F,0)),"")),$G168-(IFERROR(INDEX('Planning Pauses Dej'!$D:$D,MATCH($B168&amp;"|"&amp;TEXT($Q168,"YYYYMMDD"),'Planning Pauses Dej'!$F:$F,0)),"")-IFERROR(INDEX('Planning Pauses Dej'!$C:$C,MATCH($B168&amp;"|"&amp;TEXT($Q168,"YYYYMMDD"),'Planning Pauses Dej'!$F:$F,0)),"")),0)),"")</f>
        <v/>
      </c>
      <c r="I168" s="251">
        <f>IF(IF(OR(C168="",D168="Congé",D168="OFF",D168="Congé spécial"),"",IF(D168&gt;F168,D168-C168,IF(C168-D168&lt;0,0,C168-D168)))&lt;0.00068287037037037,"",IF(OR(D168="Congé",D168="OFF",C168="",D168="Congé spécial"),"",IF(D168&gt;F168,D168-C168,IF(C168-D168&lt;0,0,C168-D168))))</f>
        <v/>
      </c>
      <c r="J168" s="405">
        <f>IFERROR(IF($G168="","",IF($G168&gt;TIME(1,0,0),$G168-TIME(1,0,0),0)),"")</f>
        <v/>
      </c>
      <c r="K168" s="238">
        <f>IF(SUM(H168:J168)&lt;0.00068287037037037,0,SUM(H168:J168))</f>
        <v/>
      </c>
      <c r="L168" s="236">
        <f>IF(OR(F168="Congé",F168="OFF",M168="Abs",F168="Congé sans solde",F168="Férié",F168="Congé spécial",D168="Congé spécial"),0,IF(F168-E168&lt;0,0,IF(F168-E168&lt;=0.00068287037037037,0,F168-E168)))</f>
        <v/>
      </c>
      <c r="M168" s="239">
        <f>IF(AND(O168&lt;&gt;0,C168=""),"Abs",0)</f>
        <v/>
      </c>
      <c r="N168" s="240">
        <f>IFERROR(IF(OR(D168="OFF",D168="Congé",M168="Abs",D168="Congé sans solde",D168="Férié"),"",IF(O168-K168-L168&gt;O168,O168,IF(O168-K168-L168&lt;0,"",O168-K168-L168))),"")</f>
        <v/>
      </c>
      <c r="O168" s="241">
        <f>IF(AG168="2H Pause déjeuner",IF(F168-D168-0.0833333333333333&lt;0,F168-D168-0.0833333333333333+1,F168-D168-0.0833333333333333),IF(OR(AND(F168="OFF",D168="OFF"),AND(F168="Congé",D168="Congé"),AND(F168="Congé sans solde",D168="Congé sans solde"),AND(F168="Congé spécial",D168="Congé spécial"),AND(F168="Férié",D168="Férié"),AND(F168="OFF",D168="Congé"),AND(F168="OFF",D168="Congé sans solde"),AND(F168="OFF",D168="Congé spécial"),AND(F168="OFF",D168="Férié"),AND(F168="Congé",D168="OFF"),AND(F168="Congé",D168="Congé sans solde"),AND(F168="Congé",D168="Congé spécial"),AND(F168="Congé",D168="Férié"),AND(F168="Congé sans solde",D168="OFF"),AND(F168="Congé sans solde",D168="Congé"),AND(F168="Congé sans solde",D168="Congé spécial"),AND(F168="Congé sans solde",D168="Férié"),AND(F168="Congé spécial",D168="OFF"),AND(F168="Congé spécial",D168="Congé"),AND(F168="Congé spécial",D168="Congé sans solde"),AND(F168="Congé spécial",D168="Férié"),AND(F168="Férié",D168="OFF"),AND(F168="Férié",D168="Congé"),AND(F168="Férié",D168="Congé sans solde"),AND(F168="Férié",D168="Congé spécial")),0,IF(OR(F168="OFF",F168="Congé",F168="Congé spécial",F168="Congé sans solde",D168="OFF",D168="Congé",D168="Congé spécial",D168="Congé sans solde"),0.208333333333334,IF(AND(AG168="",F168-D168&lt;0),("24:00:00"-D168)+("00:00:00"+F168)-0.0416666666666667,IF(AND(OR(AG168="Allaitement",AG168="Sans déjeuner"),F168-D168&lt;0),("24:00:00"-D168)+("00:00:00"+F168),IF(AND(AG168="",F168-D168&gt;0.166666666666667),F168-D168-0.0416666666666667,IF(AND(OR(AG168="Allaitement",AG168="Sans déjeuner"),F168-D168&gt;0.166666666666667),F168-D168,F168-D168)))))))</f>
        <v/>
      </c>
      <c r="P168" s="242">
        <f>IFERROR(VLOOKUP($B168,Annuaire_roster!$B:$G,MATCH(P$1,Annuaire_roster!$B$1:$G$1,0),0),"-")</f>
        <v/>
      </c>
      <c r="Q168" s="243" t="n">
        <v>44766</v>
      </c>
      <c r="R168" s="244">
        <f>IF(M168="Abs",O168,0)</f>
        <v/>
      </c>
      <c r="S168" s="244">
        <f>SUM(R168,L168,I168,J168,W168,H168)</f>
        <v/>
      </c>
      <c r="T168" s="209">
        <f>"Sem - "&amp;WEEKNUM(Q168,21)</f>
        <v/>
      </c>
      <c r="U168" s="209">
        <f>PROPER(TEXT(Q168,"mmmm"))</f>
        <v/>
      </c>
      <c r="V168" s="245">
        <f>+TEXT(Q168,"aaa")</f>
        <v/>
      </c>
      <c r="W168" s="240" t="n"/>
      <c r="X168" s="246">
        <f>IFERROR(IF(M168="Abs",0,IF((D168-C168+E168-F168)&lt;0.000694444444444444,0,(D168-C168+E168-F168))),0)</f>
        <v/>
      </c>
      <c r="Y168" s="247">
        <f>IFERROR(VLOOKUP(B168,Annuaire_roster!B:E,4,0),"-")</f>
        <v/>
      </c>
      <c r="Z168" s="247">
        <f>IFERROR(VLOOKUP(B168,Annuaire_roster!B:F,3,0),"-")</f>
        <v/>
      </c>
      <c r="AA168" s="247">
        <f>IFERROR(VLOOKUP(B168,Annuaire_roster!B:I,6,0),"-")</f>
        <v/>
      </c>
      <c r="AB168" s="248">
        <f>IF(AND(D168="Congé",F168="Congé"),0.333333333333333,IF(OR(AND(D168="Congé",F168&lt;&gt;"Congé"),(AND(F168="Congé",D168&lt;&gt;"Congé"))),0.166666666666667,""))</f>
        <v/>
      </c>
      <c r="AC168" s="248">
        <f>IF(AND(D168="Congé sans solde",F168="Congé sans solde"),0.333333333333333,IF(OR(AND(D168="Congé sans solde",F168&lt;&gt;"Congé sans solde"),(AND(F168="Congé sans solde",D168&lt;&gt;"Congé sans solde"))),0.166666666666667,""))</f>
        <v/>
      </c>
      <c r="AD168" s="248">
        <f>IF(AND(D168="Congé spécial",F168="Congé spécial"),0.333333333333333,IF(OR(AND(D168="Congé spécial",F168&lt;&gt;"Congé décès"),(AND(F168="Congé spécial",D168&lt;&gt;"Congé spécial"))),0.166666666666667,""))</f>
        <v/>
      </c>
      <c r="AE168" s="249">
        <f>IF(AND(D168="Férié",F168="Férié"),0.333333333333333,IF(OR(AND(D168="Férié",F168&lt;&gt;"Férié"),(AND(F168="Férié",D168&lt;&gt;"Férié"))),0.166666666666667,""))</f>
        <v/>
      </c>
      <c r="AF168" s="249" t="n"/>
      <c r="AG168" s="244" t="n"/>
    </row>
    <row r="169" hidden="1" ht="12.75" customHeight="1" s="231">
      <c r="A169" s="232">
        <f>VLOOKUP(B169,Annuaire_roster!B:F,5,0)</f>
        <v/>
      </c>
      <c r="B169" s="233" t="inlineStr">
        <is>
          <t>RACHAD NAWAR</t>
        </is>
      </c>
      <c r="C169" s="234">
        <f>IFERROR(IF(COUNTIFS(Connexions!$K:$K,$Q169,Connexions!$E:$E,VLOOKUP($B169,Mapping_Noms!$A:$B,2,0))=0,"",_xlfn.MINIFS(Connexions!$M:$M,Connexions!$K:$K,$Q169,Connexions!$E:$E,VLOOKUP($B169,Mapping_Noms!$A:$B,2,0))-TIME(1,0,0)),"")</f>
        <v/>
      </c>
      <c r="D169" s="234">
        <f t="array" ref="D169:D169">IFERROR(INDEX(Planning2[],MATCH(1,(Planning2[Nom]=B169)*(Planning2[Date]=Q169),0),3),"-")</f>
        <v/>
      </c>
      <c r="E169" s="235">
        <f>IFERROR(IF(COUNTIFS(Connexions!$K:$K,$Q169,Connexions!$E:$E,VLOOKUP($B169,Mapping_Noms!$A:$B,2,0))=0,"",_xlfn.MAXIFS(Connexions!$O:$O,Connexions!$K:$K,$Q169,Connexions!$E:$E,VLOOKUP($B169,Mapping_Noms!$A:$B,2,0))-TIME(1,0,0)),"")</f>
        <v/>
      </c>
      <c r="F169" s="235">
        <f t="array" ref="F169:F169">IFERROR(INDEX(Planning2[],MATCH(1,(Planning2[Nom]=B169)*(Planning2[Date]=Q169),0),4),"-")</f>
        <v/>
      </c>
      <c r="G169" s="405">
        <f>IFERROR(IF(OR(IFERROR(INDEX('Planning Pauses Dej'!$C:$C,MATCH($B169&amp;"|"&amp;TEXT($Q169,"YYYYMMDD"),'Planning Pauses Dej'!$F:$F,0)),"")="",IFERROR(INDEX('Planning Pauses Dej'!$D:$D,MATCH($B169&amp;"|"&amp;TEXT($Q169,"YYYYMMDD"),'Planning Pauses Dej'!$F:$F,0)),"")=""),"",_xlfn.MAXIFS(Connexions!$Q:$Q,Connexions!$K:$K,$Q169,Connexions!$E:$E,VLOOKUP($B169,Mapping_Noms!$A:$B,2,0),Connexions!$O:$O,"&lt;="&amp;(IFERROR(INDEX('Planning Pauses Dej'!$D:$D,MATCH($B169&amp;"|"&amp;TEXT($Q169,"YYYYMMDD"),'Planning Pauses Dej'!$F:$F,0)),"")+TIME(1,0,0)),Connexions!$P:$P,"&gt;="&amp;(IFERROR(INDEX('Planning Pauses Dej'!$C:$C,MATCH($B169&amp;"|"&amp;TEXT($Q169,"YYYYMMDD"),'Planning Pauses Dej'!$F:$F,0)),"")+TIME(1,0,0)))),"")</f>
        <v/>
      </c>
      <c r="H169" s="405">
        <f>IFERROR(IF(OR($G169="",IFERROR(INDEX('Planning Pauses Dej'!$C:$C,MATCH($B169&amp;"|"&amp;TEXT($Q169,"YYYYMMDD"),'Planning Pauses Dej'!$F:$F,0)),"")="",IFERROR(INDEX('Planning Pauses Dej'!$D:$D,MATCH($B169&amp;"|"&amp;TEXT($Q169,"YYYYMMDD"),'Planning Pauses Dej'!$F:$F,0)),"")=""),"",IF($G169&gt;(IFERROR(INDEX('Planning Pauses Dej'!$D:$D,MATCH($B169&amp;"|"&amp;TEXT($Q169,"YYYYMMDD"),'Planning Pauses Dej'!$F:$F,0)),"")-IFERROR(INDEX('Planning Pauses Dej'!$C:$C,MATCH($B169&amp;"|"&amp;TEXT($Q169,"YYYYMMDD"),'Planning Pauses Dej'!$F:$F,0)),"")),$G169-(IFERROR(INDEX('Planning Pauses Dej'!$D:$D,MATCH($B169&amp;"|"&amp;TEXT($Q169,"YYYYMMDD"),'Planning Pauses Dej'!$F:$F,0)),"")-IFERROR(INDEX('Planning Pauses Dej'!$C:$C,MATCH($B169&amp;"|"&amp;TEXT($Q169,"YYYYMMDD"),'Planning Pauses Dej'!$F:$F,0)),"")),0)),"")</f>
        <v/>
      </c>
      <c r="I169" s="251">
        <f>IF(IF(OR(C169="",D169="Congé",D169="OFF",D169="Congé spécial"),"",IF(D169&gt;F169,D169-C169,IF(C169-D169&lt;0,0,C169-D169)))&lt;0.00068287037037037,"",IF(OR(D169="Congé",D169="OFF",C169="",D169="Congé spécial"),"",IF(D169&gt;F169,D169-C169,IF(C169-D169&lt;0,0,C169-D169))))</f>
        <v/>
      </c>
      <c r="J169" s="405">
        <f>IFERROR(IF($G169="","",IF($G169&gt;TIME(1,0,0),$G169-TIME(1,0,0),0)),"")</f>
        <v/>
      </c>
      <c r="K169" s="238">
        <f>IF(SUM(H169:J169)&lt;0.00068287037037037,0,SUM(H169:J169))</f>
        <v/>
      </c>
      <c r="L169" s="236">
        <f>IF(OR(F169="Congé",F169="OFF",M169="Abs",F169="Congé sans solde",F169="Férié",F169="Congé spécial",D169="Congé spécial"),0,IF(F169-E169&lt;0,0,IF(F169-E169&lt;=0.00068287037037037,0,F169-E169)))</f>
        <v/>
      </c>
      <c r="M169" s="239">
        <f>IF(AND(O169&lt;&gt;0,C169=""),"Abs",0)</f>
        <v/>
      </c>
      <c r="N169" s="240">
        <f>IFERROR(IF(OR(D169="OFF",D169="Congé",M169="Abs",D169="Congé sans solde",D169="Férié"),"",IF(O169-K169-L169&gt;O169,O169,IF(O169-K169-L169&lt;0,"",O169-K169-L169))),"")</f>
        <v/>
      </c>
      <c r="O169" s="241">
        <f>IF(AG169="2H Pause déjeuner",IF(F169-D169-0.0833333333333333&lt;0,F169-D169-0.0833333333333333+1,F169-D169-0.0833333333333333),IF(OR(AND(F169="OFF",D169="OFF"),AND(F169="Congé",D169="Congé"),AND(F169="Congé sans solde",D169="Congé sans solde"),AND(F169="Congé spécial",D169="Congé spécial"),AND(F169="Férié",D169="Férié"),AND(F169="OFF",D169="Congé"),AND(F169="OFF",D169="Congé sans solde"),AND(F169="OFF",D169="Congé spécial"),AND(F169="OFF",D169="Férié"),AND(F169="Congé",D169="OFF"),AND(F169="Congé",D169="Congé sans solde"),AND(F169="Congé",D169="Congé spécial"),AND(F169="Congé",D169="Férié"),AND(F169="Congé sans solde",D169="OFF"),AND(F169="Congé sans solde",D169="Congé"),AND(F169="Congé sans solde",D169="Congé spécial"),AND(F169="Congé sans solde",D169="Férié"),AND(F169="Congé spécial",D169="OFF"),AND(F169="Congé spécial",D169="Congé"),AND(F169="Congé spécial",D169="Congé sans solde"),AND(F169="Congé spécial",D169="Férié"),AND(F169="Férié",D169="OFF"),AND(F169="Férié",D169="Congé"),AND(F169="Férié",D169="Congé sans solde"),AND(F169="Férié",D169="Congé spécial")),0,IF(OR(F169="OFF",F169="Congé",F169="Congé spécial",F169="Congé sans solde",D169="OFF",D169="Congé",D169="Congé spécial",D169="Congé sans solde"),0.208333333333334,IF(AND(AG169="",F169-D169&lt;0),("24:00:00"-D169)+("00:00:00"+F169)-0.0416666666666667,IF(AND(OR(AG169="Allaitement",AG169="Sans déjeuner"),F169-D169&lt;0),("24:00:00"-D169)+("00:00:00"+F169),IF(AND(AG169="",F169-D169&gt;0.166666666666667),F169-D169-0.0416666666666667,IF(AND(OR(AG169="Allaitement",AG169="Sans déjeuner"),F169-D169&gt;0.166666666666667),F169-D169,F169-D169)))))))</f>
        <v/>
      </c>
      <c r="P169" s="242">
        <f>IFERROR(VLOOKUP($B169,Annuaire_roster!$B:$G,MATCH(P$1,Annuaire_roster!$B$1:$G$1,0),0),"-")</f>
        <v/>
      </c>
      <c r="Q169" s="243" t="n">
        <v>44766</v>
      </c>
      <c r="R169" s="244">
        <f>IF(M169="Abs",O169,0)</f>
        <v/>
      </c>
      <c r="S169" s="244">
        <f>SUM(R169,L169,I169,J169,W169,H169)</f>
        <v/>
      </c>
      <c r="T169" s="209">
        <f>"Sem - "&amp;WEEKNUM(Q169,21)</f>
        <v/>
      </c>
      <c r="U169" s="209">
        <f>PROPER(TEXT(Q169,"mmmm"))</f>
        <v/>
      </c>
      <c r="V169" s="245">
        <f>+TEXT(Q169,"aaa")</f>
        <v/>
      </c>
      <c r="W169" s="240" t="n"/>
      <c r="X169" s="246">
        <f>IFERROR(IF(M169="Abs",0,IF((D169-C169+E169-F169)&lt;0.000694444444444444,0,(D169-C169+E169-F169))),0)</f>
        <v/>
      </c>
      <c r="Y169" s="247">
        <f>IFERROR(VLOOKUP(B169,Annuaire_roster!B:E,4,0),"-")</f>
        <v/>
      </c>
      <c r="Z169" s="247">
        <f>IFERROR(VLOOKUP(B169,Annuaire_roster!B:F,3,0),"-")</f>
        <v/>
      </c>
      <c r="AA169" s="247">
        <f>IFERROR(VLOOKUP(B169,Annuaire_roster!B:I,6,0),"-")</f>
        <v/>
      </c>
      <c r="AB169" s="248">
        <f>IF(AND(D169="Congé",F169="Congé"),0.333333333333333,IF(OR(AND(D169="Congé",F169&lt;&gt;"Congé"),(AND(F169="Congé",D169&lt;&gt;"Congé"))),0.166666666666667,""))</f>
        <v/>
      </c>
      <c r="AC169" s="248">
        <f>IF(AND(D169="Congé sans solde",F169="Congé sans solde"),0.333333333333333,IF(OR(AND(D169="Congé sans solde",F169&lt;&gt;"Congé sans solde"),(AND(F169="Congé sans solde",D169&lt;&gt;"Congé sans solde"))),0.166666666666667,""))</f>
        <v/>
      </c>
      <c r="AD169" s="248">
        <f>IF(AND(D169="Congé spécial",F169="Congé spécial"),0.333333333333333,IF(OR(AND(D169="Congé spécial",F169&lt;&gt;"Congé décès"),(AND(F169="Congé spécial",D169&lt;&gt;"Congé spécial"))),0.166666666666667,""))</f>
        <v/>
      </c>
      <c r="AE169" s="249">
        <f>IF(AND(D169="Férié",F169="Férié"),0.333333333333333,IF(OR(AND(D169="Férié",F169&lt;&gt;"Férié"),(AND(F169="Férié",D169&lt;&gt;"Férié"))),0.166666666666667,""))</f>
        <v/>
      </c>
      <c r="AF169" s="249" t="n"/>
      <c r="AG169" s="244" t="n"/>
    </row>
    <row r="170" hidden="1" ht="12.75" customHeight="1" s="231">
      <c r="A170" s="232">
        <f>VLOOKUP(B170,Annuaire_roster!B:F,5,0)</f>
        <v/>
      </c>
      <c r="B170" s="233" t="inlineStr">
        <is>
          <t>AIT ADDI KHADIJA</t>
        </is>
      </c>
      <c r="C170" s="234">
        <f>IFERROR(IF(COUNTIFS(Connexions!$K:$K,$Q170,Connexions!$E:$E,VLOOKUP($B170,Mapping_Noms!$A:$B,2,0))=0,"",_xlfn.MINIFS(Connexions!$M:$M,Connexions!$K:$K,$Q170,Connexions!$E:$E,VLOOKUP($B170,Mapping_Noms!$A:$B,2,0))-TIME(1,0,0)),"")</f>
        <v/>
      </c>
      <c r="D170" s="234">
        <f t="array" ref="D170:D170">IFERROR(INDEX(Planning2[],MATCH(1,(Planning2[Nom]=B170)*(Planning2[Date]=Q170),0),3),"-")</f>
        <v/>
      </c>
      <c r="E170" s="235">
        <f>IFERROR(IF(COUNTIFS(Connexions!$K:$K,$Q170,Connexions!$E:$E,VLOOKUP($B170,Mapping_Noms!$A:$B,2,0))=0,"",_xlfn.MAXIFS(Connexions!$O:$O,Connexions!$K:$K,$Q170,Connexions!$E:$E,VLOOKUP($B170,Mapping_Noms!$A:$B,2,0))-TIME(1,0,0)),"")</f>
        <v/>
      </c>
      <c r="F170" s="235">
        <f t="array" ref="F170:F170">IFERROR(INDEX(Planning2[],MATCH(1,(Planning2[Nom]=B170)*(Planning2[Date]=Q170),0),4),"-")</f>
        <v/>
      </c>
      <c r="G170" s="405">
        <f>IFERROR(IF(OR(IFERROR(INDEX('Planning Pauses Dej'!$C:$C,MATCH($B170&amp;"|"&amp;TEXT($Q170,"YYYYMMDD"),'Planning Pauses Dej'!$F:$F,0)),"")="",IFERROR(INDEX('Planning Pauses Dej'!$D:$D,MATCH($B170&amp;"|"&amp;TEXT($Q170,"YYYYMMDD"),'Planning Pauses Dej'!$F:$F,0)),"")=""),"",_xlfn.MAXIFS(Connexions!$Q:$Q,Connexions!$K:$K,$Q170,Connexions!$E:$E,VLOOKUP($B170,Mapping_Noms!$A:$B,2,0),Connexions!$O:$O,"&lt;="&amp;(IFERROR(INDEX('Planning Pauses Dej'!$D:$D,MATCH($B170&amp;"|"&amp;TEXT($Q170,"YYYYMMDD"),'Planning Pauses Dej'!$F:$F,0)),"")+TIME(1,0,0)),Connexions!$P:$P,"&gt;="&amp;(IFERROR(INDEX('Planning Pauses Dej'!$C:$C,MATCH($B170&amp;"|"&amp;TEXT($Q170,"YYYYMMDD"),'Planning Pauses Dej'!$F:$F,0)),"")+TIME(1,0,0)))),"")</f>
        <v/>
      </c>
      <c r="H170" s="405">
        <f>IFERROR(IF(OR($G170="",IFERROR(INDEX('Planning Pauses Dej'!$C:$C,MATCH($B170&amp;"|"&amp;TEXT($Q170,"YYYYMMDD"),'Planning Pauses Dej'!$F:$F,0)),"")="",IFERROR(INDEX('Planning Pauses Dej'!$D:$D,MATCH($B170&amp;"|"&amp;TEXT($Q170,"YYYYMMDD"),'Planning Pauses Dej'!$F:$F,0)),"")=""),"",IF($G170&gt;(IFERROR(INDEX('Planning Pauses Dej'!$D:$D,MATCH($B170&amp;"|"&amp;TEXT($Q170,"YYYYMMDD"),'Planning Pauses Dej'!$F:$F,0)),"")-IFERROR(INDEX('Planning Pauses Dej'!$C:$C,MATCH($B170&amp;"|"&amp;TEXT($Q170,"YYYYMMDD"),'Planning Pauses Dej'!$F:$F,0)),"")),$G170-(IFERROR(INDEX('Planning Pauses Dej'!$D:$D,MATCH($B170&amp;"|"&amp;TEXT($Q170,"YYYYMMDD"),'Planning Pauses Dej'!$F:$F,0)),"")-IFERROR(INDEX('Planning Pauses Dej'!$C:$C,MATCH($B170&amp;"|"&amp;TEXT($Q170,"YYYYMMDD"),'Planning Pauses Dej'!$F:$F,0)),"")),0)),"")</f>
        <v/>
      </c>
      <c r="I170" s="251">
        <f>IF(IF(OR(C170="",D170="Congé",D170="OFF",D170="Congé spécial"),"",IF(D170&gt;F170,D170-C170,IF(C170-D170&lt;0,0,C170-D170)))&lt;0.00068287037037037,"",IF(OR(D170="Congé",D170="OFF",C170="",D170="Congé spécial"),"",IF(D170&gt;F170,D170-C170,IF(C170-D170&lt;0,0,C170-D170))))</f>
        <v/>
      </c>
      <c r="J170" s="405">
        <f>IFERROR(IF($G170="","",IF($G170&gt;TIME(1,0,0),$G170-TIME(1,0,0),0)),"")</f>
        <v/>
      </c>
      <c r="K170" s="238">
        <f>IF(SUM(H170:J170)&lt;0.00068287037037037,0,SUM(H170:J170))</f>
        <v/>
      </c>
      <c r="L170" s="236">
        <f>IF(OR(F170="Congé",F170="OFF",M170="Abs",F170="Congé sans solde",F170="Férié",F170="Congé spécial",D170="Congé spécial"),0,IF(F170-E170&lt;0,0,IF(F170-E170&lt;=0.00068287037037037,0,F170-E170)))</f>
        <v/>
      </c>
      <c r="M170" s="239">
        <f>IF(AND(O170&lt;&gt;0,C170=""),"Abs",0)</f>
        <v/>
      </c>
      <c r="N170" s="240">
        <f>IFERROR(IF(OR(D170="OFF",D170="Congé",M170="Abs",D170="Congé sans solde",D170="Férié"),"",IF(O170-K170-L170&gt;O170,O170,IF(O170-K170-L170&lt;0,"",O170-K170-L170))),"")</f>
        <v/>
      </c>
      <c r="O170" s="241">
        <f>IF(AG170="2H Pause déjeuner",IF(F170-D170-0.0833333333333333&lt;0,F170-D170-0.0833333333333333+1,F170-D170-0.0833333333333333),IF(OR(AND(F170="OFF",D170="OFF"),AND(F170="Congé",D170="Congé"),AND(F170="Congé sans solde",D170="Congé sans solde"),AND(F170="Congé spécial",D170="Congé spécial"),AND(F170="Férié",D170="Férié"),AND(F170="OFF",D170="Congé"),AND(F170="OFF",D170="Congé sans solde"),AND(F170="OFF",D170="Congé spécial"),AND(F170="OFF",D170="Férié"),AND(F170="Congé",D170="OFF"),AND(F170="Congé",D170="Congé sans solde"),AND(F170="Congé",D170="Congé spécial"),AND(F170="Congé",D170="Férié"),AND(F170="Congé sans solde",D170="OFF"),AND(F170="Congé sans solde",D170="Congé"),AND(F170="Congé sans solde",D170="Congé spécial"),AND(F170="Congé sans solde",D170="Férié"),AND(F170="Congé spécial",D170="OFF"),AND(F170="Congé spécial",D170="Congé"),AND(F170="Congé spécial",D170="Congé sans solde"),AND(F170="Congé spécial",D170="Férié"),AND(F170="Férié",D170="OFF"),AND(F170="Férié",D170="Congé"),AND(F170="Férié",D170="Congé sans solde"),AND(F170="Férié",D170="Congé spécial")),0,IF(OR(F170="OFF",F170="Congé",F170="Congé spécial",F170="Congé sans solde",D170="OFF",D170="Congé",D170="Congé spécial",D170="Congé sans solde"),0.208333333333334,IF(AND(AG170="",F170-D170&lt;0),("24:00:00"-D170)+("00:00:00"+F170)-0.0416666666666667,IF(AND(OR(AG170="Allaitement",AG170="Sans déjeuner"),F170-D170&lt;0),("24:00:00"-D170)+("00:00:00"+F170),IF(AND(AG170="",F170-D170&gt;0.166666666666667),F170-D170-0.0416666666666667,IF(AND(OR(AG170="Allaitement",AG170="Sans déjeuner"),F170-D170&gt;0.166666666666667),F170-D170,F170-D170)))))))</f>
        <v/>
      </c>
      <c r="P170" s="242">
        <f>IFERROR(VLOOKUP($B170,Annuaire_roster!$B:$G,MATCH(P$1,Annuaire_roster!$B$1:$G$1,0),0),"-")</f>
        <v/>
      </c>
      <c r="Q170" s="243" t="n">
        <v>44766</v>
      </c>
      <c r="R170" s="244">
        <f>IF(M170="Abs",O170,0)</f>
        <v/>
      </c>
      <c r="S170" s="244">
        <f>SUM(R170,L170,I170,J170,W170,H170)</f>
        <v/>
      </c>
      <c r="T170" s="209">
        <f>"Sem - "&amp;WEEKNUM(Q170,21)</f>
        <v/>
      </c>
      <c r="U170" s="209">
        <f>PROPER(TEXT(Q170,"mmmm"))</f>
        <v/>
      </c>
      <c r="V170" s="245">
        <f>+TEXT(Q170,"aaa")</f>
        <v/>
      </c>
      <c r="W170" s="240" t="n"/>
      <c r="X170" s="246">
        <f>IFERROR(IF(M170="Abs",0,IF((D170-C170+E170-F170)&lt;0.000694444444444444,0,(D170-C170+E170-F170))),0)</f>
        <v/>
      </c>
      <c r="Y170" s="247">
        <f>IFERROR(VLOOKUP(B170,Annuaire_roster!B:E,4,0),"-")</f>
        <v/>
      </c>
      <c r="Z170" s="247">
        <f>IFERROR(VLOOKUP(B170,Annuaire_roster!B:F,3,0),"-")</f>
        <v/>
      </c>
      <c r="AA170" s="247">
        <f>IFERROR(VLOOKUP(B170,Annuaire_roster!B:I,6,0),"-")</f>
        <v/>
      </c>
      <c r="AB170" s="248">
        <f>IF(AND(D170="Congé",F170="Congé"),0.333333333333333,IF(OR(AND(D170="Congé",F170&lt;&gt;"Congé"),(AND(F170="Congé",D170&lt;&gt;"Congé"))),0.166666666666667,""))</f>
        <v/>
      </c>
      <c r="AC170" s="248">
        <f>IF(AND(D170="Congé sans solde",F170="Congé sans solde"),0.333333333333333,IF(OR(AND(D170="Congé sans solde",F170&lt;&gt;"Congé sans solde"),(AND(F170="Congé sans solde",D170&lt;&gt;"Congé sans solde"))),0.166666666666667,""))</f>
        <v/>
      </c>
      <c r="AD170" s="248">
        <f>IF(AND(D170="Congé spécial",F170="Congé spécial"),0.333333333333333,IF(OR(AND(D170="Congé spécial",F170&lt;&gt;"Congé décès"),(AND(F170="Congé spécial",D170&lt;&gt;"Congé spécial"))),0.166666666666667,""))</f>
        <v/>
      </c>
      <c r="AE170" s="249">
        <f>IF(AND(D170="Férié",F170="Férié"),0.333333333333333,IF(OR(AND(D170="Férié",F170&lt;&gt;"Férié"),(AND(F170="Férié",D170&lt;&gt;"Férié"))),0.166666666666667,""))</f>
        <v/>
      </c>
      <c r="AF170" s="249" t="n"/>
      <c r="AG170" s="244" t="n"/>
    </row>
    <row r="171" hidden="1" ht="12.75" customHeight="1" s="231">
      <c r="A171" s="232">
        <f>VLOOKUP(B171,Annuaire_roster!B:F,5,0)</f>
        <v/>
      </c>
      <c r="B171" s="233" t="inlineStr">
        <is>
          <t>AZHARI ABDELHAMID</t>
        </is>
      </c>
      <c r="C171" s="234">
        <f>IFERROR(IF(COUNTIFS(Connexions!$K:$K,$Q171,Connexions!$E:$E,VLOOKUP($B171,Mapping_Noms!$A:$B,2,0))=0,"",_xlfn.MINIFS(Connexions!$M:$M,Connexions!$K:$K,$Q171,Connexions!$E:$E,VLOOKUP($B171,Mapping_Noms!$A:$B,2,0))-TIME(1,0,0)),"")</f>
        <v/>
      </c>
      <c r="D171" s="234">
        <f t="array" ref="D171:D171">IFERROR(INDEX(Planning2[],MATCH(1,(Planning2[Nom]=B171)*(Planning2[Date]=Q171),0),3),"-")</f>
        <v/>
      </c>
      <c r="E171" s="235">
        <f>IFERROR(IF(COUNTIFS(Connexions!$K:$K,$Q171,Connexions!$E:$E,VLOOKUP($B171,Mapping_Noms!$A:$B,2,0))=0,"",_xlfn.MAXIFS(Connexions!$O:$O,Connexions!$K:$K,$Q171,Connexions!$E:$E,VLOOKUP($B171,Mapping_Noms!$A:$B,2,0))-TIME(1,0,0)),"")</f>
        <v/>
      </c>
      <c r="F171" s="235">
        <f t="array" ref="F171:F171">IFERROR(INDEX(Planning2[],MATCH(1,(Planning2[Nom]=B171)*(Planning2[Date]=Q171),0),4),"-")</f>
        <v/>
      </c>
      <c r="G171" s="405">
        <f>IFERROR(IF(OR(IFERROR(INDEX('Planning Pauses Dej'!$C:$C,MATCH($B171&amp;"|"&amp;TEXT($Q171,"YYYYMMDD"),'Planning Pauses Dej'!$F:$F,0)),"")="",IFERROR(INDEX('Planning Pauses Dej'!$D:$D,MATCH($B171&amp;"|"&amp;TEXT($Q171,"YYYYMMDD"),'Planning Pauses Dej'!$F:$F,0)),"")=""),"",_xlfn.MAXIFS(Connexions!$Q:$Q,Connexions!$K:$K,$Q171,Connexions!$E:$E,VLOOKUP($B171,Mapping_Noms!$A:$B,2,0),Connexions!$O:$O,"&lt;="&amp;(IFERROR(INDEX('Planning Pauses Dej'!$D:$D,MATCH($B171&amp;"|"&amp;TEXT($Q171,"YYYYMMDD"),'Planning Pauses Dej'!$F:$F,0)),"")+TIME(1,0,0)),Connexions!$P:$P,"&gt;="&amp;(IFERROR(INDEX('Planning Pauses Dej'!$C:$C,MATCH($B171&amp;"|"&amp;TEXT($Q171,"YYYYMMDD"),'Planning Pauses Dej'!$F:$F,0)),"")+TIME(1,0,0)))),"")</f>
        <v/>
      </c>
      <c r="H171" s="405">
        <f>IFERROR(IF(OR($G171="",IFERROR(INDEX('Planning Pauses Dej'!$C:$C,MATCH($B171&amp;"|"&amp;TEXT($Q171,"YYYYMMDD"),'Planning Pauses Dej'!$F:$F,0)),"")="",IFERROR(INDEX('Planning Pauses Dej'!$D:$D,MATCH($B171&amp;"|"&amp;TEXT($Q171,"YYYYMMDD"),'Planning Pauses Dej'!$F:$F,0)),"")=""),"",IF($G171&gt;(IFERROR(INDEX('Planning Pauses Dej'!$D:$D,MATCH($B171&amp;"|"&amp;TEXT($Q171,"YYYYMMDD"),'Planning Pauses Dej'!$F:$F,0)),"")-IFERROR(INDEX('Planning Pauses Dej'!$C:$C,MATCH($B171&amp;"|"&amp;TEXT($Q171,"YYYYMMDD"),'Planning Pauses Dej'!$F:$F,0)),"")),$G171-(IFERROR(INDEX('Planning Pauses Dej'!$D:$D,MATCH($B171&amp;"|"&amp;TEXT($Q171,"YYYYMMDD"),'Planning Pauses Dej'!$F:$F,0)),"")-IFERROR(INDEX('Planning Pauses Dej'!$C:$C,MATCH($B171&amp;"|"&amp;TEXT($Q171,"YYYYMMDD"),'Planning Pauses Dej'!$F:$F,0)),"")),0)),"")</f>
        <v/>
      </c>
      <c r="I171" s="251">
        <f>IF(IF(OR(C171="",D171="Congé",D171="OFF",D171="Congé spécial"),"",IF(D171&gt;F171,D171-C171,IF(C171-D171&lt;0,0,C171-D171)))&lt;0.00068287037037037,"",IF(OR(D171="Congé",D171="OFF",C171="",D171="Congé spécial"),"",IF(D171&gt;F171,D171-C171,IF(C171-D171&lt;0,0,C171-D171))))</f>
        <v/>
      </c>
      <c r="J171" s="405">
        <f>IFERROR(IF($G171="","",IF($G171&gt;TIME(1,0,0),$G171-TIME(1,0,0),0)),"")</f>
        <v/>
      </c>
      <c r="K171" s="238">
        <f>IF(SUM(H171:J171)&lt;0.00068287037037037,0,SUM(H171:J171))</f>
        <v/>
      </c>
      <c r="L171" s="236">
        <f>IF(OR(F171="Congé",F171="OFF",M171="Abs",F171="Congé sans solde",F171="Férié",F171="Congé spécial",D171="Congé spécial"),0,IF(F171-E171&lt;0,0,IF(F171-E171&lt;=0.00068287037037037,0,F171-E171)))</f>
        <v/>
      </c>
      <c r="M171" s="239">
        <f>IF(AND(O171&lt;&gt;0,C171=""),"Abs",0)</f>
        <v/>
      </c>
      <c r="N171" s="240">
        <f>IFERROR(IF(OR(D171="OFF",D171="Congé",M171="Abs",D171="Congé sans solde",D171="Férié"),"",IF(O171-K171-L171&gt;O171,O171,IF(O171-K171-L171&lt;0,"",O171-K171-L171))),"")</f>
        <v/>
      </c>
      <c r="O171" s="241">
        <f>IF(AG171="2H Pause déjeuner",IF(F171-D171-0.0833333333333333&lt;0,F171-D171-0.0833333333333333+1,F171-D171-0.0833333333333333),IF(OR(AND(F171="OFF",D171="OFF"),AND(F171="Congé",D171="Congé"),AND(F171="Congé sans solde",D171="Congé sans solde"),AND(F171="Congé spécial",D171="Congé spécial"),AND(F171="Férié",D171="Férié"),AND(F171="OFF",D171="Congé"),AND(F171="OFF",D171="Congé sans solde"),AND(F171="OFF",D171="Congé spécial"),AND(F171="OFF",D171="Férié"),AND(F171="Congé",D171="OFF"),AND(F171="Congé",D171="Congé sans solde"),AND(F171="Congé",D171="Congé spécial"),AND(F171="Congé",D171="Férié"),AND(F171="Congé sans solde",D171="OFF"),AND(F171="Congé sans solde",D171="Congé"),AND(F171="Congé sans solde",D171="Congé spécial"),AND(F171="Congé sans solde",D171="Férié"),AND(F171="Congé spécial",D171="OFF"),AND(F171="Congé spécial",D171="Congé"),AND(F171="Congé spécial",D171="Congé sans solde"),AND(F171="Congé spécial",D171="Férié"),AND(F171="Férié",D171="OFF"),AND(F171="Férié",D171="Congé"),AND(F171="Férié",D171="Congé sans solde"),AND(F171="Férié",D171="Congé spécial")),0,IF(OR(F171="OFF",F171="Congé",F171="Congé spécial",F171="Congé sans solde",D171="OFF",D171="Congé",D171="Congé spécial",D171="Congé sans solde"),0.208333333333334,IF(AND(AG171="",F171-D171&lt;0),("24:00:00"-D171)+("00:00:00"+F171)-0.0416666666666667,IF(AND(OR(AG171="Allaitement",AG171="Sans déjeuner"),F171-D171&lt;0),("24:00:00"-D171)+("00:00:00"+F171),IF(AND(AG171="",F171-D171&gt;0.166666666666667),F171-D171-0.0416666666666667,IF(AND(OR(AG171="Allaitement",AG171="Sans déjeuner"),F171-D171&gt;0.166666666666667),F171-D171,F171-D171)))))))</f>
        <v/>
      </c>
      <c r="P171" s="242">
        <f>IFERROR(VLOOKUP($B171,Annuaire_roster!$B:$G,MATCH(P$1,Annuaire_roster!$B$1:$G$1,0),0),"-")</f>
        <v/>
      </c>
      <c r="Q171" s="243" t="n">
        <v>44766</v>
      </c>
      <c r="R171" s="244">
        <f>IF(M171="Abs",O171,0)</f>
        <v/>
      </c>
      <c r="S171" s="244">
        <f>SUM(R171,L171,I171,J171,W171,H171)</f>
        <v/>
      </c>
      <c r="T171" s="209">
        <f>"Sem - "&amp;WEEKNUM(Q171,21)</f>
        <v/>
      </c>
      <c r="U171" s="209">
        <f>PROPER(TEXT(Q171,"mmmm"))</f>
        <v/>
      </c>
      <c r="V171" s="245">
        <f>+TEXT(Q171,"aaa")</f>
        <v/>
      </c>
      <c r="W171" s="240" t="n"/>
      <c r="X171" s="246">
        <f>IFERROR(IF(M171="Abs",0,IF((D171-C171+E171-F171)&lt;0.000694444444444444,0,(D171-C171+E171-F171))),0)</f>
        <v/>
      </c>
      <c r="Y171" s="247">
        <f>IFERROR(VLOOKUP(B171,Annuaire_roster!B:E,4,0),"-")</f>
        <v/>
      </c>
      <c r="Z171" s="247">
        <f>IFERROR(VLOOKUP(B171,Annuaire_roster!B:F,3,0),"-")</f>
        <v/>
      </c>
      <c r="AA171" s="247">
        <f>IFERROR(VLOOKUP(B171,Annuaire_roster!B:I,6,0),"-")</f>
        <v/>
      </c>
      <c r="AB171" s="248">
        <f>IF(AND(D171="Congé",F171="Congé"),0.333333333333333,IF(OR(AND(D171="Congé",F171&lt;&gt;"Congé"),(AND(F171="Congé",D171&lt;&gt;"Congé"))),0.166666666666667,""))</f>
        <v/>
      </c>
      <c r="AC171" s="248">
        <f>IF(AND(D171="Congé sans solde",F171="Congé sans solde"),0.333333333333333,IF(OR(AND(D171="Congé sans solde",F171&lt;&gt;"Congé sans solde"),(AND(F171="Congé sans solde",D171&lt;&gt;"Congé sans solde"))),0.166666666666667,""))</f>
        <v/>
      </c>
      <c r="AD171" s="248">
        <f>IF(AND(D171="Congé spécial",F171="Congé spécial"),0.333333333333333,IF(OR(AND(D171="Congé spécial",F171&lt;&gt;"Congé décès"),(AND(F171="Congé spécial",D171&lt;&gt;"Congé spécial"))),0.166666666666667,""))</f>
        <v/>
      </c>
      <c r="AE171" s="249">
        <f>IF(AND(D171="Férié",F171="Férié"),0.333333333333333,IF(OR(AND(D171="Férié",F171&lt;&gt;"Férié"),(AND(F171="Férié",D171&lt;&gt;"Férié"))),0.166666666666667,""))</f>
        <v/>
      </c>
      <c r="AF171" s="249" t="n"/>
      <c r="AG171" s="244" t="n"/>
    </row>
    <row r="172" hidden="1" ht="12.75" customHeight="1" s="231">
      <c r="A172" s="232">
        <f>VLOOKUP(B172,Annuaire_roster!B:F,5,0)</f>
        <v/>
      </c>
      <c r="B172" s="233" t="inlineStr">
        <is>
          <t>TOURE ABIBOU</t>
        </is>
      </c>
      <c r="C172" s="234">
        <f>IFERROR(IF(COUNTIFS(Connexions!$K:$K,$Q172,Connexions!$E:$E,VLOOKUP($B172,Mapping_Noms!$A:$B,2,0))=0,"",_xlfn.MINIFS(Connexions!$M:$M,Connexions!$K:$K,$Q172,Connexions!$E:$E,VLOOKUP($B172,Mapping_Noms!$A:$B,2,0))-TIME(1,0,0)),"")</f>
        <v/>
      </c>
      <c r="D172" s="234">
        <f t="array" ref="D172:D172">IFERROR(INDEX(Planning2[],MATCH(1,(Planning2[Nom]=B172)*(Planning2[Date]=Q172),0),3),"-")</f>
        <v/>
      </c>
      <c r="E172" s="235">
        <f>IFERROR(IF(COUNTIFS(Connexions!$K:$K,$Q172,Connexions!$E:$E,VLOOKUP($B172,Mapping_Noms!$A:$B,2,0))=0,"",_xlfn.MAXIFS(Connexions!$O:$O,Connexions!$K:$K,$Q172,Connexions!$E:$E,VLOOKUP($B172,Mapping_Noms!$A:$B,2,0))-TIME(1,0,0)),"")</f>
        <v/>
      </c>
      <c r="F172" s="235">
        <f t="array" ref="F172:F172">IFERROR(INDEX(Planning2[],MATCH(1,(Planning2[Nom]=B172)*(Planning2[Date]=Q172),0),4),"-")</f>
        <v/>
      </c>
      <c r="G172" s="405">
        <f>IFERROR(IF(OR(IFERROR(INDEX('Planning Pauses Dej'!$C:$C,MATCH($B172&amp;"|"&amp;TEXT($Q172,"YYYYMMDD"),'Planning Pauses Dej'!$F:$F,0)),"")="",IFERROR(INDEX('Planning Pauses Dej'!$D:$D,MATCH($B172&amp;"|"&amp;TEXT($Q172,"YYYYMMDD"),'Planning Pauses Dej'!$F:$F,0)),"")=""),"",_xlfn.MAXIFS(Connexions!$Q:$Q,Connexions!$K:$K,$Q172,Connexions!$E:$E,VLOOKUP($B172,Mapping_Noms!$A:$B,2,0),Connexions!$O:$O,"&lt;="&amp;(IFERROR(INDEX('Planning Pauses Dej'!$D:$D,MATCH($B172&amp;"|"&amp;TEXT($Q172,"YYYYMMDD"),'Planning Pauses Dej'!$F:$F,0)),"")+TIME(1,0,0)),Connexions!$P:$P,"&gt;="&amp;(IFERROR(INDEX('Planning Pauses Dej'!$C:$C,MATCH($B172&amp;"|"&amp;TEXT($Q172,"YYYYMMDD"),'Planning Pauses Dej'!$F:$F,0)),"")+TIME(1,0,0)))),"")</f>
        <v/>
      </c>
      <c r="H172" s="405">
        <f>IFERROR(IF(OR($G172="",IFERROR(INDEX('Planning Pauses Dej'!$C:$C,MATCH($B172&amp;"|"&amp;TEXT($Q172,"YYYYMMDD"),'Planning Pauses Dej'!$F:$F,0)),"")="",IFERROR(INDEX('Planning Pauses Dej'!$D:$D,MATCH($B172&amp;"|"&amp;TEXT($Q172,"YYYYMMDD"),'Planning Pauses Dej'!$F:$F,0)),"")=""),"",IF($G172&gt;(IFERROR(INDEX('Planning Pauses Dej'!$D:$D,MATCH($B172&amp;"|"&amp;TEXT($Q172,"YYYYMMDD"),'Planning Pauses Dej'!$F:$F,0)),"")-IFERROR(INDEX('Planning Pauses Dej'!$C:$C,MATCH($B172&amp;"|"&amp;TEXT($Q172,"YYYYMMDD"),'Planning Pauses Dej'!$F:$F,0)),"")),$G172-(IFERROR(INDEX('Planning Pauses Dej'!$D:$D,MATCH($B172&amp;"|"&amp;TEXT($Q172,"YYYYMMDD"),'Planning Pauses Dej'!$F:$F,0)),"")-IFERROR(INDEX('Planning Pauses Dej'!$C:$C,MATCH($B172&amp;"|"&amp;TEXT($Q172,"YYYYMMDD"),'Planning Pauses Dej'!$F:$F,0)),"")),0)),"")</f>
        <v/>
      </c>
      <c r="I172" s="251">
        <f>IF(IF(OR(C172="",D172="Congé",D172="OFF",D172="Congé spécial"),"",IF(D172&gt;F172,D172-C172,IF(C172-D172&lt;0,0,C172-D172)))&lt;0.00068287037037037,"",IF(OR(D172="Congé",D172="OFF",C172="",D172="Congé spécial"),"",IF(D172&gt;F172,D172-C172,IF(C172-D172&lt;0,0,C172-D172))))</f>
        <v/>
      </c>
      <c r="J172" s="405">
        <f>IFERROR(IF($G172="","",IF($G172&gt;TIME(1,0,0),$G172-TIME(1,0,0),0)),"")</f>
        <v/>
      </c>
      <c r="K172" s="238">
        <f>IF(SUM(H172:J172)&lt;0.00068287037037037,0,SUM(H172:J172))</f>
        <v/>
      </c>
      <c r="L172" s="236">
        <f>IF(OR(F172="Congé",F172="OFF",M172="Abs",F172="Congé sans solde",F172="Férié",F172="Congé spécial",D172="Congé spécial"),0,IF(F172-E172&lt;0,0,IF(F172-E172&lt;=0.00068287037037037,0,F172-E172)))</f>
        <v/>
      </c>
      <c r="M172" s="239">
        <f>IF(AND(O172&lt;&gt;0,C172=""),"Abs",0)</f>
        <v/>
      </c>
      <c r="N172" s="240">
        <f>IFERROR(IF(OR(D172="OFF",D172="Congé",M172="Abs",D172="Congé sans solde",D172="Férié"),"",IF(O172-K172-L172&gt;O172,O172,IF(O172-K172-L172&lt;0,"",O172-K172-L172))),"")</f>
        <v/>
      </c>
      <c r="O172" s="241">
        <f>IF(AG172="2H Pause déjeuner",IF(F172-D172-0.0833333333333333&lt;0,F172-D172-0.0833333333333333+1,F172-D172-0.0833333333333333),IF(OR(AND(F172="OFF",D172="OFF"),AND(F172="Congé",D172="Congé"),AND(F172="Congé sans solde",D172="Congé sans solde"),AND(F172="Congé spécial",D172="Congé spécial"),AND(F172="Férié",D172="Férié"),AND(F172="OFF",D172="Congé"),AND(F172="OFF",D172="Congé sans solde"),AND(F172="OFF",D172="Congé spécial"),AND(F172="OFF",D172="Férié"),AND(F172="Congé",D172="OFF"),AND(F172="Congé",D172="Congé sans solde"),AND(F172="Congé",D172="Congé spécial"),AND(F172="Congé",D172="Férié"),AND(F172="Congé sans solde",D172="OFF"),AND(F172="Congé sans solde",D172="Congé"),AND(F172="Congé sans solde",D172="Congé spécial"),AND(F172="Congé sans solde",D172="Férié"),AND(F172="Congé spécial",D172="OFF"),AND(F172="Congé spécial",D172="Congé"),AND(F172="Congé spécial",D172="Congé sans solde"),AND(F172="Congé spécial",D172="Férié"),AND(F172="Férié",D172="OFF"),AND(F172="Férié",D172="Congé"),AND(F172="Férié",D172="Congé sans solde"),AND(F172="Férié",D172="Congé spécial")),0,IF(OR(F172="OFF",F172="Congé",F172="Congé spécial",F172="Congé sans solde",D172="OFF",D172="Congé",D172="Congé spécial",D172="Congé sans solde"),0.208333333333334,IF(AND(AG172="",F172-D172&lt;0),("24:00:00"-D172)+("00:00:00"+F172)-0.0416666666666667,IF(AND(OR(AG172="Allaitement",AG172="Sans déjeuner"),F172-D172&lt;0),("24:00:00"-D172)+("00:00:00"+F172),IF(AND(AG172="",F172-D172&gt;0.166666666666667),F172-D172-0.0416666666666667,IF(AND(OR(AG172="Allaitement",AG172="Sans déjeuner"),F172-D172&gt;0.166666666666667),F172-D172,F172-D172)))))))</f>
        <v/>
      </c>
      <c r="P172" s="242">
        <f>IFERROR(VLOOKUP($B172,Annuaire_roster!$B:$G,MATCH(P$1,Annuaire_roster!$B$1:$G$1,0),0),"-")</f>
        <v/>
      </c>
      <c r="Q172" s="243" t="n">
        <v>44766</v>
      </c>
      <c r="R172" s="244">
        <f>IF(M172="Abs",O172,0)</f>
        <v/>
      </c>
      <c r="S172" s="244">
        <f>SUM(R172,L172,I172,J172,W172,H172)</f>
        <v/>
      </c>
      <c r="T172" s="209">
        <f>"Sem - "&amp;WEEKNUM(Q172,21)</f>
        <v/>
      </c>
      <c r="U172" s="209">
        <f>PROPER(TEXT(Q172,"mmmm"))</f>
        <v/>
      </c>
      <c r="V172" s="245">
        <f>+TEXT(Q172,"aaa")</f>
        <v/>
      </c>
      <c r="W172" s="240" t="n"/>
      <c r="X172" s="246">
        <f>IFERROR(IF(M172="Abs",0,IF((D172-C172+E172-F172)&lt;0.000694444444444444,0,(D172-C172+E172-F172))),0)</f>
        <v/>
      </c>
      <c r="Y172" s="247">
        <f>IFERROR(VLOOKUP(B172,Annuaire_roster!B:E,4,0),"-")</f>
        <v/>
      </c>
      <c r="Z172" s="247">
        <f>IFERROR(VLOOKUP(B172,Annuaire_roster!B:F,3,0),"-")</f>
        <v/>
      </c>
      <c r="AA172" s="247">
        <f>IFERROR(VLOOKUP(B172,Annuaire_roster!B:I,6,0),"-")</f>
        <v/>
      </c>
      <c r="AB172" s="248">
        <f>IF(AND(D172="Congé",F172="Congé"),0.333333333333333,IF(OR(AND(D172="Congé",F172&lt;&gt;"Congé"),(AND(F172="Congé",D172&lt;&gt;"Congé"))),0.166666666666667,""))</f>
        <v/>
      </c>
      <c r="AC172" s="248">
        <f>IF(AND(D172="Congé sans solde",F172="Congé sans solde"),0.333333333333333,IF(OR(AND(D172="Congé sans solde",F172&lt;&gt;"Congé sans solde"),(AND(F172="Congé sans solde",D172&lt;&gt;"Congé sans solde"))),0.166666666666667,""))</f>
        <v/>
      </c>
      <c r="AD172" s="248">
        <f>IF(AND(D172="Congé spécial",F172="Congé spécial"),0.333333333333333,IF(OR(AND(D172="Congé spécial",F172&lt;&gt;"Congé décès"),(AND(F172="Congé spécial",D172&lt;&gt;"Congé spécial"))),0.166666666666667,""))</f>
        <v/>
      </c>
      <c r="AE172" s="249">
        <f>IF(AND(D172="Férié",F172="Férié"),0.333333333333333,IF(OR(AND(D172="Férié",F172&lt;&gt;"Férié"),(AND(F172="Férié",D172&lt;&gt;"Férié"))),0.166666666666667,""))</f>
        <v/>
      </c>
      <c r="AF172" s="249" t="n"/>
      <c r="AG172" s="244" t="n"/>
    </row>
    <row r="173" hidden="1" ht="12.75" customHeight="1" s="231">
      <c r="A173" s="232">
        <f>VLOOKUP(B173,Annuaire_roster!B:F,5,0)</f>
        <v/>
      </c>
      <c r="B173" s="233" t="inlineStr">
        <is>
          <t>EL HARROUCHI CHAIMAE</t>
        </is>
      </c>
      <c r="C173" s="234">
        <f>IFERROR(IF(COUNTIFS(Connexions!$K:$K,$Q173,Connexions!$E:$E,VLOOKUP($B173,Mapping_Noms!$A:$B,2,0))=0,"",_xlfn.MINIFS(Connexions!$M:$M,Connexions!$K:$K,$Q173,Connexions!$E:$E,VLOOKUP($B173,Mapping_Noms!$A:$B,2,0))-TIME(1,0,0)),"")</f>
        <v/>
      </c>
      <c r="D173" s="234">
        <f t="array" ref="D173:D173">IFERROR(INDEX(Planning2[],MATCH(1,(Planning2[Nom]=B173)*(Planning2[Date]=Q173),0),3),"-")</f>
        <v/>
      </c>
      <c r="E173" s="235">
        <f>IFERROR(IF(COUNTIFS(Connexions!$K:$K,$Q173,Connexions!$E:$E,VLOOKUP($B173,Mapping_Noms!$A:$B,2,0))=0,"",_xlfn.MAXIFS(Connexions!$O:$O,Connexions!$K:$K,$Q173,Connexions!$E:$E,VLOOKUP($B173,Mapping_Noms!$A:$B,2,0))-TIME(1,0,0)),"")</f>
        <v/>
      </c>
      <c r="F173" s="235">
        <f t="array" ref="F173:F173">IFERROR(INDEX(Planning2[],MATCH(1,(Planning2[Nom]=B173)*(Planning2[Date]=Q173),0),4),"-")</f>
        <v/>
      </c>
      <c r="G173" s="405">
        <f>IFERROR(IF(OR(IFERROR(INDEX('Planning Pauses Dej'!$C:$C,MATCH($B173&amp;"|"&amp;TEXT($Q173,"YYYYMMDD"),'Planning Pauses Dej'!$F:$F,0)),"")="",IFERROR(INDEX('Planning Pauses Dej'!$D:$D,MATCH($B173&amp;"|"&amp;TEXT($Q173,"YYYYMMDD"),'Planning Pauses Dej'!$F:$F,0)),"")=""),"",_xlfn.MAXIFS(Connexions!$Q:$Q,Connexions!$K:$K,$Q173,Connexions!$E:$E,VLOOKUP($B173,Mapping_Noms!$A:$B,2,0),Connexions!$O:$O,"&lt;="&amp;(IFERROR(INDEX('Planning Pauses Dej'!$D:$D,MATCH($B173&amp;"|"&amp;TEXT($Q173,"YYYYMMDD"),'Planning Pauses Dej'!$F:$F,0)),"")+TIME(1,0,0)),Connexions!$P:$P,"&gt;="&amp;(IFERROR(INDEX('Planning Pauses Dej'!$C:$C,MATCH($B173&amp;"|"&amp;TEXT($Q173,"YYYYMMDD"),'Planning Pauses Dej'!$F:$F,0)),"")+TIME(1,0,0)))),"")</f>
        <v/>
      </c>
      <c r="H173" s="405">
        <f>IFERROR(IF(OR($G173="",IFERROR(INDEX('Planning Pauses Dej'!$C:$C,MATCH($B173&amp;"|"&amp;TEXT($Q173,"YYYYMMDD"),'Planning Pauses Dej'!$F:$F,0)),"")="",IFERROR(INDEX('Planning Pauses Dej'!$D:$D,MATCH($B173&amp;"|"&amp;TEXT($Q173,"YYYYMMDD"),'Planning Pauses Dej'!$F:$F,0)),"")=""),"",IF($G173&gt;(IFERROR(INDEX('Planning Pauses Dej'!$D:$D,MATCH($B173&amp;"|"&amp;TEXT($Q173,"YYYYMMDD"),'Planning Pauses Dej'!$F:$F,0)),"")-IFERROR(INDEX('Planning Pauses Dej'!$C:$C,MATCH($B173&amp;"|"&amp;TEXT($Q173,"YYYYMMDD"),'Planning Pauses Dej'!$F:$F,0)),"")),$G173-(IFERROR(INDEX('Planning Pauses Dej'!$D:$D,MATCH($B173&amp;"|"&amp;TEXT($Q173,"YYYYMMDD"),'Planning Pauses Dej'!$F:$F,0)),"")-IFERROR(INDEX('Planning Pauses Dej'!$C:$C,MATCH($B173&amp;"|"&amp;TEXT($Q173,"YYYYMMDD"),'Planning Pauses Dej'!$F:$F,0)),"")),0)),"")</f>
        <v/>
      </c>
      <c r="I173" s="251">
        <f>IF(IF(OR(C173="",D173="Congé",D173="OFF",D173="Congé spécial"),"",IF(D173&gt;F173,D173-C173,IF(C173-D173&lt;0,0,C173-D173)))&lt;0.00068287037037037,"",IF(OR(D173="Congé",D173="OFF",C173="",D173="Congé spécial"),"",IF(D173&gt;F173,D173-C173,IF(C173-D173&lt;0,0,C173-D173))))</f>
        <v/>
      </c>
      <c r="J173" s="405">
        <f>IFERROR(IF($G173="","",IF($G173&gt;TIME(1,0,0),$G173-TIME(1,0,0),0)),"")</f>
        <v/>
      </c>
      <c r="K173" s="238">
        <f>IF(SUM(H173:J173)&lt;0.00068287037037037,0,SUM(H173:J173))</f>
        <v/>
      </c>
      <c r="L173" s="236">
        <f>IF(OR(F173="Congé",F173="OFF",M173="Abs",F173="Congé sans solde",F173="Férié",F173="Congé spécial",D173="Congé spécial"),0,IF(F173-E173&lt;0,0,IF(F173-E173&lt;=0.00068287037037037,0,F173-E173)))</f>
        <v/>
      </c>
      <c r="M173" s="239">
        <f>IF(AND(O173&lt;&gt;0,C173=""),"Abs",0)</f>
        <v/>
      </c>
      <c r="N173" s="240">
        <f>IFERROR(IF(OR(D173="OFF",D173="Congé",M173="Abs",D173="Congé sans solde",D173="Férié"),"",IF(O173-K173-L173&gt;O173,O173,IF(O173-K173-L173&lt;0,"",O173-K173-L173))),"")</f>
        <v/>
      </c>
      <c r="O173" s="241">
        <f>IF(AG173="2H Pause déjeuner",IF(F173-D173-0.0833333333333333&lt;0,F173-D173-0.0833333333333333+1,F173-D173-0.0833333333333333),IF(OR(AND(F173="OFF",D173="OFF"),AND(F173="Congé",D173="Congé"),AND(F173="Congé sans solde",D173="Congé sans solde"),AND(F173="Congé spécial",D173="Congé spécial"),AND(F173="Férié",D173="Férié"),AND(F173="OFF",D173="Congé"),AND(F173="OFF",D173="Congé sans solde"),AND(F173="OFF",D173="Congé spécial"),AND(F173="OFF",D173="Férié"),AND(F173="Congé",D173="OFF"),AND(F173="Congé",D173="Congé sans solde"),AND(F173="Congé",D173="Congé spécial"),AND(F173="Congé",D173="Férié"),AND(F173="Congé sans solde",D173="OFF"),AND(F173="Congé sans solde",D173="Congé"),AND(F173="Congé sans solde",D173="Congé spécial"),AND(F173="Congé sans solde",D173="Férié"),AND(F173="Congé spécial",D173="OFF"),AND(F173="Congé spécial",D173="Congé"),AND(F173="Congé spécial",D173="Congé sans solde"),AND(F173="Congé spécial",D173="Férié"),AND(F173="Férié",D173="OFF"),AND(F173="Férié",D173="Congé"),AND(F173="Férié",D173="Congé sans solde"),AND(F173="Férié",D173="Congé spécial")),0,IF(OR(F173="OFF",F173="Congé",F173="Congé spécial",F173="Congé sans solde",D173="OFF",D173="Congé",D173="Congé spécial",D173="Congé sans solde"),0.208333333333334,IF(AND(AG173="",F173-D173&lt;0),("24:00:00"-D173)+("00:00:00"+F173)-0.0416666666666667,IF(AND(OR(AG173="Allaitement",AG173="Sans déjeuner"),F173-D173&lt;0),("24:00:00"-D173)+("00:00:00"+F173),IF(AND(AG173="",F173-D173&gt;0.166666666666667),F173-D173-0.0416666666666667,IF(AND(OR(AG173="Allaitement",AG173="Sans déjeuner"),F173-D173&gt;0.166666666666667),F173-D173,F173-D173)))))))</f>
        <v/>
      </c>
      <c r="P173" s="242">
        <f>IFERROR(VLOOKUP($B173,Annuaire_roster!$B:$G,MATCH(P$1,Annuaire_roster!$B$1:$G$1,0),0),"-")</f>
        <v/>
      </c>
      <c r="Q173" s="243" t="n">
        <v>44766</v>
      </c>
      <c r="R173" s="244">
        <f>IF(M173="Abs",O173,0)</f>
        <v/>
      </c>
      <c r="S173" s="244">
        <f>SUM(R173,L173,I173,J173,W173,H173)</f>
        <v/>
      </c>
      <c r="T173" s="209">
        <f>"Sem - "&amp;WEEKNUM(Q173,21)</f>
        <v/>
      </c>
      <c r="U173" s="209">
        <f>PROPER(TEXT(Q173,"mmmm"))</f>
        <v/>
      </c>
      <c r="V173" s="245">
        <f>+TEXT(Q173,"aaa")</f>
        <v/>
      </c>
      <c r="W173" s="240" t="n"/>
      <c r="X173" s="246">
        <f>IFERROR(IF(M173="Abs",0,IF((D173-C173+E173-F173)&lt;0.000694444444444444,0,(D173-C173+E173-F173))),0)</f>
        <v/>
      </c>
      <c r="Y173" s="247">
        <f>IFERROR(VLOOKUP(B173,Annuaire_roster!B:E,4,0),"-")</f>
        <v/>
      </c>
      <c r="Z173" s="247">
        <f>IFERROR(VLOOKUP(B173,Annuaire_roster!B:F,3,0),"-")</f>
        <v/>
      </c>
      <c r="AA173" s="247">
        <f>IFERROR(VLOOKUP(B173,Annuaire_roster!B:I,6,0),"-")</f>
        <v/>
      </c>
      <c r="AB173" s="248">
        <f>IF(AND(D173="Congé",F173="Congé"),0.333333333333333,IF(OR(AND(D173="Congé",F173&lt;&gt;"Congé"),(AND(F173="Congé",D173&lt;&gt;"Congé"))),0.166666666666667,""))</f>
        <v/>
      </c>
      <c r="AC173" s="248">
        <f>IF(AND(D173="Congé sans solde",F173="Congé sans solde"),0.333333333333333,IF(OR(AND(D173="Congé sans solde",F173&lt;&gt;"Congé sans solde"),(AND(F173="Congé sans solde",D173&lt;&gt;"Congé sans solde"))),0.166666666666667,""))</f>
        <v/>
      </c>
      <c r="AD173" s="248">
        <f>IF(AND(D173="Congé spécial",F173="Congé spécial"),0.333333333333333,IF(OR(AND(D173="Congé spécial",F173&lt;&gt;"Congé décès"),(AND(F173="Congé spécial",D173&lt;&gt;"Congé spécial"))),0.166666666666667,""))</f>
        <v/>
      </c>
      <c r="AE173" s="249">
        <f>IF(AND(D173="Férié",F173="Férié"),0.333333333333333,IF(OR(AND(D173="Férié",F173&lt;&gt;"Férié"),(AND(F173="Férié",D173&lt;&gt;"Férié"))),0.166666666666667,""))</f>
        <v/>
      </c>
      <c r="AF173" s="249" t="n"/>
      <c r="AG173" s="244" t="n"/>
    </row>
    <row r="174" hidden="1" ht="12.75" customHeight="1" s="231">
      <c r="A174" s="232">
        <f>VLOOKUP(B174,Annuaire_roster!B:F,5,0)</f>
        <v/>
      </c>
      <c r="B174" s="233" t="inlineStr">
        <is>
          <t>IHASSANE Ikram</t>
        </is>
      </c>
      <c r="C174" s="234">
        <f>IFERROR(IF(COUNTIFS(Connexions!$K:$K,$Q174,Connexions!$E:$E,VLOOKUP($B174,Mapping_Noms!$A:$B,2,0))=0,"",_xlfn.MINIFS(Connexions!$M:$M,Connexions!$K:$K,$Q174,Connexions!$E:$E,VLOOKUP($B174,Mapping_Noms!$A:$B,2,0))-TIME(1,0,0)),"")</f>
        <v/>
      </c>
      <c r="D174" s="234">
        <f t="array" ref="D174:D174">IFERROR(INDEX(Planning2[],MATCH(1,(Planning2[Nom]=B174)*(Planning2[Date]=Q174),0),3),"-")</f>
        <v/>
      </c>
      <c r="E174" s="235">
        <f>IFERROR(IF(COUNTIFS(Connexions!$K:$K,$Q174,Connexions!$E:$E,VLOOKUP($B174,Mapping_Noms!$A:$B,2,0))=0,"",_xlfn.MAXIFS(Connexions!$O:$O,Connexions!$K:$K,$Q174,Connexions!$E:$E,VLOOKUP($B174,Mapping_Noms!$A:$B,2,0))-TIME(1,0,0)),"")</f>
        <v/>
      </c>
      <c r="F174" s="235">
        <f t="array" ref="F174:F174">IFERROR(INDEX(Planning2[],MATCH(1,(Planning2[Nom]=B174)*(Planning2[Date]=Q174),0),4),"-")</f>
        <v/>
      </c>
      <c r="G174" s="405">
        <f>IFERROR(IF(OR(IFERROR(INDEX('Planning Pauses Dej'!$C:$C,MATCH($B174&amp;"|"&amp;TEXT($Q174,"YYYYMMDD"),'Planning Pauses Dej'!$F:$F,0)),"")="",IFERROR(INDEX('Planning Pauses Dej'!$D:$D,MATCH($B174&amp;"|"&amp;TEXT($Q174,"YYYYMMDD"),'Planning Pauses Dej'!$F:$F,0)),"")=""),"",_xlfn.MAXIFS(Connexions!$Q:$Q,Connexions!$K:$K,$Q174,Connexions!$E:$E,VLOOKUP($B174,Mapping_Noms!$A:$B,2,0),Connexions!$O:$O,"&lt;="&amp;(IFERROR(INDEX('Planning Pauses Dej'!$D:$D,MATCH($B174&amp;"|"&amp;TEXT($Q174,"YYYYMMDD"),'Planning Pauses Dej'!$F:$F,0)),"")+TIME(1,0,0)),Connexions!$P:$P,"&gt;="&amp;(IFERROR(INDEX('Planning Pauses Dej'!$C:$C,MATCH($B174&amp;"|"&amp;TEXT($Q174,"YYYYMMDD"),'Planning Pauses Dej'!$F:$F,0)),"")+TIME(1,0,0)))),"")</f>
        <v/>
      </c>
      <c r="H174" s="405">
        <f>IFERROR(IF(OR($G174="",IFERROR(INDEX('Planning Pauses Dej'!$C:$C,MATCH($B174&amp;"|"&amp;TEXT($Q174,"YYYYMMDD"),'Planning Pauses Dej'!$F:$F,0)),"")="",IFERROR(INDEX('Planning Pauses Dej'!$D:$D,MATCH($B174&amp;"|"&amp;TEXT($Q174,"YYYYMMDD"),'Planning Pauses Dej'!$F:$F,0)),"")=""),"",IF($G174&gt;(IFERROR(INDEX('Planning Pauses Dej'!$D:$D,MATCH($B174&amp;"|"&amp;TEXT($Q174,"YYYYMMDD"),'Planning Pauses Dej'!$F:$F,0)),"")-IFERROR(INDEX('Planning Pauses Dej'!$C:$C,MATCH($B174&amp;"|"&amp;TEXT($Q174,"YYYYMMDD"),'Planning Pauses Dej'!$F:$F,0)),"")),$G174-(IFERROR(INDEX('Planning Pauses Dej'!$D:$D,MATCH($B174&amp;"|"&amp;TEXT($Q174,"YYYYMMDD"),'Planning Pauses Dej'!$F:$F,0)),"")-IFERROR(INDEX('Planning Pauses Dej'!$C:$C,MATCH($B174&amp;"|"&amp;TEXT($Q174,"YYYYMMDD"),'Planning Pauses Dej'!$F:$F,0)),"")),0)),"")</f>
        <v/>
      </c>
      <c r="I174" s="251">
        <f>IF(IF(OR(C174="",D174="Congé",D174="OFF",D174="Congé spécial"),"",IF(D174&gt;F174,D174-C174,IF(C174-D174&lt;0,0,C174-D174)))&lt;0.00068287037037037,"",IF(OR(D174="Congé",D174="OFF",C174="",D174="Congé spécial"),"",IF(D174&gt;F174,D174-C174,IF(C174-D174&lt;0,0,C174-D174))))</f>
        <v/>
      </c>
      <c r="J174" s="405">
        <f>IFERROR(IF($G174="","",IF($G174&gt;TIME(1,0,0),$G174-TIME(1,0,0),0)),"")</f>
        <v/>
      </c>
      <c r="K174" s="238">
        <f>IF(SUM(H174:J174)&lt;0.00068287037037037,0,SUM(H174:J174))</f>
        <v/>
      </c>
      <c r="L174" s="236">
        <f>IF(OR(F174="Congé",F174="OFF",M174="Abs",F174="Congé sans solde",F174="Férié",F174="Congé spécial",D174="Congé spécial"),0,IF(F174-E174&lt;0,0,IF(F174-E174&lt;=0.00068287037037037,0,F174-E174)))</f>
        <v/>
      </c>
      <c r="M174" s="239">
        <f>IF(AND(O174&lt;&gt;0,C174=""),"Abs",0)</f>
        <v/>
      </c>
      <c r="N174" s="240">
        <f>IFERROR(IF(OR(D174="OFF",D174="Congé",M174="Abs",D174="Congé sans solde",D174="Férié"),"",IF(O174-K174-L174&gt;O174,O174,IF(O174-K174-L174&lt;0,"",O174-K174-L174))),"")</f>
        <v/>
      </c>
      <c r="O174" s="241">
        <f>IF(AG174="2H Pause déjeuner",IF(F174-D174-0.0833333333333333&lt;0,F174-D174-0.0833333333333333+1,F174-D174-0.0833333333333333),IF(OR(AND(F174="OFF",D174="OFF"),AND(F174="Congé",D174="Congé"),AND(F174="Congé sans solde",D174="Congé sans solde"),AND(F174="Congé spécial",D174="Congé spécial"),AND(F174="Férié",D174="Férié"),AND(F174="OFF",D174="Congé"),AND(F174="OFF",D174="Congé sans solde"),AND(F174="OFF",D174="Congé spécial"),AND(F174="OFF",D174="Férié"),AND(F174="Congé",D174="OFF"),AND(F174="Congé",D174="Congé sans solde"),AND(F174="Congé",D174="Congé spécial"),AND(F174="Congé",D174="Férié"),AND(F174="Congé sans solde",D174="OFF"),AND(F174="Congé sans solde",D174="Congé"),AND(F174="Congé sans solde",D174="Congé spécial"),AND(F174="Congé sans solde",D174="Férié"),AND(F174="Congé spécial",D174="OFF"),AND(F174="Congé spécial",D174="Congé"),AND(F174="Congé spécial",D174="Congé sans solde"),AND(F174="Congé spécial",D174="Férié"),AND(F174="Férié",D174="OFF"),AND(F174="Férié",D174="Congé"),AND(F174="Férié",D174="Congé sans solde"),AND(F174="Férié",D174="Congé spécial")),0,IF(OR(F174="OFF",F174="Congé",F174="Congé spécial",F174="Congé sans solde",D174="OFF",D174="Congé",D174="Congé spécial",D174="Congé sans solde"),0.208333333333334,IF(AND(AG174="",F174-D174&lt;0),("24:00:00"-D174)+("00:00:00"+F174)-0.0416666666666667,IF(AND(OR(AG174="Allaitement",AG174="Sans déjeuner"),F174-D174&lt;0),("24:00:00"-D174)+("00:00:00"+F174),IF(AND(AG174="",F174-D174&gt;0.166666666666667),F174-D174-0.0416666666666667,IF(AND(OR(AG174="Allaitement",AG174="Sans déjeuner"),F174-D174&gt;0.166666666666667),F174-D174,F174-D174)))))))</f>
        <v/>
      </c>
      <c r="P174" s="242">
        <f>IFERROR(VLOOKUP($B174,Annuaire_roster!$B:$G,MATCH(P$1,Annuaire_roster!$B$1:$G$1,0),0),"-")</f>
        <v/>
      </c>
      <c r="Q174" s="243" t="n">
        <v>44766</v>
      </c>
      <c r="R174" s="244">
        <f>IF(M174="Abs",O174,0)</f>
        <v/>
      </c>
      <c r="S174" s="244">
        <f>SUM(R174,L174,I174,J174,W174,H174)</f>
        <v/>
      </c>
      <c r="T174" s="209">
        <f>"Sem - "&amp;WEEKNUM(Q174,21)</f>
        <v/>
      </c>
      <c r="U174" s="209">
        <f>PROPER(TEXT(Q174,"mmmm"))</f>
        <v/>
      </c>
      <c r="V174" s="245">
        <f>+TEXT(Q174,"aaa")</f>
        <v/>
      </c>
      <c r="W174" s="240" t="n"/>
      <c r="X174" s="246">
        <f>IFERROR(IF(M174="Abs",0,IF((D174-C174+E174-F174)&lt;0.000694444444444444,0,(D174-C174+E174-F174))),0)</f>
        <v/>
      </c>
      <c r="Y174" s="247">
        <f>IFERROR(VLOOKUP(B174,Annuaire_roster!B:E,4,0),"-")</f>
        <v/>
      </c>
      <c r="Z174" s="247">
        <f>IFERROR(VLOOKUP(B174,Annuaire_roster!B:F,3,0),"-")</f>
        <v/>
      </c>
      <c r="AA174" s="247">
        <f>IFERROR(VLOOKUP(B174,Annuaire_roster!B:I,6,0),"-")</f>
        <v/>
      </c>
      <c r="AB174" s="248">
        <f>IF(AND(D174="Congé",F174="Congé"),0.333333333333333,IF(OR(AND(D174="Congé",F174&lt;&gt;"Congé"),(AND(F174="Congé",D174&lt;&gt;"Congé"))),0.166666666666667,""))</f>
        <v/>
      </c>
      <c r="AC174" s="248">
        <f>IF(AND(D174="Congé sans solde",F174="Congé sans solde"),0.333333333333333,IF(OR(AND(D174="Congé sans solde",F174&lt;&gt;"Congé sans solde"),(AND(F174="Congé sans solde",D174&lt;&gt;"Congé sans solde"))),0.166666666666667,""))</f>
        <v/>
      </c>
      <c r="AD174" s="248">
        <f>IF(AND(D174="Congé spécial",F174="Congé spécial"),0.333333333333333,IF(OR(AND(D174="Congé spécial",F174&lt;&gt;"Congé décès"),(AND(F174="Congé spécial",D174&lt;&gt;"Congé spécial"))),0.166666666666667,""))</f>
        <v/>
      </c>
      <c r="AE174" s="249">
        <f>IF(AND(D174="Férié",F174="Férié"),0.333333333333333,IF(OR(AND(D174="Férié",F174&lt;&gt;"Férié"),(AND(F174="Férié",D174&lt;&gt;"Férié"))),0.166666666666667,""))</f>
        <v/>
      </c>
      <c r="AF174" s="249" t="n"/>
      <c r="AG174" s="244" t="n"/>
    </row>
    <row r="175" hidden="1" ht="12.75" customHeight="1" s="231">
      <c r="A175" s="232">
        <f>VLOOKUP(B175,Annuaire_roster!B:F,5,0)</f>
        <v/>
      </c>
      <c r="B175" s="233" t="inlineStr">
        <is>
          <t>NUNEZ LUCIEN BERNARD</t>
        </is>
      </c>
      <c r="C175" s="234">
        <f>IFERROR(IF(COUNTIFS(Connexions!$K:$K,$Q175,Connexions!$E:$E,VLOOKUP($B175,Mapping_Noms!$A:$B,2,0))=0,"",_xlfn.MINIFS(Connexions!$M:$M,Connexions!$K:$K,$Q175,Connexions!$E:$E,VLOOKUP($B175,Mapping_Noms!$A:$B,2,0))-TIME(1,0,0)),"")</f>
        <v/>
      </c>
      <c r="D175" s="234">
        <f t="array" ref="D175:D175">IFERROR(INDEX(Planning2[],MATCH(1,(Planning2[Nom]=B175)*(Planning2[Date]=Q175),0),3),"-")</f>
        <v/>
      </c>
      <c r="E175" s="235">
        <f>IFERROR(IF(COUNTIFS(Connexions!$K:$K,$Q175,Connexions!$E:$E,VLOOKUP($B175,Mapping_Noms!$A:$B,2,0))=0,"",_xlfn.MAXIFS(Connexions!$O:$O,Connexions!$K:$K,$Q175,Connexions!$E:$E,VLOOKUP($B175,Mapping_Noms!$A:$B,2,0))-TIME(1,0,0)),"")</f>
        <v/>
      </c>
      <c r="F175" s="235">
        <f t="array" ref="F175:F175">IFERROR(INDEX(Planning2[],MATCH(1,(Planning2[Nom]=B175)*(Planning2[Date]=Q175),0),4),"-")</f>
        <v/>
      </c>
      <c r="G175" s="405">
        <f>IFERROR(IF(OR(IFERROR(INDEX('Planning Pauses Dej'!$C:$C,MATCH($B175&amp;"|"&amp;TEXT($Q175,"YYYYMMDD"),'Planning Pauses Dej'!$F:$F,0)),"")="",IFERROR(INDEX('Planning Pauses Dej'!$D:$D,MATCH($B175&amp;"|"&amp;TEXT($Q175,"YYYYMMDD"),'Planning Pauses Dej'!$F:$F,0)),"")=""),"",_xlfn.MAXIFS(Connexions!$Q:$Q,Connexions!$K:$K,$Q175,Connexions!$E:$E,VLOOKUP($B175,Mapping_Noms!$A:$B,2,0),Connexions!$O:$O,"&lt;="&amp;(IFERROR(INDEX('Planning Pauses Dej'!$D:$D,MATCH($B175&amp;"|"&amp;TEXT($Q175,"YYYYMMDD"),'Planning Pauses Dej'!$F:$F,0)),"")+TIME(1,0,0)),Connexions!$P:$P,"&gt;="&amp;(IFERROR(INDEX('Planning Pauses Dej'!$C:$C,MATCH($B175&amp;"|"&amp;TEXT($Q175,"YYYYMMDD"),'Planning Pauses Dej'!$F:$F,0)),"")+TIME(1,0,0)))),"")</f>
        <v/>
      </c>
      <c r="H175" s="405">
        <f>IFERROR(IF(OR($G175="",IFERROR(INDEX('Planning Pauses Dej'!$C:$C,MATCH($B175&amp;"|"&amp;TEXT($Q175,"YYYYMMDD"),'Planning Pauses Dej'!$F:$F,0)),"")="",IFERROR(INDEX('Planning Pauses Dej'!$D:$D,MATCH($B175&amp;"|"&amp;TEXT($Q175,"YYYYMMDD"),'Planning Pauses Dej'!$F:$F,0)),"")=""),"",IF($G175&gt;(IFERROR(INDEX('Planning Pauses Dej'!$D:$D,MATCH($B175&amp;"|"&amp;TEXT($Q175,"YYYYMMDD"),'Planning Pauses Dej'!$F:$F,0)),"")-IFERROR(INDEX('Planning Pauses Dej'!$C:$C,MATCH($B175&amp;"|"&amp;TEXT($Q175,"YYYYMMDD"),'Planning Pauses Dej'!$F:$F,0)),"")),$G175-(IFERROR(INDEX('Planning Pauses Dej'!$D:$D,MATCH($B175&amp;"|"&amp;TEXT($Q175,"YYYYMMDD"),'Planning Pauses Dej'!$F:$F,0)),"")-IFERROR(INDEX('Planning Pauses Dej'!$C:$C,MATCH($B175&amp;"|"&amp;TEXT($Q175,"YYYYMMDD"),'Planning Pauses Dej'!$F:$F,0)),"")),0)),"")</f>
        <v/>
      </c>
      <c r="I175" s="251">
        <f>IF(IF(OR(C175="",D175="Congé",D175="OFF",D175="Congé spécial"),"",IF(D175&gt;F175,D175-C175,IF(C175-D175&lt;0,0,C175-D175)))&lt;0.00068287037037037,"",IF(OR(D175="Congé",D175="OFF",C175="",D175="Congé spécial"),"",IF(D175&gt;F175,D175-C175,IF(C175-D175&lt;0,0,C175-D175))))</f>
        <v/>
      </c>
      <c r="J175" s="405">
        <f>IFERROR(IF($G175="","",IF($G175&gt;TIME(1,0,0),$G175-TIME(1,0,0),0)),"")</f>
        <v/>
      </c>
      <c r="K175" s="238">
        <f>IF(SUM(H175:J175)&lt;0.00068287037037037,0,SUM(H175:J175))</f>
        <v/>
      </c>
      <c r="L175" s="236">
        <f>IF(OR(F175="Congé",F175="OFF",M175="Abs",F175="Congé sans solde",F175="Férié",F175="Congé spécial",D175="Congé spécial"),0,IF(F175-E175&lt;0,0,IF(F175-E175&lt;=0.00068287037037037,0,F175-E175)))</f>
        <v/>
      </c>
      <c r="M175" s="239">
        <f>IF(AND(O175&lt;&gt;0,C175=""),"Abs",0)</f>
        <v/>
      </c>
      <c r="N175" s="240">
        <f>IFERROR(IF(OR(D175="OFF",D175="Congé",M175="Abs",D175="Congé sans solde",D175="Férié"),"",IF(O175-K175-L175&gt;O175,O175,IF(O175-K175-L175&lt;0,"",O175-K175-L175))),"")</f>
        <v/>
      </c>
      <c r="O175" s="241">
        <f>IF(AG175="2H Pause déjeuner",IF(F175-D175-0.0833333333333333&lt;0,F175-D175-0.0833333333333333+1,F175-D175-0.0833333333333333),IF(OR(AND(F175="OFF",D175="OFF"),AND(F175="Congé",D175="Congé"),AND(F175="Congé sans solde",D175="Congé sans solde"),AND(F175="Congé spécial",D175="Congé spécial"),AND(F175="Férié",D175="Férié"),AND(F175="OFF",D175="Congé"),AND(F175="OFF",D175="Congé sans solde"),AND(F175="OFF",D175="Congé spécial"),AND(F175="OFF",D175="Férié"),AND(F175="Congé",D175="OFF"),AND(F175="Congé",D175="Congé sans solde"),AND(F175="Congé",D175="Congé spécial"),AND(F175="Congé",D175="Férié"),AND(F175="Congé sans solde",D175="OFF"),AND(F175="Congé sans solde",D175="Congé"),AND(F175="Congé sans solde",D175="Congé spécial"),AND(F175="Congé sans solde",D175="Férié"),AND(F175="Congé spécial",D175="OFF"),AND(F175="Congé spécial",D175="Congé"),AND(F175="Congé spécial",D175="Congé sans solde"),AND(F175="Congé spécial",D175="Férié"),AND(F175="Férié",D175="OFF"),AND(F175="Férié",D175="Congé"),AND(F175="Férié",D175="Congé sans solde"),AND(F175="Férié",D175="Congé spécial")),0,IF(OR(F175="OFF",F175="Congé",F175="Congé spécial",F175="Congé sans solde",D175="OFF",D175="Congé",D175="Congé spécial",D175="Congé sans solde"),0.208333333333334,IF(AND(AG175="",F175-D175&lt;0),("24:00:00"-D175)+("00:00:00"+F175)-0.0416666666666667,IF(AND(OR(AG175="Allaitement",AG175="Sans déjeuner"),F175-D175&lt;0),("24:00:00"-D175)+("00:00:00"+F175),IF(AND(AG175="",F175-D175&gt;0.166666666666667),F175-D175-0.0416666666666667,IF(AND(OR(AG175="Allaitement",AG175="Sans déjeuner"),F175-D175&gt;0.166666666666667),F175-D175,F175-D175)))))))</f>
        <v/>
      </c>
      <c r="P175" s="242">
        <f>IFERROR(VLOOKUP($B175,Annuaire_roster!$B:$G,MATCH(P$1,Annuaire_roster!$B$1:$G$1,0),0),"-")</f>
        <v/>
      </c>
      <c r="Q175" s="243" t="n">
        <v>44766</v>
      </c>
      <c r="R175" s="244">
        <f>IF(M175="Abs",O175,0)</f>
        <v/>
      </c>
      <c r="S175" s="244">
        <f>SUM(R175,L175,I175,J175,W175,H175)</f>
        <v/>
      </c>
      <c r="T175" s="209">
        <f>"Sem - "&amp;WEEKNUM(Q175,21)</f>
        <v/>
      </c>
      <c r="U175" s="209">
        <f>PROPER(TEXT(Q175,"mmmm"))</f>
        <v/>
      </c>
      <c r="V175" s="245">
        <f>+TEXT(Q175,"aaa")</f>
        <v/>
      </c>
      <c r="W175" s="240" t="n"/>
      <c r="X175" s="246">
        <f>IFERROR(IF(M175="Abs",0,IF((D175-C175+E175-F175)&lt;0.000694444444444444,0,(D175-C175+E175-F175))),0)</f>
        <v/>
      </c>
      <c r="Y175" s="247">
        <f>IFERROR(VLOOKUP(B175,Annuaire_roster!B:E,4,0),"-")</f>
        <v/>
      </c>
      <c r="Z175" s="247">
        <f>IFERROR(VLOOKUP(B175,Annuaire_roster!B:F,3,0),"-")</f>
        <v/>
      </c>
      <c r="AA175" s="247">
        <f>IFERROR(VLOOKUP(B175,Annuaire_roster!B:I,6,0),"-")</f>
        <v/>
      </c>
      <c r="AB175" s="248">
        <f>IF(AND(D175="Congé",F175="Congé"),0.333333333333333,IF(OR(AND(D175="Congé",F175&lt;&gt;"Congé"),(AND(F175="Congé",D175&lt;&gt;"Congé"))),0.166666666666667,""))</f>
        <v/>
      </c>
      <c r="AC175" s="248">
        <f>IF(AND(D175="Congé sans solde",F175="Congé sans solde"),0.333333333333333,IF(OR(AND(D175="Congé sans solde",F175&lt;&gt;"Congé sans solde"),(AND(F175="Congé sans solde",D175&lt;&gt;"Congé sans solde"))),0.166666666666667,""))</f>
        <v/>
      </c>
      <c r="AD175" s="248">
        <f>IF(AND(D175="Congé spécial",F175="Congé spécial"),0.333333333333333,IF(OR(AND(D175="Congé spécial",F175&lt;&gt;"Congé décès"),(AND(F175="Congé spécial",D175&lt;&gt;"Congé spécial"))),0.166666666666667,""))</f>
        <v/>
      </c>
      <c r="AE175" s="249">
        <f>IF(AND(D175="Férié",F175="Férié"),0.333333333333333,IF(OR(AND(D175="Férié",F175&lt;&gt;"Férié"),(AND(F175="Férié",D175&lt;&gt;"Férié"))),0.166666666666667,""))</f>
        <v/>
      </c>
      <c r="AF175" s="249" t="n"/>
      <c r="AG175" s="244" t="n"/>
    </row>
    <row r="176" hidden="1" ht="12.75" customHeight="1" s="231">
      <c r="A176" s="232">
        <f>VLOOKUP(B176,Annuaire_roster!B:F,5,0)</f>
        <v/>
      </c>
      <c r="B176" s="233" t="inlineStr">
        <is>
          <t>EL HOUSSAINI HOUDA</t>
        </is>
      </c>
      <c r="C176" s="234">
        <f>IFERROR(IF(COUNTIFS(Connexions!$K:$K,$Q176,Connexions!$E:$E,VLOOKUP($B176,Mapping_Noms!$A:$B,2,0))=0,"",_xlfn.MINIFS(Connexions!$M:$M,Connexions!$K:$K,$Q176,Connexions!$E:$E,VLOOKUP($B176,Mapping_Noms!$A:$B,2,0))-TIME(1,0,0)),"")</f>
        <v/>
      </c>
      <c r="D176" s="234">
        <f t="array" ref="D176:D176">IFERROR(INDEX(Planning2[],MATCH(1,(Planning2[Nom]=B176)*(Planning2[Date]=Q176),0),3),"-")</f>
        <v/>
      </c>
      <c r="E176" s="235">
        <f>IFERROR(IF(COUNTIFS(Connexions!$K:$K,$Q176,Connexions!$E:$E,VLOOKUP($B176,Mapping_Noms!$A:$B,2,0))=0,"",_xlfn.MAXIFS(Connexions!$O:$O,Connexions!$K:$K,$Q176,Connexions!$E:$E,VLOOKUP($B176,Mapping_Noms!$A:$B,2,0))-TIME(1,0,0)),"")</f>
        <v/>
      </c>
      <c r="F176" s="235">
        <f t="array" ref="F176:F176">IFERROR(INDEX(Planning2[],MATCH(1,(Planning2[Nom]=B176)*(Planning2[Date]=Q176),0),4),"-")</f>
        <v/>
      </c>
      <c r="G176" s="405">
        <f>IFERROR(IF(OR(IFERROR(INDEX('Planning Pauses Dej'!$C:$C,MATCH($B176&amp;"|"&amp;TEXT($Q176,"YYYYMMDD"),'Planning Pauses Dej'!$F:$F,0)),"")="",IFERROR(INDEX('Planning Pauses Dej'!$D:$D,MATCH($B176&amp;"|"&amp;TEXT($Q176,"YYYYMMDD"),'Planning Pauses Dej'!$F:$F,0)),"")=""),"",_xlfn.MAXIFS(Connexions!$Q:$Q,Connexions!$K:$K,$Q176,Connexions!$E:$E,VLOOKUP($B176,Mapping_Noms!$A:$B,2,0),Connexions!$O:$O,"&lt;="&amp;(IFERROR(INDEX('Planning Pauses Dej'!$D:$D,MATCH($B176&amp;"|"&amp;TEXT($Q176,"YYYYMMDD"),'Planning Pauses Dej'!$F:$F,0)),"")+TIME(1,0,0)),Connexions!$P:$P,"&gt;="&amp;(IFERROR(INDEX('Planning Pauses Dej'!$C:$C,MATCH($B176&amp;"|"&amp;TEXT($Q176,"YYYYMMDD"),'Planning Pauses Dej'!$F:$F,0)),"")+TIME(1,0,0)))),"")</f>
        <v/>
      </c>
      <c r="H176" s="405">
        <f>IFERROR(IF(OR($G176="",IFERROR(INDEX('Planning Pauses Dej'!$C:$C,MATCH($B176&amp;"|"&amp;TEXT($Q176,"YYYYMMDD"),'Planning Pauses Dej'!$F:$F,0)),"")="",IFERROR(INDEX('Planning Pauses Dej'!$D:$D,MATCH($B176&amp;"|"&amp;TEXT($Q176,"YYYYMMDD"),'Planning Pauses Dej'!$F:$F,0)),"")=""),"",IF($G176&gt;(IFERROR(INDEX('Planning Pauses Dej'!$D:$D,MATCH($B176&amp;"|"&amp;TEXT($Q176,"YYYYMMDD"),'Planning Pauses Dej'!$F:$F,0)),"")-IFERROR(INDEX('Planning Pauses Dej'!$C:$C,MATCH($B176&amp;"|"&amp;TEXT($Q176,"YYYYMMDD"),'Planning Pauses Dej'!$F:$F,0)),"")),$G176-(IFERROR(INDEX('Planning Pauses Dej'!$D:$D,MATCH($B176&amp;"|"&amp;TEXT($Q176,"YYYYMMDD"),'Planning Pauses Dej'!$F:$F,0)),"")-IFERROR(INDEX('Planning Pauses Dej'!$C:$C,MATCH($B176&amp;"|"&amp;TEXT($Q176,"YYYYMMDD"),'Planning Pauses Dej'!$F:$F,0)),"")),0)),"")</f>
        <v/>
      </c>
      <c r="I176" s="251">
        <f>IF(IF(OR(C176="",D176="Congé",D176="OFF",D176="Congé spécial"),"",IF(D176&gt;F176,D176-C176,IF(C176-D176&lt;0,0,C176-D176)))&lt;0.00068287037037037,"",IF(OR(D176="Congé",D176="OFF",C176="",D176="Congé spécial"),"",IF(D176&gt;F176,D176-C176,IF(C176-D176&lt;0,0,C176-D176))))</f>
        <v/>
      </c>
      <c r="J176" s="405">
        <f>IFERROR(IF($G176="","",IF($G176&gt;TIME(1,0,0),$G176-TIME(1,0,0),0)),"")</f>
        <v/>
      </c>
      <c r="K176" s="238">
        <f>IF(SUM(H176:J176)&lt;0.00068287037037037,0,SUM(H176:J176))</f>
        <v/>
      </c>
      <c r="L176" s="236">
        <f>IF(OR(F176="Congé",F176="OFF",M176="Abs",F176="Congé sans solde",F176="Férié",F176="Congé spécial",D176="Congé spécial"),0,IF(F176-E176&lt;0,0,IF(F176-E176&lt;=0.00068287037037037,0,F176-E176)))</f>
        <v/>
      </c>
      <c r="M176" s="239">
        <f>IF(AND(O176&lt;&gt;0,C176=""),"Abs",0)</f>
        <v/>
      </c>
      <c r="N176" s="240">
        <f>IFERROR(IF(OR(D176="OFF",D176="Congé",M176="Abs",D176="Congé sans solde",D176="Férié"),"",IF(O176-K176-L176&gt;O176,O176,IF(O176-K176-L176&lt;0,"",O176-K176-L176))),"")</f>
        <v/>
      </c>
      <c r="O176" s="241">
        <f>IF(AG176="2H Pause déjeuner",IF(F176-D176-0.0833333333333333&lt;0,F176-D176-0.0833333333333333+1,F176-D176-0.0833333333333333),IF(OR(AND(F176="OFF",D176="OFF"),AND(F176="Congé",D176="Congé"),AND(F176="Congé sans solde",D176="Congé sans solde"),AND(F176="Congé spécial",D176="Congé spécial"),AND(F176="Férié",D176="Férié"),AND(F176="OFF",D176="Congé"),AND(F176="OFF",D176="Congé sans solde"),AND(F176="OFF",D176="Congé spécial"),AND(F176="OFF",D176="Férié"),AND(F176="Congé",D176="OFF"),AND(F176="Congé",D176="Congé sans solde"),AND(F176="Congé",D176="Congé spécial"),AND(F176="Congé",D176="Férié"),AND(F176="Congé sans solde",D176="OFF"),AND(F176="Congé sans solde",D176="Congé"),AND(F176="Congé sans solde",D176="Congé spécial"),AND(F176="Congé sans solde",D176="Férié"),AND(F176="Congé spécial",D176="OFF"),AND(F176="Congé spécial",D176="Congé"),AND(F176="Congé spécial",D176="Congé sans solde"),AND(F176="Congé spécial",D176="Férié"),AND(F176="Férié",D176="OFF"),AND(F176="Férié",D176="Congé"),AND(F176="Férié",D176="Congé sans solde"),AND(F176="Férié",D176="Congé spécial")),0,IF(OR(F176="OFF",F176="Congé",F176="Congé spécial",F176="Congé sans solde",D176="OFF",D176="Congé",D176="Congé spécial",D176="Congé sans solde"),0.208333333333334,IF(AND(AG176="",F176-D176&lt;0),("24:00:00"-D176)+("00:00:00"+F176)-0.0416666666666667,IF(AND(OR(AG176="Allaitement",AG176="Sans déjeuner"),F176-D176&lt;0),("24:00:00"-D176)+("00:00:00"+F176),IF(AND(AG176="",F176-D176&gt;0.166666666666667),F176-D176-0.0416666666666667,IF(AND(OR(AG176="Allaitement",AG176="Sans déjeuner"),F176-D176&gt;0.166666666666667),F176-D176,F176-D176)))))))</f>
        <v/>
      </c>
      <c r="P176" s="242">
        <f>IFERROR(VLOOKUP($B176,Annuaire_roster!$B:$G,MATCH(P$1,Annuaire_roster!$B$1:$G$1,0),0),"-")</f>
        <v/>
      </c>
      <c r="Q176" s="243" t="n">
        <v>44766</v>
      </c>
      <c r="R176" s="244">
        <f>IF(M176="Abs",O176,0)</f>
        <v/>
      </c>
      <c r="S176" s="244">
        <f>SUM(R176,L176,I176,J176,W176,H176)</f>
        <v/>
      </c>
      <c r="T176" s="209">
        <f>"Sem - "&amp;WEEKNUM(Q176,21)</f>
        <v/>
      </c>
      <c r="U176" s="209">
        <f>PROPER(TEXT(Q176,"mmmm"))</f>
        <v/>
      </c>
      <c r="V176" s="245">
        <f>+TEXT(Q176,"aaa")</f>
        <v/>
      </c>
      <c r="W176" s="240" t="n"/>
      <c r="X176" s="246">
        <f>IFERROR(IF(M176="Abs",0,IF((D176-C176+E176-F176)&lt;0.000694444444444444,0,(D176-C176+E176-F176))),0)</f>
        <v/>
      </c>
      <c r="Y176" s="247">
        <f>IFERROR(VLOOKUP(B176,Annuaire_roster!B:E,4,0),"-")</f>
        <v/>
      </c>
      <c r="Z176" s="247">
        <f>IFERROR(VLOOKUP(B176,Annuaire_roster!B:F,3,0),"-")</f>
        <v/>
      </c>
      <c r="AA176" s="247">
        <f>IFERROR(VLOOKUP(B176,Annuaire_roster!B:I,6,0),"-")</f>
        <v/>
      </c>
      <c r="AB176" s="248">
        <f>IF(AND(D176="Congé",F176="Congé"),0.333333333333333,IF(OR(AND(D176="Congé",F176&lt;&gt;"Congé"),(AND(F176="Congé",D176&lt;&gt;"Congé"))),0.166666666666667,""))</f>
        <v/>
      </c>
      <c r="AC176" s="248">
        <f>IF(AND(D176="Congé sans solde",F176="Congé sans solde"),0.333333333333333,IF(OR(AND(D176="Congé sans solde",F176&lt;&gt;"Congé sans solde"),(AND(F176="Congé sans solde",D176&lt;&gt;"Congé sans solde"))),0.166666666666667,""))</f>
        <v/>
      </c>
      <c r="AD176" s="248">
        <f>IF(AND(D176="Congé spécial",F176="Congé spécial"),0.333333333333333,IF(OR(AND(D176="Congé spécial",F176&lt;&gt;"Congé décès"),(AND(F176="Congé spécial",D176&lt;&gt;"Congé spécial"))),0.166666666666667,""))</f>
        <v/>
      </c>
      <c r="AE176" s="249">
        <f>IF(AND(D176="Férié",F176="Férié"),0.333333333333333,IF(OR(AND(D176="Férié",F176&lt;&gt;"Férié"),(AND(F176="Férié",D176&lt;&gt;"Férié"))),0.166666666666667,""))</f>
        <v/>
      </c>
      <c r="AF176" s="249" t="n"/>
      <c r="AG176" s="244" t="n"/>
    </row>
    <row r="177" hidden="1" ht="12.75" customHeight="1" s="231">
      <c r="A177" s="232">
        <f>VLOOKUP(B177,Annuaire_roster!B:F,5,0)</f>
        <v/>
      </c>
      <c r="B177" s="233" t="inlineStr">
        <is>
          <t>DIOUF OUSSMANE</t>
        </is>
      </c>
      <c r="C177" s="234">
        <f>IFERROR(IF(COUNTIFS(Connexions!$K:$K,$Q177,Connexions!$E:$E,VLOOKUP($B177,Mapping_Noms!$A:$B,2,0))=0,"",_xlfn.MINIFS(Connexions!$M:$M,Connexions!$K:$K,$Q177,Connexions!$E:$E,VLOOKUP($B177,Mapping_Noms!$A:$B,2,0))-TIME(1,0,0)),"")</f>
        <v/>
      </c>
      <c r="D177" s="234">
        <f t="array" ref="D177:D177">IFERROR(INDEX(Planning2[],MATCH(1,(Planning2[Nom]=B177)*(Planning2[Date]=Q177),0),3),"-")</f>
        <v/>
      </c>
      <c r="E177" s="235">
        <f>IFERROR(IF(COUNTIFS(Connexions!$K:$K,$Q177,Connexions!$E:$E,VLOOKUP($B177,Mapping_Noms!$A:$B,2,0))=0,"",_xlfn.MAXIFS(Connexions!$O:$O,Connexions!$K:$K,$Q177,Connexions!$E:$E,VLOOKUP($B177,Mapping_Noms!$A:$B,2,0))-TIME(1,0,0)),"")</f>
        <v/>
      </c>
      <c r="F177" s="235">
        <f t="array" ref="F177:F177">IFERROR(INDEX(Planning2[],MATCH(1,(Planning2[Nom]=B177)*(Planning2[Date]=Q177),0),4),"-")</f>
        <v/>
      </c>
      <c r="G177" s="405">
        <f>IFERROR(IF(OR(IFERROR(INDEX('Planning Pauses Dej'!$C:$C,MATCH($B177&amp;"|"&amp;TEXT($Q177,"YYYYMMDD"),'Planning Pauses Dej'!$F:$F,0)),"")="",IFERROR(INDEX('Planning Pauses Dej'!$D:$D,MATCH($B177&amp;"|"&amp;TEXT($Q177,"YYYYMMDD"),'Planning Pauses Dej'!$F:$F,0)),"")=""),"",_xlfn.MAXIFS(Connexions!$Q:$Q,Connexions!$K:$K,$Q177,Connexions!$E:$E,VLOOKUP($B177,Mapping_Noms!$A:$B,2,0),Connexions!$O:$O,"&lt;="&amp;(IFERROR(INDEX('Planning Pauses Dej'!$D:$D,MATCH($B177&amp;"|"&amp;TEXT($Q177,"YYYYMMDD"),'Planning Pauses Dej'!$F:$F,0)),"")+TIME(1,0,0)),Connexions!$P:$P,"&gt;="&amp;(IFERROR(INDEX('Planning Pauses Dej'!$C:$C,MATCH($B177&amp;"|"&amp;TEXT($Q177,"YYYYMMDD"),'Planning Pauses Dej'!$F:$F,0)),"")+TIME(1,0,0)))),"")</f>
        <v/>
      </c>
      <c r="H177" s="405">
        <f>IFERROR(IF(OR($G177="",IFERROR(INDEX('Planning Pauses Dej'!$C:$C,MATCH($B177&amp;"|"&amp;TEXT($Q177,"YYYYMMDD"),'Planning Pauses Dej'!$F:$F,0)),"")="",IFERROR(INDEX('Planning Pauses Dej'!$D:$D,MATCH($B177&amp;"|"&amp;TEXT($Q177,"YYYYMMDD"),'Planning Pauses Dej'!$F:$F,0)),"")=""),"",IF($G177&gt;(IFERROR(INDEX('Planning Pauses Dej'!$D:$D,MATCH($B177&amp;"|"&amp;TEXT($Q177,"YYYYMMDD"),'Planning Pauses Dej'!$F:$F,0)),"")-IFERROR(INDEX('Planning Pauses Dej'!$C:$C,MATCH($B177&amp;"|"&amp;TEXT($Q177,"YYYYMMDD"),'Planning Pauses Dej'!$F:$F,0)),"")),$G177-(IFERROR(INDEX('Planning Pauses Dej'!$D:$D,MATCH($B177&amp;"|"&amp;TEXT($Q177,"YYYYMMDD"),'Planning Pauses Dej'!$F:$F,0)),"")-IFERROR(INDEX('Planning Pauses Dej'!$C:$C,MATCH($B177&amp;"|"&amp;TEXT($Q177,"YYYYMMDD"),'Planning Pauses Dej'!$F:$F,0)),"")),0)),"")</f>
        <v/>
      </c>
      <c r="I177" s="251">
        <f>IF(IF(OR(C177="",D177="Congé",D177="OFF",D177="Congé spécial"),"",IF(D177&gt;F177,D177-C177,IF(C177-D177&lt;0,0,C177-D177)))&lt;0.00068287037037037,"",IF(OR(D177="Congé",D177="OFF",C177="",D177="Congé spécial"),"",IF(D177&gt;F177,D177-C177,IF(C177-D177&lt;0,0,C177-D177))))</f>
        <v/>
      </c>
      <c r="J177" s="405">
        <f>IFERROR(IF($G177="","",IF($G177&gt;TIME(1,0,0),$G177-TIME(1,0,0),0)),"")</f>
        <v/>
      </c>
      <c r="K177" s="238">
        <f>IF(SUM(H177:J177)&lt;0.00068287037037037,0,SUM(H177:J177))</f>
        <v/>
      </c>
      <c r="L177" s="236">
        <f>IF(OR(F177="Congé",F177="OFF",M177="Abs",F177="Congé sans solde",F177="Férié",F177="Congé spécial",D177="Congé spécial"),0,IF(F177-E177&lt;0,0,IF(F177-E177&lt;=0.00068287037037037,0,F177-E177)))</f>
        <v/>
      </c>
      <c r="M177" s="239">
        <f>IF(AND(O177&lt;&gt;0,C177=""),"Abs",0)</f>
        <v/>
      </c>
      <c r="N177" s="240">
        <f>IFERROR(IF(OR(D177="OFF",D177="Congé",M177="Abs",D177="Congé sans solde",D177="Férié"),"",IF(O177-K177-L177&gt;O177,O177,IF(O177-K177-L177&lt;0,"",O177-K177-L177))),"")</f>
        <v/>
      </c>
      <c r="O177" s="241">
        <f>IF(AG177="2H Pause déjeuner",IF(F177-D177-0.0833333333333333&lt;0,F177-D177-0.0833333333333333+1,F177-D177-0.0833333333333333),IF(OR(AND(F177="OFF",D177="OFF"),AND(F177="Congé",D177="Congé"),AND(F177="Congé sans solde",D177="Congé sans solde"),AND(F177="Congé spécial",D177="Congé spécial"),AND(F177="Férié",D177="Férié"),AND(F177="OFF",D177="Congé"),AND(F177="OFF",D177="Congé sans solde"),AND(F177="OFF",D177="Congé spécial"),AND(F177="OFF",D177="Férié"),AND(F177="Congé",D177="OFF"),AND(F177="Congé",D177="Congé sans solde"),AND(F177="Congé",D177="Congé spécial"),AND(F177="Congé",D177="Férié"),AND(F177="Congé sans solde",D177="OFF"),AND(F177="Congé sans solde",D177="Congé"),AND(F177="Congé sans solde",D177="Congé spécial"),AND(F177="Congé sans solde",D177="Férié"),AND(F177="Congé spécial",D177="OFF"),AND(F177="Congé spécial",D177="Congé"),AND(F177="Congé spécial",D177="Congé sans solde"),AND(F177="Congé spécial",D177="Férié"),AND(F177="Férié",D177="OFF"),AND(F177="Férié",D177="Congé"),AND(F177="Férié",D177="Congé sans solde"),AND(F177="Férié",D177="Congé spécial")),0,IF(OR(F177="OFF",F177="Congé",F177="Congé spécial",F177="Congé sans solde",D177="OFF",D177="Congé",D177="Congé spécial",D177="Congé sans solde"),0.208333333333334,IF(AND(AG177="",F177-D177&lt;0),("24:00:00"-D177)+("00:00:00"+F177)-0.0416666666666667,IF(AND(OR(AG177="Allaitement",AG177="Sans déjeuner"),F177-D177&lt;0),("24:00:00"-D177)+("00:00:00"+F177),IF(AND(AG177="",F177-D177&gt;0.166666666666667),F177-D177-0.0416666666666667,IF(AND(OR(AG177="Allaitement",AG177="Sans déjeuner"),F177-D177&gt;0.166666666666667),F177-D177,F177-D177)))))))</f>
        <v/>
      </c>
      <c r="P177" s="242">
        <f>IFERROR(VLOOKUP($B177,Annuaire_roster!$B:$G,MATCH(P$1,Annuaire_roster!$B$1:$G$1,0),0),"-")</f>
        <v/>
      </c>
      <c r="Q177" s="243" t="n">
        <v>44766</v>
      </c>
      <c r="R177" s="244">
        <f>IF(M177="Abs",O177,0)</f>
        <v/>
      </c>
      <c r="S177" s="244">
        <f>SUM(R177,L177,I177,J177,W177,H177)</f>
        <v/>
      </c>
      <c r="T177" s="209">
        <f>"Sem - "&amp;WEEKNUM(Q177,21)</f>
        <v/>
      </c>
      <c r="U177" s="209">
        <f>PROPER(TEXT(Q177,"mmmm"))</f>
        <v/>
      </c>
      <c r="V177" s="245">
        <f>+TEXT(Q177,"aaa")</f>
        <v/>
      </c>
      <c r="W177" s="240" t="n"/>
      <c r="X177" s="246">
        <f>IFERROR(IF(M177="Abs",0,IF((D177-C177+E177-F177)&lt;0.000694444444444444,0,(D177-C177+E177-F177))),0)</f>
        <v/>
      </c>
      <c r="Y177" s="247">
        <f>IFERROR(VLOOKUP(B177,Annuaire_roster!B:E,4,0),"-")</f>
        <v/>
      </c>
      <c r="Z177" s="247">
        <f>IFERROR(VLOOKUP(B177,Annuaire_roster!B:F,3,0),"-")</f>
        <v/>
      </c>
      <c r="AA177" s="247">
        <f>IFERROR(VLOOKUP(B177,Annuaire_roster!B:I,6,0),"-")</f>
        <v/>
      </c>
      <c r="AB177" s="248">
        <f>IF(AND(D177="Congé",F177="Congé"),0.333333333333333,IF(OR(AND(D177="Congé",F177&lt;&gt;"Congé"),(AND(F177="Congé",D177&lt;&gt;"Congé"))),0.166666666666667,""))</f>
        <v/>
      </c>
      <c r="AC177" s="248">
        <f>IF(AND(D177="Congé sans solde",F177="Congé sans solde"),0.333333333333333,IF(OR(AND(D177="Congé sans solde",F177&lt;&gt;"Congé sans solde"),(AND(F177="Congé sans solde",D177&lt;&gt;"Congé sans solde"))),0.166666666666667,""))</f>
        <v/>
      </c>
      <c r="AD177" s="248">
        <f>IF(AND(D177="Congé spécial",F177="Congé spécial"),0.333333333333333,IF(OR(AND(D177="Congé spécial",F177&lt;&gt;"Congé décès"),(AND(F177="Congé spécial",D177&lt;&gt;"Congé spécial"))),0.166666666666667,""))</f>
        <v/>
      </c>
      <c r="AE177" s="249">
        <f>IF(AND(D177="Férié",F177="Férié"),0.333333333333333,IF(OR(AND(D177="Férié",F177&lt;&gt;"Férié"),(AND(F177="Férié",D177&lt;&gt;"Férié"))),0.166666666666667,""))</f>
        <v/>
      </c>
      <c r="AF177" s="249" t="n"/>
      <c r="AG177" s="244" t="n"/>
    </row>
    <row r="178" hidden="1" ht="12.75" customHeight="1" s="231">
      <c r="A178" s="232">
        <f>VLOOKUP(B178,Annuaire_roster!B:F,5,0)</f>
        <v/>
      </c>
      <c r="B178" s="233" t="inlineStr">
        <is>
          <t>AIT LARBI HIND</t>
        </is>
      </c>
      <c r="C178" s="234">
        <f>IFERROR(IF(COUNTIFS(Connexions!$K:$K,$Q178,Connexions!$E:$E,VLOOKUP($B178,Mapping_Noms!$A:$B,2,0))=0,"",_xlfn.MINIFS(Connexions!$M:$M,Connexions!$K:$K,$Q178,Connexions!$E:$E,VLOOKUP($B178,Mapping_Noms!$A:$B,2,0))-TIME(1,0,0)),"")</f>
        <v/>
      </c>
      <c r="D178" s="234">
        <f t="array" ref="D178:D178">IFERROR(INDEX(Planning2[],MATCH(1,(Planning2[Nom]=B178)*(Planning2[Date]=Q178),0),3),"-")</f>
        <v/>
      </c>
      <c r="E178" s="235">
        <f>IFERROR(IF(COUNTIFS(Connexions!$K:$K,$Q178,Connexions!$E:$E,VLOOKUP($B178,Mapping_Noms!$A:$B,2,0))=0,"",_xlfn.MAXIFS(Connexions!$O:$O,Connexions!$K:$K,$Q178,Connexions!$E:$E,VLOOKUP($B178,Mapping_Noms!$A:$B,2,0))-TIME(1,0,0)),"")</f>
        <v/>
      </c>
      <c r="F178" s="235">
        <f t="array" ref="F178:F178">IFERROR(INDEX(Planning2[],MATCH(1,(Planning2[Nom]=B178)*(Planning2[Date]=Q178),0),4),"-")</f>
        <v/>
      </c>
      <c r="G178" s="405">
        <f>IFERROR(IF(OR(IFERROR(INDEX('Planning Pauses Dej'!$C:$C,MATCH($B178&amp;"|"&amp;TEXT($Q178,"YYYYMMDD"),'Planning Pauses Dej'!$F:$F,0)),"")="",IFERROR(INDEX('Planning Pauses Dej'!$D:$D,MATCH($B178&amp;"|"&amp;TEXT($Q178,"YYYYMMDD"),'Planning Pauses Dej'!$F:$F,0)),"")=""),"",_xlfn.MAXIFS(Connexions!$Q:$Q,Connexions!$K:$K,$Q178,Connexions!$E:$E,VLOOKUP($B178,Mapping_Noms!$A:$B,2,0),Connexions!$O:$O,"&lt;="&amp;(IFERROR(INDEX('Planning Pauses Dej'!$D:$D,MATCH($B178&amp;"|"&amp;TEXT($Q178,"YYYYMMDD"),'Planning Pauses Dej'!$F:$F,0)),"")+TIME(1,0,0)),Connexions!$P:$P,"&gt;="&amp;(IFERROR(INDEX('Planning Pauses Dej'!$C:$C,MATCH($B178&amp;"|"&amp;TEXT($Q178,"YYYYMMDD"),'Planning Pauses Dej'!$F:$F,0)),"")+TIME(1,0,0)))),"")</f>
        <v/>
      </c>
      <c r="H178" s="405">
        <f>IFERROR(IF(OR($G178="",IFERROR(INDEX('Planning Pauses Dej'!$C:$C,MATCH($B178&amp;"|"&amp;TEXT($Q178,"YYYYMMDD"),'Planning Pauses Dej'!$F:$F,0)),"")="",IFERROR(INDEX('Planning Pauses Dej'!$D:$D,MATCH($B178&amp;"|"&amp;TEXT($Q178,"YYYYMMDD"),'Planning Pauses Dej'!$F:$F,0)),"")=""),"",IF($G178&gt;(IFERROR(INDEX('Planning Pauses Dej'!$D:$D,MATCH($B178&amp;"|"&amp;TEXT($Q178,"YYYYMMDD"),'Planning Pauses Dej'!$F:$F,0)),"")-IFERROR(INDEX('Planning Pauses Dej'!$C:$C,MATCH($B178&amp;"|"&amp;TEXT($Q178,"YYYYMMDD"),'Planning Pauses Dej'!$F:$F,0)),"")),$G178-(IFERROR(INDEX('Planning Pauses Dej'!$D:$D,MATCH($B178&amp;"|"&amp;TEXT($Q178,"YYYYMMDD"),'Planning Pauses Dej'!$F:$F,0)),"")-IFERROR(INDEX('Planning Pauses Dej'!$C:$C,MATCH($B178&amp;"|"&amp;TEXT($Q178,"YYYYMMDD"),'Planning Pauses Dej'!$F:$F,0)),"")),0)),"")</f>
        <v/>
      </c>
      <c r="I178" s="251">
        <f>IF(IF(OR(C178="",D178="Congé",D178="OFF",D178="Congé spécial"),"",IF(D178&gt;F178,D178-C178,IF(C178-D178&lt;0,0,C178-D178)))&lt;0.00068287037037037,"",IF(OR(D178="Congé",D178="OFF",C178="",D178="Congé spécial"),"",IF(D178&gt;F178,D178-C178,IF(C178-D178&lt;0,0,C178-D178))))</f>
        <v/>
      </c>
      <c r="J178" s="405">
        <f>IFERROR(IF($G178="","",IF($G178&gt;TIME(1,0,0),$G178-TIME(1,0,0),0)),"")</f>
        <v/>
      </c>
      <c r="K178" s="238">
        <f>IF(SUM(H178:J178)&lt;0.00068287037037037,0,SUM(H178:J178))</f>
        <v/>
      </c>
      <c r="L178" s="236">
        <f>IF(OR(F178="Congé",F178="OFF",M178="Abs",F178="Congé sans solde",F178="Férié",F178="Congé spécial",D178="Congé spécial"),0,IF(F178-E178&lt;0,0,IF(F178-E178&lt;=0.00068287037037037,0,F178-E178)))</f>
        <v/>
      </c>
      <c r="M178" s="239">
        <f>IF(AND(O178&lt;&gt;0,C178=""),"Abs",0)</f>
        <v/>
      </c>
      <c r="N178" s="240">
        <f>IFERROR(IF(OR(D178="OFF",D178="Congé",M178="Abs",D178="Congé sans solde",D178="Férié"),"",IF(O178-K178-L178&gt;O178,O178,IF(O178-K178-L178&lt;0,"",O178-K178-L178))),"")</f>
        <v/>
      </c>
      <c r="O178" s="241">
        <f>IF(AG178="2H Pause déjeuner",IF(F178-D178-0.0833333333333333&lt;0,F178-D178-0.0833333333333333+1,F178-D178-0.0833333333333333),IF(OR(AND(F178="OFF",D178="OFF"),AND(F178="Congé",D178="Congé"),AND(F178="Congé sans solde",D178="Congé sans solde"),AND(F178="Congé spécial",D178="Congé spécial"),AND(F178="Férié",D178="Férié"),AND(F178="OFF",D178="Congé"),AND(F178="OFF",D178="Congé sans solde"),AND(F178="OFF",D178="Congé spécial"),AND(F178="OFF",D178="Férié"),AND(F178="Congé",D178="OFF"),AND(F178="Congé",D178="Congé sans solde"),AND(F178="Congé",D178="Congé spécial"),AND(F178="Congé",D178="Férié"),AND(F178="Congé sans solde",D178="OFF"),AND(F178="Congé sans solde",D178="Congé"),AND(F178="Congé sans solde",D178="Congé spécial"),AND(F178="Congé sans solde",D178="Férié"),AND(F178="Congé spécial",D178="OFF"),AND(F178="Congé spécial",D178="Congé"),AND(F178="Congé spécial",D178="Congé sans solde"),AND(F178="Congé spécial",D178="Férié"),AND(F178="Férié",D178="OFF"),AND(F178="Férié",D178="Congé"),AND(F178="Férié",D178="Congé sans solde"),AND(F178="Férié",D178="Congé spécial")),0,IF(OR(F178="OFF",F178="Congé",F178="Congé spécial",F178="Congé sans solde",D178="OFF",D178="Congé",D178="Congé spécial",D178="Congé sans solde"),0.208333333333334,IF(AND(AG178="",F178-D178&lt;0),("24:00:00"-D178)+("00:00:00"+F178)-0.0416666666666667,IF(AND(OR(AG178="Allaitement",AG178="Sans déjeuner"),F178-D178&lt;0),("24:00:00"-D178)+("00:00:00"+F178),IF(AND(AG178="",F178-D178&gt;0.166666666666667),F178-D178-0.0416666666666667,IF(AND(OR(AG178="Allaitement",AG178="Sans déjeuner"),F178-D178&gt;0.166666666666667),F178-D178,F178-D178)))))))</f>
        <v/>
      </c>
      <c r="P178" s="242">
        <f>IFERROR(VLOOKUP($B178,Annuaire_roster!$B:$G,MATCH(P$1,Annuaire_roster!$B$1:$G$1,0),0),"-")</f>
        <v/>
      </c>
      <c r="Q178" s="243" t="n">
        <v>44766</v>
      </c>
      <c r="R178" s="244">
        <f>IF(M178="Abs",O178,0)</f>
        <v/>
      </c>
      <c r="S178" s="244">
        <f>SUM(R178,L178,I178,J178,W178,H178)</f>
        <v/>
      </c>
      <c r="T178" s="209">
        <f>"Sem - "&amp;WEEKNUM(Q178,21)</f>
        <v/>
      </c>
      <c r="U178" s="209">
        <f>PROPER(TEXT(Q178,"mmmm"))</f>
        <v/>
      </c>
      <c r="V178" s="245">
        <f>+TEXT(Q178,"aaa")</f>
        <v/>
      </c>
      <c r="W178" s="240" t="n"/>
      <c r="X178" s="246">
        <f>IFERROR(IF(M178="Abs",0,IF((D178-C178+E178-F178)&lt;0.000694444444444444,0,(D178-C178+E178-F178))),0)</f>
        <v/>
      </c>
      <c r="Y178" s="247">
        <f>IFERROR(VLOOKUP(B178,Annuaire_roster!B:E,4,0),"-")</f>
        <v/>
      </c>
      <c r="Z178" s="247">
        <f>IFERROR(VLOOKUP(B178,Annuaire_roster!B:F,3,0),"-")</f>
        <v/>
      </c>
      <c r="AA178" s="247">
        <f>IFERROR(VLOOKUP(B178,Annuaire_roster!B:I,6,0),"-")</f>
        <v/>
      </c>
      <c r="AB178" s="248">
        <f>IF(AND(D178="Congé",F178="Congé"),0.333333333333333,IF(OR(AND(D178="Congé",F178&lt;&gt;"Congé"),(AND(F178="Congé",D178&lt;&gt;"Congé"))),0.166666666666667,""))</f>
        <v/>
      </c>
      <c r="AC178" s="248">
        <f>IF(AND(D178="Congé sans solde",F178="Congé sans solde"),0.333333333333333,IF(OR(AND(D178="Congé sans solde",F178&lt;&gt;"Congé sans solde"),(AND(F178="Congé sans solde",D178&lt;&gt;"Congé sans solde"))),0.166666666666667,""))</f>
        <v/>
      </c>
      <c r="AD178" s="248">
        <f>IF(AND(D178="Congé spécial",F178="Congé spécial"),0.333333333333333,IF(OR(AND(D178="Congé spécial",F178&lt;&gt;"Congé décès"),(AND(F178="Congé spécial",D178&lt;&gt;"Congé spécial"))),0.166666666666667,""))</f>
        <v/>
      </c>
      <c r="AE178" s="249">
        <f>IF(AND(D178="Férié",F178="Férié"),0.333333333333333,IF(OR(AND(D178="Férié",F178&lt;&gt;"Férié"),(AND(F178="Férié",D178&lt;&gt;"Férié"))),0.166666666666667,""))</f>
        <v/>
      </c>
      <c r="AF178" s="249" t="n"/>
      <c r="AG178" s="244" t="n"/>
    </row>
    <row r="179" hidden="1" ht="12.75" customHeight="1" s="231">
      <c r="A179" s="232">
        <f>VLOOKUP(B179,Annuaire_roster!B:F,5,0)</f>
        <v/>
      </c>
      <c r="B179" s="233" t="inlineStr">
        <is>
          <t>NEMMAOUI MOUNIRA</t>
        </is>
      </c>
      <c r="C179" s="234">
        <f>IFERROR(IF(COUNTIFS(Connexions!$K:$K,$Q179,Connexions!$E:$E,VLOOKUP($B179,Mapping_Noms!$A:$B,2,0))=0,"",_xlfn.MINIFS(Connexions!$M:$M,Connexions!$K:$K,$Q179,Connexions!$E:$E,VLOOKUP($B179,Mapping_Noms!$A:$B,2,0))-TIME(1,0,0)),"")</f>
        <v/>
      </c>
      <c r="D179" s="234">
        <f t="array" ref="D179:D179">IFERROR(INDEX(Planning2[],MATCH(1,(Planning2[Nom]=B179)*(Planning2[Date]=Q179),0),3),"-")</f>
        <v/>
      </c>
      <c r="E179" s="235">
        <f>IFERROR(IF(COUNTIFS(Connexions!$K:$K,$Q179,Connexions!$E:$E,VLOOKUP($B179,Mapping_Noms!$A:$B,2,0))=0,"",_xlfn.MAXIFS(Connexions!$O:$O,Connexions!$K:$K,$Q179,Connexions!$E:$E,VLOOKUP($B179,Mapping_Noms!$A:$B,2,0))-TIME(1,0,0)),"")</f>
        <v/>
      </c>
      <c r="F179" s="235">
        <f t="array" ref="F179:F179">IFERROR(INDEX(Planning2[],MATCH(1,(Planning2[Nom]=B179)*(Planning2[Date]=Q179),0),4),"-")</f>
        <v/>
      </c>
      <c r="G179" s="405">
        <f>IFERROR(IF(OR(IFERROR(INDEX('Planning Pauses Dej'!$C:$C,MATCH($B179&amp;"|"&amp;TEXT($Q179,"YYYYMMDD"),'Planning Pauses Dej'!$F:$F,0)),"")="",IFERROR(INDEX('Planning Pauses Dej'!$D:$D,MATCH($B179&amp;"|"&amp;TEXT($Q179,"YYYYMMDD"),'Planning Pauses Dej'!$F:$F,0)),"")=""),"",_xlfn.MAXIFS(Connexions!$Q:$Q,Connexions!$K:$K,$Q179,Connexions!$E:$E,VLOOKUP($B179,Mapping_Noms!$A:$B,2,0),Connexions!$O:$O,"&lt;="&amp;(IFERROR(INDEX('Planning Pauses Dej'!$D:$D,MATCH($B179&amp;"|"&amp;TEXT($Q179,"YYYYMMDD"),'Planning Pauses Dej'!$F:$F,0)),"")+TIME(1,0,0)),Connexions!$P:$P,"&gt;="&amp;(IFERROR(INDEX('Planning Pauses Dej'!$C:$C,MATCH($B179&amp;"|"&amp;TEXT($Q179,"YYYYMMDD"),'Planning Pauses Dej'!$F:$F,0)),"")+TIME(1,0,0)))),"")</f>
        <v/>
      </c>
      <c r="H179" s="405">
        <f>IFERROR(IF(OR($G179="",IFERROR(INDEX('Planning Pauses Dej'!$C:$C,MATCH($B179&amp;"|"&amp;TEXT($Q179,"YYYYMMDD"),'Planning Pauses Dej'!$F:$F,0)),"")="",IFERROR(INDEX('Planning Pauses Dej'!$D:$D,MATCH($B179&amp;"|"&amp;TEXT($Q179,"YYYYMMDD"),'Planning Pauses Dej'!$F:$F,0)),"")=""),"",IF($G179&gt;(IFERROR(INDEX('Planning Pauses Dej'!$D:$D,MATCH($B179&amp;"|"&amp;TEXT($Q179,"YYYYMMDD"),'Planning Pauses Dej'!$F:$F,0)),"")-IFERROR(INDEX('Planning Pauses Dej'!$C:$C,MATCH($B179&amp;"|"&amp;TEXT($Q179,"YYYYMMDD"),'Planning Pauses Dej'!$F:$F,0)),"")),$G179-(IFERROR(INDEX('Planning Pauses Dej'!$D:$D,MATCH($B179&amp;"|"&amp;TEXT($Q179,"YYYYMMDD"),'Planning Pauses Dej'!$F:$F,0)),"")-IFERROR(INDEX('Planning Pauses Dej'!$C:$C,MATCH($B179&amp;"|"&amp;TEXT($Q179,"YYYYMMDD"),'Planning Pauses Dej'!$F:$F,0)),"")),0)),"")</f>
        <v/>
      </c>
      <c r="I179" s="251">
        <f>IF(IF(OR(C179="",D179="Congé",D179="OFF",D179="Congé spécial"),"",IF(D179&gt;F179,D179-C179,IF(C179-D179&lt;0,0,C179-D179)))&lt;0.00068287037037037,"",IF(OR(D179="Congé",D179="OFF",C179="",D179="Congé spécial"),"",IF(D179&gt;F179,D179-C179,IF(C179-D179&lt;0,0,C179-D179))))</f>
        <v/>
      </c>
      <c r="J179" s="405">
        <f>IFERROR(IF($G179="","",IF($G179&gt;TIME(1,0,0),$G179-TIME(1,0,0),0)),"")</f>
        <v/>
      </c>
      <c r="K179" s="238">
        <f>IF(SUM(H179:J179)&lt;0.00068287037037037,0,SUM(H179:J179))</f>
        <v/>
      </c>
      <c r="L179" s="236">
        <f>IF(OR(F179="Congé",F179="OFF",M179="Abs",F179="Congé sans solde",F179="Férié",F179="Congé spécial",D179="Congé spécial"),0,IF(F179-E179&lt;0,0,IF(F179-E179&lt;=0.00068287037037037,0,F179-E179)))</f>
        <v/>
      </c>
      <c r="M179" s="239">
        <f>IF(AND(O179&lt;&gt;0,C179=""),"Abs",0)</f>
        <v/>
      </c>
      <c r="N179" s="240">
        <f>IFERROR(IF(OR(D179="OFF",D179="Congé",M179="Abs",D179="Congé sans solde",D179="Férié"),"",IF(O179-K179-L179&gt;O179,O179,IF(O179-K179-L179&lt;0,"",O179-K179-L179))),"")</f>
        <v/>
      </c>
      <c r="O179" s="241">
        <f>IF(AG179="2H Pause déjeuner",IF(F179-D179-0.0833333333333333&lt;0,F179-D179-0.0833333333333333+1,F179-D179-0.0833333333333333),IF(OR(AND(F179="OFF",D179="OFF"),AND(F179="Congé",D179="Congé"),AND(F179="Congé sans solde",D179="Congé sans solde"),AND(F179="Congé spécial",D179="Congé spécial"),AND(F179="Férié",D179="Férié"),AND(F179="OFF",D179="Congé"),AND(F179="OFF",D179="Congé sans solde"),AND(F179="OFF",D179="Congé spécial"),AND(F179="OFF",D179="Férié"),AND(F179="Congé",D179="OFF"),AND(F179="Congé",D179="Congé sans solde"),AND(F179="Congé",D179="Congé spécial"),AND(F179="Congé",D179="Férié"),AND(F179="Congé sans solde",D179="OFF"),AND(F179="Congé sans solde",D179="Congé"),AND(F179="Congé sans solde",D179="Congé spécial"),AND(F179="Congé sans solde",D179="Férié"),AND(F179="Congé spécial",D179="OFF"),AND(F179="Congé spécial",D179="Congé"),AND(F179="Congé spécial",D179="Congé sans solde"),AND(F179="Congé spécial",D179="Férié"),AND(F179="Férié",D179="OFF"),AND(F179="Férié",D179="Congé"),AND(F179="Férié",D179="Congé sans solde"),AND(F179="Férié",D179="Congé spécial")),0,IF(OR(F179="OFF",F179="Congé",F179="Congé spécial",F179="Congé sans solde",D179="OFF",D179="Congé",D179="Congé spécial",D179="Congé sans solde"),0.208333333333334,IF(AND(AG179="",F179-D179&lt;0),("24:00:00"-D179)+("00:00:00"+F179)-0.0416666666666667,IF(AND(OR(AG179="Allaitement",AG179="Sans déjeuner"),F179-D179&lt;0),("24:00:00"-D179)+("00:00:00"+F179),IF(AND(AG179="",F179-D179&gt;0.166666666666667),F179-D179-0.0416666666666667,IF(AND(OR(AG179="Allaitement",AG179="Sans déjeuner"),F179-D179&gt;0.166666666666667),F179-D179,F179-D179)))))))</f>
        <v/>
      </c>
      <c r="P179" s="242">
        <f>IFERROR(VLOOKUP($B179,Annuaire_roster!$B:$G,MATCH(P$1,Annuaire_roster!$B$1:$G$1,0),0),"-")</f>
        <v/>
      </c>
      <c r="Q179" s="243" t="n">
        <v>44766</v>
      </c>
      <c r="R179" s="244">
        <f>IF(M179="Abs",O179,0)</f>
        <v/>
      </c>
      <c r="S179" s="244">
        <f>SUM(R179,L179,I179,J179,W179,H179)</f>
        <v/>
      </c>
      <c r="T179" s="209">
        <f>"Sem - "&amp;WEEKNUM(Q179,21)</f>
        <v/>
      </c>
      <c r="U179" s="209">
        <f>PROPER(TEXT(Q179,"mmmm"))</f>
        <v/>
      </c>
      <c r="V179" s="245">
        <f>+TEXT(Q179,"aaa")</f>
        <v/>
      </c>
      <c r="W179" s="240" t="n"/>
      <c r="X179" s="246">
        <f>IFERROR(IF(M179="Abs",0,IF((D179-C179+E179-F179)&lt;0.000694444444444444,0,(D179-C179+E179-F179))),0)</f>
        <v/>
      </c>
      <c r="Y179" s="247">
        <f>IFERROR(VLOOKUP(B179,Annuaire_roster!B:E,4,0),"-")</f>
        <v/>
      </c>
      <c r="Z179" s="247">
        <f>IFERROR(VLOOKUP(B179,Annuaire_roster!B:F,3,0),"-")</f>
        <v/>
      </c>
      <c r="AA179" s="247">
        <f>IFERROR(VLOOKUP(B179,Annuaire_roster!B:I,6,0),"-")</f>
        <v/>
      </c>
      <c r="AB179" s="248">
        <f>IF(AND(D179="Congé",F179="Congé"),0.333333333333333,IF(OR(AND(D179="Congé",F179&lt;&gt;"Congé"),(AND(F179="Congé",D179&lt;&gt;"Congé"))),0.166666666666667,""))</f>
        <v/>
      </c>
      <c r="AC179" s="248">
        <f>IF(AND(D179="Congé sans solde",F179="Congé sans solde"),0.333333333333333,IF(OR(AND(D179="Congé sans solde",F179&lt;&gt;"Congé sans solde"),(AND(F179="Congé sans solde",D179&lt;&gt;"Congé sans solde"))),0.166666666666667,""))</f>
        <v/>
      </c>
      <c r="AD179" s="248">
        <f>IF(AND(D179="Congé spécial",F179="Congé spécial"),0.333333333333333,IF(OR(AND(D179="Congé spécial",F179&lt;&gt;"Congé décès"),(AND(F179="Congé spécial",D179&lt;&gt;"Congé spécial"))),0.166666666666667,""))</f>
        <v/>
      </c>
      <c r="AE179" s="249">
        <f>IF(AND(D179="Férié",F179="Férié"),0.333333333333333,IF(OR(AND(D179="Férié",F179&lt;&gt;"Férié"),(AND(F179="Férié",D179&lt;&gt;"Férié"))),0.166666666666667,""))</f>
        <v/>
      </c>
      <c r="AF179" s="249" t="n"/>
      <c r="AG179" s="244" t="n"/>
    </row>
    <row r="180" hidden="1" ht="12.75" customHeight="1" s="231">
      <c r="A180" s="232">
        <f>VLOOKUP(B180,Annuaire_roster!B:F,5,0)</f>
        <v/>
      </c>
      <c r="B180" s="233" t="inlineStr">
        <is>
          <t>QARBOUI Aymane</t>
        </is>
      </c>
      <c r="C180" s="234">
        <f>IFERROR(IF(COUNTIFS(Connexions!$K:$K,$Q180,Connexions!$E:$E,VLOOKUP($B180,Mapping_Noms!$A:$B,2,0))=0,"",_xlfn.MINIFS(Connexions!$M:$M,Connexions!$K:$K,$Q180,Connexions!$E:$E,VLOOKUP($B180,Mapping_Noms!$A:$B,2,0))-TIME(1,0,0)),"")</f>
        <v/>
      </c>
      <c r="D180" s="234">
        <f t="array" ref="D180:D180">IFERROR(INDEX(Planning2[],MATCH(1,(Planning2[Nom]=B180)*(Planning2[Date]=Q180),0),3),"-")</f>
        <v/>
      </c>
      <c r="E180" s="235">
        <f>IFERROR(IF(COUNTIFS(Connexions!$K:$K,$Q180,Connexions!$E:$E,VLOOKUP($B180,Mapping_Noms!$A:$B,2,0))=0,"",_xlfn.MAXIFS(Connexions!$O:$O,Connexions!$K:$K,$Q180,Connexions!$E:$E,VLOOKUP($B180,Mapping_Noms!$A:$B,2,0))-TIME(1,0,0)),"")</f>
        <v/>
      </c>
      <c r="F180" s="235">
        <f t="array" ref="F180:F180">IFERROR(INDEX(Planning2[],MATCH(1,(Planning2[Nom]=B180)*(Planning2[Date]=Q180),0),4),"-")</f>
        <v/>
      </c>
      <c r="G180" s="405">
        <f>IFERROR(IF(OR(IFERROR(INDEX('Planning Pauses Dej'!$C:$C,MATCH($B180&amp;"|"&amp;TEXT($Q180,"YYYYMMDD"),'Planning Pauses Dej'!$F:$F,0)),"")="",IFERROR(INDEX('Planning Pauses Dej'!$D:$D,MATCH($B180&amp;"|"&amp;TEXT($Q180,"YYYYMMDD"),'Planning Pauses Dej'!$F:$F,0)),"")=""),"",_xlfn.MAXIFS(Connexions!$Q:$Q,Connexions!$K:$K,$Q180,Connexions!$E:$E,VLOOKUP($B180,Mapping_Noms!$A:$B,2,0),Connexions!$O:$O,"&lt;="&amp;(IFERROR(INDEX('Planning Pauses Dej'!$D:$D,MATCH($B180&amp;"|"&amp;TEXT($Q180,"YYYYMMDD"),'Planning Pauses Dej'!$F:$F,0)),"")+TIME(1,0,0)),Connexions!$P:$P,"&gt;="&amp;(IFERROR(INDEX('Planning Pauses Dej'!$C:$C,MATCH($B180&amp;"|"&amp;TEXT($Q180,"YYYYMMDD"),'Planning Pauses Dej'!$F:$F,0)),"")+TIME(1,0,0)))),"")</f>
        <v/>
      </c>
      <c r="H180" s="405">
        <f>IFERROR(IF(OR($G180="",IFERROR(INDEX('Planning Pauses Dej'!$C:$C,MATCH($B180&amp;"|"&amp;TEXT($Q180,"YYYYMMDD"),'Planning Pauses Dej'!$F:$F,0)),"")="",IFERROR(INDEX('Planning Pauses Dej'!$D:$D,MATCH($B180&amp;"|"&amp;TEXT($Q180,"YYYYMMDD"),'Planning Pauses Dej'!$F:$F,0)),"")=""),"",IF($G180&gt;(IFERROR(INDEX('Planning Pauses Dej'!$D:$D,MATCH($B180&amp;"|"&amp;TEXT($Q180,"YYYYMMDD"),'Planning Pauses Dej'!$F:$F,0)),"")-IFERROR(INDEX('Planning Pauses Dej'!$C:$C,MATCH($B180&amp;"|"&amp;TEXT($Q180,"YYYYMMDD"),'Planning Pauses Dej'!$F:$F,0)),"")),$G180-(IFERROR(INDEX('Planning Pauses Dej'!$D:$D,MATCH($B180&amp;"|"&amp;TEXT($Q180,"YYYYMMDD"),'Planning Pauses Dej'!$F:$F,0)),"")-IFERROR(INDEX('Planning Pauses Dej'!$C:$C,MATCH($B180&amp;"|"&amp;TEXT($Q180,"YYYYMMDD"),'Planning Pauses Dej'!$F:$F,0)),"")),0)),"")</f>
        <v/>
      </c>
      <c r="I180" s="251">
        <f>IF(IF(OR(C180="",D180="Congé",D180="OFF",D180="Congé spécial"),"",IF(D180&gt;F180,D180-C180,IF(C180-D180&lt;0,0,C180-D180)))&lt;0.00068287037037037,"",IF(OR(D180="Congé",D180="OFF",C180="",D180="Congé spécial"),"",IF(D180&gt;F180,D180-C180,IF(C180-D180&lt;0,0,C180-D180))))</f>
        <v/>
      </c>
      <c r="J180" s="405">
        <f>IFERROR(IF($G180="","",IF($G180&gt;TIME(1,0,0),$G180-TIME(1,0,0),0)),"")</f>
        <v/>
      </c>
      <c r="K180" s="238">
        <f>IF(SUM(H180:J180)&lt;0.00068287037037037,0,SUM(H180:J180))</f>
        <v/>
      </c>
      <c r="L180" s="236">
        <f>IF(OR(F180="Congé",F180="OFF",M180="Abs",F180="Congé sans solde",F180="Férié",F180="Congé spécial",D180="Congé spécial"),0,IF(F180-E180&lt;0,0,IF(F180-E180&lt;=0.00068287037037037,0,F180-E180)))</f>
        <v/>
      </c>
      <c r="M180" s="239">
        <f>IF(AND(O180&lt;&gt;0,C180=""),"Abs",0)</f>
        <v/>
      </c>
      <c r="N180" s="240">
        <f>IFERROR(IF(OR(D180="OFF",D180="Congé",M180="Abs",D180="Congé sans solde",D180="Férié"),"",IF(O180-K180-L180&gt;O180,O180,IF(O180-K180-L180&lt;0,"",O180-K180-L180))),"")</f>
        <v/>
      </c>
      <c r="O180" s="241">
        <f>IF(AG180="2H Pause déjeuner",IF(F180-D180-0.0833333333333333&lt;0,F180-D180-0.0833333333333333+1,F180-D180-0.0833333333333333),IF(OR(AND(F180="OFF",D180="OFF"),AND(F180="Congé",D180="Congé"),AND(F180="Congé sans solde",D180="Congé sans solde"),AND(F180="Congé spécial",D180="Congé spécial"),AND(F180="Férié",D180="Férié"),AND(F180="OFF",D180="Congé"),AND(F180="OFF",D180="Congé sans solde"),AND(F180="OFF",D180="Congé spécial"),AND(F180="OFF",D180="Férié"),AND(F180="Congé",D180="OFF"),AND(F180="Congé",D180="Congé sans solde"),AND(F180="Congé",D180="Congé spécial"),AND(F180="Congé",D180="Férié"),AND(F180="Congé sans solde",D180="OFF"),AND(F180="Congé sans solde",D180="Congé"),AND(F180="Congé sans solde",D180="Congé spécial"),AND(F180="Congé sans solde",D180="Férié"),AND(F180="Congé spécial",D180="OFF"),AND(F180="Congé spécial",D180="Congé"),AND(F180="Congé spécial",D180="Congé sans solde"),AND(F180="Congé spécial",D180="Férié"),AND(F180="Férié",D180="OFF"),AND(F180="Férié",D180="Congé"),AND(F180="Férié",D180="Congé sans solde"),AND(F180="Férié",D180="Congé spécial")),0,IF(OR(F180="OFF",F180="Congé",F180="Congé spécial",F180="Congé sans solde",D180="OFF",D180="Congé",D180="Congé spécial",D180="Congé sans solde"),0.208333333333334,IF(AND(AG180="",F180-D180&lt;0),("24:00:00"-D180)+("00:00:00"+F180)-0.0416666666666667,IF(AND(OR(AG180="Allaitement",AG180="Sans déjeuner"),F180-D180&lt;0),("24:00:00"-D180)+("00:00:00"+F180),IF(AND(AG180="",F180-D180&gt;0.166666666666667),F180-D180-0.0416666666666667,IF(AND(OR(AG180="Allaitement",AG180="Sans déjeuner"),F180-D180&gt;0.166666666666667),F180-D180,F180-D180)))))))</f>
        <v/>
      </c>
      <c r="P180" s="242">
        <f>IFERROR(VLOOKUP($B180,Annuaire_roster!$B:$G,MATCH(P$1,Annuaire_roster!$B$1:$G$1,0),0),"-")</f>
        <v/>
      </c>
      <c r="Q180" s="243" t="n">
        <v>44766</v>
      </c>
      <c r="R180" s="244">
        <f>IF(M180="Abs",O180,0)</f>
        <v/>
      </c>
      <c r="S180" s="244">
        <f>SUM(R180,L180,I180,J180,W180,H180)</f>
        <v/>
      </c>
      <c r="T180" s="209">
        <f>"Sem - "&amp;WEEKNUM(Q180,21)</f>
        <v/>
      </c>
      <c r="U180" s="209">
        <f>PROPER(TEXT(Q180,"mmmm"))</f>
        <v/>
      </c>
      <c r="V180" s="245">
        <f>+TEXT(Q180,"aaa")</f>
        <v/>
      </c>
      <c r="W180" s="240" t="n"/>
      <c r="X180" s="246">
        <f>IFERROR(IF(M180="Abs",0,IF((D180-C180+E180-F180)&lt;0.000694444444444444,0,(D180-C180+E180-F180))),0)</f>
        <v/>
      </c>
      <c r="Y180" s="247">
        <f>IFERROR(VLOOKUP(B180,Annuaire_roster!B:E,4,0),"-")</f>
        <v/>
      </c>
      <c r="Z180" s="247">
        <f>IFERROR(VLOOKUP(B180,Annuaire_roster!B:F,3,0),"-")</f>
        <v/>
      </c>
      <c r="AA180" s="247">
        <f>IFERROR(VLOOKUP(B180,Annuaire_roster!B:I,6,0),"-")</f>
        <v/>
      </c>
      <c r="AB180" s="248">
        <f>IF(AND(D180="Congé",F180="Congé"),0.333333333333333,IF(OR(AND(D180="Congé",F180&lt;&gt;"Congé"),(AND(F180="Congé",D180&lt;&gt;"Congé"))),0.166666666666667,""))</f>
        <v/>
      </c>
      <c r="AC180" s="248">
        <f>IF(AND(D180="Congé sans solde",F180="Congé sans solde"),0.333333333333333,IF(OR(AND(D180="Congé sans solde",F180&lt;&gt;"Congé sans solde"),(AND(F180="Congé sans solde",D180&lt;&gt;"Congé sans solde"))),0.166666666666667,""))</f>
        <v/>
      </c>
      <c r="AD180" s="248">
        <f>IF(AND(D180="Congé spécial",F180="Congé spécial"),0.333333333333333,IF(OR(AND(D180="Congé spécial",F180&lt;&gt;"Congé décès"),(AND(F180="Congé spécial",D180&lt;&gt;"Congé spécial"))),0.166666666666667,""))</f>
        <v/>
      </c>
      <c r="AE180" s="249">
        <f>IF(AND(D180="Férié",F180="Férié"),0.333333333333333,IF(OR(AND(D180="Férié",F180&lt;&gt;"Férié"),(AND(F180="Férié",D180&lt;&gt;"Férié"))),0.166666666666667,""))</f>
        <v/>
      </c>
      <c r="AF180" s="249" t="n"/>
      <c r="AG180" s="244" t="n"/>
    </row>
    <row r="181" hidden="1" ht="12.75" customHeight="1" s="231">
      <c r="A181" s="232">
        <f>VLOOKUP(B181,Annuaire_roster!B:F,5,0)</f>
        <v/>
      </c>
      <c r="B181" s="233" t="inlineStr">
        <is>
          <t>AINELKITANE ZINEB</t>
        </is>
      </c>
      <c r="C181" s="234">
        <f>IFERROR(IF(COUNTIFS(Connexions!$K:$K,$Q181,Connexions!$E:$E,VLOOKUP($B181,Mapping_Noms!$A:$B,2,0))=0,"",_xlfn.MINIFS(Connexions!$M:$M,Connexions!$K:$K,$Q181,Connexions!$E:$E,VLOOKUP($B181,Mapping_Noms!$A:$B,2,0))-TIME(1,0,0)),"")</f>
        <v/>
      </c>
      <c r="D181" s="234">
        <f t="array" ref="D181:D181">IFERROR(INDEX(Planning2[],MATCH(1,(Planning2[Nom]=B181)*(Planning2[Date]=Q181),0),3),"-")</f>
        <v/>
      </c>
      <c r="E181" s="235">
        <f>IFERROR(IF(COUNTIFS(Connexions!$K:$K,$Q181,Connexions!$E:$E,VLOOKUP($B181,Mapping_Noms!$A:$B,2,0))=0,"",_xlfn.MAXIFS(Connexions!$O:$O,Connexions!$K:$K,$Q181,Connexions!$E:$E,VLOOKUP($B181,Mapping_Noms!$A:$B,2,0))-TIME(1,0,0)),"")</f>
        <v/>
      </c>
      <c r="F181" s="235">
        <f t="array" ref="F181:F181">IFERROR(INDEX(Planning2[],MATCH(1,(Planning2[Nom]=B181)*(Planning2[Date]=Q181),0),4),"-")</f>
        <v/>
      </c>
      <c r="G181" s="405">
        <f>IFERROR(IF(OR(IFERROR(INDEX('Planning Pauses Dej'!$C:$C,MATCH($B181&amp;"|"&amp;TEXT($Q181,"YYYYMMDD"),'Planning Pauses Dej'!$F:$F,0)),"")="",IFERROR(INDEX('Planning Pauses Dej'!$D:$D,MATCH($B181&amp;"|"&amp;TEXT($Q181,"YYYYMMDD"),'Planning Pauses Dej'!$F:$F,0)),"")=""),"",_xlfn.MAXIFS(Connexions!$Q:$Q,Connexions!$K:$K,$Q181,Connexions!$E:$E,VLOOKUP($B181,Mapping_Noms!$A:$B,2,0),Connexions!$O:$O,"&lt;="&amp;(IFERROR(INDEX('Planning Pauses Dej'!$D:$D,MATCH($B181&amp;"|"&amp;TEXT($Q181,"YYYYMMDD"),'Planning Pauses Dej'!$F:$F,0)),"")+TIME(1,0,0)),Connexions!$P:$P,"&gt;="&amp;(IFERROR(INDEX('Planning Pauses Dej'!$C:$C,MATCH($B181&amp;"|"&amp;TEXT($Q181,"YYYYMMDD"),'Planning Pauses Dej'!$F:$F,0)),"")+TIME(1,0,0)))),"")</f>
        <v/>
      </c>
      <c r="H181" s="405">
        <f>IFERROR(IF(OR($G181="",IFERROR(INDEX('Planning Pauses Dej'!$C:$C,MATCH($B181&amp;"|"&amp;TEXT($Q181,"YYYYMMDD"),'Planning Pauses Dej'!$F:$F,0)),"")="",IFERROR(INDEX('Planning Pauses Dej'!$D:$D,MATCH($B181&amp;"|"&amp;TEXT($Q181,"YYYYMMDD"),'Planning Pauses Dej'!$F:$F,0)),"")=""),"",IF($G181&gt;(IFERROR(INDEX('Planning Pauses Dej'!$D:$D,MATCH($B181&amp;"|"&amp;TEXT($Q181,"YYYYMMDD"),'Planning Pauses Dej'!$F:$F,0)),"")-IFERROR(INDEX('Planning Pauses Dej'!$C:$C,MATCH($B181&amp;"|"&amp;TEXT($Q181,"YYYYMMDD"),'Planning Pauses Dej'!$F:$F,0)),"")),$G181-(IFERROR(INDEX('Planning Pauses Dej'!$D:$D,MATCH($B181&amp;"|"&amp;TEXT($Q181,"YYYYMMDD"),'Planning Pauses Dej'!$F:$F,0)),"")-IFERROR(INDEX('Planning Pauses Dej'!$C:$C,MATCH($B181&amp;"|"&amp;TEXT($Q181,"YYYYMMDD"),'Planning Pauses Dej'!$F:$F,0)),"")),0)),"")</f>
        <v/>
      </c>
      <c r="I181" s="251">
        <f>IF(IF(OR(C181="",D181="Congé",D181="OFF",D181="Congé spécial"),"",IF(D181&gt;F181,D181-C181,IF(C181-D181&lt;0,0,C181-D181)))&lt;0.00068287037037037,"",IF(OR(D181="Congé",D181="OFF",C181="",D181="Congé spécial"),"",IF(D181&gt;F181,D181-C181,IF(C181-D181&lt;0,0,C181-D181))))</f>
        <v/>
      </c>
      <c r="J181" s="405">
        <f>IFERROR(IF($G181="","",IF($G181&gt;TIME(1,0,0),$G181-TIME(1,0,0),0)),"")</f>
        <v/>
      </c>
      <c r="K181" s="238">
        <f>IF(SUM(H181:J181)&lt;0.00068287037037037,0,SUM(H181:J181))</f>
        <v/>
      </c>
      <c r="L181" s="236">
        <f>IF(OR(F181="Congé",F181="OFF",M181="Abs",F181="Congé sans solde",F181="Férié",F181="Congé spécial",D181="Congé spécial"),0,IF(F181-E181&lt;0,0,IF(F181-E181&lt;=0.00068287037037037,0,F181-E181)))</f>
        <v/>
      </c>
      <c r="M181" s="239">
        <f>IF(AND(O181&lt;&gt;0,C181=""),"Abs",0)</f>
        <v/>
      </c>
      <c r="N181" s="240">
        <f>IFERROR(IF(OR(D181="OFF",D181="Congé",M181="Abs",D181="Congé sans solde",D181="Férié"),"",IF(O181-K181-L181&gt;O181,O181,IF(O181-K181-L181&lt;0,"",O181-K181-L181))),"")</f>
        <v/>
      </c>
      <c r="O181" s="241">
        <f>IF(AG181="2H Pause déjeuner",IF(F181-D181-0.0833333333333333&lt;0,F181-D181-0.0833333333333333+1,F181-D181-0.0833333333333333),IF(OR(AND(F181="OFF",D181="OFF"),AND(F181="Congé",D181="Congé"),AND(F181="Congé sans solde",D181="Congé sans solde"),AND(F181="Congé spécial",D181="Congé spécial"),AND(F181="Férié",D181="Férié"),AND(F181="OFF",D181="Congé"),AND(F181="OFF",D181="Congé sans solde"),AND(F181="OFF",D181="Congé spécial"),AND(F181="OFF",D181="Férié"),AND(F181="Congé",D181="OFF"),AND(F181="Congé",D181="Congé sans solde"),AND(F181="Congé",D181="Congé spécial"),AND(F181="Congé",D181="Férié"),AND(F181="Congé sans solde",D181="OFF"),AND(F181="Congé sans solde",D181="Congé"),AND(F181="Congé sans solde",D181="Congé spécial"),AND(F181="Congé sans solde",D181="Férié"),AND(F181="Congé spécial",D181="OFF"),AND(F181="Congé spécial",D181="Congé"),AND(F181="Congé spécial",D181="Congé sans solde"),AND(F181="Congé spécial",D181="Férié"),AND(F181="Férié",D181="OFF"),AND(F181="Férié",D181="Congé"),AND(F181="Férié",D181="Congé sans solde"),AND(F181="Férié",D181="Congé spécial")),0,IF(OR(F181="OFF",F181="Congé",F181="Congé spécial",F181="Congé sans solde",D181="OFF",D181="Congé",D181="Congé spécial",D181="Congé sans solde"),0.208333333333334,IF(AND(AG181="",F181-D181&lt;0),("24:00:00"-D181)+("00:00:00"+F181)-0.0416666666666667,IF(AND(OR(AG181="Allaitement",AG181="Sans déjeuner"),F181-D181&lt;0),("24:00:00"-D181)+("00:00:00"+F181),IF(AND(AG181="",F181-D181&gt;0.166666666666667),F181-D181-0.0416666666666667,IF(AND(OR(AG181="Allaitement",AG181="Sans déjeuner"),F181-D181&gt;0.166666666666667),F181-D181,F181-D181)))))))</f>
        <v/>
      </c>
      <c r="P181" s="242">
        <f>IFERROR(VLOOKUP($B181,Annuaire_roster!$B:$G,MATCH(P$1,Annuaire_roster!$B$1:$G$1,0),0),"-")</f>
        <v/>
      </c>
      <c r="Q181" s="243" t="n">
        <v>44766</v>
      </c>
      <c r="R181" s="244">
        <f>IF(M181="Abs",O181,0)</f>
        <v/>
      </c>
      <c r="S181" s="244">
        <f>SUM(R181,L181,I181,J181,W181,H181)</f>
        <v/>
      </c>
      <c r="T181" s="209">
        <f>"Sem - "&amp;WEEKNUM(Q181,21)</f>
        <v/>
      </c>
      <c r="U181" s="209">
        <f>PROPER(TEXT(Q181,"mmmm"))</f>
        <v/>
      </c>
      <c r="V181" s="245">
        <f>+TEXT(Q181,"aaa")</f>
        <v/>
      </c>
      <c r="W181" s="240" t="n"/>
      <c r="X181" s="246">
        <f>IFERROR(IF(M181="Abs",0,IF((D181-C181+E181-F181)&lt;0.000694444444444444,0,(D181-C181+E181-F181))),0)</f>
        <v/>
      </c>
      <c r="Y181" s="247">
        <f>IFERROR(VLOOKUP(B181,Annuaire_roster!B:E,4,0),"-")</f>
        <v/>
      </c>
      <c r="Z181" s="247">
        <f>IFERROR(VLOOKUP(B181,Annuaire_roster!B:F,3,0),"-")</f>
        <v/>
      </c>
      <c r="AA181" s="247">
        <f>IFERROR(VLOOKUP(B181,Annuaire_roster!B:I,6,0),"-")</f>
        <v/>
      </c>
      <c r="AB181" s="248">
        <f>IF(AND(D181="Congé",F181="Congé"),0.333333333333333,IF(OR(AND(D181="Congé",F181&lt;&gt;"Congé"),(AND(F181="Congé",D181&lt;&gt;"Congé"))),0.166666666666667,""))</f>
        <v/>
      </c>
      <c r="AC181" s="248">
        <f>IF(AND(D181="Congé sans solde",F181="Congé sans solde"),0.333333333333333,IF(OR(AND(D181="Congé sans solde",F181&lt;&gt;"Congé sans solde"),(AND(F181="Congé sans solde",D181&lt;&gt;"Congé sans solde"))),0.166666666666667,""))</f>
        <v/>
      </c>
      <c r="AD181" s="248">
        <f>IF(AND(D181="Congé spécial",F181="Congé spécial"),0.333333333333333,IF(OR(AND(D181="Congé spécial",F181&lt;&gt;"Congé décès"),(AND(F181="Congé spécial",D181&lt;&gt;"Congé spécial"))),0.166666666666667,""))</f>
        <v/>
      </c>
      <c r="AE181" s="249">
        <f>IF(AND(D181="Férié",F181="Férié"),0.333333333333333,IF(OR(AND(D181="Férié",F181&lt;&gt;"Férié"),(AND(F181="Férié",D181&lt;&gt;"Férié"))),0.166666666666667,""))</f>
        <v/>
      </c>
      <c r="AF181" s="249" t="n"/>
      <c r="AG181" s="244" t="n"/>
    </row>
    <row r="182" hidden="1" ht="12.75" customHeight="1" s="231">
      <c r="A182" s="232">
        <f>VLOOKUP(B182,Annuaire_roster!B:F,5,0)</f>
        <v/>
      </c>
      <c r="B182" s="233" t="inlineStr">
        <is>
          <t>KANTAOUI SALMA</t>
        </is>
      </c>
      <c r="C182" s="234">
        <f>IFERROR(IF(COUNTIFS(Connexions!$K:$K,$Q182,Connexions!$E:$E,VLOOKUP($B182,Mapping_Noms!$A:$B,2,0))=0,"",_xlfn.MINIFS(Connexions!$M:$M,Connexions!$K:$K,$Q182,Connexions!$E:$E,VLOOKUP($B182,Mapping_Noms!$A:$B,2,0))-TIME(1,0,0)),"")</f>
        <v/>
      </c>
      <c r="D182" s="234">
        <f t="array" ref="D182:D182">IFERROR(INDEX(Planning2[],MATCH(1,(Planning2[Nom]=B182)*(Planning2[Date]=Q182),0),3),"-")</f>
        <v/>
      </c>
      <c r="E182" s="235">
        <f>IFERROR(IF(COUNTIFS(Connexions!$K:$K,$Q182,Connexions!$E:$E,VLOOKUP($B182,Mapping_Noms!$A:$B,2,0))=0,"",_xlfn.MAXIFS(Connexions!$O:$O,Connexions!$K:$K,$Q182,Connexions!$E:$E,VLOOKUP($B182,Mapping_Noms!$A:$B,2,0))-TIME(1,0,0)),"")</f>
        <v/>
      </c>
      <c r="F182" s="235">
        <f t="array" ref="F182:F182">IFERROR(INDEX(Planning2[],MATCH(1,(Planning2[Nom]=B182)*(Planning2[Date]=Q182),0),4),"-")</f>
        <v/>
      </c>
      <c r="G182" s="405">
        <f>IFERROR(IF(OR(IFERROR(INDEX('Planning Pauses Dej'!$C:$C,MATCH($B182&amp;"|"&amp;TEXT($Q182,"YYYYMMDD"),'Planning Pauses Dej'!$F:$F,0)),"")="",IFERROR(INDEX('Planning Pauses Dej'!$D:$D,MATCH($B182&amp;"|"&amp;TEXT($Q182,"YYYYMMDD"),'Planning Pauses Dej'!$F:$F,0)),"")=""),"",_xlfn.MAXIFS(Connexions!$Q:$Q,Connexions!$K:$K,$Q182,Connexions!$E:$E,VLOOKUP($B182,Mapping_Noms!$A:$B,2,0),Connexions!$O:$O,"&lt;="&amp;(IFERROR(INDEX('Planning Pauses Dej'!$D:$D,MATCH($B182&amp;"|"&amp;TEXT($Q182,"YYYYMMDD"),'Planning Pauses Dej'!$F:$F,0)),"")+TIME(1,0,0)),Connexions!$P:$P,"&gt;="&amp;(IFERROR(INDEX('Planning Pauses Dej'!$C:$C,MATCH($B182&amp;"|"&amp;TEXT($Q182,"YYYYMMDD"),'Planning Pauses Dej'!$F:$F,0)),"")+TIME(1,0,0)))),"")</f>
        <v/>
      </c>
      <c r="H182" s="405">
        <f>IFERROR(IF(OR($G182="",IFERROR(INDEX('Planning Pauses Dej'!$C:$C,MATCH($B182&amp;"|"&amp;TEXT($Q182,"YYYYMMDD"),'Planning Pauses Dej'!$F:$F,0)),"")="",IFERROR(INDEX('Planning Pauses Dej'!$D:$D,MATCH($B182&amp;"|"&amp;TEXT($Q182,"YYYYMMDD"),'Planning Pauses Dej'!$F:$F,0)),"")=""),"",IF($G182&gt;(IFERROR(INDEX('Planning Pauses Dej'!$D:$D,MATCH($B182&amp;"|"&amp;TEXT($Q182,"YYYYMMDD"),'Planning Pauses Dej'!$F:$F,0)),"")-IFERROR(INDEX('Planning Pauses Dej'!$C:$C,MATCH($B182&amp;"|"&amp;TEXT($Q182,"YYYYMMDD"),'Planning Pauses Dej'!$F:$F,0)),"")),$G182-(IFERROR(INDEX('Planning Pauses Dej'!$D:$D,MATCH($B182&amp;"|"&amp;TEXT($Q182,"YYYYMMDD"),'Planning Pauses Dej'!$F:$F,0)),"")-IFERROR(INDEX('Planning Pauses Dej'!$C:$C,MATCH($B182&amp;"|"&amp;TEXT($Q182,"YYYYMMDD"),'Planning Pauses Dej'!$F:$F,0)),"")),0)),"")</f>
        <v/>
      </c>
      <c r="I182" s="251">
        <f>IF(IF(OR(C182="",D182="Congé",D182="OFF",D182="Congé spécial"),"",IF(D182&gt;F182,D182-C182,IF(C182-D182&lt;0,0,C182-D182)))&lt;0.00068287037037037,"",IF(OR(D182="Congé",D182="OFF",C182="",D182="Congé spécial"),"",IF(D182&gt;F182,D182-C182,IF(C182-D182&lt;0,0,C182-D182))))</f>
        <v/>
      </c>
      <c r="J182" s="405">
        <f>IFERROR(IF($G182="","",IF($G182&gt;TIME(1,0,0),$G182-TIME(1,0,0),0)),"")</f>
        <v/>
      </c>
      <c r="K182" s="238">
        <f>IF(SUM(H182:J182)&lt;0.00068287037037037,0,SUM(H182:J182))</f>
        <v/>
      </c>
      <c r="L182" s="236">
        <f>IF(OR(F182="Congé",F182="OFF",M182="Abs",F182="Congé sans solde",F182="Férié",F182="Congé spécial",D182="Congé spécial"),0,IF(F182-E182&lt;0,0,IF(F182-E182&lt;=0.00068287037037037,0,F182-E182)))</f>
        <v/>
      </c>
      <c r="M182" s="239">
        <f>IF(AND(O182&lt;&gt;0,C182=""),"Abs",0)</f>
        <v/>
      </c>
      <c r="N182" s="240">
        <f>IFERROR(IF(OR(D182="OFF",D182="Congé",M182="Abs",D182="Congé sans solde",D182="Férié"),"",IF(O182-K182-L182&gt;O182,O182,IF(O182-K182-L182&lt;0,"",O182-K182-L182))),"")</f>
        <v/>
      </c>
      <c r="O182" s="241">
        <f>IF(AG182="2H Pause déjeuner",IF(F182-D182-0.0833333333333333&lt;0,F182-D182-0.0833333333333333+1,F182-D182-0.0833333333333333),IF(OR(AND(F182="OFF",D182="OFF"),AND(F182="Congé",D182="Congé"),AND(F182="Congé sans solde",D182="Congé sans solde"),AND(F182="Congé spécial",D182="Congé spécial"),AND(F182="Férié",D182="Férié"),AND(F182="OFF",D182="Congé"),AND(F182="OFF",D182="Congé sans solde"),AND(F182="OFF",D182="Congé spécial"),AND(F182="OFF",D182="Férié"),AND(F182="Congé",D182="OFF"),AND(F182="Congé",D182="Congé sans solde"),AND(F182="Congé",D182="Congé spécial"),AND(F182="Congé",D182="Férié"),AND(F182="Congé sans solde",D182="OFF"),AND(F182="Congé sans solde",D182="Congé"),AND(F182="Congé sans solde",D182="Congé spécial"),AND(F182="Congé sans solde",D182="Férié"),AND(F182="Congé spécial",D182="OFF"),AND(F182="Congé spécial",D182="Congé"),AND(F182="Congé spécial",D182="Congé sans solde"),AND(F182="Congé spécial",D182="Férié"),AND(F182="Férié",D182="OFF"),AND(F182="Férié",D182="Congé"),AND(F182="Férié",D182="Congé sans solde"),AND(F182="Férié",D182="Congé spécial")),0,IF(OR(F182="OFF",F182="Congé",F182="Congé spécial",F182="Congé sans solde",D182="OFF",D182="Congé",D182="Congé spécial",D182="Congé sans solde"),0.208333333333334,IF(AND(AG182="",F182-D182&lt;0),("24:00:00"-D182)+("00:00:00"+F182)-0.0416666666666667,IF(AND(OR(AG182="Allaitement",AG182="Sans déjeuner"),F182-D182&lt;0),("24:00:00"-D182)+("00:00:00"+F182),IF(AND(AG182="",F182-D182&gt;0.166666666666667),F182-D182-0.0416666666666667,IF(AND(OR(AG182="Allaitement",AG182="Sans déjeuner"),F182-D182&gt;0.166666666666667),F182-D182,F182-D182)))))))</f>
        <v/>
      </c>
      <c r="P182" s="242">
        <f>IFERROR(VLOOKUP($B182,Annuaire_roster!$B:$G,MATCH(P$1,Annuaire_roster!$B$1:$G$1,0),0),"-")</f>
        <v/>
      </c>
      <c r="Q182" s="243" t="n">
        <v>44766</v>
      </c>
      <c r="R182" s="244">
        <f>IF(M182="Abs",O182,0)</f>
        <v/>
      </c>
      <c r="S182" s="244">
        <f>SUM(R182,L182,I182,J182,W182,H182)</f>
        <v/>
      </c>
      <c r="T182" s="209">
        <f>"Sem - "&amp;WEEKNUM(Q182,21)</f>
        <v/>
      </c>
      <c r="U182" s="209">
        <f>PROPER(TEXT(Q182,"mmmm"))</f>
        <v/>
      </c>
      <c r="V182" s="245">
        <f>+TEXT(Q182,"aaa")</f>
        <v/>
      </c>
      <c r="W182" s="240" t="n"/>
      <c r="X182" s="246">
        <f>IFERROR(IF(M182="Abs",0,IF((D182-C182+E182-F182)&lt;0.000694444444444444,0,(D182-C182+E182-F182))),0)</f>
        <v/>
      </c>
      <c r="Y182" s="247">
        <f>IFERROR(VLOOKUP(B182,Annuaire_roster!B:E,4,0),"-")</f>
        <v/>
      </c>
      <c r="Z182" s="247">
        <f>IFERROR(VLOOKUP(B182,Annuaire_roster!B:F,3,0),"-")</f>
        <v/>
      </c>
      <c r="AA182" s="247">
        <f>IFERROR(VLOOKUP(B182,Annuaire_roster!B:I,6,0),"-")</f>
        <v/>
      </c>
      <c r="AB182" s="248">
        <f>IF(AND(D182="Congé",F182="Congé"),0.333333333333333,IF(OR(AND(D182="Congé",F182&lt;&gt;"Congé"),(AND(F182="Congé",D182&lt;&gt;"Congé"))),0.166666666666667,""))</f>
        <v/>
      </c>
      <c r="AC182" s="248">
        <f>IF(AND(D182="Congé sans solde",F182="Congé sans solde"),0.333333333333333,IF(OR(AND(D182="Congé sans solde",F182&lt;&gt;"Congé sans solde"),(AND(F182="Congé sans solde",D182&lt;&gt;"Congé sans solde"))),0.166666666666667,""))</f>
        <v/>
      </c>
      <c r="AD182" s="248">
        <f>IF(AND(D182="Congé spécial",F182="Congé spécial"),0.333333333333333,IF(OR(AND(D182="Congé spécial",F182&lt;&gt;"Congé décès"),(AND(F182="Congé spécial",D182&lt;&gt;"Congé spécial"))),0.166666666666667,""))</f>
        <v/>
      </c>
      <c r="AE182" s="249">
        <f>IF(AND(D182="Férié",F182="Férié"),0.333333333333333,IF(OR(AND(D182="Férié",F182&lt;&gt;"Férié"),(AND(F182="Férié",D182&lt;&gt;"Férié"))),0.166666666666667,""))</f>
        <v/>
      </c>
      <c r="AF182" s="249" t="n"/>
      <c r="AG182" s="244" t="n"/>
    </row>
    <row r="183" hidden="1" ht="12.75" customHeight="1" s="231">
      <c r="A183" s="232">
        <f>VLOOKUP(B183,Annuaire_roster!B:F,5,0)</f>
        <v/>
      </c>
      <c r="B183" s="233" t="inlineStr">
        <is>
          <t>ZAKI OMAR</t>
        </is>
      </c>
      <c r="C183" s="234">
        <f>IFERROR(IF(COUNTIFS(Connexions!$K:$K,$Q183,Connexions!$E:$E,VLOOKUP($B183,Mapping_Noms!$A:$B,2,0))=0,"",_xlfn.MINIFS(Connexions!$M:$M,Connexions!$K:$K,$Q183,Connexions!$E:$E,VLOOKUP($B183,Mapping_Noms!$A:$B,2,0))-TIME(1,0,0)),"")</f>
        <v/>
      </c>
      <c r="D183" s="234">
        <f t="array" ref="D183:D183">IFERROR(INDEX(Planning2[],MATCH(1,(Planning2[Nom]=B183)*(Planning2[Date]=Q183),0),3),"-")</f>
        <v/>
      </c>
      <c r="E183" s="235">
        <f>IFERROR(IF(COUNTIFS(Connexions!$K:$K,$Q183,Connexions!$E:$E,VLOOKUP($B183,Mapping_Noms!$A:$B,2,0))=0,"",_xlfn.MAXIFS(Connexions!$O:$O,Connexions!$K:$K,$Q183,Connexions!$E:$E,VLOOKUP($B183,Mapping_Noms!$A:$B,2,0))-TIME(1,0,0)),"")</f>
        <v/>
      </c>
      <c r="F183" s="235">
        <f t="array" ref="F183:F183">IFERROR(INDEX(Planning2[],MATCH(1,(Planning2[Nom]=B183)*(Planning2[Date]=Q183),0),4),"-")</f>
        <v/>
      </c>
      <c r="G183" s="405">
        <f>IFERROR(IF(OR(IFERROR(INDEX('Planning Pauses Dej'!$C:$C,MATCH($B183&amp;"|"&amp;TEXT($Q183,"YYYYMMDD"),'Planning Pauses Dej'!$F:$F,0)),"")="",IFERROR(INDEX('Planning Pauses Dej'!$D:$D,MATCH($B183&amp;"|"&amp;TEXT($Q183,"YYYYMMDD"),'Planning Pauses Dej'!$F:$F,0)),"")=""),"",_xlfn.MAXIFS(Connexions!$Q:$Q,Connexions!$K:$K,$Q183,Connexions!$E:$E,VLOOKUP($B183,Mapping_Noms!$A:$B,2,0),Connexions!$O:$O,"&lt;="&amp;(IFERROR(INDEX('Planning Pauses Dej'!$D:$D,MATCH($B183&amp;"|"&amp;TEXT($Q183,"YYYYMMDD"),'Planning Pauses Dej'!$F:$F,0)),"")+TIME(1,0,0)),Connexions!$P:$P,"&gt;="&amp;(IFERROR(INDEX('Planning Pauses Dej'!$C:$C,MATCH($B183&amp;"|"&amp;TEXT($Q183,"YYYYMMDD"),'Planning Pauses Dej'!$F:$F,0)),"")+TIME(1,0,0)))),"")</f>
        <v/>
      </c>
      <c r="H183" s="405">
        <f>IFERROR(IF(OR($G183="",IFERROR(INDEX('Planning Pauses Dej'!$C:$C,MATCH($B183&amp;"|"&amp;TEXT($Q183,"YYYYMMDD"),'Planning Pauses Dej'!$F:$F,0)),"")="",IFERROR(INDEX('Planning Pauses Dej'!$D:$D,MATCH($B183&amp;"|"&amp;TEXT($Q183,"YYYYMMDD"),'Planning Pauses Dej'!$F:$F,0)),"")=""),"",IF($G183&gt;(IFERROR(INDEX('Planning Pauses Dej'!$D:$D,MATCH($B183&amp;"|"&amp;TEXT($Q183,"YYYYMMDD"),'Planning Pauses Dej'!$F:$F,0)),"")-IFERROR(INDEX('Planning Pauses Dej'!$C:$C,MATCH($B183&amp;"|"&amp;TEXT($Q183,"YYYYMMDD"),'Planning Pauses Dej'!$F:$F,0)),"")),$G183-(IFERROR(INDEX('Planning Pauses Dej'!$D:$D,MATCH($B183&amp;"|"&amp;TEXT($Q183,"YYYYMMDD"),'Planning Pauses Dej'!$F:$F,0)),"")-IFERROR(INDEX('Planning Pauses Dej'!$C:$C,MATCH($B183&amp;"|"&amp;TEXT($Q183,"YYYYMMDD"),'Planning Pauses Dej'!$F:$F,0)),"")),0)),"")</f>
        <v/>
      </c>
      <c r="I183" s="251">
        <f>IF(IF(OR(C183="",D183="Congé",D183="OFF",D183="Congé spécial"),"",IF(D183&gt;F183,D183-C183,IF(C183-D183&lt;0,0,C183-D183)))&lt;0.00068287037037037,"",IF(OR(D183="Congé",D183="OFF",C183="",D183="Congé spécial"),"",IF(D183&gt;F183,D183-C183,IF(C183-D183&lt;0,0,C183-D183))))</f>
        <v/>
      </c>
      <c r="J183" s="405">
        <f>IFERROR(IF($G183="","",IF($G183&gt;TIME(1,0,0),$G183-TIME(1,0,0),0)),"")</f>
        <v/>
      </c>
      <c r="K183" s="238">
        <f>IF(SUM(H183:J183)&lt;0.00068287037037037,0,SUM(H183:J183))</f>
        <v/>
      </c>
      <c r="L183" s="236">
        <f>IF(OR(F183="Congé",F183="OFF",M183="Abs",F183="Congé sans solde",F183="Férié",F183="Congé spécial",D183="Congé spécial"),0,IF(F183-E183&lt;0,0,IF(F183-E183&lt;=0.00068287037037037,0,F183-E183)))</f>
        <v/>
      </c>
      <c r="M183" s="239">
        <f>IF(AND(O183&lt;&gt;0,C183=""),"Abs",0)</f>
        <v/>
      </c>
      <c r="N183" s="240">
        <f>IFERROR(IF(OR(D183="OFF",D183="Congé",M183="Abs",D183="Congé sans solde",D183="Férié"),"",IF(O183-K183-L183&gt;O183,O183,IF(O183-K183-L183&lt;0,"",O183-K183-L183))),"")</f>
        <v/>
      </c>
      <c r="O183" s="241">
        <f>IF(AG183="2H Pause déjeuner",IF(F183-D183-0.0833333333333333&lt;0,F183-D183-0.0833333333333333+1,F183-D183-0.0833333333333333),IF(OR(AND(F183="OFF",D183="OFF"),AND(F183="Congé",D183="Congé"),AND(F183="Congé sans solde",D183="Congé sans solde"),AND(F183="Congé spécial",D183="Congé spécial"),AND(F183="Férié",D183="Férié"),AND(F183="OFF",D183="Congé"),AND(F183="OFF",D183="Congé sans solde"),AND(F183="OFF",D183="Congé spécial"),AND(F183="OFF",D183="Férié"),AND(F183="Congé",D183="OFF"),AND(F183="Congé",D183="Congé sans solde"),AND(F183="Congé",D183="Congé spécial"),AND(F183="Congé",D183="Férié"),AND(F183="Congé sans solde",D183="OFF"),AND(F183="Congé sans solde",D183="Congé"),AND(F183="Congé sans solde",D183="Congé spécial"),AND(F183="Congé sans solde",D183="Férié"),AND(F183="Congé spécial",D183="OFF"),AND(F183="Congé spécial",D183="Congé"),AND(F183="Congé spécial",D183="Congé sans solde"),AND(F183="Congé spécial",D183="Férié"),AND(F183="Férié",D183="OFF"),AND(F183="Férié",D183="Congé"),AND(F183="Férié",D183="Congé sans solde"),AND(F183="Férié",D183="Congé spécial")),0,IF(OR(F183="OFF",F183="Congé",F183="Congé spécial",F183="Congé sans solde",D183="OFF",D183="Congé",D183="Congé spécial",D183="Congé sans solde"),0.208333333333334,IF(AND(AG183="",F183-D183&lt;0),("24:00:00"-D183)+("00:00:00"+F183)-0.0416666666666667,IF(AND(OR(AG183="Allaitement",AG183="Sans déjeuner"),F183-D183&lt;0),("24:00:00"-D183)+("00:00:00"+F183),IF(AND(AG183="",F183-D183&gt;0.166666666666667),F183-D183-0.0416666666666667,IF(AND(OR(AG183="Allaitement",AG183="Sans déjeuner"),F183-D183&gt;0.166666666666667),F183-D183,F183-D183)))))))</f>
        <v/>
      </c>
      <c r="P183" s="242">
        <f>IFERROR(VLOOKUP($B183,Annuaire_roster!$B:$G,MATCH(P$1,Annuaire_roster!$B$1:$G$1,0),0),"-")</f>
        <v/>
      </c>
      <c r="Q183" s="243" t="n">
        <v>44766</v>
      </c>
      <c r="R183" s="244">
        <f>IF(M183="Abs",O183,0)</f>
        <v/>
      </c>
      <c r="S183" s="244">
        <f>SUM(R183,L183,I183,J183,W183,H183)</f>
        <v/>
      </c>
      <c r="T183" s="209">
        <f>"Sem - "&amp;WEEKNUM(Q183,21)</f>
        <v/>
      </c>
      <c r="U183" s="209">
        <f>PROPER(TEXT(Q183,"mmmm"))</f>
        <v/>
      </c>
      <c r="V183" s="245">
        <f>+TEXT(Q183,"aaa")</f>
        <v/>
      </c>
      <c r="W183" s="240" t="n"/>
      <c r="X183" s="246">
        <f>IFERROR(IF(M183="Abs",0,IF((D183-C183+E183-F183)&lt;0.000694444444444444,0,(D183-C183+E183-F183))),0)</f>
        <v/>
      </c>
      <c r="Y183" s="247">
        <f>IFERROR(VLOOKUP(B183,Annuaire_roster!B:E,4,0),"-")</f>
        <v/>
      </c>
      <c r="Z183" s="247">
        <f>IFERROR(VLOOKUP(B183,Annuaire_roster!B:F,3,0),"-")</f>
        <v/>
      </c>
      <c r="AA183" s="247">
        <f>IFERROR(VLOOKUP(B183,Annuaire_roster!B:I,6,0),"-")</f>
        <v/>
      </c>
      <c r="AB183" s="248">
        <f>IF(AND(D183="Congé",F183="Congé"),0.333333333333333,IF(OR(AND(D183="Congé",F183&lt;&gt;"Congé"),(AND(F183="Congé",D183&lt;&gt;"Congé"))),0.166666666666667,""))</f>
        <v/>
      </c>
      <c r="AC183" s="248">
        <f>IF(AND(D183="Congé sans solde",F183="Congé sans solde"),0.333333333333333,IF(OR(AND(D183="Congé sans solde",F183&lt;&gt;"Congé sans solde"),(AND(F183="Congé sans solde",D183&lt;&gt;"Congé sans solde"))),0.166666666666667,""))</f>
        <v/>
      </c>
      <c r="AD183" s="248">
        <f>IF(AND(D183="Congé spécial",F183="Congé spécial"),0.333333333333333,IF(OR(AND(D183="Congé spécial",F183&lt;&gt;"Congé décès"),(AND(F183="Congé spécial",D183&lt;&gt;"Congé spécial"))),0.166666666666667,""))</f>
        <v/>
      </c>
      <c r="AE183" s="249">
        <f>IF(AND(D183="Férié",F183="Férié"),0.333333333333333,IF(OR(AND(D183="Férié",F183&lt;&gt;"Férié"),(AND(F183="Férié",D183&lt;&gt;"Férié"))),0.166666666666667,""))</f>
        <v/>
      </c>
      <c r="AF183" s="249" t="n"/>
      <c r="AG183" s="244" t="n"/>
    </row>
    <row r="184" hidden="1" ht="12.75" customHeight="1" s="231">
      <c r="A184" s="232">
        <f>VLOOKUP(B184,Annuaire_roster!B:F,5,0)</f>
        <v/>
      </c>
      <c r="B184" s="233" t="inlineStr">
        <is>
          <t>GUEYE GORA</t>
        </is>
      </c>
      <c r="C184" s="234">
        <f>IFERROR(IF(COUNTIFS(Connexions!$K:$K,$Q184,Connexions!$E:$E,VLOOKUP($B184,Mapping_Noms!$A:$B,2,0))=0,"",_xlfn.MINIFS(Connexions!$M:$M,Connexions!$K:$K,$Q184,Connexions!$E:$E,VLOOKUP($B184,Mapping_Noms!$A:$B,2,0))-TIME(1,0,0)),"")</f>
        <v/>
      </c>
      <c r="D184" s="234">
        <f t="array" ref="D184:D184">IFERROR(INDEX(Planning2[],MATCH(1,(Planning2[Nom]=B184)*(Planning2[Date]=Q184),0),3),"-")</f>
        <v/>
      </c>
      <c r="E184" s="235">
        <f>IFERROR(IF(COUNTIFS(Connexions!$K:$K,$Q184,Connexions!$E:$E,VLOOKUP($B184,Mapping_Noms!$A:$B,2,0))=0,"",_xlfn.MAXIFS(Connexions!$O:$O,Connexions!$K:$K,$Q184,Connexions!$E:$E,VLOOKUP($B184,Mapping_Noms!$A:$B,2,0))-TIME(1,0,0)),"")</f>
        <v/>
      </c>
      <c r="F184" s="235">
        <f t="array" ref="F184:F184">IFERROR(INDEX(Planning2[],MATCH(1,(Planning2[Nom]=B184)*(Planning2[Date]=Q184),0),4),"-")</f>
        <v/>
      </c>
      <c r="G184" s="405">
        <f>IFERROR(IF(OR(IFERROR(INDEX('Planning Pauses Dej'!$C:$C,MATCH($B184&amp;"|"&amp;TEXT($Q184,"YYYYMMDD"),'Planning Pauses Dej'!$F:$F,0)),"")="",IFERROR(INDEX('Planning Pauses Dej'!$D:$D,MATCH($B184&amp;"|"&amp;TEXT($Q184,"YYYYMMDD"),'Planning Pauses Dej'!$F:$F,0)),"")=""),"",_xlfn.MAXIFS(Connexions!$Q:$Q,Connexions!$K:$K,$Q184,Connexions!$E:$E,VLOOKUP($B184,Mapping_Noms!$A:$B,2,0),Connexions!$O:$O,"&lt;="&amp;(IFERROR(INDEX('Planning Pauses Dej'!$D:$D,MATCH($B184&amp;"|"&amp;TEXT($Q184,"YYYYMMDD"),'Planning Pauses Dej'!$F:$F,0)),"")+TIME(1,0,0)),Connexions!$P:$P,"&gt;="&amp;(IFERROR(INDEX('Planning Pauses Dej'!$C:$C,MATCH($B184&amp;"|"&amp;TEXT($Q184,"YYYYMMDD"),'Planning Pauses Dej'!$F:$F,0)),"")+TIME(1,0,0)))),"")</f>
        <v/>
      </c>
      <c r="H184" s="405">
        <f>IFERROR(IF(OR($G184="",IFERROR(INDEX('Planning Pauses Dej'!$C:$C,MATCH($B184&amp;"|"&amp;TEXT($Q184,"YYYYMMDD"),'Planning Pauses Dej'!$F:$F,0)),"")="",IFERROR(INDEX('Planning Pauses Dej'!$D:$D,MATCH($B184&amp;"|"&amp;TEXT($Q184,"YYYYMMDD"),'Planning Pauses Dej'!$F:$F,0)),"")=""),"",IF($G184&gt;(IFERROR(INDEX('Planning Pauses Dej'!$D:$D,MATCH($B184&amp;"|"&amp;TEXT($Q184,"YYYYMMDD"),'Planning Pauses Dej'!$F:$F,0)),"")-IFERROR(INDEX('Planning Pauses Dej'!$C:$C,MATCH($B184&amp;"|"&amp;TEXT($Q184,"YYYYMMDD"),'Planning Pauses Dej'!$F:$F,0)),"")),$G184-(IFERROR(INDEX('Planning Pauses Dej'!$D:$D,MATCH($B184&amp;"|"&amp;TEXT($Q184,"YYYYMMDD"),'Planning Pauses Dej'!$F:$F,0)),"")-IFERROR(INDEX('Planning Pauses Dej'!$C:$C,MATCH($B184&amp;"|"&amp;TEXT($Q184,"YYYYMMDD"),'Planning Pauses Dej'!$F:$F,0)),"")),0)),"")</f>
        <v/>
      </c>
      <c r="I184" s="251">
        <f>IF(IF(OR(C184="",D184="Congé",D184="OFF",D184="Congé spécial"),"",IF(D184&gt;F184,D184-C184,IF(C184-D184&lt;0,0,C184-D184)))&lt;0.00068287037037037,"",IF(OR(D184="Congé",D184="OFF",C184="",D184="Congé spécial"),"",IF(D184&gt;F184,D184-C184,IF(C184-D184&lt;0,0,C184-D184))))</f>
        <v/>
      </c>
      <c r="J184" s="405">
        <f>IFERROR(IF($G184="","",IF($G184&gt;TIME(1,0,0),$G184-TIME(1,0,0),0)),"")</f>
        <v/>
      </c>
      <c r="K184" s="238">
        <f>IF(SUM(H184:J184)&lt;0.00068287037037037,0,SUM(H184:J184))</f>
        <v/>
      </c>
      <c r="L184" s="236">
        <f>IF(OR(F184="Congé",F184="OFF",M184="Abs",F184="Congé sans solde",F184="Férié",F184="Congé spécial",D184="Congé spécial"),0,IF(F184-E184&lt;0,0,IF(F184-E184&lt;=0.00068287037037037,0,F184-E184)))</f>
        <v/>
      </c>
      <c r="M184" s="239">
        <f>IF(AND(O184&lt;&gt;0,C184=""),"Abs",0)</f>
        <v/>
      </c>
      <c r="N184" s="240">
        <f>IFERROR(IF(OR(D184="OFF",D184="Congé",M184="Abs",D184="Congé sans solde",D184="Férié"),"",IF(O184-K184-L184&gt;O184,O184,IF(O184-K184-L184&lt;0,"",O184-K184-L184))),"")</f>
        <v/>
      </c>
      <c r="O184" s="241">
        <f>IF(AG184="2H Pause déjeuner",IF(F184-D184-0.0833333333333333&lt;0,F184-D184-0.0833333333333333+1,F184-D184-0.0833333333333333),IF(OR(AND(F184="OFF",D184="OFF"),AND(F184="Congé",D184="Congé"),AND(F184="Congé sans solde",D184="Congé sans solde"),AND(F184="Congé spécial",D184="Congé spécial"),AND(F184="Férié",D184="Férié"),AND(F184="OFF",D184="Congé"),AND(F184="OFF",D184="Congé sans solde"),AND(F184="OFF",D184="Congé spécial"),AND(F184="OFF",D184="Férié"),AND(F184="Congé",D184="OFF"),AND(F184="Congé",D184="Congé sans solde"),AND(F184="Congé",D184="Congé spécial"),AND(F184="Congé",D184="Férié"),AND(F184="Congé sans solde",D184="OFF"),AND(F184="Congé sans solde",D184="Congé"),AND(F184="Congé sans solde",D184="Congé spécial"),AND(F184="Congé sans solde",D184="Férié"),AND(F184="Congé spécial",D184="OFF"),AND(F184="Congé spécial",D184="Congé"),AND(F184="Congé spécial",D184="Congé sans solde"),AND(F184="Congé spécial",D184="Férié"),AND(F184="Férié",D184="OFF"),AND(F184="Férié",D184="Congé"),AND(F184="Férié",D184="Congé sans solde"),AND(F184="Férié",D184="Congé spécial")),0,IF(OR(F184="OFF",F184="Congé",F184="Congé spécial",F184="Congé sans solde",D184="OFF",D184="Congé",D184="Congé spécial",D184="Congé sans solde"),0.208333333333334,IF(AND(AG184="",F184-D184&lt;0),("24:00:00"-D184)+("00:00:00"+F184)-0.0416666666666667,IF(AND(OR(AG184="Allaitement",AG184="Sans déjeuner"),F184-D184&lt;0),("24:00:00"-D184)+("00:00:00"+F184),IF(AND(AG184="",F184-D184&gt;0.166666666666667),F184-D184-0.0416666666666667,IF(AND(OR(AG184="Allaitement",AG184="Sans déjeuner"),F184-D184&gt;0.166666666666667),F184-D184,F184-D184)))))))</f>
        <v/>
      </c>
      <c r="P184" s="242">
        <f>IFERROR(VLOOKUP($B184,Annuaire_roster!$B:$G,MATCH(P$1,Annuaire_roster!$B$1:$G$1,0),0),"-")</f>
        <v/>
      </c>
      <c r="Q184" s="243" t="n">
        <v>44766</v>
      </c>
      <c r="R184" s="244">
        <f>IF(M184="Abs",O184,0)</f>
        <v/>
      </c>
      <c r="S184" s="244">
        <f>SUM(R184,L184,I184,J184,W184,H184)</f>
        <v/>
      </c>
      <c r="T184" s="209">
        <f>"Sem - "&amp;WEEKNUM(Q184,21)</f>
        <v/>
      </c>
      <c r="U184" s="209">
        <f>PROPER(TEXT(Q184,"mmmm"))</f>
        <v/>
      </c>
      <c r="V184" s="245">
        <f>+TEXT(Q184,"aaa")</f>
        <v/>
      </c>
      <c r="W184" s="240" t="n"/>
      <c r="X184" s="246">
        <f>IFERROR(IF(M184="Abs",0,IF((D184-C184+E184-F184)&lt;0.000694444444444444,0,(D184-C184+E184-F184))),0)</f>
        <v/>
      </c>
      <c r="Y184" s="247">
        <f>IFERROR(VLOOKUP(B184,Annuaire_roster!B:E,4,0),"-")</f>
        <v/>
      </c>
      <c r="Z184" s="247">
        <f>IFERROR(VLOOKUP(B184,Annuaire_roster!B:F,3,0),"-")</f>
        <v/>
      </c>
      <c r="AA184" s="247">
        <f>IFERROR(VLOOKUP(B184,Annuaire_roster!B:I,6,0),"-")</f>
        <v/>
      </c>
      <c r="AB184" s="248">
        <f>IF(AND(D184="Congé",F184="Congé"),0.333333333333333,IF(OR(AND(D184="Congé",F184&lt;&gt;"Congé"),(AND(F184="Congé",D184&lt;&gt;"Congé"))),0.166666666666667,""))</f>
        <v/>
      </c>
      <c r="AC184" s="248">
        <f>IF(AND(D184="Congé sans solde",F184="Congé sans solde"),0.333333333333333,IF(OR(AND(D184="Congé sans solde",F184&lt;&gt;"Congé sans solde"),(AND(F184="Congé sans solde",D184&lt;&gt;"Congé sans solde"))),0.166666666666667,""))</f>
        <v/>
      </c>
      <c r="AD184" s="248">
        <f>IF(AND(D184="Congé spécial",F184="Congé spécial"),0.333333333333333,IF(OR(AND(D184="Congé spécial",F184&lt;&gt;"Congé décès"),(AND(F184="Congé spécial",D184&lt;&gt;"Congé spécial"))),0.166666666666667,""))</f>
        <v/>
      </c>
      <c r="AE184" s="249">
        <f>IF(AND(D184="Férié",F184="Férié"),0.333333333333333,IF(OR(AND(D184="Férié",F184&lt;&gt;"Férié"),(AND(F184="Férié",D184&lt;&gt;"Férié"))),0.166666666666667,""))</f>
        <v/>
      </c>
      <c r="AF184" s="249" t="n"/>
      <c r="AG184" s="244" t="n"/>
    </row>
    <row r="185" hidden="1" ht="12.75" customHeight="1" s="231">
      <c r="A185" s="232">
        <f>VLOOKUP(B185,Annuaire_roster!B:F,5,0)</f>
        <v/>
      </c>
      <c r="B185" s="233" t="inlineStr">
        <is>
          <t xml:space="preserve">LALOUN MANAL </t>
        </is>
      </c>
      <c r="C185" s="234">
        <f>IFERROR(IF(COUNTIFS(Connexions!$K:$K,$Q185,Connexions!$E:$E,VLOOKUP($B185,Mapping_Noms!$A:$B,2,0))=0,"",_xlfn.MINIFS(Connexions!$M:$M,Connexions!$K:$K,$Q185,Connexions!$E:$E,VLOOKUP($B185,Mapping_Noms!$A:$B,2,0))-TIME(1,0,0)),"")</f>
        <v/>
      </c>
      <c r="D185" s="234">
        <f t="array" ref="D185:D185">IFERROR(INDEX(Planning2[],MATCH(1,(Planning2[Nom]=B185)*(Planning2[Date]=Q185),0),3),"-")</f>
        <v/>
      </c>
      <c r="E185" s="235">
        <f>IFERROR(IF(COUNTIFS(Connexions!$K:$K,$Q185,Connexions!$E:$E,VLOOKUP($B185,Mapping_Noms!$A:$B,2,0))=0,"",_xlfn.MAXIFS(Connexions!$O:$O,Connexions!$K:$K,$Q185,Connexions!$E:$E,VLOOKUP($B185,Mapping_Noms!$A:$B,2,0))-TIME(1,0,0)),"")</f>
        <v/>
      </c>
      <c r="F185" s="235">
        <f t="array" ref="F185:F185">IFERROR(INDEX(Planning2[],MATCH(1,(Planning2[Nom]=B185)*(Planning2[Date]=Q185),0),4),"-")</f>
        <v/>
      </c>
      <c r="G185" s="405">
        <f>IFERROR(IF(OR(IFERROR(INDEX('Planning Pauses Dej'!$C:$C,MATCH($B185&amp;"|"&amp;TEXT($Q185,"YYYYMMDD"),'Planning Pauses Dej'!$F:$F,0)),"")="",IFERROR(INDEX('Planning Pauses Dej'!$D:$D,MATCH($B185&amp;"|"&amp;TEXT($Q185,"YYYYMMDD"),'Planning Pauses Dej'!$F:$F,0)),"")=""),"",_xlfn.MAXIFS(Connexions!$Q:$Q,Connexions!$K:$K,$Q185,Connexions!$E:$E,VLOOKUP($B185,Mapping_Noms!$A:$B,2,0),Connexions!$O:$O,"&lt;="&amp;(IFERROR(INDEX('Planning Pauses Dej'!$D:$D,MATCH($B185&amp;"|"&amp;TEXT($Q185,"YYYYMMDD"),'Planning Pauses Dej'!$F:$F,0)),"")+TIME(1,0,0)),Connexions!$P:$P,"&gt;="&amp;(IFERROR(INDEX('Planning Pauses Dej'!$C:$C,MATCH($B185&amp;"|"&amp;TEXT($Q185,"YYYYMMDD"),'Planning Pauses Dej'!$F:$F,0)),"")+TIME(1,0,0)))),"")</f>
        <v/>
      </c>
      <c r="H185" s="405">
        <f>IFERROR(IF(OR($G185="",IFERROR(INDEX('Planning Pauses Dej'!$C:$C,MATCH($B185&amp;"|"&amp;TEXT($Q185,"YYYYMMDD"),'Planning Pauses Dej'!$F:$F,0)),"")="",IFERROR(INDEX('Planning Pauses Dej'!$D:$D,MATCH($B185&amp;"|"&amp;TEXT($Q185,"YYYYMMDD"),'Planning Pauses Dej'!$F:$F,0)),"")=""),"",IF($G185&gt;(IFERROR(INDEX('Planning Pauses Dej'!$D:$D,MATCH($B185&amp;"|"&amp;TEXT($Q185,"YYYYMMDD"),'Planning Pauses Dej'!$F:$F,0)),"")-IFERROR(INDEX('Planning Pauses Dej'!$C:$C,MATCH($B185&amp;"|"&amp;TEXT($Q185,"YYYYMMDD"),'Planning Pauses Dej'!$F:$F,0)),"")),$G185-(IFERROR(INDEX('Planning Pauses Dej'!$D:$D,MATCH($B185&amp;"|"&amp;TEXT($Q185,"YYYYMMDD"),'Planning Pauses Dej'!$F:$F,0)),"")-IFERROR(INDEX('Planning Pauses Dej'!$C:$C,MATCH($B185&amp;"|"&amp;TEXT($Q185,"YYYYMMDD"),'Planning Pauses Dej'!$F:$F,0)),"")),0)),"")</f>
        <v/>
      </c>
      <c r="I185" s="251">
        <f>IF(IF(OR(C185="",D185="Congé",D185="OFF",D185="Congé spécial"),"",IF(D185&gt;F185,D185-C185,IF(C185-D185&lt;0,0,C185-D185)))&lt;0.00068287037037037,"",IF(OR(D185="Congé",D185="OFF",C185="",D185="Congé spécial"),"",IF(D185&gt;F185,D185-C185,IF(C185-D185&lt;0,0,C185-D185))))</f>
        <v/>
      </c>
      <c r="J185" s="405">
        <f>IFERROR(IF($G185="","",IF($G185&gt;TIME(1,0,0),$G185-TIME(1,0,0),0)),"")</f>
        <v/>
      </c>
      <c r="K185" s="238">
        <f>IF(SUM(H185:J185)&lt;0.00068287037037037,0,SUM(H185:J185))</f>
        <v/>
      </c>
      <c r="L185" s="236">
        <f>IF(OR(F185="Congé",F185="OFF",M185="Abs",F185="Congé sans solde",F185="Férié",F185="Congé spécial",D185="Congé spécial"),0,IF(F185-E185&lt;0,0,IF(F185-E185&lt;=0.00068287037037037,0,F185-E185)))</f>
        <v/>
      </c>
      <c r="M185" s="239">
        <f>IF(AND(O185&lt;&gt;0,C185=""),"Abs",0)</f>
        <v/>
      </c>
      <c r="N185" s="240">
        <f>IFERROR(IF(OR(D185="OFF",D185="Congé",M185="Abs",D185="Congé sans solde",D185="Férié"),"",IF(O185-K185-L185&gt;O185,O185,IF(O185-K185-L185&lt;0,"",O185-K185-L185))),"")</f>
        <v/>
      </c>
      <c r="O185" s="241">
        <f>IF(AG185="2H Pause déjeuner",IF(F185-D185-0.0833333333333333&lt;0,F185-D185-0.0833333333333333+1,F185-D185-0.0833333333333333),IF(OR(AND(F185="OFF",D185="OFF"),AND(F185="Congé",D185="Congé"),AND(F185="Congé sans solde",D185="Congé sans solde"),AND(F185="Congé spécial",D185="Congé spécial"),AND(F185="Férié",D185="Férié"),AND(F185="OFF",D185="Congé"),AND(F185="OFF",D185="Congé sans solde"),AND(F185="OFF",D185="Congé spécial"),AND(F185="OFF",D185="Férié"),AND(F185="Congé",D185="OFF"),AND(F185="Congé",D185="Congé sans solde"),AND(F185="Congé",D185="Congé spécial"),AND(F185="Congé",D185="Férié"),AND(F185="Congé sans solde",D185="OFF"),AND(F185="Congé sans solde",D185="Congé"),AND(F185="Congé sans solde",D185="Congé spécial"),AND(F185="Congé sans solde",D185="Férié"),AND(F185="Congé spécial",D185="OFF"),AND(F185="Congé spécial",D185="Congé"),AND(F185="Congé spécial",D185="Congé sans solde"),AND(F185="Congé spécial",D185="Férié"),AND(F185="Férié",D185="OFF"),AND(F185="Férié",D185="Congé"),AND(F185="Férié",D185="Congé sans solde"),AND(F185="Férié",D185="Congé spécial")),0,IF(OR(F185="OFF",F185="Congé",F185="Congé spécial",F185="Congé sans solde",D185="OFF",D185="Congé",D185="Congé spécial",D185="Congé sans solde"),0.208333333333334,IF(AND(AG185="",F185-D185&lt;0),("24:00:00"-D185)+("00:00:00"+F185)-0.0416666666666667,IF(AND(OR(AG185="Allaitement",AG185="Sans déjeuner"),F185-D185&lt;0),("24:00:00"-D185)+("00:00:00"+F185),IF(AND(AG185="",F185-D185&gt;0.166666666666667),F185-D185-0.0416666666666667,IF(AND(OR(AG185="Allaitement",AG185="Sans déjeuner"),F185-D185&gt;0.166666666666667),F185-D185,F185-D185)))))))</f>
        <v/>
      </c>
      <c r="P185" s="242">
        <f>IFERROR(VLOOKUP($B185,Annuaire_roster!$B:$G,MATCH(P$1,Annuaire_roster!$B$1:$G$1,0),0),"-")</f>
        <v/>
      </c>
      <c r="Q185" s="243" t="n">
        <v>44766</v>
      </c>
      <c r="R185" s="244">
        <f>IF(M185="Abs",O185,0)</f>
        <v/>
      </c>
      <c r="S185" s="244">
        <f>SUM(R185,L185,I185,J185,W185,H185)</f>
        <v/>
      </c>
      <c r="T185" s="209">
        <f>"Sem - "&amp;WEEKNUM(Q185,21)</f>
        <v/>
      </c>
      <c r="U185" s="209">
        <f>PROPER(TEXT(Q185,"mmmm"))</f>
        <v/>
      </c>
      <c r="V185" s="245">
        <f>+TEXT(Q185,"aaa")</f>
        <v/>
      </c>
      <c r="W185" s="240" t="n"/>
      <c r="X185" s="246">
        <f>IFERROR(IF(M185="Abs",0,IF((D185-C185+E185-F185)&lt;0.000694444444444444,0,(D185-C185+E185-F185))),0)</f>
        <v/>
      </c>
      <c r="Y185" s="247">
        <f>IFERROR(VLOOKUP(B185,Annuaire_roster!B:E,4,0),"-")</f>
        <v/>
      </c>
      <c r="Z185" s="247">
        <f>IFERROR(VLOOKUP(B185,Annuaire_roster!B:F,3,0),"-")</f>
        <v/>
      </c>
      <c r="AA185" s="247">
        <f>IFERROR(VLOOKUP(B185,Annuaire_roster!B:I,6,0),"-")</f>
        <v/>
      </c>
      <c r="AB185" s="248">
        <f>IF(AND(D185="Congé",F185="Congé"),0.333333333333333,IF(OR(AND(D185="Congé",F185&lt;&gt;"Congé"),(AND(F185="Congé",D185&lt;&gt;"Congé"))),0.166666666666667,""))</f>
        <v/>
      </c>
      <c r="AC185" s="248">
        <f>IF(AND(D185="Congé sans solde",F185="Congé sans solde"),0.333333333333333,IF(OR(AND(D185="Congé sans solde",F185&lt;&gt;"Congé sans solde"),(AND(F185="Congé sans solde",D185&lt;&gt;"Congé sans solde"))),0.166666666666667,""))</f>
        <v/>
      </c>
      <c r="AD185" s="248">
        <f>IF(AND(D185="Congé spécial",F185="Congé spécial"),0.333333333333333,IF(OR(AND(D185="Congé spécial",F185&lt;&gt;"Congé décès"),(AND(F185="Congé spécial",D185&lt;&gt;"Congé spécial"))),0.166666666666667,""))</f>
        <v/>
      </c>
      <c r="AE185" s="249">
        <f>IF(AND(D185="Férié",F185="Férié"),0.333333333333333,IF(OR(AND(D185="Férié",F185&lt;&gt;"Férié"),(AND(F185="Férié",D185&lt;&gt;"Férié"))),0.166666666666667,""))</f>
        <v/>
      </c>
      <c r="AF185" s="249" t="n"/>
      <c r="AG185" s="244" t="n"/>
    </row>
    <row r="186" hidden="1" ht="12.75" customHeight="1" s="231">
      <c r="A186" s="232">
        <f>VLOOKUP(B186,Annuaire_roster!B:F,5,0)</f>
        <v/>
      </c>
      <c r="B186" s="233" t="inlineStr">
        <is>
          <t>BOULHROUD SALMA</t>
        </is>
      </c>
      <c r="C186" s="234">
        <f>IFERROR(IF(COUNTIFS(Connexions!$K:$K,$Q186,Connexions!$E:$E,VLOOKUP($B186,Mapping_Noms!$A:$B,2,0))=0,"",_xlfn.MINIFS(Connexions!$M:$M,Connexions!$K:$K,$Q186,Connexions!$E:$E,VLOOKUP($B186,Mapping_Noms!$A:$B,2,0))-TIME(1,0,0)),"")</f>
        <v/>
      </c>
      <c r="D186" s="234">
        <f t="array" ref="D186:D186">IFERROR(INDEX(Planning2[],MATCH(1,(Planning2[Nom]=B186)*(Planning2[Date]=Q186),0),3),"-")</f>
        <v/>
      </c>
      <c r="E186" s="235">
        <f>IFERROR(IF(COUNTIFS(Connexions!$K:$K,$Q186,Connexions!$E:$E,VLOOKUP($B186,Mapping_Noms!$A:$B,2,0))=0,"",_xlfn.MAXIFS(Connexions!$O:$O,Connexions!$K:$K,$Q186,Connexions!$E:$E,VLOOKUP($B186,Mapping_Noms!$A:$B,2,0))-TIME(1,0,0)),"")</f>
        <v/>
      </c>
      <c r="F186" s="235">
        <f t="array" ref="F186:F186">IFERROR(INDEX(Planning2[],MATCH(1,(Planning2[Nom]=B186)*(Planning2[Date]=Q186),0),4),"-")</f>
        <v/>
      </c>
      <c r="G186" s="405">
        <f>IFERROR(IF(OR(IFERROR(INDEX('Planning Pauses Dej'!$C:$C,MATCH($B186&amp;"|"&amp;TEXT($Q186,"YYYYMMDD"),'Planning Pauses Dej'!$F:$F,0)),"")="",IFERROR(INDEX('Planning Pauses Dej'!$D:$D,MATCH($B186&amp;"|"&amp;TEXT($Q186,"YYYYMMDD"),'Planning Pauses Dej'!$F:$F,0)),"")=""),"",_xlfn.MAXIFS(Connexions!$Q:$Q,Connexions!$K:$K,$Q186,Connexions!$E:$E,VLOOKUP($B186,Mapping_Noms!$A:$B,2,0),Connexions!$O:$O,"&lt;="&amp;(IFERROR(INDEX('Planning Pauses Dej'!$D:$D,MATCH($B186&amp;"|"&amp;TEXT($Q186,"YYYYMMDD"),'Planning Pauses Dej'!$F:$F,0)),"")+TIME(1,0,0)),Connexions!$P:$P,"&gt;="&amp;(IFERROR(INDEX('Planning Pauses Dej'!$C:$C,MATCH($B186&amp;"|"&amp;TEXT($Q186,"YYYYMMDD"),'Planning Pauses Dej'!$F:$F,0)),"")+TIME(1,0,0)))),"")</f>
        <v/>
      </c>
      <c r="H186" s="405">
        <f>IFERROR(IF(OR($G186="",IFERROR(INDEX('Planning Pauses Dej'!$C:$C,MATCH($B186&amp;"|"&amp;TEXT($Q186,"YYYYMMDD"),'Planning Pauses Dej'!$F:$F,0)),"")="",IFERROR(INDEX('Planning Pauses Dej'!$D:$D,MATCH($B186&amp;"|"&amp;TEXT($Q186,"YYYYMMDD"),'Planning Pauses Dej'!$F:$F,0)),"")=""),"",IF($G186&gt;(IFERROR(INDEX('Planning Pauses Dej'!$D:$D,MATCH($B186&amp;"|"&amp;TEXT($Q186,"YYYYMMDD"),'Planning Pauses Dej'!$F:$F,0)),"")-IFERROR(INDEX('Planning Pauses Dej'!$C:$C,MATCH($B186&amp;"|"&amp;TEXT($Q186,"YYYYMMDD"),'Planning Pauses Dej'!$F:$F,0)),"")),$G186-(IFERROR(INDEX('Planning Pauses Dej'!$D:$D,MATCH($B186&amp;"|"&amp;TEXT($Q186,"YYYYMMDD"),'Planning Pauses Dej'!$F:$F,0)),"")-IFERROR(INDEX('Planning Pauses Dej'!$C:$C,MATCH($B186&amp;"|"&amp;TEXT($Q186,"YYYYMMDD"),'Planning Pauses Dej'!$F:$F,0)),"")),0)),"")</f>
        <v/>
      </c>
      <c r="I186" s="251">
        <f>IF(IF(OR(C186="",D186="Congé",D186="OFF",D186="Congé spécial"),"",IF(D186&gt;F186,D186-C186,IF(C186-D186&lt;0,0,C186-D186)))&lt;0.00068287037037037,"",IF(OR(D186="Congé",D186="OFF",C186="",D186="Congé spécial"),"",IF(D186&gt;F186,D186-C186,IF(C186-D186&lt;0,0,C186-D186))))</f>
        <v/>
      </c>
      <c r="J186" s="405">
        <f>IFERROR(IF($G186="","",IF($G186&gt;TIME(1,0,0),$G186-TIME(1,0,0),0)),"")</f>
        <v/>
      </c>
      <c r="K186" s="238">
        <f>IF(SUM(H186:J186)&lt;0.00068287037037037,0,SUM(H186:J186))</f>
        <v/>
      </c>
      <c r="L186" s="236">
        <f>IF(OR(F186="Congé",F186="OFF",M186="Abs",F186="Congé sans solde",F186="Férié",F186="Congé spécial",D186="Congé spécial"),0,IF(F186-E186&lt;0,0,IF(F186-E186&lt;=0.00068287037037037,0,F186-E186)))</f>
        <v/>
      </c>
      <c r="M186" s="239">
        <f>IF(AND(O186&lt;&gt;0,C186=""),"Abs",0)</f>
        <v/>
      </c>
      <c r="N186" s="240">
        <f>IFERROR(IF(OR(D186="OFF",D186="Congé",M186="Abs",D186="Congé sans solde",D186="Férié"),"",IF(O186-K186-L186&gt;O186,O186,IF(O186-K186-L186&lt;0,"",O186-K186-L186))),"")</f>
        <v/>
      </c>
      <c r="O186" s="241">
        <f>IF(AG186="2H Pause déjeuner",IF(F186-D186-0.0833333333333333&lt;0,F186-D186-0.0833333333333333+1,F186-D186-0.0833333333333333),IF(OR(AND(F186="OFF",D186="OFF"),AND(F186="Congé",D186="Congé"),AND(F186="Congé sans solde",D186="Congé sans solde"),AND(F186="Congé spécial",D186="Congé spécial"),AND(F186="Férié",D186="Férié"),AND(F186="OFF",D186="Congé"),AND(F186="OFF",D186="Congé sans solde"),AND(F186="OFF",D186="Congé spécial"),AND(F186="OFF",D186="Férié"),AND(F186="Congé",D186="OFF"),AND(F186="Congé",D186="Congé sans solde"),AND(F186="Congé",D186="Congé spécial"),AND(F186="Congé",D186="Férié"),AND(F186="Congé sans solde",D186="OFF"),AND(F186="Congé sans solde",D186="Congé"),AND(F186="Congé sans solde",D186="Congé spécial"),AND(F186="Congé sans solde",D186="Férié"),AND(F186="Congé spécial",D186="OFF"),AND(F186="Congé spécial",D186="Congé"),AND(F186="Congé spécial",D186="Congé sans solde"),AND(F186="Congé spécial",D186="Férié"),AND(F186="Férié",D186="OFF"),AND(F186="Férié",D186="Congé"),AND(F186="Férié",D186="Congé sans solde"),AND(F186="Férié",D186="Congé spécial")),0,IF(OR(F186="OFF",F186="Congé",F186="Congé spécial",F186="Congé sans solde",D186="OFF",D186="Congé",D186="Congé spécial",D186="Congé sans solde"),0.208333333333334,IF(AND(AG186="",F186-D186&lt;0),("24:00:00"-D186)+("00:00:00"+F186)-0.0416666666666667,IF(AND(OR(AG186="Allaitement",AG186="Sans déjeuner"),F186-D186&lt;0),("24:00:00"-D186)+("00:00:00"+F186),IF(AND(AG186="",F186-D186&gt;0.166666666666667),F186-D186-0.0416666666666667,IF(AND(OR(AG186="Allaitement",AG186="Sans déjeuner"),F186-D186&gt;0.166666666666667),F186-D186,F186-D186)))))))</f>
        <v/>
      </c>
      <c r="P186" s="242">
        <f>IFERROR(VLOOKUP($B186,Annuaire_roster!$B:$G,MATCH(P$1,Annuaire_roster!$B$1:$G$1,0),0),"-")</f>
        <v/>
      </c>
      <c r="Q186" s="243" t="n">
        <v>44766</v>
      </c>
      <c r="R186" s="244">
        <f>IF(M186="Abs",O186,0)</f>
        <v/>
      </c>
      <c r="S186" s="244">
        <f>SUM(R186,L186,I186,J186,W186,H186)</f>
        <v/>
      </c>
      <c r="T186" s="209">
        <f>"Sem - "&amp;WEEKNUM(Q186,21)</f>
        <v/>
      </c>
      <c r="U186" s="209">
        <f>PROPER(TEXT(Q186,"mmmm"))</f>
        <v/>
      </c>
      <c r="V186" s="245">
        <f>+TEXT(Q186,"aaa")</f>
        <v/>
      </c>
      <c r="W186" s="240" t="n"/>
      <c r="X186" s="246">
        <f>IFERROR(IF(M186="Abs",0,IF((D186-C186+E186-F186)&lt;0.000694444444444444,0,(D186-C186+E186-F186))),0)</f>
        <v/>
      </c>
      <c r="Y186" s="247">
        <f>IFERROR(VLOOKUP(B186,Annuaire_roster!B:E,4,0),"-")</f>
        <v/>
      </c>
      <c r="Z186" s="247">
        <f>IFERROR(VLOOKUP(B186,Annuaire_roster!B:F,3,0),"-")</f>
        <v/>
      </c>
      <c r="AA186" s="247">
        <f>IFERROR(VLOOKUP(B186,Annuaire_roster!B:I,6,0),"-")</f>
        <v/>
      </c>
      <c r="AB186" s="248">
        <f>IF(AND(D186="Congé",F186="Congé"),0.333333333333333,IF(OR(AND(D186="Congé",F186&lt;&gt;"Congé"),(AND(F186="Congé",D186&lt;&gt;"Congé"))),0.166666666666667,""))</f>
        <v/>
      </c>
      <c r="AC186" s="248">
        <f>IF(AND(D186="Congé sans solde",F186="Congé sans solde"),0.333333333333333,IF(OR(AND(D186="Congé sans solde",F186&lt;&gt;"Congé sans solde"),(AND(F186="Congé sans solde",D186&lt;&gt;"Congé sans solde"))),0.166666666666667,""))</f>
        <v/>
      </c>
      <c r="AD186" s="248">
        <f>IF(AND(D186="Congé spécial",F186="Congé spécial"),0.333333333333333,IF(OR(AND(D186="Congé spécial",F186&lt;&gt;"Congé décès"),(AND(F186="Congé spécial",D186&lt;&gt;"Congé spécial"))),0.166666666666667,""))</f>
        <v/>
      </c>
      <c r="AE186" s="249">
        <f>IF(AND(D186="Férié",F186="Férié"),0.333333333333333,IF(OR(AND(D186="Férié",F186&lt;&gt;"Férié"),(AND(F186="Férié",D186&lt;&gt;"Férié"))),0.166666666666667,""))</f>
        <v/>
      </c>
      <c r="AF186" s="249" t="n"/>
      <c r="AG186" s="244" t="n"/>
    </row>
    <row r="187" hidden="1" ht="12.75" customHeight="1" s="231">
      <c r="A187" s="232">
        <f>VLOOKUP(B187,Annuaire_roster!B:F,5,0)</f>
        <v/>
      </c>
      <c r="B187" s="233" t="inlineStr">
        <is>
          <t>SOUOUD ZAKARIA</t>
        </is>
      </c>
      <c r="C187" s="234">
        <f>IFERROR(IF(COUNTIFS(Connexions!$K:$K,$Q187,Connexions!$E:$E,VLOOKUP($B187,Mapping_Noms!$A:$B,2,0))=0,"",_xlfn.MINIFS(Connexions!$M:$M,Connexions!$K:$K,$Q187,Connexions!$E:$E,VLOOKUP($B187,Mapping_Noms!$A:$B,2,0))-TIME(1,0,0)),"")</f>
        <v/>
      </c>
      <c r="D187" s="234">
        <f t="array" ref="D187:D187">IFERROR(INDEX(Planning2[],MATCH(1,(Planning2[Nom]=B187)*(Planning2[Date]=Q187),0),3),"-")</f>
        <v/>
      </c>
      <c r="E187" s="235">
        <f>IFERROR(IF(COUNTIFS(Connexions!$K:$K,$Q187,Connexions!$E:$E,VLOOKUP($B187,Mapping_Noms!$A:$B,2,0))=0,"",_xlfn.MAXIFS(Connexions!$O:$O,Connexions!$K:$K,$Q187,Connexions!$E:$E,VLOOKUP($B187,Mapping_Noms!$A:$B,2,0))-TIME(1,0,0)),"")</f>
        <v/>
      </c>
      <c r="F187" s="235">
        <f t="array" ref="F187:F187">IFERROR(INDEX(Planning2[],MATCH(1,(Planning2[Nom]=B187)*(Planning2[Date]=Q187),0),4),"-")</f>
        <v/>
      </c>
      <c r="G187" s="405">
        <f>IFERROR(IF(OR(IFERROR(INDEX('Planning Pauses Dej'!$C:$C,MATCH($B187&amp;"|"&amp;TEXT($Q187,"YYYYMMDD"),'Planning Pauses Dej'!$F:$F,0)),"")="",IFERROR(INDEX('Planning Pauses Dej'!$D:$D,MATCH($B187&amp;"|"&amp;TEXT($Q187,"YYYYMMDD"),'Planning Pauses Dej'!$F:$F,0)),"")=""),"",_xlfn.MAXIFS(Connexions!$Q:$Q,Connexions!$K:$K,$Q187,Connexions!$E:$E,VLOOKUP($B187,Mapping_Noms!$A:$B,2,0),Connexions!$O:$O,"&lt;="&amp;(IFERROR(INDEX('Planning Pauses Dej'!$D:$D,MATCH($B187&amp;"|"&amp;TEXT($Q187,"YYYYMMDD"),'Planning Pauses Dej'!$F:$F,0)),"")+TIME(1,0,0)),Connexions!$P:$P,"&gt;="&amp;(IFERROR(INDEX('Planning Pauses Dej'!$C:$C,MATCH($B187&amp;"|"&amp;TEXT($Q187,"YYYYMMDD"),'Planning Pauses Dej'!$F:$F,0)),"")+TIME(1,0,0)))),"")</f>
        <v/>
      </c>
      <c r="H187" s="405">
        <f>IFERROR(IF(OR($G187="",IFERROR(INDEX('Planning Pauses Dej'!$C:$C,MATCH($B187&amp;"|"&amp;TEXT($Q187,"YYYYMMDD"),'Planning Pauses Dej'!$F:$F,0)),"")="",IFERROR(INDEX('Planning Pauses Dej'!$D:$D,MATCH($B187&amp;"|"&amp;TEXT($Q187,"YYYYMMDD"),'Planning Pauses Dej'!$F:$F,0)),"")=""),"",IF($G187&gt;(IFERROR(INDEX('Planning Pauses Dej'!$D:$D,MATCH($B187&amp;"|"&amp;TEXT($Q187,"YYYYMMDD"),'Planning Pauses Dej'!$F:$F,0)),"")-IFERROR(INDEX('Planning Pauses Dej'!$C:$C,MATCH($B187&amp;"|"&amp;TEXT($Q187,"YYYYMMDD"),'Planning Pauses Dej'!$F:$F,0)),"")),$G187-(IFERROR(INDEX('Planning Pauses Dej'!$D:$D,MATCH($B187&amp;"|"&amp;TEXT($Q187,"YYYYMMDD"),'Planning Pauses Dej'!$F:$F,0)),"")-IFERROR(INDEX('Planning Pauses Dej'!$C:$C,MATCH($B187&amp;"|"&amp;TEXT($Q187,"YYYYMMDD"),'Planning Pauses Dej'!$F:$F,0)),"")),0)),"")</f>
        <v/>
      </c>
      <c r="I187" s="251">
        <f>IF(IF(OR(C187="",D187="Congé",D187="OFF",D187="Congé spécial"),"",IF(D187&gt;F187,D187-C187,IF(C187-D187&lt;0,0,C187-D187)))&lt;0.00068287037037037,"",IF(OR(D187="Congé",D187="OFF",C187="",D187="Congé spécial"),"",IF(D187&gt;F187,D187-C187,IF(C187-D187&lt;0,0,C187-D187))))</f>
        <v/>
      </c>
      <c r="J187" s="405">
        <f>IFERROR(IF($G187="","",IF($G187&gt;TIME(1,0,0),$G187-TIME(1,0,0),0)),"")</f>
        <v/>
      </c>
      <c r="K187" s="238">
        <f>IF(SUM(H187:J187)&lt;0.00068287037037037,0,SUM(H187:J187))</f>
        <v/>
      </c>
      <c r="L187" s="236">
        <f>IF(OR(F187="Congé",F187="OFF",M187="Abs",F187="Congé sans solde",F187="Férié",F187="Congé spécial",D187="Congé spécial"),0,IF(F187-E187&lt;0,0,IF(F187-E187&lt;=0.00068287037037037,0,F187-E187)))</f>
        <v/>
      </c>
      <c r="M187" s="239">
        <f>IF(AND(O187&lt;&gt;0,C187=""),"Abs",0)</f>
        <v/>
      </c>
      <c r="N187" s="240">
        <f>IFERROR(IF(OR(D187="OFF",D187="Congé",M187="Abs",D187="Congé sans solde",D187="Férié"),"",IF(O187-K187-L187&gt;O187,O187,IF(O187-K187-L187&lt;0,"",O187-K187-L187))),"")</f>
        <v/>
      </c>
      <c r="O187" s="241">
        <f>IF(AG187="2H Pause déjeuner",IF(F187-D187-0.0833333333333333&lt;0,F187-D187-0.0833333333333333+1,F187-D187-0.0833333333333333),IF(OR(AND(F187="OFF",D187="OFF"),AND(F187="Congé",D187="Congé"),AND(F187="Congé sans solde",D187="Congé sans solde"),AND(F187="Congé spécial",D187="Congé spécial"),AND(F187="Férié",D187="Férié"),AND(F187="OFF",D187="Congé"),AND(F187="OFF",D187="Congé sans solde"),AND(F187="OFF",D187="Congé spécial"),AND(F187="OFF",D187="Férié"),AND(F187="Congé",D187="OFF"),AND(F187="Congé",D187="Congé sans solde"),AND(F187="Congé",D187="Congé spécial"),AND(F187="Congé",D187="Férié"),AND(F187="Congé sans solde",D187="OFF"),AND(F187="Congé sans solde",D187="Congé"),AND(F187="Congé sans solde",D187="Congé spécial"),AND(F187="Congé sans solde",D187="Férié"),AND(F187="Congé spécial",D187="OFF"),AND(F187="Congé spécial",D187="Congé"),AND(F187="Congé spécial",D187="Congé sans solde"),AND(F187="Congé spécial",D187="Férié"),AND(F187="Férié",D187="OFF"),AND(F187="Férié",D187="Congé"),AND(F187="Férié",D187="Congé sans solde"),AND(F187="Férié",D187="Congé spécial")),0,IF(OR(F187="OFF",F187="Congé",F187="Congé spécial",F187="Congé sans solde",D187="OFF",D187="Congé",D187="Congé spécial",D187="Congé sans solde"),0.208333333333334,IF(AND(AG187="",F187-D187&lt;0),("24:00:00"-D187)+("00:00:00"+F187)-0.0416666666666667,IF(AND(OR(AG187="Allaitement",AG187="Sans déjeuner"),F187-D187&lt;0),("24:00:00"-D187)+("00:00:00"+F187),IF(AND(AG187="",F187-D187&gt;0.166666666666667),F187-D187-0.0416666666666667,IF(AND(OR(AG187="Allaitement",AG187="Sans déjeuner"),F187-D187&gt;0.166666666666667),F187-D187,F187-D187)))))))</f>
        <v/>
      </c>
      <c r="P187" s="242">
        <f>IFERROR(VLOOKUP($B187,Annuaire_roster!$B:$G,MATCH(P$1,Annuaire_roster!$B$1:$G$1,0),0),"-")</f>
        <v/>
      </c>
      <c r="Q187" s="243" t="n">
        <v>44766</v>
      </c>
      <c r="R187" s="244">
        <f>IF(M187="Abs",O187,0)</f>
        <v/>
      </c>
      <c r="S187" s="244">
        <f>SUM(R187,L187,I187,J187,W187,H187)</f>
        <v/>
      </c>
      <c r="T187" s="209">
        <f>"Sem - "&amp;WEEKNUM(Q187,21)</f>
        <v/>
      </c>
      <c r="U187" s="209">
        <f>PROPER(TEXT(Q187,"mmmm"))</f>
        <v/>
      </c>
      <c r="V187" s="245">
        <f>+TEXT(Q187,"aaa")</f>
        <v/>
      </c>
      <c r="W187" s="240" t="n"/>
      <c r="X187" s="246">
        <f>IFERROR(IF(M187="Abs",0,IF((D187-C187+E187-F187)&lt;0.000694444444444444,0,(D187-C187+E187-F187))),0)</f>
        <v/>
      </c>
      <c r="Y187" s="247">
        <f>IFERROR(VLOOKUP(B187,Annuaire_roster!B:E,4,0),"-")</f>
        <v/>
      </c>
      <c r="Z187" s="247">
        <f>IFERROR(VLOOKUP(B187,Annuaire_roster!B:F,3,0),"-")</f>
        <v/>
      </c>
      <c r="AA187" s="247">
        <f>IFERROR(VLOOKUP(B187,Annuaire_roster!B:I,6,0),"-")</f>
        <v/>
      </c>
      <c r="AB187" s="248">
        <f>IF(AND(D187="Congé",F187="Congé"),0.333333333333333,IF(OR(AND(D187="Congé",F187&lt;&gt;"Congé"),(AND(F187="Congé",D187&lt;&gt;"Congé"))),0.166666666666667,""))</f>
        <v/>
      </c>
      <c r="AC187" s="248">
        <f>IF(AND(D187="Congé sans solde",F187="Congé sans solde"),0.333333333333333,IF(OR(AND(D187="Congé sans solde",F187&lt;&gt;"Congé sans solde"),(AND(F187="Congé sans solde",D187&lt;&gt;"Congé sans solde"))),0.166666666666667,""))</f>
        <v/>
      </c>
      <c r="AD187" s="248">
        <f>IF(AND(D187="Congé spécial",F187="Congé spécial"),0.333333333333333,IF(OR(AND(D187="Congé spécial",F187&lt;&gt;"Congé décès"),(AND(F187="Congé spécial",D187&lt;&gt;"Congé spécial"))),0.166666666666667,""))</f>
        <v/>
      </c>
      <c r="AE187" s="249">
        <f>IF(AND(D187="Férié",F187="Férié"),0.333333333333333,IF(OR(AND(D187="Férié",F187&lt;&gt;"Férié"),(AND(F187="Férié",D187&lt;&gt;"Férié"))),0.166666666666667,""))</f>
        <v/>
      </c>
      <c r="AF187" s="249" t="n"/>
      <c r="AG187" s="244" t="n"/>
    </row>
    <row r="188" hidden="1" ht="12.75" customHeight="1" s="231">
      <c r="A188" s="232">
        <f>VLOOKUP(B188,Annuaire_roster!B:F,5,0)</f>
        <v/>
      </c>
      <c r="B188" s="233" t="inlineStr">
        <is>
          <t>ZIOUI DOUNIA</t>
        </is>
      </c>
      <c r="C188" s="234">
        <f>IFERROR(IF(COUNTIFS(Connexions!$K:$K,$Q188,Connexions!$E:$E,VLOOKUP($B188,Mapping_Noms!$A:$B,2,0))=0,"",_xlfn.MINIFS(Connexions!$M:$M,Connexions!$K:$K,$Q188,Connexions!$E:$E,VLOOKUP($B188,Mapping_Noms!$A:$B,2,0))-TIME(1,0,0)),"")</f>
        <v/>
      </c>
      <c r="D188" s="234">
        <f t="array" ref="D188:D188">IFERROR(INDEX(Planning2[],MATCH(1,(Planning2[Nom]=B188)*(Planning2[Date]=Q188),0),3),"-")</f>
        <v/>
      </c>
      <c r="E188" s="235">
        <f>IFERROR(IF(COUNTIFS(Connexions!$K:$K,$Q188,Connexions!$E:$E,VLOOKUP($B188,Mapping_Noms!$A:$B,2,0))=0,"",_xlfn.MAXIFS(Connexions!$O:$O,Connexions!$K:$K,$Q188,Connexions!$E:$E,VLOOKUP($B188,Mapping_Noms!$A:$B,2,0))-TIME(1,0,0)),"")</f>
        <v/>
      </c>
      <c r="F188" s="235">
        <f t="array" ref="F188:F188">IFERROR(INDEX(Planning2[],MATCH(1,(Planning2[Nom]=B188)*(Planning2[Date]=Q188),0),4),"-")</f>
        <v/>
      </c>
      <c r="G188" s="405">
        <f>IFERROR(IF(OR(IFERROR(INDEX('Planning Pauses Dej'!$C:$C,MATCH($B188&amp;"|"&amp;TEXT($Q188,"YYYYMMDD"),'Planning Pauses Dej'!$F:$F,0)),"")="",IFERROR(INDEX('Planning Pauses Dej'!$D:$D,MATCH($B188&amp;"|"&amp;TEXT($Q188,"YYYYMMDD"),'Planning Pauses Dej'!$F:$F,0)),"")=""),"",_xlfn.MAXIFS(Connexions!$Q:$Q,Connexions!$K:$K,$Q188,Connexions!$E:$E,VLOOKUP($B188,Mapping_Noms!$A:$B,2,0),Connexions!$O:$O,"&lt;="&amp;(IFERROR(INDEX('Planning Pauses Dej'!$D:$D,MATCH($B188&amp;"|"&amp;TEXT($Q188,"YYYYMMDD"),'Planning Pauses Dej'!$F:$F,0)),"")+TIME(1,0,0)),Connexions!$P:$P,"&gt;="&amp;(IFERROR(INDEX('Planning Pauses Dej'!$C:$C,MATCH($B188&amp;"|"&amp;TEXT($Q188,"YYYYMMDD"),'Planning Pauses Dej'!$F:$F,0)),"")+TIME(1,0,0)))),"")</f>
        <v/>
      </c>
      <c r="H188" s="405">
        <f>IFERROR(IF(OR($G188="",IFERROR(INDEX('Planning Pauses Dej'!$C:$C,MATCH($B188&amp;"|"&amp;TEXT($Q188,"YYYYMMDD"),'Planning Pauses Dej'!$F:$F,0)),"")="",IFERROR(INDEX('Planning Pauses Dej'!$D:$D,MATCH($B188&amp;"|"&amp;TEXT($Q188,"YYYYMMDD"),'Planning Pauses Dej'!$F:$F,0)),"")=""),"",IF($G188&gt;(IFERROR(INDEX('Planning Pauses Dej'!$D:$D,MATCH($B188&amp;"|"&amp;TEXT($Q188,"YYYYMMDD"),'Planning Pauses Dej'!$F:$F,0)),"")-IFERROR(INDEX('Planning Pauses Dej'!$C:$C,MATCH($B188&amp;"|"&amp;TEXT($Q188,"YYYYMMDD"),'Planning Pauses Dej'!$F:$F,0)),"")),$G188-(IFERROR(INDEX('Planning Pauses Dej'!$D:$D,MATCH($B188&amp;"|"&amp;TEXT($Q188,"YYYYMMDD"),'Planning Pauses Dej'!$F:$F,0)),"")-IFERROR(INDEX('Planning Pauses Dej'!$C:$C,MATCH($B188&amp;"|"&amp;TEXT($Q188,"YYYYMMDD"),'Planning Pauses Dej'!$F:$F,0)),"")),0)),"")</f>
        <v/>
      </c>
      <c r="I188" s="251">
        <f>IF(IF(OR(C188="",D188="Congé",D188="OFF",D188="Congé spécial"),"",IF(D188&gt;F188,D188-C188,IF(C188-D188&lt;0,0,C188-D188)))&lt;0.00068287037037037,"",IF(OR(D188="Congé",D188="OFF",C188="",D188="Congé spécial"),"",IF(D188&gt;F188,D188-C188,IF(C188-D188&lt;0,0,C188-D188))))</f>
        <v/>
      </c>
      <c r="J188" s="405">
        <f>IFERROR(IF($G188="","",IF($G188&gt;TIME(1,0,0),$G188-TIME(1,0,0),0)),"")</f>
        <v/>
      </c>
      <c r="K188" s="238">
        <f>IF(SUM(H188:J188)&lt;0.00068287037037037,0,SUM(H188:J188))</f>
        <v/>
      </c>
      <c r="L188" s="236">
        <f>IF(OR(F188="Congé",F188="OFF",M188="Abs",F188="Congé sans solde",F188="Férié",F188="Congé spécial",D188="Congé spécial"),0,IF(F188-E188&lt;0,0,IF(F188-E188&lt;=0.00068287037037037,0,F188-E188)))</f>
        <v/>
      </c>
      <c r="M188" s="239">
        <f>IF(AND(O188&lt;&gt;0,C188=""),"Abs",0)</f>
        <v/>
      </c>
      <c r="N188" s="240">
        <f>IFERROR(IF(OR(D188="OFF",D188="Congé",M188="Abs",D188="Congé sans solde",D188="Férié"),"",IF(O188-K188-L188&gt;O188,O188,IF(O188-K188-L188&lt;0,"",O188-K188-L188))),"")</f>
        <v/>
      </c>
      <c r="O188" s="241">
        <f>IF(AG188="2H Pause déjeuner",IF(F188-D188-0.0833333333333333&lt;0,F188-D188-0.0833333333333333+1,F188-D188-0.0833333333333333),IF(OR(AND(F188="OFF",D188="OFF"),AND(F188="Congé",D188="Congé"),AND(F188="Congé sans solde",D188="Congé sans solde"),AND(F188="Congé spécial",D188="Congé spécial"),AND(F188="Férié",D188="Férié"),AND(F188="OFF",D188="Congé"),AND(F188="OFF",D188="Congé sans solde"),AND(F188="OFF",D188="Congé spécial"),AND(F188="OFF",D188="Férié"),AND(F188="Congé",D188="OFF"),AND(F188="Congé",D188="Congé sans solde"),AND(F188="Congé",D188="Congé spécial"),AND(F188="Congé",D188="Férié"),AND(F188="Congé sans solde",D188="OFF"),AND(F188="Congé sans solde",D188="Congé"),AND(F188="Congé sans solde",D188="Congé spécial"),AND(F188="Congé sans solde",D188="Férié"),AND(F188="Congé spécial",D188="OFF"),AND(F188="Congé spécial",D188="Congé"),AND(F188="Congé spécial",D188="Congé sans solde"),AND(F188="Congé spécial",D188="Férié"),AND(F188="Férié",D188="OFF"),AND(F188="Férié",D188="Congé"),AND(F188="Férié",D188="Congé sans solde"),AND(F188="Férié",D188="Congé spécial")),0,IF(OR(F188="OFF",F188="Congé",F188="Congé spécial",F188="Congé sans solde",D188="OFF",D188="Congé",D188="Congé spécial",D188="Congé sans solde"),0.208333333333334,IF(AND(AG188="",F188-D188&lt;0),("24:00:00"-D188)+("00:00:00"+F188)-0.0416666666666667,IF(AND(OR(AG188="Allaitement",AG188="Sans déjeuner"),F188-D188&lt;0),("24:00:00"-D188)+("00:00:00"+F188),IF(AND(AG188="",F188-D188&gt;0.166666666666667),F188-D188-0.0416666666666667,IF(AND(OR(AG188="Allaitement",AG188="Sans déjeuner"),F188-D188&gt;0.166666666666667),F188-D188,F188-D188)))))))</f>
        <v/>
      </c>
      <c r="P188" s="242">
        <f>IFERROR(VLOOKUP($B188,Annuaire_roster!$B:$G,MATCH(P$1,Annuaire_roster!$B$1:$G$1,0),0),"-")</f>
        <v/>
      </c>
      <c r="Q188" s="243" t="n">
        <v>44766</v>
      </c>
      <c r="R188" s="244">
        <f>IF(M188="Abs",O188,0)</f>
        <v/>
      </c>
      <c r="S188" s="244">
        <f>SUM(R188,L188,I188,J188,W188,H188)</f>
        <v/>
      </c>
      <c r="T188" s="209">
        <f>"Sem - "&amp;WEEKNUM(Q188,21)</f>
        <v/>
      </c>
      <c r="U188" s="209">
        <f>PROPER(TEXT(Q188,"mmmm"))</f>
        <v/>
      </c>
      <c r="V188" s="245">
        <f>+TEXT(Q188,"aaa")</f>
        <v/>
      </c>
      <c r="W188" s="240" t="n"/>
      <c r="X188" s="246">
        <f>IFERROR(IF(M188="Abs",0,IF((D188-C188+E188-F188)&lt;0.000694444444444444,0,(D188-C188+E188-F188))),0)</f>
        <v/>
      </c>
      <c r="Y188" s="247">
        <f>IFERROR(VLOOKUP(B188,Annuaire_roster!B:E,4,0),"-")</f>
        <v/>
      </c>
      <c r="Z188" s="247">
        <f>IFERROR(VLOOKUP(B188,Annuaire_roster!B:F,3,0),"-")</f>
        <v/>
      </c>
      <c r="AA188" s="247">
        <f>IFERROR(VLOOKUP(B188,Annuaire_roster!B:I,6,0),"-")</f>
        <v/>
      </c>
      <c r="AB188" s="248">
        <f>IF(AND(D188="Congé",F188="Congé"),0.333333333333333,IF(OR(AND(D188="Congé",F188&lt;&gt;"Congé"),(AND(F188="Congé",D188&lt;&gt;"Congé"))),0.166666666666667,""))</f>
        <v/>
      </c>
      <c r="AC188" s="248">
        <f>IF(AND(D188="Congé sans solde",F188="Congé sans solde"),0.333333333333333,IF(OR(AND(D188="Congé sans solde",F188&lt;&gt;"Congé sans solde"),(AND(F188="Congé sans solde",D188&lt;&gt;"Congé sans solde"))),0.166666666666667,""))</f>
        <v/>
      </c>
      <c r="AD188" s="248">
        <f>IF(AND(D188="Congé spécial",F188="Congé spécial"),0.333333333333333,IF(OR(AND(D188="Congé spécial",F188&lt;&gt;"Congé décès"),(AND(F188="Congé spécial",D188&lt;&gt;"Congé spécial"))),0.166666666666667,""))</f>
        <v/>
      </c>
      <c r="AE188" s="249">
        <f>IF(AND(D188="Férié",F188="Férié"),0.333333333333333,IF(OR(AND(D188="Férié",F188&lt;&gt;"Férié"),(AND(F188="Férié",D188&lt;&gt;"Férié"))),0.166666666666667,""))</f>
        <v/>
      </c>
      <c r="AF188" s="249" t="n"/>
      <c r="AG188" s="244" t="n"/>
    </row>
    <row r="189" hidden="1" ht="12.75" customHeight="1" s="231">
      <c r="A189" s="232">
        <f>VLOOKUP(B189,Annuaire_roster!B:F,5,0)</f>
        <v/>
      </c>
      <c r="B189" s="233" t="inlineStr">
        <is>
          <t>MELLAHI YOUSSEF</t>
        </is>
      </c>
      <c r="C189" s="234">
        <f>IFERROR(IF(COUNTIFS(Connexions!$K:$K,$Q189,Connexions!$E:$E,VLOOKUP($B189,Mapping_Noms!$A:$B,2,0))=0,"",_xlfn.MINIFS(Connexions!$M:$M,Connexions!$K:$K,$Q189,Connexions!$E:$E,VLOOKUP($B189,Mapping_Noms!$A:$B,2,0))-TIME(1,0,0)),"")</f>
        <v/>
      </c>
      <c r="D189" s="234">
        <f t="array" ref="D189:D189">IFERROR(INDEX(Planning2[],MATCH(1,(Planning2[Nom]=B189)*(Planning2[Date]=Q189),0),3),"-")</f>
        <v/>
      </c>
      <c r="E189" s="235">
        <f>IFERROR(IF(COUNTIFS(Connexions!$K:$K,$Q189,Connexions!$E:$E,VLOOKUP($B189,Mapping_Noms!$A:$B,2,0))=0,"",_xlfn.MAXIFS(Connexions!$O:$O,Connexions!$K:$K,$Q189,Connexions!$E:$E,VLOOKUP($B189,Mapping_Noms!$A:$B,2,0))-TIME(1,0,0)),"")</f>
        <v/>
      </c>
      <c r="F189" s="235">
        <f t="array" ref="F189:F189">IFERROR(INDEX(Planning2[],MATCH(1,(Planning2[Nom]=B189)*(Planning2[Date]=Q189),0),4),"-")</f>
        <v/>
      </c>
      <c r="G189" s="405">
        <f>IFERROR(IF(OR(IFERROR(INDEX('Planning Pauses Dej'!$C:$C,MATCH($B189&amp;"|"&amp;TEXT($Q189,"YYYYMMDD"),'Planning Pauses Dej'!$F:$F,0)),"")="",IFERROR(INDEX('Planning Pauses Dej'!$D:$D,MATCH($B189&amp;"|"&amp;TEXT($Q189,"YYYYMMDD"),'Planning Pauses Dej'!$F:$F,0)),"")=""),"",_xlfn.MAXIFS(Connexions!$Q:$Q,Connexions!$K:$K,$Q189,Connexions!$E:$E,VLOOKUP($B189,Mapping_Noms!$A:$B,2,0),Connexions!$O:$O,"&lt;="&amp;(IFERROR(INDEX('Planning Pauses Dej'!$D:$D,MATCH($B189&amp;"|"&amp;TEXT($Q189,"YYYYMMDD"),'Planning Pauses Dej'!$F:$F,0)),"")+TIME(1,0,0)),Connexions!$P:$P,"&gt;="&amp;(IFERROR(INDEX('Planning Pauses Dej'!$C:$C,MATCH($B189&amp;"|"&amp;TEXT($Q189,"YYYYMMDD"),'Planning Pauses Dej'!$F:$F,0)),"")+TIME(1,0,0)))),"")</f>
        <v/>
      </c>
      <c r="H189" s="405">
        <f>IFERROR(IF(OR($G189="",IFERROR(INDEX('Planning Pauses Dej'!$C:$C,MATCH($B189&amp;"|"&amp;TEXT($Q189,"YYYYMMDD"),'Planning Pauses Dej'!$F:$F,0)),"")="",IFERROR(INDEX('Planning Pauses Dej'!$D:$D,MATCH($B189&amp;"|"&amp;TEXT($Q189,"YYYYMMDD"),'Planning Pauses Dej'!$F:$F,0)),"")=""),"",IF($G189&gt;(IFERROR(INDEX('Planning Pauses Dej'!$D:$D,MATCH($B189&amp;"|"&amp;TEXT($Q189,"YYYYMMDD"),'Planning Pauses Dej'!$F:$F,0)),"")-IFERROR(INDEX('Planning Pauses Dej'!$C:$C,MATCH($B189&amp;"|"&amp;TEXT($Q189,"YYYYMMDD"),'Planning Pauses Dej'!$F:$F,0)),"")),$G189-(IFERROR(INDEX('Planning Pauses Dej'!$D:$D,MATCH($B189&amp;"|"&amp;TEXT($Q189,"YYYYMMDD"),'Planning Pauses Dej'!$F:$F,0)),"")-IFERROR(INDEX('Planning Pauses Dej'!$C:$C,MATCH($B189&amp;"|"&amp;TEXT($Q189,"YYYYMMDD"),'Planning Pauses Dej'!$F:$F,0)),"")),0)),"")</f>
        <v/>
      </c>
      <c r="I189" s="251">
        <f>IF(IF(OR(C189="",D189="Congé",D189="OFF",D189="Congé spécial"),"",IF(D189&gt;F189,D189-C189,IF(C189-D189&lt;0,0,C189-D189)))&lt;0.00068287037037037,"",IF(OR(D189="Congé",D189="OFF",C189="",D189="Congé spécial"),"",IF(D189&gt;F189,D189-C189,IF(C189-D189&lt;0,0,C189-D189))))</f>
        <v/>
      </c>
      <c r="J189" s="405">
        <f>IFERROR(IF($G189="","",IF($G189&gt;TIME(1,0,0),$G189-TIME(1,0,0),0)),"")</f>
        <v/>
      </c>
      <c r="K189" s="238">
        <f>IF(SUM(H189:J189)&lt;0.00068287037037037,0,SUM(H189:J189))</f>
        <v/>
      </c>
      <c r="L189" s="236">
        <f>IF(OR(F189="Congé",F189="OFF",M189="Abs",F189="Congé sans solde",F189="Férié",F189="Congé spécial",D189="Congé spécial"),0,IF(F189-E189&lt;0,0,IF(F189-E189&lt;=0.00068287037037037,0,F189-E189)))</f>
        <v/>
      </c>
      <c r="M189" s="239">
        <f>IF(AND(O189&lt;&gt;0,C189=""),"Abs",0)</f>
        <v/>
      </c>
      <c r="N189" s="240">
        <f>IFERROR(IF(OR(D189="OFF",D189="Congé",M189="Abs",D189="Congé sans solde",D189="Férié"),"",IF(O189-K189-L189&gt;O189,O189,IF(O189-K189-L189&lt;0,"",O189-K189-L189))),"")</f>
        <v/>
      </c>
      <c r="O189" s="241">
        <f>IF(AG189="2H Pause déjeuner",IF(F189-D189-0.0833333333333333&lt;0,F189-D189-0.0833333333333333+1,F189-D189-0.0833333333333333),IF(OR(AND(F189="OFF",D189="OFF"),AND(F189="Congé",D189="Congé"),AND(F189="Congé sans solde",D189="Congé sans solde"),AND(F189="Congé spécial",D189="Congé spécial"),AND(F189="Férié",D189="Férié"),AND(F189="OFF",D189="Congé"),AND(F189="OFF",D189="Congé sans solde"),AND(F189="OFF",D189="Congé spécial"),AND(F189="OFF",D189="Férié"),AND(F189="Congé",D189="OFF"),AND(F189="Congé",D189="Congé sans solde"),AND(F189="Congé",D189="Congé spécial"),AND(F189="Congé",D189="Férié"),AND(F189="Congé sans solde",D189="OFF"),AND(F189="Congé sans solde",D189="Congé"),AND(F189="Congé sans solde",D189="Congé spécial"),AND(F189="Congé sans solde",D189="Férié"),AND(F189="Congé spécial",D189="OFF"),AND(F189="Congé spécial",D189="Congé"),AND(F189="Congé spécial",D189="Congé sans solde"),AND(F189="Congé spécial",D189="Férié"),AND(F189="Férié",D189="OFF"),AND(F189="Férié",D189="Congé"),AND(F189="Férié",D189="Congé sans solde"),AND(F189="Férié",D189="Congé spécial")),0,IF(OR(F189="OFF",F189="Congé",F189="Congé spécial",F189="Congé sans solde",D189="OFF",D189="Congé",D189="Congé spécial",D189="Congé sans solde"),0.208333333333334,IF(AND(AG189="",F189-D189&lt;0),("24:00:00"-D189)+("00:00:00"+F189)-0.0416666666666667,IF(AND(OR(AG189="Allaitement",AG189="Sans déjeuner"),F189-D189&lt;0),("24:00:00"-D189)+("00:00:00"+F189),IF(AND(AG189="",F189-D189&gt;0.166666666666667),F189-D189-0.0416666666666667,IF(AND(OR(AG189="Allaitement",AG189="Sans déjeuner"),F189-D189&gt;0.166666666666667),F189-D189,F189-D189)))))))</f>
        <v/>
      </c>
      <c r="P189" s="242">
        <f>IFERROR(VLOOKUP($B189,Annuaire_roster!$B:$G,MATCH(P$1,Annuaire_roster!$B$1:$G$1,0),0),"-")</f>
        <v/>
      </c>
      <c r="Q189" s="243" t="n">
        <v>44766</v>
      </c>
      <c r="R189" s="244">
        <f>IF(M189="Abs",O189,0)</f>
        <v/>
      </c>
      <c r="S189" s="244">
        <f>SUM(R189,L189,I189,J189,W189,H189)</f>
        <v/>
      </c>
      <c r="T189" s="209">
        <f>"Sem - "&amp;WEEKNUM(Q189,21)</f>
        <v/>
      </c>
      <c r="U189" s="209">
        <f>PROPER(TEXT(Q189,"mmmm"))</f>
        <v/>
      </c>
      <c r="V189" s="245">
        <f>+TEXT(Q189,"aaa")</f>
        <v/>
      </c>
      <c r="W189" s="240" t="n"/>
      <c r="X189" s="246">
        <f>IFERROR(IF(M189="Abs",0,IF((D189-C189+E189-F189)&lt;0.000694444444444444,0,(D189-C189+E189-F189))),0)</f>
        <v/>
      </c>
      <c r="Y189" s="247">
        <f>IFERROR(VLOOKUP(B189,Annuaire_roster!B:E,4,0),"-")</f>
        <v/>
      </c>
      <c r="Z189" s="247">
        <f>IFERROR(VLOOKUP(B189,Annuaire_roster!B:F,3,0),"-")</f>
        <v/>
      </c>
      <c r="AA189" s="247">
        <f>IFERROR(VLOOKUP(B189,Annuaire_roster!B:I,6,0),"-")</f>
        <v/>
      </c>
      <c r="AB189" s="248">
        <f>IF(AND(D189="Congé",F189="Congé"),0.333333333333333,IF(OR(AND(D189="Congé",F189&lt;&gt;"Congé"),(AND(F189="Congé",D189&lt;&gt;"Congé"))),0.166666666666667,""))</f>
        <v/>
      </c>
      <c r="AC189" s="248">
        <f>IF(AND(D189="Congé sans solde",F189="Congé sans solde"),0.333333333333333,IF(OR(AND(D189="Congé sans solde",F189&lt;&gt;"Congé sans solde"),(AND(F189="Congé sans solde",D189&lt;&gt;"Congé sans solde"))),0.166666666666667,""))</f>
        <v/>
      </c>
      <c r="AD189" s="248">
        <f>IF(AND(D189="Congé spécial",F189="Congé spécial"),0.333333333333333,IF(OR(AND(D189="Congé spécial",F189&lt;&gt;"Congé décès"),(AND(F189="Congé spécial",D189&lt;&gt;"Congé spécial"))),0.166666666666667,""))</f>
        <v/>
      </c>
      <c r="AE189" s="249">
        <f>IF(AND(D189="Férié",F189="Férié"),0.333333333333333,IF(OR(AND(D189="Férié",F189&lt;&gt;"Férié"),(AND(F189="Férié",D189&lt;&gt;"Férié"))),0.166666666666667,""))</f>
        <v/>
      </c>
      <c r="AF189" s="249" t="n"/>
      <c r="AG189" s="244" t="n"/>
    </row>
    <row r="190" hidden="1" ht="12.75" customHeight="1" s="231">
      <c r="A190" s="232">
        <f>VLOOKUP(B190,Annuaire_roster!B:F,5,0)</f>
        <v/>
      </c>
      <c r="B190" s="233" t="inlineStr">
        <is>
          <t>SECK DIARRA</t>
        </is>
      </c>
      <c r="C190" s="234">
        <f>IFERROR(IF(COUNTIFS(Connexions!$K:$K,$Q190,Connexions!$E:$E,VLOOKUP($B190,Mapping_Noms!$A:$B,2,0))=0,"",_xlfn.MINIFS(Connexions!$M:$M,Connexions!$K:$K,$Q190,Connexions!$E:$E,VLOOKUP($B190,Mapping_Noms!$A:$B,2,0))-TIME(1,0,0)),"")</f>
        <v/>
      </c>
      <c r="D190" s="234">
        <f t="array" ref="D190:D190">IFERROR(INDEX(Planning2[],MATCH(1,(Planning2[Nom]=B190)*(Planning2[Date]=Q190),0),3),"-")</f>
        <v/>
      </c>
      <c r="E190" s="235">
        <f>IFERROR(IF(COUNTIFS(Connexions!$K:$K,$Q190,Connexions!$E:$E,VLOOKUP($B190,Mapping_Noms!$A:$B,2,0))=0,"",_xlfn.MAXIFS(Connexions!$O:$O,Connexions!$K:$K,$Q190,Connexions!$E:$E,VLOOKUP($B190,Mapping_Noms!$A:$B,2,0))-TIME(1,0,0)),"")</f>
        <v/>
      </c>
      <c r="F190" s="235">
        <f t="array" ref="F190:F190">IFERROR(INDEX(Planning2[],MATCH(1,(Planning2[Nom]=B190)*(Planning2[Date]=Q190),0),4),"-")</f>
        <v/>
      </c>
      <c r="G190" s="405">
        <f>IFERROR(IF(OR(IFERROR(INDEX('Planning Pauses Dej'!$C:$C,MATCH($B190&amp;"|"&amp;TEXT($Q190,"YYYYMMDD"),'Planning Pauses Dej'!$F:$F,0)),"")="",IFERROR(INDEX('Planning Pauses Dej'!$D:$D,MATCH($B190&amp;"|"&amp;TEXT($Q190,"YYYYMMDD"),'Planning Pauses Dej'!$F:$F,0)),"")=""),"",_xlfn.MAXIFS(Connexions!$Q:$Q,Connexions!$K:$K,$Q190,Connexions!$E:$E,VLOOKUP($B190,Mapping_Noms!$A:$B,2,0),Connexions!$O:$O,"&lt;="&amp;(IFERROR(INDEX('Planning Pauses Dej'!$D:$D,MATCH($B190&amp;"|"&amp;TEXT($Q190,"YYYYMMDD"),'Planning Pauses Dej'!$F:$F,0)),"")+TIME(1,0,0)),Connexions!$P:$P,"&gt;="&amp;(IFERROR(INDEX('Planning Pauses Dej'!$C:$C,MATCH($B190&amp;"|"&amp;TEXT($Q190,"YYYYMMDD"),'Planning Pauses Dej'!$F:$F,0)),"")+TIME(1,0,0)))),"")</f>
        <v/>
      </c>
      <c r="H190" s="405">
        <f>IFERROR(IF(OR($G190="",IFERROR(INDEX('Planning Pauses Dej'!$C:$C,MATCH($B190&amp;"|"&amp;TEXT($Q190,"YYYYMMDD"),'Planning Pauses Dej'!$F:$F,0)),"")="",IFERROR(INDEX('Planning Pauses Dej'!$D:$D,MATCH($B190&amp;"|"&amp;TEXT($Q190,"YYYYMMDD"),'Planning Pauses Dej'!$F:$F,0)),"")=""),"",IF($G190&gt;(IFERROR(INDEX('Planning Pauses Dej'!$D:$D,MATCH($B190&amp;"|"&amp;TEXT($Q190,"YYYYMMDD"),'Planning Pauses Dej'!$F:$F,0)),"")-IFERROR(INDEX('Planning Pauses Dej'!$C:$C,MATCH($B190&amp;"|"&amp;TEXT($Q190,"YYYYMMDD"),'Planning Pauses Dej'!$F:$F,0)),"")),$G190-(IFERROR(INDEX('Planning Pauses Dej'!$D:$D,MATCH($B190&amp;"|"&amp;TEXT($Q190,"YYYYMMDD"),'Planning Pauses Dej'!$F:$F,0)),"")-IFERROR(INDEX('Planning Pauses Dej'!$C:$C,MATCH($B190&amp;"|"&amp;TEXT($Q190,"YYYYMMDD"),'Planning Pauses Dej'!$F:$F,0)),"")),0)),"")</f>
        <v/>
      </c>
      <c r="I190" s="251">
        <f>IF(IF(OR(C190="",D190="Congé",D190="OFF",D190="Congé spécial"),"",IF(D190&gt;F190,D190-C190,IF(C190-D190&lt;0,0,C190-D190)))&lt;0.00068287037037037,"",IF(OR(D190="Congé",D190="OFF",C190="",D190="Congé spécial"),"",IF(D190&gt;F190,D190-C190,IF(C190-D190&lt;0,0,C190-D190))))</f>
        <v/>
      </c>
      <c r="J190" s="405">
        <f>IFERROR(IF($G190="","",IF($G190&gt;TIME(1,0,0),$G190-TIME(1,0,0),0)),"")</f>
        <v/>
      </c>
      <c r="K190" s="238">
        <f>IF(SUM(H190:J190)&lt;0.00068287037037037,0,SUM(H190:J190))</f>
        <v/>
      </c>
      <c r="L190" s="236">
        <f>IF(OR(F190="Congé",F190="OFF",M190="Abs",F190="Congé sans solde",F190="Férié",F190="Congé spécial",D190="Congé spécial"),0,IF(F190-E190&lt;0,0,IF(F190-E190&lt;=0.00068287037037037,0,F190-E190)))</f>
        <v/>
      </c>
      <c r="M190" s="239">
        <f>IF(AND(O190&lt;&gt;0,C190=""),"Abs",0)</f>
        <v/>
      </c>
      <c r="N190" s="240">
        <f>IFERROR(IF(OR(D190="OFF",D190="Congé",M190="Abs",D190="Congé sans solde",D190="Férié"),"",IF(O190-K190-L190&gt;O190,O190,IF(O190-K190-L190&lt;0,"",O190-K190-L190))),"")</f>
        <v/>
      </c>
      <c r="O190" s="241">
        <f>IF(AG190="2H Pause déjeuner",IF(F190-D190-0.0833333333333333&lt;0,F190-D190-0.0833333333333333+1,F190-D190-0.0833333333333333),IF(OR(AND(F190="OFF",D190="OFF"),AND(F190="Congé",D190="Congé"),AND(F190="Congé sans solde",D190="Congé sans solde"),AND(F190="Congé spécial",D190="Congé spécial"),AND(F190="Férié",D190="Férié"),AND(F190="OFF",D190="Congé"),AND(F190="OFF",D190="Congé sans solde"),AND(F190="OFF",D190="Congé spécial"),AND(F190="OFF",D190="Férié"),AND(F190="Congé",D190="OFF"),AND(F190="Congé",D190="Congé sans solde"),AND(F190="Congé",D190="Congé spécial"),AND(F190="Congé",D190="Férié"),AND(F190="Congé sans solde",D190="OFF"),AND(F190="Congé sans solde",D190="Congé"),AND(F190="Congé sans solde",D190="Congé spécial"),AND(F190="Congé sans solde",D190="Férié"),AND(F190="Congé spécial",D190="OFF"),AND(F190="Congé spécial",D190="Congé"),AND(F190="Congé spécial",D190="Congé sans solde"),AND(F190="Congé spécial",D190="Férié"),AND(F190="Férié",D190="OFF"),AND(F190="Férié",D190="Congé"),AND(F190="Férié",D190="Congé sans solde"),AND(F190="Férié",D190="Congé spécial")),0,IF(OR(F190="OFF",F190="Congé",F190="Congé spécial",F190="Congé sans solde",D190="OFF",D190="Congé",D190="Congé spécial",D190="Congé sans solde"),0.208333333333334,IF(AND(AG190="",F190-D190&lt;0),("24:00:00"-D190)+("00:00:00"+F190)-0.0416666666666667,IF(AND(OR(AG190="Allaitement",AG190="Sans déjeuner"),F190-D190&lt;0),("24:00:00"-D190)+("00:00:00"+F190),IF(AND(AG190="",F190-D190&gt;0.166666666666667),F190-D190-0.0416666666666667,IF(AND(OR(AG190="Allaitement",AG190="Sans déjeuner"),F190-D190&gt;0.166666666666667),F190-D190,F190-D190)))))))</f>
        <v/>
      </c>
      <c r="P190" s="242">
        <f>IFERROR(VLOOKUP($B190,Annuaire_roster!$B:$G,MATCH(P$1,Annuaire_roster!$B$1:$G$1,0),0),"-")</f>
        <v/>
      </c>
      <c r="Q190" s="243" t="n">
        <v>44766</v>
      </c>
      <c r="R190" s="244">
        <f>IF(M190="Abs",O190,0)</f>
        <v/>
      </c>
      <c r="S190" s="244">
        <f>SUM(R190,L190,I190,J190,W190,H190)</f>
        <v/>
      </c>
      <c r="T190" s="209">
        <f>"Sem - "&amp;WEEKNUM(Q190,21)</f>
        <v/>
      </c>
      <c r="U190" s="209">
        <f>PROPER(TEXT(Q190,"mmmm"))</f>
        <v/>
      </c>
      <c r="V190" s="245">
        <f>+TEXT(Q190,"aaa")</f>
        <v/>
      </c>
      <c r="W190" s="240" t="n"/>
      <c r="X190" s="246">
        <f>IFERROR(IF(M190="Abs",0,IF((D190-C190+E190-F190)&lt;0.000694444444444444,0,(D190-C190+E190-F190))),0)</f>
        <v/>
      </c>
      <c r="Y190" s="247">
        <f>IFERROR(VLOOKUP(B190,Annuaire_roster!B:E,4,0),"-")</f>
        <v/>
      </c>
      <c r="Z190" s="247">
        <f>IFERROR(VLOOKUP(B190,Annuaire_roster!B:F,3,0),"-")</f>
        <v/>
      </c>
      <c r="AA190" s="247">
        <f>IFERROR(VLOOKUP(B190,Annuaire_roster!B:I,6,0),"-")</f>
        <v/>
      </c>
      <c r="AB190" s="248">
        <f>IF(AND(D190="Congé",F190="Congé"),0.333333333333333,IF(OR(AND(D190="Congé",F190&lt;&gt;"Congé"),(AND(F190="Congé",D190&lt;&gt;"Congé"))),0.166666666666667,""))</f>
        <v/>
      </c>
      <c r="AC190" s="248">
        <f>IF(AND(D190="Congé sans solde",F190="Congé sans solde"),0.333333333333333,IF(OR(AND(D190="Congé sans solde",F190&lt;&gt;"Congé sans solde"),(AND(F190="Congé sans solde",D190&lt;&gt;"Congé sans solde"))),0.166666666666667,""))</f>
        <v/>
      </c>
      <c r="AD190" s="248">
        <f>IF(AND(D190="Congé spécial",F190="Congé spécial"),0.333333333333333,IF(OR(AND(D190="Congé spécial",F190&lt;&gt;"Congé décès"),(AND(F190="Congé spécial",D190&lt;&gt;"Congé spécial"))),0.166666666666667,""))</f>
        <v/>
      </c>
      <c r="AE190" s="249">
        <f>IF(AND(D190="Férié",F190="Férié"),0.333333333333333,IF(OR(AND(D190="Férié",F190&lt;&gt;"Férié"),(AND(F190="Férié",D190&lt;&gt;"Férié"))),0.166666666666667,""))</f>
        <v/>
      </c>
      <c r="AF190" s="249" t="n"/>
      <c r="AG190" s="244" t="n"/>
    </row>
    <row r="191" hidden="1" ht="12.75" customHeight="1" s="231">
      <c r="A191" s="232">
        <f>VLOOKUP(B191,Annuaire_roster!B:F,5,0)</f>
        <v/>
      </c>
      <c r="B191" s="233" t="inlineStr">
        <is>
          <t>BENSAR ANAS</t>
        </is>
      </c>
      <c r="C191" s="234">
        <f>IFERROR(IF(COUNTIFS(Connexions!$K:$K,$Q191,Connexions!$E:$E,VLOOKUP($B191,Mapping_Noms!$A:$B,2,0))=0,"",_xlfn.MINIFS(Connexions!$M:$M,Connexions!$K:$K,$Q191,Connexions!$E:$E,VLOOKUP($B191,Mapping_Noms!$A:$B,2,0))-TIME(1,0,0)),"")</f>
        <v/>
      </c>
      <c r="D191" s="234">
        <f t="array" ref="D191:D191">IFERROR(INDEX(Planning2[],MATCH(1,(Planning2[Nom]=B191)*(Planning2[Date]=Q191),0),3),"-")</f>
        <v/>
      </c>
      <c r="E191" s="235">
        <f>IFERROR(IF(COUNTIFS(Connexions!$K:$K,$Q191,Connexions!$E:$E,VLOOKUP($B191,Mapping_Noms!$A:$B,2,0))=0,"",_xlfn.MAXIFS(Connexions!$O:$O,Connexions!$K:$K,$Q191,Connexions!$E:$E,VLOOKUP($B191,Mapping_Noms!$A:$B,2,0))-TIME(1,0,0)),"")</f>
        <v/>
      </c>
      <c r="F191" s="235">
        <f t="array" ref="F191:F191">IFERROR(INDEX(Planning2[],MATCH(1,(Planning2[Nom]=B191)*(Planning2[Date]=Q191),0),4),"-")</f>
        <v/>
      </c>
      <c r="G191" s="405">
        <f>IFERROR(IF(OR(IFERROR(INDEX('Planning Pauses Dej'!$C:$C,MATCH($B191&amp;"|"&amp;TEXT($Q191,"YYYYMMDD"),'Planning Pauses Dej'!$F:$F,0)),"")="",IFERROR(INDEX('Planning Pauses Dej'!$D:$D,MATCH($B191&amp;"|"&amp;TEXT($Q191,"YYYYMMDD"),'Planning Pauses Dej'!$F:$F,0)),"")=""),"",_xlfn.MAXIFS(Connexions!$Q:$Q,Connexions!$K:$K,$Q191,Connexions!$E:$E,VLOOKUP($B191,Mapping_Noms!$A:$B,2,0),Connexions!$O:$O,"&lt;="&amp;(IFERROR(INDEX('Planning Pauses Dej'!$D:$D,MATCH($B191&amp;"|"&amp;TEXT($Q191,"YYYYMMDD"),'Planning Pauses Dej'!$F:$F,0)),"")+TIME(1,0,0)),Connexions!$P:$P,"&gt;="&amp;(IFERROR(INDEX('Planning Pauses Dej'!$C:$C,MATCH($B191&amp;"|"&amp;TEXT($Q191,"YYYYMMDD"),'Planning Pauses Dej'!$F:$F,0)),"")+TIME(1,0,0)))),"")</f>
        <v/>
      </c>
      <c r="H191" s="405">
        <f>IFERROR(IF(OR($G191="",IFERROR(INDEX('Planning Pauses Dej'!$C:$C,MATCH($B191&amp;"|"&amp;TEXT($Q191,"YYYYMMDD"),'Planning Pauses Dej'!$F:$F,0)),"")="",IFERROR(INDEX('Planning Pauses Dej'!$D:$D,MATCH($B191&amp;"|"&amp;TEXT($Q191,"YYYYMMDD"),'Planning Pauses Dej'!$F:$F,0)),"")=""),"",IF($G191&gt;(IFERROR(INDEX('Planning Pauses Dej'!$D:$D,MATCH($B191&amp;"|"&amp;TEXT($Q191,"YYYYMMDD"),'Planning Pauses Dej'!$F:$F,0)),"")-IFERROR(INDEX('Planning Pauses Dej'!$C:$C,MATCH($B191&amp;"|"&amp;TEXT($Q191,"YYYYMMDD"),'Planning Pauses Dej'!$F:$F,0)),"")),$G191-(IFERROR(INDEX('Planning Pauses Dej'!$D:$D,MATCH($B191&amp;"|"&amp;TEXT($Q191,"YYYYMMDD"),'Planning Pauses Dej'!$F:$F,0)),"")-IFERROR(INDEX('Planning Pauses Dej'!$C:$C,MATCH($B191&amp;"|"&amp;TEXT($Q191,"YYYYMMDD"),'Planning Pauses Dej'!$F:$F,0)),"")),0)),"")</f>
        <v/>
      </c>
      <c r="I191" s="251">
        <f>IF(IF(OR(C191="",D191="Congé",D191="OFF",D191="Congé spécial"),"",IF(D191&gt;F191,D191-C191,IF(C191-D191&lt;0,0,C191-D191)))&lt;0.00068287037037037,"",IF(OR(D191="Congé",D191="OFF",C191="",D191="Congé spécial"),"",IF(D191&gt;F191,D191-C191,IF(C191-D191&lt;0,0,C191-D191))))</f>
        <v/>
      </c>
      <c r="J191" s="405">
        <f>IFERROR(IF($G191="","",IF($G191&gt;TIME(1,0,0),$G191-TIME(1,0,0),0)),"")</f>
        <v/>
      </c>
      <c r="K191" s="238">
        <f>IF(SUM(H191:J191)&lt;0.00068287037037037,0,SUM(H191:J191))</f>
        <v/>
      </c>
      <c r="L191" s="236">
        <f>IF(OR(F191="Congé",F191="OFF",M191="Abs",F191="Congé sans solde",F191="Férié",F191="Congé spécial",D191="Congé spécial"),0,IF(F191-E191&lt;0,0,IF(F191-E191&lt;=0.00068287037037037,0,F191-E191)))</f>
        <v/>
      </c>
      <c r="M191" s="239">
        <f>IF(AND(O191&lt;&gt;0,C191=""),"Abs",0)</f>
        <v/>
      </c>
      <c r="N191" s="240">
        <f>IFERROR(IF(OR(D191="OFF",D191="Congé",M191="Abs",D191="Congé sans solde",D191="Férié"),"",IF(O191-K191-L191&gt;O191,O191,IF(O191-K191-L191&lt;0,"",O191-K191-L191))),"")</f>
        <v/>
      </c>
      <c r="O191" s="241">
        <f>IF(AG191="2H Pause déjeuner",IF(F191-D191-0.0833333333333333&lt;0,F191-D191-0.0833333333333333+1,F191-D191-0.0833333333333333),IF(OR(AND(F191="OFF",D191="OFF"),AND(F191="Congé",D191="Congé"),AND(F191="Congé sans solde",D191="Congé sans solde"),AND(F191="Congé spécial",D191="Congé spécial"),AND(F191="Férié",D191="Férié"),AND(F191="OFF",D191="Congé"),AND(F191="OFF",D191="Congé sans solde"),AND(F191="OFF",D191="Congé spécial"),AND(F191="OFF",D191="Férié"),AND(F191="Congé",D191="OFF"),AND(F191="Congé",D191="Congé sans solde"),AND(F191="Congé",D191="Congé spécial"),AND(F191="Congé",D191="Férié"),AND(F191="Congé sans solde",D191="OFF"),AND(F191="Congé sans solde",D191="Congé"),AND(F191="Congé sans solde",D191="Congé spécial"),AND(F191="Congé sans solde",D191="Férié"),AND(F191="Congé spécial",D191="OFF"),AND(F191="Congé spécial",D191="Congé"),AND(F191="Congé spécial",D191="Congé sans solde"),AND(F191="Congé spécial",D191="Férié"),AND(F191="Férié",D191="OFF"),AND(F191="Férié",D191="Congé"),AND(F191="Férié",D191="Congé sans solde"),AND(F191="Férié",D191="Congé spécial")),0,IF(OR(F191="OFF",F191="Congé",F191="Congé spécial",F191="Congé sans solde",D191="OFF",D191="Congé",D191="Congé spécial",D191="Congé sans solde"),0.208333333333334,IF(AND(AG191="",F191-D191&lt;0),("24:00:00"-D191)+("00:00:00"+F191)-0.0416666666666667,IF(AND(OR(AG191="Allaitement",AG191="Sans déjeuner"),F191-D191&lt;0),("24:00:00"-D191)+("00:00:00"+F191),IF(AND(AG191="",F191-D191&gt;0.166666666666667),F191-D191-0.0416666666666667,IF(AND(OR(AG191="Allaitement",AG191="Sans déjeuner"),F191-D191&gt;0.166666666666667),F191-D191,F191-D191)))))))</f>
        <v/>
      </c>
      <c r="P191" s="242">
        <f>IFERROR(VLOOKUP($B191,Annuaire_roster!$B:$G,MATCH(P$1,Annuaire_roster!$B$1:$G$1,0),0),"-")</f>
        <v/>
      </c>
      <c r="Q191" s="243" t="n">
        <v>44766</v>
      </c>
      <c r="R191" s="244">
        <f>IF(M191="Abs",O191,0)</f>
        <v/>
      </c>
      <c r="S191" s="244">
        <f>SUM(R191,L191,I191,J191,W191,H191)</f>
        <v/>
      </c>
      <c r="T191" s="209">
        <f>"Sem - "&amp;WEEKNUM(Q191,21)</f>
        <v/>
      </c>
      <c r="U191" s="209">
        <f>PROPER(TEXT(Q191,"mmmm"))</f>
        <v/>
      </c>
      <c r="V191" s="245">
        <f>+TEXT(Q191,"aaa")</f>
        <v/>
      </c>
      <c r="W191" s="240" t="n"/>
      <c r="X191" s="246">
        <f>IFERROR(IF(M191="Abs",0,IF((D191-C191+E191-F191)&lt;0.000694444444444444,0,(D191-C191+E191-F191))),0)</f>
        <v/>
      </c>
      <c r="Y191" s="247">
        <f>IFERROR(VLOOKUP(B191,Annuaire_roster!B:E,4,0),"-")</f>
        <v/>
      </c>
      <c r="Z191" s="247">
        <f>IFERROR(VLOOKUP(B191,Annuaire_roster!B:F,3,0),"-")</f>
        <v/>
      </c>
      <c r="AA191" s="247">
        <f>IFERROR(VLOOKUP(B191,Annuaire_roster!B:I,6,0),"-")</f>
        <v/>
      </c>
      <c r="AB191" s="248">
        <f>IF(AND(D191="Congé",F191="Congé"),0.333333333333333,IF(OR(AND(D191="Congé",F191&lt;&gt;"Congé"),(AND(F191="Congé",D191&lt;&gt;"Congé"))),0.166666666666667,""))</f>
        <v/>
      </c>
      <c r="AC191" s="248">
        <f>IF(AND(D191="Congé sans solde",F191="Congé sans solde"),0.333333333333333,IF(OR(AND(D191="Congé sans solde",F191&lt;&gt;"Congé sans solde"),(AND(F191="Congé sans solde",D191&lt;&gt;"Congé sans solde"))),0.166666666666667,""))</f>
        <v/>
      </c>
      <c r="AD191" s="248">
        <f>IF(AND(D191="Congé spécial",F191="Congé spécial"),0.333333333333333,IF(OR(AND(D191="Congé spécial",F191&lt;&gt;"Congé décès"),(AND(F191="Congé spécial",D191&lt;&gt;"Congé spécial"))),0.166666666666667,""))</f>
        <v/>
      </c>
      <c r="AE191" s="249">
        <f>IF(AND(D191="Férié",F191="Férié"),0.333333333333333,IF(OR(AND(D191="Férié",F191&lt;&gt;"Férié"),(AND(F191="Férié",D191&lt;&gt;"Férié"))),0.166666666666667,""))</f>
        <v/>
      </c>
      <c r="AF191" s="249" t="n"/>
      <c r="AG191" s="244" t="n"/>
    </row>
    <row r="192" hidden="1" ht="12.75" customHeight="1" s="231">
      <c r="A192" s="232">
        <f>VLOOKUP(B192,Annuaire_roster!B:F,5,0)</f>
        <v/>
      </c>
      <c r="B192" s="233" t="inlineStr">
        <is>
          <t xml:space="preserve">DERKAOUI AMAL </t>
        </is>
      </c>
      <c r="C192" s="234">
        <f>IFERROR(IF(COUNTIFS(Connexions!$K:$K,$Q192,Connexions!$E:$E,VLOOKUP($B192,Mapping_Noms!$A:$B,2,0))=0,"",_xlfn.MINIFS(Connexions!$M:$M,Connexions!$K:$K,$Q192,Connexions!$E:$E,VLOOKUP($B192,Mapping_Noms!$A:$B,2,0))-TIME(1,0,0)),"")</f>
        <v/>
      </c>
      <c r="D192" s="234">
        <f t="array" ref="D192:D192">IFERROR(INDEX(Planning2[],MATCH(1,(Planning2[Nom]=B192)*(Planning2[Date]=Q192),0),3),"-")</f>
        <v/>
      </c>
      <c r="E192" s="235">
        <f>IFERROR(IF(COUNTIFS(Connexions!$K:$K,$Q192,Connexions!$E:$E,VLOOKUP($B192,Mapping_Noms!$A:$B,2,0))=0,"",_xlfn.MAXIFS(Connexions!$O:$O,Connexions!$K:$K,$Q192,Connexions!$E:$E,VLOOKUP($B192,Mapping_Noms!$A:$B,2,0))-TIME(1,0,0)),"")</f>
        <v/>
      </c>
      <c r="F192" s="235">
        <f t="array" ref="F192:F192">IFERROR(INDEX(Planning2[],MATCH(1,(Planning2[Nom]=B192)*(Planning2[Date]=Q192),0),4),"-")</f>
        <v/>
      </c>
      <c r="G192" s="405">
        <f>IFERROR(IF(OR(IFERROR(INDEX('Planning Pauses Dej'!$C:$C,MATCH($B192&amp;"|"&amp;TEXT($Q192,"YYYYMMDD"),'Planning Pauses Dej'!$F:$F,0)),"")="",IFERROR(INDEX('Planning Pauses Dej'!$D:$D,MATCH($B192&amp;"|"&amp;TEXT($Q192,"YYYYMMDD"),'Planning Pauses Dej'!$F:$F,0)),"")=""),"",_xlfn.MAXIFS(Connexions!$Q:$Q,Connexions!$K:$K,$Q192,Connexions!$E:$E,VLOOKUP($B192,Mapping_Noms!$A:$B,2,0),Connexions!$O:$O,"&lt;="&amp;(IFERROR(INDEX('Planning Pauses Dej'!$D:$D,MATCH($B192&amp;"|"&amp;TEXT($Q192,"YYYYMMDD"),'Planning Pauses Dej'!$F:$F,0)),"")+TIME(1,0,0)),Connexions!$P:$P,"&gt;="&amp;(IFERROR(INDEX('Planning Pauses Dej'!$C:$C,MATCH($B192&amp;"|"&amp;TEXT($Q192,"YYYYMMDD"),'Planning Pauses Dej'!$F:$F,0)),"")+TIME(1,0,0)))),"")</f>
        <v/>
      </c>
      <c r="H192" s="405">
        <f>IFERROR(IF(OR($G192="",IFERROR(INDEX('Planning Pauses Dej'!$C:$C,MATCH($B192&amp;"|"&amp;TEXT($Q192,"YYYYMMDD"),'Planning Pauses Dej'!$F:$F,0)),"")="",IFERROR(INDEX('Planning Pauses Dej'!$D:$D,MATCH($B192&amp;"|"&amp;TEXT($Q192,"YYYYMMDD"),'Planning Pauses Dej'!$F:$F,0)),"")=""),"",IF($G192&gt;(IFERROR(INDEX('Planning Pauses Dej'!$D:$D,MATCH($B192&amp;"|"&amp;TEXT($Q192,"YYYYMMDD"),'Planning Pauses Dej'!$F:$F,0)),"")-IFERROR(INDEX('Planning Pauses Dej'!$C:$C,MATCH($B192&amp;"|"&amp;TEXT($Q192,"YYYYMMDD"),'Planning Pauses Dej'!$F:$F,0)),"")),$G192-(IFERROR(INDEX('Planning Pauses Dej'!$D:$D,MATCH($B192&amp;"|"&amp;TEXT($Q192,"YYYYMMDD"),'Planning Pauses Dej'!$F:$F,0)),"")-IFERROR(INDEX('Planning Pauses Dej'!$C:$C,MATCH($B192&amp;"|"&amp;TEXT($Q192,"YYYYMMDD"),'Planning Pauses Dej'!$F:$F,0)),"")),0)),"")</f>
        <v/>
      </c>
      <c r="I192" s="251">
        <f>IF(IF(OR(C192="",D192="Congé",D192="OFF",D192="Congé spécial"),"",IF(D192&gt;F192,D192-C192,IF(C192-D192&lt;0,0,C192-D192)))&lt;0.00068287037037037,"",IF(OR(D192="Congé",D192="OFF",C192="",D192="Congé spécial"),"",IF(D192&gt;F192,D192-C192,IF(C192-D192&lt;0,0,C192-D192))))</f>
        <v/>
      </c>
      <c r="J192" s="405">
        <f>IFERROR(IF($G192="","",IF($G192&gt;TIME(1,0,0),$G192-TIME(1,0,0),0)),"")</f>
        <v/>
      </c>
      <c r="K192" s="238">
        <f>IF(SUM(H192:J192)&lt;0.00068287037037037,0,SUM(H192:J192))</f>
        <v/>
      </c>
      <c r="L192" s="236">
        <f>IF(OR(F192="Congé",F192="OFF",M192="Abs",F192="Congé sans solde",F192="Férié",F192="Congé spécial",D192="Congé spécial"),0,IF(F192-E192&lt;0,0,IF(F192-E192&lt;=0.00068287037037037,0,F192-E192)))</f>
        <v/>
      </c>
      <c r="M192" s="239">
        <f>IF(AND(O192&lt;&gt;0,C192=""),"Abs",0)</f>
        <v/>
      </c>
      <c r="N192" s="240">
        <f>IFERROR(IF(OR(D192="OFF",D192="Congé",M192="Abs",D192="Congé sans solde",D192="Férié"),"",IF(O192-K192-L192&gt;O192,O192,IF(O192-K192-L192&lt;0,"",O192-K192-L192))),"")</f>
        <v/>
      </c>
      <c r="O192" s="241">
        <f>IF(AG192="2H Pause déjeuner",IF(F192-D192-0.0833333333333333&lt;0,F192-D192-0.0833333333333333+1,F192-D192-0.0833333333333333),IF(OR(AND(F192="OFF",D192="OFF"),AND(F192="Congé",D192="Congé"),AND(F192="Congé sans solde",D192="Congé sans solde"),AND(F192="Congé spécial",D192="Congé spécial"),AND(F192="Férié",D192="Férié"),AND(F192="OFF",D192="Congé"),AND(F192="OFF",D192="Congé sans solde"),AND(F192="OFF",D192="Congé spécial"),AND(F192="OFF",D192="Férié"),AND(F192="Congé",D192="OFF"),AND(F192="Congé",D192="Congé sans solde"),AND(F192="Congé",D192="Congé spécial"),AND(F192="Congé",D192="Férié"),AND(F192="Congé sans solde",D192="OFF"),AND(F192="Congé sans solde",D192="Congé"),AND(F192="Congé sans solde",D192="Congé spécial"),AND(F192="Congé sans solde",D192="Férié"),AND(F192="Congé spécial",D192="OFF"),AND(F192="Congé spécial",D192="Congé"),AND(F192="Congé spécial",D192="Congé sans solde"),AND(F192="Congé spécial",D192="Férié"),AND(F192="Férié",D192="OFF"),AND(F192="Férié",D192="Congé"),AND(F192="Férié",D192="Congé sans solde"),AND(F192="Férié",D192="Congé spécial")),0,IF(OR(F192="OFF",F192="Congé",F192="Congé spécial",F192="Congé sans solde",D192="OFF",D192="Congé",D192="Congé spécial",D192="Congé sans solde"),0.208333333333334,IF(AND(AG192="",F192-D192&lt;0),("24:00:00"-D192)+("00:00:00"+F192)-0.0416666666666667,IF(AND(OR(AG192="Allaitement",AG192="Sans déjeuner"),F192-D192&lt;0),("24:00:00"-D192)+("00:00:00"+F192),IF(AND(AG192="",F192-D192&gt;0.166666666666667),F192-D192-0.0416666666666667,IF(AND(OR(AG192="Allaitement",AG192="Sans déjeuner"),F192-D192&gt;0.166666666666667),F192-D192,F192-D192)))))))</f>
        <v/>
      </c>
      <c r="P192" s="242">
        <f>IFERROR(VLOOKUP($B192,Annuaire_roster!$B:$G,MATCH(P$1,Annuaire_roster!$B$1:$G$1,0),0),"-")</f>
        <v/>
      </c>
      <c r="Q192" s="243" t="n">
        <v>44766</v>
      </c>
      <c r="R192" s="244">
        <f>IF(M192="Abs",O192,0)</f>
        <v/>
      </c>
      <c r="S192" s="244">
        <f>SUM(R192,L192,I192,J192,W192,H192)</f>
        <v/>
      </c>
      <c r="T192" s="209">
        <f>"Sem - "&amp;WEEKNUM(Q192,21)</f>
        <v/>
      </c>
      <c r="U192" s="209">
        <f>PROPER(TEXT(Q192,"mmmm"))</f>
        <v/>
      </c>
      <c r="V192" s="245">
        <f>+TEXT(Q192,"aaa")</f>
        <v/>
      </c>
      <c r="W192" s="240" t="n"/>
      <c r="X192" s="246">
        <f>IFERROR(IF(M192="Abs",0,IF((D192-C192+E192-F192)&lt;0.000694444444444444,0,(D192-C192+E192-F192))),0)</f>
        <v/>
      </c>
      <c r="Y192" s="247">
        <f>IFERROR(VLOOKUP(B192,Annuaire_roster!B:E,4,0),"-")</f>
        <v/>
      </c>
      <c r="Z192" s="247">
        <f>IFERROR(VLOOKUP(B192,Annuaire_roster!B:F,3,0),"-")</f>
        <v/>
      </c>
      <c r="AA192" s="247">
        <f>IFERROR(VLOOKUP(B192,Annuaire_roster!B:I,6,0),"-")</f>
        <v/>
      </c>
      <c r="AB192" s="248">
        <f>IF(AND(D192="Congé",F192="Congé"),0.333333333333333,IF(OR(AND(D192="Congé",F192&lt;&gt;"Congé"),(AND(F192="Congé",D192&lt;&gt;"Congé"))),0.166666666666667,""))</f>
        <v/>
      </c>
      <c r="AC192" s="248">
        <f>IF(AND(D192="Congé sans solde",F192="Congé sans solde"),0.333333333333333,IF(OR(AND(D192="Congé sans solde",F192&lt;&gt;"Congé sans solde"),(AND(F192="Congé sans solde",D192&lt;&gt;"Congé sans solde"))),0.166666666666667,""))</f>
        <v/>
      </c>
      <c r="AD192" s="248">
        <f>IF(AND(D192="Congé spécial",F192="Congé spécial"),0.333333333333333,IF(OR(AND(D192="Congé spécial",F192&lt;&gt;"Congé décès"),(AND(F192="Congé spécial",D192&lt;&gt;"Congé spécial"))),0.166666666666667,""))</f>
        <v/>
      </c>
      <c r="AE192" s="249">
        <f>IF(AND(D192="Férié",F192="Férié"),0.333333333333333,IF(OR(AND(D192="Férié",F192&lt;&gt;"Férié"),(AND(F192="Férié",D192&lt;&gt;"Férié"))),0.166666666666667,""))</f>
        <v/>
      </c>
      <c r="AF192" s="249" t="n"/>
      <c r="AG192" s="244" t="n"/>
    </row>
    <row r="193" hidden="1" ht="12.75" customHeight="1" s="231">
      <c r="A193" s="232">
        <f>VLOOKUP(B193,Annuaire_roster!B:F,5,0)</f>
        <v/>
      </c>
      <c r="B193" s="233" t="inlineStr">
        <is>
          <t>SIDIBE MOUSKEBA DALAFINA</t>
        </is>
      </c>
      <c r="C193" s="234">
        <f>IFERROR(IF(COUNTIFS(Connexions!$K:$K,$Q193,Connexions!$E:$E,VLOOKUP($B193,Mapping_Noms!$A:$B,2,0))=0,"",_xlfn.MINIFS(Connexions!$M:$M,Connexions!$K:$K,$Q193,Connexions!$E:$E,VLOOKUP($B193,Mapping_Noms!$A:$B,2,0))-TIME(1,0,0)),"")</f>
        <v/>
      </c>
      <c r="D193" s="234">
        <f t="array" ref="D193:D193">IFERROR(INDEX(Planning2[],MATCH(1,(Planning2[Nom]=B193)*(Planning2[Date]=Q193),0),3),"-")</f>
        <v/>
      </c>
      <c r="E193" s="235">
        <f>IFERROR(IF(COUNTIFS(Connexions!$K:$K,$Q193,Connexions!$E:$E,VLOOKUP($B193,Mapping_Noms!$A:$B,2,0))=0,"",_xlfn.MAXIFS(Connexions!$O:$O,Connexions!$K:$K,$Q193,Connexions!$E:$E,VLOOKUP($B193,Mapping_Noms!$A:$B,2,0))-TIME(1,0,0)),"")</f>
        <v/>
      </c>
      <c r="F193" s="235">
        <f t="array" ref="F193:F193">IFERROR(INDEX(Planning2[],MATCH(1,(Planning2[Nom]=B193)*(Planning2[Date]=Q193),0),4),"-")</f>
        <v/>
      </c>
      <c r="G193" s="405">
        <f>IFERROR(IF(OR(IFERROR(INDEX('Planning Pauses Dej'!$C:$C,MATCH($B193&amp;"|"&amp;TEXT($Q193,"YYYYMMDD"),'Planning Pauses Dej'!$F:$F,0)),"")="",IFERROR(INDEX('Planning Pauses Dej'!$D:$D,MATCH($B193&amp;"|"&amp;TEXT($Q193,"YYYYMMDD"),'Planning Pauses Dej'!$F:$F,0)),"")=""),"",_xlfn.MAXIFS(Connexions!$Q:$Q,Connexions!$K:$K,$Q193,Connexions!$E:$E,VLOOKUP($B193,Mapping_Noms!$A:$B,2,0),Connexions!$O:$O,"&lt;="&amp;(IFERROR(INDEX('Planning Pauses Dej'!$D:$D,MATCH($B193&amp;"|"&amp;TEXT($Q193,"YYYYMMDD"),'Planning Pauses Dej'!$F:$F,0)),"")+TIME(1,0,0)),Connexions!$P:$P,"&gt;="&amp;(IFERROR(INDEX('Planning Pauses Dej'!$C:$C,MATCH($B193&amp;"|"&amp;TEXT($Q193,"YYYYMMDD"),'Planning Pauses Dej'!$F:$F,0)),"")+TIME(1,0,0)))),"")</f>
        <v/>
      </c>
      <c r="H193" s="405">
        <f>IFERROR(IF(OR($G193="",IFERROR(INDEX('Planning Pauses Dej'!$C:$C,MATCH($B193&amp;"|"&amp;TEXT($Q193,"YYYYMMDD"),'Planning Pauses Dej'!$F:$F,0)),"")="",IFERROR(INDEX('Planning Pauses Dej'!$D:$D,MATCH($B193&amp;"|"&amp;TEXT($Q193,"YYYYMMDD"),'Planning Pauses Dej'!$F:$F,0)),"")=""),"",IF($G193&gt;(IFERROR(INDEX('Planning Pauses Dej'!$D:$D,MATCH($B193&amp;"|"&amp;TEXT($Q193,"YYYYMMDD"),'Planning Pauses Dej'!$F:$F,0)),"")-IFERROR(INDEX('Planning Pauses Dej'!$C:$C,MATCH($B193&amp;"|"&amp;TEXT($Q193,"YYYYMMDD"),'Planning Pauses Dej'!$F:$F,0)),"")),$G193-(IFERROR(INDEX('Planning Pauses Dej'!$D:$D,MATCH($B193&amp;"|"&amp;TEXT($Q193,"YYYYMMDD"),'Planning Pauses Dej'!$F:$F,0)),"")-IFERROR(INDEX('Planning Pauses Dej'!$C:$C,MATCH($B193&amp;"|"&amp;TEXT($Q193,"YYYYMMDD"),'Planning Pauses Dej'!$F:$F,0)),"")),0)),"")</f>
        <v/>
      </c>
      <c r="I193" s="251">
        <f>IF(IF(OR(C193="",D193="Congé",D193="OFF",D193="Congé spécial"),"",IF(D193&gt;F193,D193-C193,IF(C193-D193&lt;0,0,C193-D193)))&lt;0.00068287037037037,"",IF(OR(D193="Congé",D193="OFF",C193="",D193="Congé spécial"),"",IF(D193&gt;F193,D193-C193,IF(C193-D193&lt;0,0,C193-D193))))</f>
        <v/>
      </c>
      <c r="J193" s="405">
        <f>IFERROR(IF($G193="","",IF($G193&gt;TIME(1,0,0),$G193-TIME(1,0,0),0)),"")</f>
        <v/>
      </c>
      <c r="K193" s="238">
        <f>IF(SUM(H193:J193)&lt;0.00068287037037037,0,SUM(H193:J193))</f>
        <v/>
      </c>
      <c r="L193" s="236">
        <f>IF(OR(F193="Congé",F193="OFF",M193="Abs",F193="Congé sans solde",F193="Férié",F193="Congé spécial",D193="Congé spécial"),0,IF(F193-E193&lt;0,0,IF(F193-E193&lt;=0.00068287037037037,0,F193-E193)))</f>
        <v/>
      </c>
      <c r="M193" s="239">
        <f>IF(AND(O193&lt;&gt;0,C193=""),"Abs",0)</f>
        <v/>
      </c>
      <c r="N193" s="240">
        <f>IFERROR(IF(OR(D193="OFF",D193="Congé",M193="Abs",D193="Congé sans solde",D193="Férié"),"",IF(O193-K193-L193&gt;O193,O193,IF(O193-K193-L193&lt;0,"",O193-K193-L193))),"")</f>
        <v/>
      </c>
      <c r="O193" s="241">
        <f>IF(AG193="2H Pause déjeuner",IF(F193-D193-0.0833333333333333&lt;0,F193-D193-0.0833333333333333+1,F193-D193-0.0833333333333333),IF(OR(AND(F193="OFF",D193="OFF"),AND(F193="Congé",D193="Congé"),AND(F193="Congé sans solde",D193="Congé sans solde"),AND(F193="Congé spécial",D193="Congé spécial"),AND(F193="Férié",D193="Férié"),AND(F193="OFF",D193="Congé"),AND(F193="OFF",D193="Congé sans solde"),AND(F193="OFF",D193="Congé spécial"),AND(F193="OFF",D193="Férié"),AND(F193="Congé",D193="OFF"),AND(F193="Congé",D193="Congé sans solde"),AND(F193="Congé",D193="Congé spécial"),AND(F193="Congé",D193="Férié"),AND(F193="Congé sans solde",D193="OFF"),AND(F193="Congé sans solde",D193="Congé"),AND(F193="Congé sans solde",D193="Congé spécial"),AND(F193="Congé sans solde",D193="Férié"),AND(F193="Congé spécial",D193="OFF"),AND(F193="Congé spécial",D193="Congé"),AND(F193="Congé spécial",D193="Congé sans solde"),AND(F193="Congé spécial",D193="Férié"),AND(F193="Férié",D193="OFF"),AND(F193="Férié",D193="Congé"),AND(F193="Férié",D193="Congé sans solde"),AND(F193="Férié",D193="Congé spécial")),0,IF(OR(F193="OFF",F193="Congé",F193="Congé spécial",F193="Congé sans solde",D193="OFF",D193="Congé",D193="Congé spécial",D193="Congé sans solde"),0.208333333333334,IF(AND(AG193="",F193-D193&lt;0),("24:00:00"-D193)+("00:00:00"+F193)-0.0416666666666667,IF(AND(OR(AG193="Allaitement",AG193="Sans déjeuner"),F193-D193&lt;0),("24:00:00"-D193)+("00:00:00"+F193),IF(AND(AG193="",F193-D193&gt;0.166666666666667),F193-D193-0.0416666666666667,IF(AND(OR(AG193="Allaitement",AG193="Sans déjeuner"),F193-D193&gt;0.166666666666667),F193-D193,F193-D193)))))))</f>
        <v/>
      </c>
      <c r="P193" s="242">
        <f>IFERROR(VLOOKUP($B193,Annuaire_roster!$B:$G,MATCH(P$1,Annuaire_roster!$B$1:$G$1,0),0),"-")</f>
        <v/>
      </c>
      <c r="Q193" s="243" t="n">
        <v>44766</v>
      </c>
      <c r="R193" s="244">
        <f>IF(M193="Abs",O193,0)</f>
        <v/>
      </c>
      <c r="S193" s="244">
        <f>SUM(R193,L193,I193,J193,W193,H193)</f>
        <v/>
      </c>
      <c r="T193" s="209">
        <f>"Sem - "&amp;WEEKNUM(Q193,21)</f>
        <v/>
      </c>
      <c r="U193" s="209">
        <f>PROPER(TEXT(Q193,"mmmm"))</f>
        <v/>
      </c>
      <c r="V193" s="245">
        <f>+TEXT(Q193,"aaa")</f>
        <v/>
      </c>
      <c r="W193" s="240" t="n"/>
      <c r="X193" s="246">
        <f>IFERROR(IF(M193="Abs",0,IF((D193-C193+E193-F193)&lt;0.000694444444444444,0,(D193-C193+E193-F193))),0)</f>
        <v/>
      </c>
      <c r="Y193" s="247">
        <f>IFERROR(VLOOKUP(B193,Annuaire_roster!B:E,4,0),"-")</f>
        <v/>
      </c>
      <c r="Z193" s="247">
        <f>IFERROR(VLOOKUP(B193,Annuaire_roster!B:F,3,0),"-")</f>
        <v/>
      </c>
      <c r="AA193" s="247">
        <f>IFERROR(VLOOKUP(B193,Annuaire_roster!B:I,6,0),"-")</f>
        <v/>
      </c>
      <c r="AB193" s="248">
        <f>IF(AND(D193="Congé",F193="Congé"),0.333333333333333,IF(OR(AND(D193="Congé",F193&lt;&gt;"Congé"),(AND(F193="Congé",D193&lt;&gt;"Congé"))),0.166666666666667,""))</f>
        <v/>
      </c>
      <c r="AC193" s="248">
        <f>IF(AND(D193="Congé sans solde",F193="Congé sans solde"),0.333333333333333,IF(OR(AND(D193="Congé sans solde",F193&lt;&gt;"Congé sans solde"),(AND(F193="Congé sans solde",D193&lt;&gt;"Congé sans solde"))),0.166666666666667,""))</f>
        <v/>
      </c>
      <c r="AD193" s="248">
        <f>IF(AND(D193="Congé spécial",F193="Congé spécial"),0.333333333333333,IF(OR(AND(D193="Congé spécial",F193&lt;&gt;"Congé décès"),(AND(F193="Congé spécial",D193&lt;&gt;"Congé spécial"))),0.166666666666667,""))</f>
        <v/>
      </c>
      <c r="AE193" s="249">
        <f>IF(AND(D193="Férié",F193="Férié"),0.333333333333333,IF(OR(AND(D193="Férié",F193&lt;&gt;"Férié"),(AND(F193="Férié",D193&lt;&gt;"Férié"))),0.166666666666667,""))</f>
        <v/>
      </c>
      <c r="AF193" s="249" t="n"/>
      <c r="AG193" s="244" t="n"/>
    </row>
    <row r="194" hidden="1" ht="12.75" customHeight="1" s="231">
      <c r="A194" s="232">
        <f>VLOOKUP(B194,Annuaire_roster!B:F,5,0)</f>
        <v/>
      </c>
      <c r="B194" s="233" t="inlineStr">
        <is>
          <t>EL-AOUAQUI BOUCHRA</t>
        </is>
      </c>
      <c r="C194" s="234">
        <f>IFERROR(IF(COUNTIFS(Connexions!$K:$K,$Q194,Connexions!$E:$E,VLOOKUP($B194,Mapping_Noms!$A:$B,2,0))=0,"",_xlfn.MINIFS(Connexions!$M:$M,Connexions!$K:$K,$Q194,Connexions!$E:$E,VLOOKUP($B194,Mapping_Noms!$A:$B,2,0))-TIME(1,0,0)),"")</f>
        <v/>
      </c>
      <c r="D194" s="234">
        <f t="array" ref="D194:D194">IFERROR(INDEX(Planning2[],MATCH(1,(Planning2[Nom]=B194)*(Planning2[Date]=Q194),0),3),"-")</f>
        <v/>
      </c>
      <c r="E194" s="235">
        <f>IFERROR(IF(COUNTIFS(Connexions!$K:$K,$Q194,Connexions!$E:$E,VLOOKUP($B194,Mapping_Noms!$A:$B,2,0))=0,"",_xlfn.MAXIFS(Connexions!$O:$O,Connexions!$K:$K,$Q194,Connexions!$E:$E,VLOOKUP($B194,Mapping_Noms!$A:$B,2,0))-TIME(1,0,0)),"")</f>
        <v/>
      </c>
      <c r="F194" s="235">
        <f t="array" ref="F194:F194">IFERROR(INDEX(Planning2[],MATCH(1,(Planning2[Nom]=B194)*(Planning2[Date]=Q194),0),4),"-")</f>
        <v/>
      </c>
      <c r="G194" s="405">
        <f>IFERROR(IF(OR(IFERROR(INDEX('Planning Pauses Dej'!$C:$C,MATCH($B194&amp;"|"&amp;TEXT($Q194,"YYYYMMDD"),'Planning Pauses Dej'!$F:$F,0)),"")="",IFERROR(INDEX('Planning Pauses Dej'!$D:$D,MATCH($B194&amp;"|"&amp;TEXT($Q194,"YYYYMMDD"),'Planning Pauses Dej'!$F:$F,0)),"")=""),"",_xlfn.MAXIFS(Connexions!$Q:$Q,Connexions!$K:$K,$Q194,Connexions!$E:$E,VLOOKUP($B194,Mapping_Noms!$A:$B,2,0),Connexions!$O:$O,"&lt;="&amp;(IFERROR(INDEX('Planning Pauses Dej'!$D:$D,MATCH($B194&amp;"|"&amp;TEXT($Q194,"YYYYMMDD"),'Planning Pauses Dej'!$F:$F,0)),"")+TIME(1,0,0)),Connexions!$P:$P,"&gt;="&amp;(IFERROR(INDEX('Planning Pauses Dej'!$C:$C,MATCH($B194&amp;"|"&amp;TEXT($Q194,"YYYYMMDD"),'Planning Pauses Dej'!$F:$F,0)),"")+TIME(1,0,0)))),"")</f>
        <v/>
      </c>
      <c r="H194" s="405">
        <f>IFERROR(IF(OR($G194="",IFERROR(INDEX('Planning Pauses Dej'!$C:$C,MATCH($B194&amp;"|"&amp;TEXT($Q194,"YYYYMMDD"),'Planning Pauses Dej'!$F:$F,0)),"")="",IFERROR(INDEX('Planning Pauses Dej'!$D:$D,MATCH($B194&amp;"|"&amp;TEXT($Q194,"YYYYMMDD"),'Planning Pauses Dej'!$F:$F,0)),"")=""),"",IF($G194&gt;(IFERROR(INDEX('Planning Pauses Dej'!$D:$D,MATCH($B194&amp;"|"&amp;TEXT($Q194,"YYYYMMDD"),'Planning Pauses Dej'!$F:$F,0)),"")-IFERROR(INDEX('Planning Pauses Dej'!$C:$C,MATCH($B194&amp;"|"&amp;TEXT($Q194,"YYYYMMDD"),'Planning Pauses Dej'!$F:$F,0)),"")),$G194-(IFERROR(INDEX('Planning Pauses Dej'!$D:$D,MATCH($B194&amp;"|"&amp;TEXT($Q194,"YYYYMMDD"),'Planning Pauses Dej'!$F:$F,0)),"")-IFERROR(INDEX('Planning Pauses Dej'!$C:$C,MATCH($B194&amp;"|"&amp;TEXT($Q194,"YYYYMMDD"),'Planning Pauses Dej'!$F:$F,0)),"")),0)),"")</f>
        <v/>
      </c>
      <c r="I194" s="251">
        <f>IF(IF(OR(C194="",D194="Congé",D194="OFF",D194="Congé spécial"),"",IF(D194&gt;F194,D194-C194,IF(C194-D194&lt;0,0,C194-D194)))&lt;0.00068287037037037,"",IF(OR(D194="Congé",D194="OFF",C194="",D194="Congé spécial"),"",IF(D194&gt;F194,D194-C194,IF(C194-D194&lt;0,0,C194-D194))))</f>
        <v/>
      </c>
      <c r="J194" s="405">
        <f>IFERROR(IF($G194="","",IF($G194&gt;TIME(1,0,0),$G194-TIME(1,0,0),0)),"")</f>
        <v/>
      </c>
      <c r="K194" s="238">
        <f>IF(SUM(H194:J194)&lt;0.00068287037037037,0,SUM(H194:J194))</f>
        <v/>
      </c>
      <c r="L194" s="236">
        <f>IF(OR(F194="Congé",F194="OFF",M194="Abs",F194="Congé sans solde",F194="Férié",F194="Congé spécial",D194="Congé spécial"),0,IF(F194-E194&lt;0,0,IF(F194-E194&lt;=0.00068287037037037,0,F194-E194)))</f>
        <v/>
      </c>
      <c r="M194" s="239">
        <f>IF(AND(O194&lt;&gt;0,C194=""),"Abs",0)</f>
        <v/>
      </c>
      <c r="N194" s="240">
        <f>IFERROR(IF(OR(D194="OFF",D194="Congé",M194="Abs",D194="Congé sans solde",D194="Férié"),"",IF(O194-K194-L194&gt;O194,O194,IF(O194-K194-L194&lt;0,"",O194-K194-L194))),"")</f>
        <v/>
      </c>
      <c r="O194" s="241">
        <f>IF(AG194="2H Pause déjeuner",IF(F194-D194-0.0833333333333333&lt;0,F194-D194-0.0833333333333333+1,F194-D194-0.0833333333333333),IF(OR(AND(F194="OFF",D194="OFF"),AND(F194="Congé",D194="Congé"),AND(F194="Congé sans solde",D194="Congé sans solde"),AND(F194="Congé spécial",D194="Congé spécial"),AND(F194="Férié",D194="Férié"),AND(F194="OFF",D194="Congé"),AND(F194="OFF",D194="Congé sans solde"),AND(F194="OFF",D194="Congé spécial"),AND(F194="OFF",D194="Férié"),AND(F194="Congé",D194="OFF"),AND(F194="Congé",D194="Congé sans solde"),AND(F194="Congé",D194="Congé spécial"),AND(F194="Congé",D194="Férié"),AND(F194="Congé sans solde",D194="OFF"),AND(F194="Congé sans solde",D194="Congé"),AND(F194="Congé sans solde",D194="Congé spécial"),AND(F194="Congé sans solde",D194="Férié"),AND(F194="Congé spécial",D194="OFF"),AND(F194="Congé spécial",D194="Congé"),AND(F194="Congé spécial",D194="Congé sans solde"),AND(F194="Congé spécial",D194="Férié"),AND(F194="Férié",D194="OFF"),AND(F194="Férié",D194="Congé"),AND(F194="Férié",D194="Congé sans solde"),AND(F194="Férié",D194="Congé spécial")),0,IF(OR(F194="OFF",F194="Congé",F194="Congé spécial",F194="Congé sans solde",D194="OFF",D194="Congé",D194="Congé spécial",D194="Congé sans solde"),0.208333333333334,IF(AND(AG194="",F194-D194&lt;0),("24:00:00"-D194)+("00:00:00"+F194)-0.0416666666666667,IF(AND(OR(AG194="Allaitement",AG194="Sans déjeuner"),F194-D194&lt;0),("24:00:00"-D194)+("00:00:00"+F194),IF(AND(AG194="",F194-D194&gt;0.166666666666667),F194-D194-0.0416666666666667,IF(AND(OR(AG194="Allaitement",AG194="Sans déjeuner"),F194-D194&gt;0.166666666666667),F194-D194,F194-D194)))))))</f>
        <v/>
      </c>
      <c r="P194" s="242">
        <f>IFERROR(VLOOKUP($B194,Annuaire_roster!$B:$G,MATCH(P$1,Annuaire_roster!$B$1:$G$1,0),0),"-")</f>
        <v/>
      </c>
      <c r="Q194" s="243" t="n">
        <v>44767</v>
      </c>
      <c r="R194" s="244">
        <f>IF(M194="Abs",O194,0)</f>
        <v/>
      </c>
      <c r="S194" s="244">
        <f>SUM(R194,L194,I194,J194,W194,H194)</f>
        <v/>
      </c>
      <c r="T194" s="209">
        <f>"Sem - "&amp;WEEKNUM(Q194,21)</f>
        <v/>
      </c>
      <c r="U194" s="209">
        <f>PROPER(TEXT(Q194,"mmmm"))</f>
        <v/>
      </c>
      <c r="V194" s="245">
        <f>+TEXT(Q194,"aaa")</f>
        <v/>
      </c>
      <c r="W194" s="240" t="n"/>
      <c r="X194" s="246">
        <f>IFERROR(IF(M194="Abs",0,IF((D194-C194+E194-F194)&lt;0.000694444444444444,0,(D194-C194+E194-F194))),0)</f>
        <v/>
      </c>
      <c r="Y194" s="247">
        <f>IFERROR(VLOOKUP(B194,Annuaire_roster!B:E,4,0),"-")</f>
        <v/>
      </c>
      <c r="Z194" s="247">
        <f>IFERROR(VLOOKUP(B194,Annuaire_roster!B:F,3,0),"-")</f>
        <v/>
      </c>
      <c r="AA194" s="247">
        <f>IFERROR(VLOOKUP(B194,Annuaire_roster!B:I,6,0),"-")</f>
        <v/>
      </c>
      <c r="AB194" s="248">
        <f>IF(AND(D194="Congé",F194="Congé"),0.333333333333333,IF(OR(AND(D194="Congé",F194&lt;&gt;"Congé"),(AND(F194="Congé",D194&lt;&gt;"Congé"))),0.166666666666667,""))</f>
        <v/>
      </c>
      <c r="AC194" s="248">
        <f>IF(AND(D194="Congé sans solde",F194="Congé sans solde"),0.333333333333333,IF(OR(AND(D194="Congé sans solde",F194&lt;&gt;"Congé sans solde"),(AND(F194="Congé sans solde",D194&lt;&gt;"Congé sans solde"))),0.166666666666667,""))</f>
        <v/>
      </c>
      <c r="AD194" s="248">
        <f>IF(AND(D194="Congé spécial",F194="Congé spécial"),0.333333333333333,IF(OR(AND(D194="Congé spécial",F194&lt;&gt;"Congé décès"),(AND(F194="Congé spécial",D194&lt;&gt;"Congé spécial"))),0.166666666666667,""))</f>
        <v/>
      </c>
      <c r="AE194" s="249">
        <f>IF(AND(D194="Férié",F194="Férié"),0.333333333333333,IF(OR(AND(D194="Férié",F194&lt;&gt;"Férié"),(AND(F194="Férié",D194&lt;&gt;"Férié"))),0.166666666666667,""))</f>
        <v/>
      </c>
      <c r="AF194" s="249" t="n"/>
      <c r="AG194" s="244" t="n"/>
    </row>
    <row r="195" hidden="1" ht="12.75" customHeight="1" s="231">
      <c r="A195" s="232">
        <f>VLOOKUP(B195,Annuaire_roster!B:F,5,0)</f>
        <v/>
      </c>
      <c r="B195" s="233" t="inlineStr">
        <is>
          <t>IHASSANE Ikram</t>
        </is>
      </c>
      <c r="C195" s="234">
        <f>IFERROR(IF(COUNTIFS(Connexions!$K:$K,$Q195,Connexions!$E:$E,VLOOKUP($B195,Mapping_Noms!$A:$B,2,0))=0,"",_xlfn.MINIFS(Connexions!$M:$M,Connexions!$K:$K,$Q195,Connexions!$E:$E,VLOOKUP($B195,Mapping_Noms!$A:$B,2,0))-TIME(1,0,0)),"")</f>
        <v/>
      </c>
      <c r="D195" s="234">
        <f t="array" ref="D195:D195">IFERROR(INDEX(Planning2[],MATCH(1,(Planning2[Nom]=B195)*(Planning2[Date]=Q195),0),3),"-")</f>
        <v/>
      </c>
      <c r="E195" s="235">
        <f>IFERROR(IF(COUNTIFS(Connexions!$K:$K,$Q195,Connexions!$E:$E,VLOOKUP($B195,Mapping_Noms!$A:$B,2,0))=0,"",_xlfn.MAXIFS(Connexions!$O:$O,Connexions!$K:$K,$Q195,Connexions!$E:$E,VLOOKUP($B195,Mapping_Noms!$A:$B,2,0))-TIME(1,0,0)),"")</f>
        <v/>
      </c>
      <c r="F195" s="235">
        <f t="array" ref="F195:F195">IFERROR(INDEX(Planning2[],MATCH(1,(Planning2[Nom]=B195)*(Planning2[Date]=Q195),0),4),"-")</f>
        <v/>
      </c>
      <c r="G195" s="405">
        <f>IFERROR(IF(OR(IFERROR(INDEX('Planning Pauses Dej'!$C:$C,MATCH($B195&amp;"|"&amp;TEXT($Q195,"YYYYMMDD"),'Planning Pauses Dej'!$F:$F,0)),"")="",IFERROR(INDEX('Planning Pauses Dej'!$D:$D,MATCH($B195&amp;"|"&amp;TEXT($Q195,"YYYYMMDD"),'Planning Pauses Dej'!$F:$F,0)),"")=""),"",_xlfn.MAXIFS(Connexions!$Q:$Q,Connexions!$K:$K,$Q195,Connexions!$E:$E,VLOOKUP($B195,Mapping_Noms!$A:$B,2,0),Connexions!$O:$O,"&lt;="&amp;(IFERROR(INDEX('Planning Pauses Dej'!$D:$D,MATCH($B195&amp;"|"&amp;TEXT($Q195,"YYYYMMDD"),'Planning Pauses Dej'!$F:$F,0)),"")+TIME(1,0,0)),Connexions!$P:$P,"&gt;="&amp;(IFERROR(INDEX('Planning Pauses Dej'!$C:$C,MATCH($B195&amp;"|"&amp;TEXT($Q195,"YYYYMMDD"),'Planning Pauses Dej'!$F:$F,0)),"")+TIME(1,0,0)))),"")</f>
        <v/>
      </c>
      <c r="H195" s="405">
        <f>IFERROR(IF(OR($G195="",IFERROR(INDEX('Planning Pauses Dej'!$C:$C,MATCH($B195&amp;"|"&amp;TEXT($Q195,"YYYYMMDD"),'Planning Pauses Dej'!$F:$F,0)),"")="",IFERROR(INDEX('Planning Pauses Dej'!$D:$D,MATCH($B195&amp;"|"&amp;TEXT($Q195,"YYYYMMDD"),'Planning Pauses Dej'!$F:$F,0)),"")=""),"",IF($G195&gt;(IFERROR(INDEX('Planning Pauses Dej'!$D:$D,MATCH($B195&amp;"|"&amp;TEXT($Q195,"YYYYMMDD"),'Planning Pauses Dej'!$F:$F,0)),"")-IFERROR(INDEX('Planning Pauses Dej'!$C:$C,MATCH($B195&amp;"|"&amp;TEXT($Q195,"YYYYMMDD"),'Planning Pauses Dej'!$F:$F,0)),"")),$G195-(IFERROR(INDEX('Planning Pauses Dej'!$D:$D,MATCH($B195&amp;"|"&amp;TEXT($Q195,"YYYYMMDD"),'Planning Pauses Dej'!$F:$F,0)),"")-IFERROR(INDEX('Planning Pauses Dej'!$C:$C,MATCH($B195&amp;"|"&amp;TEXT($Q195,"YYYYMMDD"),'Planning Pauses Dej'!$F:$F,0)),"")),0)),"")</f>
        <v/>
      </c>
      <c r="I195" s="251">
        <f>IF(IF(OR(C195="",D195="Congé",D195="OFF",D195="Congé spécial"),"",IF(D195&gt;F195,D195-C195,IF(C195-D195&lt;0,0,C195-D195)))&lt;0.00068287037037037,"",IF(OR(D195="Congé",D195="OFF",C195="",D195="Congé spécial"),"",IF(D195&gt;F195,D195-C195,IF(C195-D195&lt;0,0,C195-D195))))</f>
        <v/>
      </c>
      <c r="J195" s="405">
        <f>IFERROR(IF($G195="","",IF($G195&gt;TIME(1,0,0),$G195-TIME(1,0,0),0)),"")</f>
        <v/>
      </c>
      <c r="K195" s="238">
        <f>IF(SUM(H195:J195)&lt;0.00068287037037037,0,SUM(H195:J195))</f>
        <v/>
      </c>
      <c r="L195" s="236">
        <f>IF(OR(F195="Congé",F195="OFF",M195="Abs",F195="Congé sans solde",F195="Férié",F195="Congé spécial",D195="Congé spécial"),0,IF(F195-E195&lt;0,0,IF(F195-E195&lt;=0.00068287037037037,0,F195-E195)))</f>
        <v/>
      </c>
      <c r="M195" s="239">
        <f>IF(AND(O195&lt;&gt;0,C195=""),"Abs",0)</f>
        <v/>
      </c>
      <c r="N195" s="240">
        <f>IFERROR(IF(OR(D195="OFF",D195="Congé",M195="Abs",D195="Congé sans solde",D195="Férié"),"",IF(O195-K195-L195&gt;O195,O195,IF(O195-K195-L195&lt;0,"",O195-K195-L195))),"")</f>
        <v/>
      </c>
      <c r="O195" s="241">
        <f>IF(AG195="2H Pause déjeuner",IF(F195-D195-0.0833333333333333&lt;0,F195-D195-0.0833333333333333+1,F195-D195-0.0833333333333333),IF(OR(AND(F195="OFF",D195="OFF"),AND(F195="Congé",D195="Congé"),AND(F195="Congé sans solde",D195="Congé sans solde"),AND(F195="Congé spécial",D195="Congé spécial"),AND(F195="Férié",D195="Férié"),AND(F195="OFF",D195="Congé"),AND(F195="OFF",D195="Congé sans solde"),AND(F195="OFF",D195="Congé spécial"),AND(F195="OFF",D195="Férié"),AND(F195="Congé",D195="OFF"),AND(F195="Congé",D195="Congé sans solde"),AND(F195="Congé",D195="Congé spécial"),AND(F195="Congé",D195="Férié"),AND(F195="Congé sans solde",D195="OFF"),AND(F195="Congé sans solde",D195="Congé"),AND(F195="Congé sans solde",D195="Congé spécial"),AND(F195="Congé sans solde",D195="Férié"),AND(F195="Congé spécial",D195="OFF"),AND(F195="Congé spécial",D195="Congé"),AND(F195="Congé spécial",D195="Congé sans solde"),AND(F195="Congé spécial",D195="Férié"),AND(F195="Férié",D195="OFF"),AND(F195="Férié",D195="Congé"),AND(F195="Férié",D195="Congé sans solde"),AND(F195="Férié",D195="Congé spécial")),0,IF(OR(F195="OFF",F195="Congé",F195="Congé spécial",F195="Congé sans solde",D195="OFF",D195="Congé",D195="Congé spécial",D195="Congé sans solde"),0.208333333333334,IF(AND(AG195="",F195-D195&lt;0),("24:00:00"-D195)+("00:00:00"+F195)-0.0416666666666667,IF(AND(OR(AG195="Allaitement",AG195="Sans déjeuner"),F195-D195&lt;0),("24:00:00"-D195)+("00:00:00"+F195),IF(AND(AG195="",F195-D195&gt;0.166666666666667),F195-D195-0.0416666666666667,IF(AND(OR(AG195="Allaitement",AG195="Sans déjeuner"),F195-D195&gt;0.166666666666667),F195-D195,F195-D195)))))))</f>
        <v/>
      </c>
      <c r="P195" s="242">
        <f>IFERROR(VLOOKUP($B195,Annuaire_roster!$B:$G,MATCH(P$1,Annuaire_roster!$B$1:$G$1,0),0),"-")</f>
        <v/>
      </c>
      <c r="Q195" s="243" t="n">
        <v>44767</v>
      </c>
      <c r="R195" s="244">
        <f>IF(M195="Abs",O195,0)</f>
        <v/>
      </c>
      <c r="S195" s="244">
        <f>SUM(R195,L195,I195,J195,W195,H195)</f>
        <v/>
      </c>
      <c r="T195" s="209">
        <f>"Sem - "&amp;WEEKNUM(Q195,21)</f>
        <v/>
      </c>
      <c r="U195" s="209">
        <f>PROPER(TEXT(Q195,"mmmm"))</f>
        <v/>
      </c>
      <c r="V195" s="245">
        <f>+TEXT(Q195,"aaa")</f>
        <v/>
      </c>
      <c r="W195" s="240" t="n"/>
      <c r="X195" s="246">
        <f>IFERROR(IF(M195="Abs",0,IF((D195-C195+E195-F195)&lt;0.000694444444444444,0,(D195-C195+E195-F195))),0)</f>
        <v/>
      </c>
      <c r="Y195" s="247">
        <f>IFERROR(VLOOKUP(B195,Annuaire_roster!B:E,4,0),"-")</f>
        <v/>
      </c>
      <c r="Z195" s="247">
        <f>IFERROR(VLOOKUP(B195,Annuaire_roster!B:F,3,0),"-")</f>
        <v/>
      </c>
      <c r="AA195" s="247">
        <f>IFERROR(VLOOKUP(B195,Annuaire_roster!B:I,6,0),"-")</f>
        <v/>
      </c>
      <c r="AB195" s="248">
        <f>IF(AND(D195="Congé",F195="Congé"),0.333333333333333,IF(OR(AND(D195="Congé",F195&lt;&gt;"Congé"),(AND(F195="Congé",D195&lt;&gt;"Congé"))),0.166666666666667,""))</f>
        <v/>
      </c>
      <c r="AC195" s="248">
        <f>IF(AND(D195="Congé sans solde",F195="Congé sans solde"),0.333333333333333,IF(OR(AND(D195="Congé sans solde",F195&lt;&gt;"Congé sans solde"),(AND(F195="Congé sans solde",D195&lt;&gt;"Congé sans solde"))),0.166666666666667,""))</f>
        <v/>
      </c>
      <c r="AD195" s="248">
        <f>IF(AND(D195="Congé spécial",F195="Congé spécial"),0.333333333333333,IF(OR(AND(D195="Congé spécial",F195&lt;&gt;"Congé décès"),(AND(F195="Congé spécial",D195&lt;&gt;"Congé spécial"))),0.166666666666667,""))</f>
        <v/>
      </c>
      <c r="AE195" s="249">
        <f>IF(AND(D195="Férié",F195="Férié"),0.333333333333333,IF(OR(AND(D195="Férié",F195&lt;&gt;"Férié"),(AND(F195="Férié",D195&lt;&gt;"Férié"))),0.166666666666667,""))</f>
        <v/>
      </c>
      <c r="AF195" s="249" t="n"/>
      <c r="AG195" s="244" t="n"/>
    </row>
    <row r="196" hidden="1" ht="12.75" customHeight="1" s="231">
      <c r="A196" s="232">
        <f>VLOOKUP(B196,Annuaire_roster!B:F,5,0)</f>
        <v/>
      </c>
      <c r="B196" s="233" t="inlineStr">
        <is>
          <t>NIANG NDEYE ABSA</t>
        </is>
      </c>
      <c r="C196" s="234">
        <f>IFERROR(IF(COUNTIFS(Connexions!$K:$K,$Q196,Connexions!$E:$E,VLOOKUP($B196,Mapping_Noms!$A:$B,2,0))=0,"",_xlfn.MINIFS(Connexions!$M:$M,Connexions!$K:$K,$Q196,Connexions!$E:$E,VLOOKUP($B196,Mapping_Noms!$A:$B,2,0))-TIME(1,0,0)),"")</f>
        <v/>
      </c>
      <c r="D196" s="234">
        <f t="array" ref="D196:D196">IFERROR(INDEX(Planning2[],MATCH(1,(Planning2[Nom]=B196)*(Planning2[Date]=Q196),0),3),"-")</f>
        <v/>
      </c>
      <c r="E196" s="235">
        <f>IFERROR(IF(COUNTIFS(Connexions!$K:$K,$Q196,Connexions!$E:$E,VLOOKUP($B196,Mapping_Noms!$A:$B,2,0))=0,"",_xlfn.MAXIFS(Connexions!$O:$O,Connexions!$K:$K,$Q196,Connexions!$E:$E,VLOOKUP($B196,Mapping_Noms!$A:$B,2,0))-TIME(1,0,0)),"")</f>
        <v/>
      </c>
      <c r="F196" s="235">
        <f t="array" ref="F196:F196">IFERROR(INDEX(Planning2[],MATCH(1,(Planning2[Nom]=B196)*(Planning2[Date]=Q196),0),4),"-")</f>
        <v/>
      </c>
      <c r="G196" s="405">
        <f>IFERROR(IF(OR(IFERROR(INDEX('Planning Pauses Dej'!$C:$C,MATCH($B196&amp;"|"&amp;TEXT($Q196,"YYYYMMDD"),'Planning Pauses Dej'!$F:$F,0)),"")="",IFERROR(INDEX('Planning Pauses Dej'!$D:$D,MATCH($B196&amp;"|"&amp;TEXT($Q196,"YYYYMMDD"),'Planning Pauses Dej'!$F:$F,0)),"")=""),"",_xlfn.MAXIFS(Connexions!$Q:$Q,Connexions!$K:$K,$Q196,Connexions!$E:$E,VLOOKUP($B196,Mapping_Noms!$A:$B,2,0),Connexions!$O:$O,"&lt;="&amp;(IFERROR(INDEX('Planning Pauses Dej'!$D:$D,MATCH($B196&amp;"|"&amp;TEXT($Q196,"YYYYMMDD"),'Planning Pauses Dej'!$F:$F,0)),"")+TIME(1,0,0)),Connexions!$P:$P,"&gt;="&amp;(IFERROR(INDEX('Planning Pauses Dej'!$C:$C,MATCH($B196&amp;"|"&amp;TEXT($Q196,"YYYYMMDD"),'Planning Pauses Dej'!$F:$F,0)),"")+TIME(1,0,0)))),"")</f>
        <v/>
      </c>
      <c r="H196" s="405">
        <f>IFERROR(IF(OR($G196="",IFERROR(INDEX('Planning Pauses Dej'!$C:$C,MATCH($B196&amp;"|"&amp;TEXT($Q196,"YYYYMMDD"),'Planning Pauses Dej'!$F:$F,0)),"")="",IFERROR(INDEX('Planning Pauses Dej'!$D:$D,MATCH($B196&amp;"|"&amp;TEXT($Q196,"YYYYMMDD"),'Planning Pauses Dej'!$F:$F,0)),"")=""),"",IF($G196&gt;(IFERROR(INDEX('Planning Pauses Dej'!$D:$D,MATCH($B196&amp;"|"&amp;TEXT($Q196,"YYYYMMDD"),'Planning Pauses Dej'!$F:$F,0)),"")-IFERROR(INDEX('Planning Pauses Dej'!$C:$C,MATCH($B196&amp;"|"&amp;TEXT($Q196,"YYYYMMDD"),'Planning Pauses Dej'!$F:$F,0)),"")),$G196-(IFERROR(INDEX('Planning Pauses Dej'!$D:$D,MATCH($B196&amp;"|"&amp;TEXT($Q196,"YYYYMMDD"),'Planning Pauses Dej'!$F:$F,0)),"")-IFERROR(INDEX('Planning Pauses Dej'!$C:$C,MATCH($B196&amp;"|"&amp;TEXT($Q196,"YYYYMMDD"),'Planning Pauses Dej'!$F:$F,0)),"")),0)),"")</f>
        <v/>
      </c>
      <c r="I196" s="251">
        <f>IF(IF(OR(C196="",D196="Congé",D196="OFF",D196="Congé spécial"),"",IF(D196&gt;F196,D196-C196,IF(C196-D196&lt;0,0,C196-D196)))&lt;0.00068287037037037,"",IF(OR(D196="Congé",D196="OFF",C196="",D196="Congé spécial"),"",IF(D196&gt;F196,D196-C196,IF(C196-D196&lt;0,0,C196-D196))))</f>
        <v/>
      </c>
      <c r="J196" s="405">
        <f>IFERROR(IF($G196="","",IF($G196&gt;TIME(1,0,0),$G196-TIME(1,0,0),0)),"")</f>
        <v/>
      </c>
      <c r="K196" s="238">
        <f>IF(SUM(H196:J196)&lt;0.00068287037037037,0,SUM(H196:J196))</f>
        <v/>
      </c>
      <c r="L196" s="236">
        <f>IF(OR(F196="Congé",F196="OFF",M196="Abs",F196="Congé sans solde",F196="Férié",F196="Congé spécial",D196="Congé spécial"),0,IF(F196-E196&lt;0,0,IF(F196-E196&lt;=0.00068287037037037,0,F196-E196)))</f>
        <v/>
      </c>
      <c r="M196" s="239">
        <f>IF(AND(O196&lt;&gt;0,C196=""),"Abs",0)</f>
        <v/>
      </c>
      <c r="N196" s="240">
        <f>IFERROR(IF(OR(D196="OFF",D196="Congé",M196="Abs",D196="Congé sans solde",D196="Férié"),"",IF(O196-K196-L196&gt;O196,O196,IF(O196-K196-L196&lt;0,"",O196-K196-L196))),"")</f>
        <v/>
      </c>
      <c r="O196" s="241">
        <f>IF(AG196="2H Pause déjeuner",IF(F196-D196-0.0833333333333333&lt;0,F196-D196-0.0833333333333333+1,F196-D196-0.0833333333333333),IF(OR(AND(F196="OFF",D196="OFF"),AND(F196="Congé",D196="Congé"),AND(F196="Congé sans solde",D196="Congé sans solde"),AND(F196="Congé spécial",D196="Congé spécial"),AND(F196="Férié",D196="Férié"),AND(F196="OFF",D196="Congé"),AND(F196="OFF",D196="Congé sans solde"),AND(F196="OFF",D196="Congé spécial"),AND(F196="OFF",D196="Férié"),AND(F196="Congé",D196="OFF"),AND(F196="Congé",D196="Congé sans solde"),AND(F196="Congé",D196="Congé spécial"),AND(F196="Congé",D196="Férié"),AND(F196="Congé sans solde",D196="OFF"),AND(F196="Congé sans solde",D196="Congé"),AND(F196="Congé sans solde",D196="Congé spécial"),AND(F196="Congé sans solde",D196="Férié"),AND(F196="Congé spécial",D196="OFF"),AND(F196="Congé spécial",D196="Congé"),AND(F196="Congé spécial",D196="Congé sans solde"),AND(F196="Congé spécial",D196="Férié"),AND(F196="Férié",D196="OFF"),AND(F196="Férié",D196="Congé"),AND(F196="Férié",D196="Congé sans solde"),AND(F196="Férié",D196="Congé spécial")),0,IF(OR(F196="OFF",F196="Congé",F196="Congé spécial",F196="Congé sans solde",D196="OFF",D196="Congé",D196="Congé spécial",D196="Congé sans solde"),0.208333333333334,IF(AND(AG196="",F196-D196&lt;0),("24:00:00"-D196)+("00:00:00"+F196)-0.0416666666666667,IF(AND(OR(AG196="Allaitement",AG196="Sans déjeuner"),F196-D196&lt;0),("24:00:00"-D196)+("00:00:00"+F196),IF(AND(AG196="",F196-D196&gt;0.166666666666667),F196-D196-0.0416666666666667,IF(AND(OR(AG196="Allaitement",AG196="Sans déjeuner"),F196-D196&gt;0.166666666666667),F196-D196,F196-D196)))))))</f>
        <v/>
      </c>
      <c r="P196" s="242">
        <f>IFERROR(VLOOKUP($B196,Annuaire_roster!$B:$G,MATCH(P$1,Annuaire_roster!$B$1:$G$1,0),0),"-")</f>
        <v/>
      </c>
      <c r="Q196" s="243" t="n">
        <v>44767</v>
      </c>
      <c r="R196" s="244">
        <f>IF(M196="Abs",O196,0)</f>
        <v/>
      </c>
      <c r="S196" s="244">
        <f>SUM(R196,L196,I196,J196,W196,H196)</f>
        <v/>
      </c>
      <c r="T196" s="209">
        <f>"Sem - "&amp;WEEKNUM(Q196,21)</f>
        <v/>
      </c>
      <c r="U196" s="209">
        <f>PROPER(TEXT(Q196,"mmmm"))</f>
        <v/>
      </c>
      <c r="V196" s="245">
        <f>+TEXT(Q196,"aaa")</f>
        <v/>
      </c>
      <c r="W196" s="240" t="n"/>
      <c r="X196" s="246">
        <f>IFERROR(IF(M196="Abs",0,IF((D196-C196+E196-F196)&lt;0.000694444444444444,0,(D196-C196+E196-F196))),0)</f>
        <v/>
      </c>
      <c r="Y196" s="247">
        <f>IFERROR(VLOOKUP(B196,Annuaire_roster!B:E,4,0),"-")</f>
        <v/>
      </c>
      <c r="Z196" s="247">
        <f>IFERROR(VLOOKUP(B196,Annuaire_roster!B:F,3,0),"-")</f>
        <v/>
      </c>
      <c r="AA196" s="247">
        <f>IFERROR(VLOOKUP(B196,Annuaire_roster!B:I,6,0),"-")</f>
        <v/>
      </c>
      <c r="AB196" s="248">
        <f>IF(AND(D196="Congé",F196="Congé"),0.333333333333333,IF(OR(AND(D196="Congé",F196&lt;&gt;"Congé"),(AND(F196="Congé",D196&lt;&gt;"Congé"))),0.166666666666667,""))</f>
        <v/>
      </c>
      <c r="AC196" s="248">
        <f>IF(AND(D196="Congé sans solde",F196="Congé sans solde"),0.333333333333333,IF(OR(AND(D196="Congé sans solde",F196&lt;&gt;"Congé sans solde"),(AND(F196="Congé sans solde",D196&lt;&gt;"Congé sans solde"))),0.166666666666667,""))</f>
        <v/>
      </c>
      <c r="AD196" s="248">
        <f>IF(AND(D196="Congé spécial",F196="Congé spécial"),0.333333333333333,IF(OR(AND(D196="Congé spécial",F196&lt;&gt;"Congé décès"),(AND(F196="Congé spécial",D196&lt;&gt;"Congé spécial"))),0.166666666666667,""))</f>
        <v/>
      </c>
      <c r="AE196" s="249">
        <f>IF(AND(D196="Férié",F196="Férié"),0.333333333333333,IF(OR(AND(D196="Férié",F196&lt;&gt;"Férié"),(AND(F196="Férié",D196&lt;&gt;"Férié"))),0.166666666666667,""))</f>
        <v/>
      </c>
      <c r="AF196" s="249" t="n"/>
      <c r="AG196" s="244" t="n"/>
    </row>
    <row r="197" hidden="1" ht="12.75" customHeight="1" s="231">
      <c r="A197" s="232">
        <f>VLOOKUP(B197,Annuaire_roster!B:F,5,0)</f>
        <v/>
      </c>
      <c r="B197" s="233" t="inlineStr">
        <is>
          <t>ZAKI OMAR</t>
        </is>
      </c>
      <c r="C197" s="234">
        <f>IFERROR(IF(COUNTIFS(Connexions!$K:$K,$Q197,Connexions!$E:$E,VLOOKUP($B197,Mapping_Noms!$A:$B,2,0))=0,"",_xlfn.MINIFS(Connexions!$M:$M,Connexions!$K:$K,$Q197,Connexions!$E:$E,VLOOKUP($B197,Mapping_Noms!$A:$B,2,0))-TIME(1,0,0)),"")</f>
        <v/>
      </c>
      <c r="D197" s="234">
        <f t="array" ref="D197:D197">IFERROR(INDEX(Planning2[],MATCH(1,(Planning2[Nom]=B197)*(Planning2[Date]=Q197),0),3),"-")</f>
        <v/>
      </c>
      <c r="E197" s="235">
        <f>IFERROR(IF(COUNTIFS(Connexions!$K:$K,$Q197,Connexions!$E:$E,VLOOKUP($B197,Mapping_Noms!$A:$B,2,0))=0,"",_xlfn.MAXIFS(Connexions!$O:$O,Connexions!$K:$K,$Q197,Connexions!$E:$E,VLOOKUP($B197,Mapping_Noms!$A:$B,2,0))-TIME(1,0,0)),"")</f>
        <v/>
      </c>
      <c r="F197" s="235">
        <f t="array" ref="F197:F197">IFERROR(INDEX(Planning2[],MATCH(1,(Planning2[Nom]=B197)*(Planning2[Date]=Q197),0),4),"-")</f>
        <v/>
      </c>
      <c r="G197" s="405">
        <f>IFERROR(IF(OR(IFERROR(INDEX('Planning Pauses Dej'!$C:$C,MATCH($B197&amp;"|"&amp;TEXT($Q197,"YYYYMMDD"),'Planning Pauses Dej'!$F:$F,0)),"")="",IFERROR(INDEX('Planning Pauses Dej'!$D:$D,MATCH($B197&amp;"|"&amp;TEXT($Q197,"YYYYMMDD"),'Planning Pauses Dej'!$F:$F,0)),"")=""),"",_xlfn.MAXIFS(Connexions!$Q:$Q,Connexions!$K:$K,$Q197,Connexions!$E:$E,VLOOKUP($B197,Mapping_Noms!$A:$B,2,0),Connexions!$O:$O,"&lt;="&amp;(IFERROR(INDEX('Planning Pauses Dej'!$D:$D,MATCH($B197&amp;"|"&amp;TEXT($Q197,"YYYYMMDD"),'Planning Pauses Dej'!$F:$F,0)),"")+TIME(1,0,0)),Connexions!$P:$P,"&gt;="&amp;(IFERROR(INDEX('Planning Pauses Dej'!$C:$C,MATCH($B197&amp;"|"&amp;TEXT($Q197,"YYYYMMDD"),'Planning Pauses Dej'!$F:$F,0)),"")+TIME(1,0,0)))),"")</f>
        <v/>
      </c>
      <c r="H197" s="405">
        <f>IFERROR(IF(OR($G197="",IFERROR(INDEX('Planning Pauses Dej'!$C:$C,MATCH($B197&amp;"|"&amp;TEXT($Q197,"YYYYMMDD"),'Planning Pauses Dej'!$F:$F,0)),"")="",IFERROR(INDEX('Planning Pauses Dej'!$D:$D,MATCH($B197&amp;"|"&amp;TEXT($Q197,"YYYYMMDD"),'Planning Pauses Dej'!$F:$F,0)),"")=""),"",IF($G197&gt;(IFERROR(INDEX('Planning Pauses Dej'!$D:$D,MATCH($B197&amp;"|"&amp;TEXT($Q197,"YYYYMMDD"),'Planning Pauses Dej'!$F:$F,0)),"")-IFERROR(INDEX('Planning Pauses Dej'!$C:$C,MATCH($B197&amp;"|"&amp;TEXT($Q197,"YYYYMMDD"),'Planning Pauses Dej'!$F:$F,0)),"")),$G197-(IFERROR(INDEX('Planning Pauses Dej'!$D:$D,MATCH($B197&amp;"|"&amp;TEXT($Q197,"YYYYMMDD"),'Planning Pauses Dej'!$F:$F,0)),"")-IFERROR(INDEX('Planning Pauses Dej'!$C:$C,MATCH($B197&amp;"|"&amp;TEXT($Q197,"YYYYMMDD"),'Planning Pauses Dej'!$F:$F,0)),"")),0)),"")</f>
        <v/>
      </c>
      <c r="I197" s="251">
        <f>IF(IF(OR(C197="",D197="Congé",D197="OFF",D197="Congé spécial"),"",IF(D197&gt;F197,D197-C197,IF(C197-D197&lt;0,0,C197-D197)))&lt;0.00068287037037037,"",IF(OR(D197="Congé",D197="OFF",C197="",D197="Congé spécial"),"",IF(D197&gt;F197,D197-C197,IF(C197-D197&lt;0,0,C197-D197))))</f>
        <v/>
      </c>
      <c r="J197" s="405">
        <f>IFERROR(IF($G197="","",IF($G197&gt;TIME(1,0,0),$G197-TIME(1,0,0),0)),"")</f>
        <v/>
      </c>
      <c r="K197" s="238">
        <f>IF(SUM(H197:J197)&lt;0.00068287037037037,0,SUM(H197:J197))</f>
        <v/>
      </c>
      <c r="L197" s="236">
        <f>IF(OR(F197="Congé",F197="OFF",M197="Abs",F197="Congé sans solde",F197="Férié",F197="Congé spécial",D197="Congé spécial"),0,IF(F197-E197&lt;0,0,IF(F197-E197&lt;=0.00068287037037037,0,F197-E197)))</f>
        <v/>
      </c>
      <c r="M197" s="239">
        <f>IF(AND(O197&lt;&gt;0,C197=""),"Abs",0)</f>
        <v/>
      </c>
      <c r="N197" s="240">
        <f>IFERROR(IF(OR(D197="OFF",D197="Congé",M197="Abs",D197="Congé sans solde",D197="Férié"),"",IF(O197-K197-L197&gt;O197,O197,IF(O197-K197-L197&lt;0,"",O197-K197-L197))),"")</f>
        <v/>
      </c>
      <c r="O197" s="241">
        <f>IF(AG197="2H Pause déjeuner",IF(F197-D197-0.0833333333333333&lt;0,F197-D197-0.0833333333333333+1,F197-D197-0.0833333333333333),IF(OR(AND(F197="OFF",D197="OFF"),AND(F197="Congé",D197="Congé"),AND(F197="Congé sans solde",D197="Congé sans solde"),AND(F197="Congé spécial",D197="Congé spécial"),AND(F197="Férié",D197="Férié"),AND(F197="OFF",D197="Congé"),AND(F197="OFF",D197="Congé sans solde"),AND(F197="OFF",D197="Congé spécial"),AND(F197="OFF",D197="Férié"),AND(F197="Congé",D197="OFF"),AND(F197="Congé",D197="Congé sans solde"),AND(F197="Congé",D197="Congé spécial"),AND(F197="Congé",D197="Férié"),AND(F197="Congé sans solde",D197="OFF"),AND(F197="Congé sans solde",D197="Congé"),AND(F197="Congé sans solde",D197="Congé spécial"),AND(F197="Congé sans solde",D197="Férié"),AND(F197="Congé spécial",D197="OFF"),AND(F197="Congé spécial",D197="Congé"),AND(F197="Congé spécial",D197="Congé sans solde"),AND(F197="Congé spécial",D197="Férié"),AND(F197="Férié",D197="OFF"),AND(F197="Férié",D197="Congé"),AND(F197="Férié",D197="Congé sans solde"),AND(F197="Férié",D197="Congé spécial")),0,IF(OR(F197="OFF",F197="Congé",F197="Congé spécial",F197="Congé sans solde",D197="OFF",D197="Congé",D197="Congé spécial",D197="Congé sans solde"),0.208333333333334,IF(AND(AG197="",F197-D197&lt;0),("24:00:00"-D197)+("00:00:00"+F197)-0.0416666666666667,IF(AND(OR(AG197="Allaitement",AG197="Sans déjeuner"),F197-D197&lt;0),("24:00:00"-D197)+("00:00:00"+F197),IF(AND(AG197="",F197-D197&gt;0.166666666666667),F197-D197-0.0416666666666667,IF(AND(OR(AG197="Allaitement",AG197="Sans déjeuner"),F197-D197&gt;0.166666666666667),F197-D197,F197-D197)))))))</f>
        <v/>
      </c>
      <c r="P197" s="242">
        <f>IFERROR(VLOOKUP($B197,Annuaire_roster!$B:$G,MATCH(P$1,Annuaire_roster!$B$1:$G$1,0),0),"-")</f>
        <v/>
      </c>
      <c r="Q197" s="243" t="n">
        <v>44767</v>
      </c>
      <c r="R197" s="244">
        <f>IF(M197="Abs",O197,0)</f>
        <v/>
      </c>
      <c r="S197" s="244">
        <f>SUM(R197,L197,I197,J197,W197,H197)</f>
        <v/>
      </c>
      <c r="T197" s="209">
        <f>"Sem - "&amp;WEEKNUM(Q197,21)</f>
        <v/>
      </c>
      <c r="U197" s="209">
        <f>PROPER(TEXT(Q197,"mmmm"))</f>
        <v/>
      </c>
      <c r="V197" s="245">
        <f>+TEXT(Q197,"aaa")</f>
        <v/>
      </c>
      <c r="W197" s="240" t="n"/>
      <c r="X197" s="246">
        <f>IFERROR(IF(M197="Abs",0,IF((D197-C197+E197-F197)&lt;0.000694444444444444,0,(D197-C197+E197-F197))),0)</f>
        <v/>
      </c>
      <c r="Y197" s="247">
        <f>IFERROR(VLOOKUP(B197,Annuaire_roster!B:E,4,0),"-")</f>
        <v/>
      </c>
      <c r="Z197" s="247">
        <f>IFERROR(VLOOKUP(B197,Annuaire_roster!B:F,3,0),"-")</f>
        <v/>
      </c>
      <c r="AA197" s="247">
        <f>IFERROR(VLOOKUP(B197,Annuaire_roster!B:I,6,0),"-")</f>
        <v/>
      </c>
      <c r="AB197" s="248">
        <f>IF(AND(D197="Congé",F197="Congé"),0.333333333333333,IF(OR(AND(D197="Congé",F197&lt;&gt;"Congé"),(AND(F197="Congé",D197&lt;&gt;"Congé"))),0.166666666666667,""))</f>
        <v/>
      </c>
      <c r="AC197" s="248">
        <f>IF(AND(D197="Congé sans solde",F197="Congé sans solde"),0.333333333333333,IF(OR(AND(D197="Congé sans solde",F197&lt;&gt;"Congé sans solde"),(AND(F197="Congé sans solde",D197&lt;&gt;"Congé sans solde"))),0.166666666666667,""))</f>
        <v/>
      </c>
      <c r="AD197" s="248">
        <f>IF(AND(D197="Congé spécial",F197="Congé spécial"),0.333333333333333,IF(OR(AND(D197="Congé spécial",F197&lt;&gt;"Congé décès"),(AND(F197="Congé spécial",D197&lt;&gt;"Congé spécial"))),0.166666666666667,""))</f>
        <v/>
      </c>
      <c r="AE197" s="249">
        <f>IF(AND(D197="Férié",F197="Férié"),0.333333333333333,IF(OR(AND(D197="Férié",F197&lt;&gt;"Férié"),(AND(F197="Férié",D197&lt;&gt;"Férié"))),0.166666666666667,""))</f>
        <v/>
      </c>
      <c r="AF197" s="249" t="n"/>
      <c r="AG197" s="244" t="n"/>
    </row>
    <row r="198" hidden="1" ht="12.75" customHeight="1" s="231">
      <c r="A198" s="232">
        <f>VLOOKUP(B198,Annuaire_roster!B:F,5,0)</f>
        <v/>
      </c>
      <c r="B198" s="233" t="inlineStr">
        <is>
          <t>EL HOUSSAINI HOUDA</t>
        </is>
      </c>
      <c r="C198" s="234">
        <f>IFERROR(IF(COUNTIFS(Connexions!$K:$K,$Q198,Connexions!$E:$E,VLOOKUP($B198,Mapping_Noms!$A:$B,2,0))=0,"",_xlfn.MINIFS(Connexions!$M:$M,Connexions!$K:$K,$Q198,Connexions!$E:$E,VLOOKUP($B198,Mapping_Noms!$A:$B,2,0))-TIME(1,0,0)),"")</f>
        <v/>
      </c>
      <c r="D198" s="234">
        <f t="array" ref="D198:D198">IFERROR(INDEX(Planning2[],MATCH(1,(Planning2[Nom]=B198)*(Planning2[Date]=Q198),0),3),"-")</f>
        <v/>
      </c>
      <c r="E198" s="235">
        <f>IFERROR(IF(COUNTIFS(Connexions!$K:$K,$Q198,Connexions!$E:$E,VLOOKUP($B198,Mapping_Noms!$A:$B,2,0))=0,"",_xlfn.MAXIFS(Connexions!$O:$O,Connexions!$K:$K,$Q198,Connexions!$E:$E,VLOOKUP($B198,Mapping_Noms!$A:$B,2,0))-TIME(1,0,0)),"")</f>
        <v/>
      </c>
      <c r="F198" s="235">
        <f t="array" ref="F198:F198">IFERROR(INDEX(Planning2[],MATCH(1,(Planning2[Nom]=B198)*(Planning2[Date]=Q198),0),4),"-")</f>
        <v/>
      </c>
      <c r="G198" s="405">
        <f>IFERROR(IF(OR(IFERROR(INDEX('Planning Pauses Dej'!$C:$C,MATCH($B198&amp;"|"&amp;TEXT($Q198,"YYYYMMDD"),'Planning Pauses Dej'!$F:$F,0)),"")="",IFERROR(INDEX('Planning Pauses Dej'!$D:$D,MATCH($B198&amp;"|"&amp;TEXT($Q198,"YYYYMMDD"),'Planning Pauses Dej'!$F:$F,0)),"")=""),"",_xlfn.MAXIFS(Connexions!$Q:$Q,Connexions!$K:$K,$Q198,Connexions!$E:$E,VLOOKUP($B198,Mapping_Noms!$A:$B,2,0),Connexions!$O:$O,"&lt;="&amp;(IFERROR(INDEX('Planning Pauses Dej'!$D:$D,MATCH($B198&amp;"|"&amp;TEXT($Q198,"YYYYMMDD"),'Planning Pauses Dej'!$F:$F,0)),"")+TIME(1,0,0)),Connexions!$P:$P,"&gt;="&amp;(IFERROR(INDEX('Planning Pauses Dej'!$C:$C,MATCH($B198&amp;"|"&amp;TEXT($Q198,"YYYYMMDD"),'Planning Pauses Dej'!$F:$F,0)),"")+TIME(1,0,0)))),"")</f>
        <v/>
      </c>
      <c r="H198" s="405">
        <f>IFERROR(IF(OR($G198="",IFERROR(INDEX('Planning Pauses Dej'!$C:$C,MATCH($B198&amp;"|"&amp;TEXT($Q198,"YYYYMMDD"),'Planning Pauses Dej'!$F:$F,0)),"")="",IFERROR(INDEX('Planning Pauses Dej'!$D:$D,MATCH($B198&amp;"|"&amp;TEXT($Q198,"YYYYMMDD"),'Planning Pauses Dej'!$F:$F,0)),"")=""),"",IF($G198&gt;(IFERROR(INDEX('Planning Pauses Dej'!$D:$D,MATCH($B198&amp;"|"&amp;TEXT($Q198,"YYYYMMDD"),'Planning Pauses Dej'!$F:$F,0)),"")-IFERROR(INDEX('Planning Pauses Dej'!$C:$C,MATCH($B198&amp;"|"&amp;TEXT($Q198,"YYYYMMDD"),'Planning Pauses Dej'!$F:$F,0)),"")),$G198-(IFERROR(INDEX('Planning Pauses Dej'!$D:$D,MATCH($B198&amp;"|"&amp;TEXT($Q198,"YYYYMMDD"),'Planning Pauses Dej'!$F:$F,0)),"")-IFERROR(INDEX('Planning Pauses Dej'!$C:$C,MATCH($B198&amp;"|"&amp;TEXT($Q198,"YYYYMMDD"),'Planning Pauses Dej'!$F:$F,0)),"")),0)),"")</f>
        <v/>
      </c>
      <c r="I198" s="251">
        <f>IF(IF(OR(C198="",D198="Congé",D198="OFF",D198="Congé spécial"),"",IF(D198&gt;F198,D198-C198,IF(C198-D198&lt;0,0,C198-D198)))&lt;0.00068287037037037,"",IF(OR(D198="Congé",D198="OFF",C198="",D198="Congé spécial"),"",IF(D198&gt;F198,D198-C198,IF(C198-D198&lt;0,0,C198-D198))))</f>
        <v/>
      </c>
      <c r="J198" s="405">
        <f>IFERROR(IF($G198="","",IF($G198&gt;TIME(1,0,0),$G198-TIME(1,0,0),0)),"")</f>
        <v/>
      </c>
      <c r="K198" s="238">
        <f>IF(SUM(H198:J198)&lt;0.00068287037037037,0,SUM(H198:J198))</f>
        <v/>
      </c>
      <c r="L198" s="236">
        <f>IF(OR(F198="Congé",F198="OFF",M198="Abs",F198="Congé sans solde",F198="Férié",F198="Congé spécial",D198="Congé spécial"),0,IF(F198-E198&lt;0,0,IF(F198-E198&lt;=0.00068287037037037,0,F198-E198)))</f>
        <v/>
      </c>
      <c r="M198" s="239">
        <f>IF(AND(O198&lt;&gt;0,C198=""),"Abs",0)</f>
        <v/>
      </c>
      <c r="N198" s="240">
        <f>IFERROR(IF(OR(D198="OFF",D198="Congé",M198="Abs",D198="Congé sans solde",D198="Férié"),"",IF(O198-K198-L198&gt;O198,O198,IF(O198-K198-L198&lt;0,"",O198-K198-L198))),"")</f>
        <v/>
      </c>
      <c r="O198" s="241">
        <f>IF(AG198="2H Pause déjeuner",IF(F198-D198-0.0833333333333333&lt;0,F198-D198-0.0833333333333333+1,F198-D198-0.0833333333333333),IF(OR(AND(F198="OFF",D198="OFF"),AND(F198="Congé",D198="Congé"),AND(F198="Congé sans solde",D198="Congé sans solde"),AND(F198="Congé spécial",D198="Congé spécial"),AND(F198="Férié",D198="Férié"),AND(F198="OFF",D198="Congé"),AND(F198="OFF",D198="Congé sans solde"),AND(F198="OFF",D198="Congé spécial"),AND(F198="OFF",D198="Férié"),AND(F198="Congé",D198="OFF"),AND(F198="Congé",D198="Congé sans solde"),AND(F198="Congé",D198="Congé spécial"),AND(F198="Congé",D198="Férié"),AND(F198="Congé sans solde",D198="OFF"),AND(F198="Congé sans solde",D198="Congé"),AND(F198="Congé sans solde",D198="Congé spécial"),AND(F198="Congé sans solde",D198="Férié"),AND(F198="Congé spécial",D198="OFF"),AND(F198="Congé spécial",D198="Congé"),AND(F198="Congé spécial",D198="Congé sans solde"),AND(F198="Congé spécial",D198="Férié"),AND(F198="Férié",D198="OFF"),AND(F198="Férié",D198="Congé"),AND(F198="Férié",D198="Congé sans solde"),AND(F198="Férié",D198="Congé spécial")),0,IF(OR(F198="OFF",F198="Congé",F198="Congé spécial",F198="Congé sans solde",D198="OFF",D198="Congé",D198="Congé spécial",D198="Congé sans solde"),0.208333333333334,IF(AND(AG198="",F198-D198&lt;0),("24:00:00"-D198)+("00:00:00"+F198)-0.0416666666666667,IF(AND(OR(AG198="Allaitement",AG198="Sans déjeuner"),F198-D198&lt;0),("24:00:00"-D198)+("00:00:00"+F198),IF(AND(AG198="",F198-D198&gt;0.166666666666667),F198-D198-0.0416666666666667,IF(AND(OR(AG198="Allaitement",AG198="Sans déjeuner"),F198-D198&gt;0.166666666666667),F198-D198,F198-D198)))))))</f>
        <v/>
      </c>
      <c r="P198" s="242">
        <f>IFERROR(VLOOKUP($B198,Annuaire_roster!$B:$G,MATCH(P$1,Annuaire_roster!$B$1:$G$1,0),0),"-")</f>
        <v/>
      </c>
      <c r="Q198" s="243" t="n">
        <v>44767</v>
      </c>
      <c r="R198" s="244">
        <f>IF(M198="Abs",O198,0)</f>
        <v/>
      </c>
      <c r="S198" s="244">
        <f>SUM(R198,L198,I198,J198,W198,H198)</f>
        <v/>
      </c>
      <c r="T198" s="209">
        <f>"Sem - "&amp;WEEKNUM(Q198,21)</f>
        <v/>
      </c>
      <c r="U198" s="209">
        <f>PROPER(TEXT(Q198,"mmmm"))</f>
        <v/>
      </c>
      <c r="V198" s="245">
        <f>+TEXT(Q198,"aaa")</f>
        <v/>
      </c>
      <c r="W198" s="240" t="n"/>
      <c r="X198" s="246">
        <f>IFERROR(IF(M198="Abs",0,IF((D198-C198+E198-F198)&lt;0.000694444444444444,0,(D198-C198+E198-F198))),0)</f>
        <v/>
      </c>
      <c r="Y198" s="247">
        <f>IFERROR(VLOOKUP(B198,Annuaire_roster!B:E,4,0),"-")</f>
        <v/>
      </c>
      <c r="Z198" s="247">
        <f>IFERROR(VLOOKUP(B198,Annuaire_roster!B:F,3,0),"-")</f>
        <v/>
      </c>
      <c r="AA198" s="247">
        <f>IFERROR(VLOOKUP(B198,Annuaire_roster!B:I,6,0),"-")</f>
        <v/>
      </c>
      <c r="AB198" s="248">
        <f>IF(AND(D198="Congé",F198="Congé"),0.333333333333333,IF(OR(AND(D198="Congé",F198&lt;&gt;"Congé"),(AND(F198="Congé",D198&lt;&gt;"Congé"))),0.166666666666667,""))</f>
        <v/>
      </c>
      <c r="AC198" s="248">
        <f>IF(AND(D198="Congé sans solde",F198="Congé sans solde"),0.333333333333333,IF(OR(AND(D198="Congé sans solde",F198&lt;&gt;"Congé sans solde"),(AND(F198="Congé sans solde",D198&lt;&gt;"Congé sans solde"))),0.166666666666667,""))</f>
        <v/>
      </c>
      <c r="AD198" s="248">
        <f>IF(AND(D198="Congé spécial",F198="Congé spécial"),0.333333333333333,IF(OR(AND(D198="Congé spécial",F198&lt;&gt;"Congé décès"),(AND(F198="Congé spécial",D198&lt;&gt;"Congé spécial"))),0.166666666666667,""))</f>
        <v/>
      </c>
      <c r="AE198" s="249">
        <f>IF(AND(D198="Férié",F198="Férié"),0.333333333333333,IF(OR(AND(D198="Férié",F198&lt;&gt;"Férié"),(AND(F198="Férié",D198&lt;&gt;"Férié"))),0.166666666666667,""))</f>
        <v/>
      </c>
      <c r="AF198" s="249" t="n"/>
      <c r="AG198" s="244" t="n"/>
    </row>
    <row r="199" hidden="1" ht="12.75" customHeight="1" s="231">
      <c r="A199" s="232">
        <f>VLOOKUP(B199,Annuaire_roster!B:F,5,0)</f>
        <v/>
      </c>
      <c r="B199" s="233" t="inlineStr">
        <is>
          <t>EL HARROUCHI CHAIMAE</t>
        </is>
      </c>
      <c r="C199" s="234">
        <f>IFERROR(IF(COUNTIFS(Connexions!$K:$K,$Q199,Connexions!$E:$E,VLOOKUP($B199,Mapping_Noms!$A:$B,2,0))=0,"",_xlfn.MINIFS(Connexions!$M:$M,Connexions!$K:$K,$Q199,Connexions!$E:$E,VLOOKUP($B199,Mapping_Noms!$A:$B,2,0))-TIME(1,0,0)),"")</f>
        <v/>
      </c>
      <c r="D199" s="234">
        <f t="array" ref="D199:D199">IFERROR(INDEX(Planning2[],MATCH(1,(Planning2[Nom]=B199)*(Planning2[Date]=Q199),0),3),"-")</f>
        <v/>
      </c>
      <c r="E199" s="235">
        <f>IFERROR(IF(COUNTIFS(Connexions!$K:$K,$Q199,Connexions!$E:$E,VLOOKUP($B199,Mapping_Noms!$A:$B,2,0))=0,"",_xlfn.MAXIFS(Connexions!$O:$O,Connexions!$K:$K,$Q199,Connexions!$E:$E,VLOOKUP($B199,Mapping_Noms!$A:$B,2,0))-TIME(1,0,0)),"")</f>
        <v/>
      </c>
      <c r="F199" s="235">
        <f t="array" ref="F199:F199">IFERROR(INDEX(Planning2[],MATCH(1,(Planning2[Nom]=B199)*(Planning2[Date]=Q199),0),4),"-")</f>
        <v/>
      </c>
      <c r="G199" s="405">
        <f>IFERROR(IF(OR(IFERROR(INDEX('Planning Pauses Dej'!$C:$C,MATCH($B199&amp;"|"&amp;TEXT($Q199,"YYYYMMDD"),'Planning Pauses Dej'!$F:$F,0)),"")="",IFERROR(INDEX('Planning Pauses Dej'!$D:$D,MATCH($B199&amp;"|"&amp;TEXT($Q199,"YYYYMMDD"),'Planning Pauses Dej'!$F:$F,0)),"")=""),"",_xlfn.MAXIFS(Connexions!$Q:$Q,Connexions!$K:$K,$Q199,Connexions!$E:$E,VLOOKUP($B199,Mapping_Noms!$A:$B,2,0),Connexions!$O:$O,"&lt;="&amp;(IFERROR(INDEX('Planning Pauses Dej'!$D:$D,MATCH($B199&amp;"|"&amp;TEXT($Q199,"YYYYMMDD"),'Planning Pauses Dej'!$F:$F,0)),"")+TIME(1,0,0)),Connexions!$P:$P,"&gt;="&amp;(IFERROR(INDEX('Planning Pauses Dej'!$C:$C,MATCH($B199&amp;"|"&amp;TEXT($Q199,"YYYYMMDD"),'Planning Pauses Dej'!$F:$F,0)),"")+TIME(1,0,0)))),"")</f>
        <v/>
      </c>
      <c r="H199" s="405">
        <f>IFERROR(IF(OR($G199="",IFERROR(INDEX('Planning Pauses Dej'!$C:$C,MATCH($B199&amp;"|"&amp;TEXT($Q199,"YYYYMMDD"),'Planning Pauses Dej'!$F:$F,0)),"")="",IFERROR(INDEX('Planning Pauses Dej'!$D:$D,MATCH($B199&amp;"|"&amp;TEXT($Q199,"YYYYMMDD"),'Planning Pauses Dej'!$F:$F,0)),"")=""),"",IF($G199&gt;(IFERROR(INDEX('Planning Pauses Dej'!$D:$D,MATCH($B199&amp;"|"&amp;TEXT($Q199,"YYYYMMDD"),'Planning Pauses Dej'!$F:$F,0)),"")-IFERROR(INDEX('Planning Pauses Dej'!$C:$C,MATCH($B199&amp;"|"&amp;TEXT($Q199,"YYYYMMDD"),'Planning Pauses Dej'!$F:$F,0)),"")),$G199-(IFERROR(INDEX('Planning Pauses Dej'!$D:$D,MATCH($B199&amp;"|"&amp;TEXT($Q199,"YYYYMMDD"),'Planning Pauses Dej'!$F:$F,0)),"")-IFERROR(INDEX('Planning Pauses Dej'!$C:$C,MATCH($B199&amp;"|"&amp;TEXT($Q199,"YYYYMMDD"),'Planning Pauses Dej'!$F:$F,0)),"")),0)),"")</f>
        <v/>
      </c>
      <c r="I199" s="251">
        <f>IF(IF(OR(C199="",D199="Congé",D199="OFF",D199="Congé spécial"),"",IF(D199&gt;F199,D199-C199,IF(C199-D199&lt;0,0,C199-D199)))&lt;0.00068287037037037,"",IF(OR(D199="Congé",D199="OFF",C199="",D199="Congé spécial"),"",IF(D199&gt;F199,D199-C199,IF(C199-D199&lt;0,0,C199-D199))))</f>
        <v/>
      </c>
      <c r="J199" s="405">
        <f>IFERROR(IF($G199="","",IF($G199&gt;TIME(1,0,0),$G199-TIME(1,0,0),0)),"")</f>
        <v/>
      </c>
      <c r="K199" s="238">
        <f>IF(SUM(H199:J199)&lt;0.00068287037037037,0,SUM(H199:J199))</f>
        <v/>
      </c>
      <c r="L199" s="236">
        <f>IF(OR(F199="Congé",F199="OFF",M199="Abs",F199="Congé sans solde",F199="Férié",F199="Congé spécial",D199="Congé spécial"),0,IF(F199-E199&lt;0,0,IF(F199-E199&lt;=0.00068287037037037,0,F199-E199)))</f>
        <v/>
      </c>
      <c r="M199" s="239">
        <f>IF(AND(O199&lt;&gt;0,C199=""),"Abs",0)</f>
        <v/>
      </c>
      <c r="N199" s="240">
        <f>IFERROR(IF(OR(D199="OFF",D199="Congé",M199="Abs",D199="Congé sans solde",D199="Férié"),"",IF(O199-K199-L199&gt;O199,O199,IF(O199-K199-L199&lt;0,"",O199-K199-L199))),"")</f>
        <v/>
      </c>
      <c r="O199" s="241">
        <f>IF(AG199="2H Pause déjeuner",IF(F199-D199-0.0833333333333333&lt;0,F199-D199-0.0833333333333333+1,F199-D199-0.0833333333333333),IF(OR(AND(F199="OFF",D199="OFF"),AND(F199="Congé",D199="Congé"),AND(F199="Congé sans solde",D199="Congé sans solde"),AND(F199="Congé spécial",D199="Congé spécial"),AND(F199="Férié",D199="Férié"),AND(F199="OFF",D199="Congé"),AND(F199="OFF",D199="Congé sans solde"),AND(F199="OFF",D199="Congé spécial"),AND(F199="OFF",D199="Férié"),AND(F199="Congé",D199="OFF"),AND(F199="Congé",D199="Congé sans solde"),AND(F199="Congé",D199="Congé spécial"),AND(F199="Congé",D199="Férié"),AND(F199="Congé sans solde",D199="OFF"),AND(F199="Congé sans solde",D199="Congé"),AND(F199="Congé sans solde",D199="Congé spécial"),AND(F199="Congé sans solde",D199="Férié"),AND(F199="Congé spécial",D199="OFF"),AND(F199="Congé spécial",D199="Congé"),AND(F199="Congé spécial",D199="Congé sans solde"),AND(F199="Congé spécial",D199="Férié"),AND(F199="Férié",D199="OFF"),AND(F199="Férié",D199="Congé"),AND(F199="Férié",D199="Congé sans solde"),AND(F199="Férié",D199="Congé spécial")),0,IF(OR(F199="OFF",F199="Congé",F199="Congé spécial",F199="Congé sans solde",D199="OFF",D199="Congé",D199="Congé spécial",D199="Congé sans solde"),0.208333333333334,IF(AND(AG199="",F199-D199&lt;0),("24:00:00"-D199)+("00:00:00"+F199)-0.0416666666666667,IF(AND(OR(AG199="Allaitement",AG199="Sans déjeuner"),F199-D199&lt;0),("24:00:00"-D199)+("00:00:00"+F199),IF(AND(AG199="",F199-D199&gt;0.166666666666667),F199-D199-0.0416666666666667,IF(AND(OR(AG199="Allaitement",AG199="Sans déjeuner"),F199-D199&gt;0.166666666666667),F199-D199,F199-D199)))))))</f>
        <v/>
      </c>
      <c r="P199" s="242">
        <f>IFERROR(VLOOKUP($B199,Annuaire_roster!$B:$G,MATCH(P$1,Annuaire_roster!$B$1:$G$1,0),0),"-")</f>
        <v/>
      </c>
      <c r="Q199" s="243" t="n">
        <v>44767</v>
      </c>
      <c r="R199" s="244">
        <f>IF(M199="Abs",O199,0)</f>
        <v/>
      </c>
      <c r="S199" s="244">
        <f>SUM(R199,L199,I199,J199,W199,H199)</f>
        <v/>
      </c>
      <c r="T199" s="209">
        <f>"Sem - "&amp;WEEKNUM(Q199,21)</f>
        <v/>
      </c>
      <c r="U199" s="209">
        <f>PROPER(TEXT(Q199,"mmmm"))</f>
        <v/>
      </c>
      <c r="V199" s="245">
        <f>+TEXT(Q199,"aaa")</f>
        <v/>
      </c>
      <c r="W199" s="240" t="n"/>
      <c r="X199" s="246">
        <f>IFERROR(IF(M199="Abs",0,IF((D199-C199+E199-F199)&lt;0.000694444444444444,0,(D199-C199+E199-F199))),0)</f>
        <v/>
      </c>
      <c r="Y199" s="247">
        <f>IFERROR(VLOOKUP(B199,Annuaire_roster!B:E,4,0),"-")</f>
        <v/>
      </c>
      <c r="Z199" s="247">
        <f>IFERROR(VLOOKUP(B199,Annuaire_roster!B:F,3,0),"-")</f>
        <v/>
      </c>
      <c r="AA199" s="247">
        <f>IFERROR(VLOOKUP(B199,Annuaire_roster!B:I,6,0),"-")</f>
        <v/>
      </c>
      <c r="AB199" s="248">
        <f>IF(AND(D199="Congé",F199="Congé"),0.333333333333333,IF(OR(AND(D199="Congé",F199&lt;&gt;"Congé"),(AND(F199="Congé",D199&lt;&gt;"Congé"))),0.166666666666667,""))</f>
        <v/>
      </c>
      <c r="AC199" s="248">
        <f>IF(AND(D199="Congé sans solde",F199="Congé sans solde"),0.333333333333333,IF(OR(AND(D199="Congé sans solde",F199&lt;&gt;"Congé sans solde"),(AND(F199="Congé sans solde",D199&lt;&gt;"Congé sans solde"))),0.166666666666667,""))</f>
        <v/>
      </c>
      <c r="AD199" s="248">
        <f>IF(AND(D199="Congé spécial",F199="Congé spécial"),0.333333333333333,IF(OR(AND(D199="Congé spécial",F199&lt;&gt;"Congé décès"),(AND(F199="Congé spécial",D199&lt;&gt;"Congé spécial"))),0.166666666666667,""))</f>
        <v/>
      </c>
      <c r="AE199" s="249">
        <f>IF(AND(D199="Férié",F199="Férié"),0.333333333333333,IF(OR(AND(D199="Férié",F199&lt;&gt;"Férié"),(AND(F199="Férié",D199&lt;&gt;"Férié"))),0.166666666666667,""))</f>
        <v/>
      </c>
      <c r="AF199" s="249" t="n"/>
      <c r="AG199" s="244" t="n"/>
    </row>
    <row r="200" hidden="1" ht="12.75" customHeight="1" s="231">
      <c r="A200" s="232">
        <f>VLOOKUP(B200,Annuaire_roster!B:F,5,0)</f>
        <v/>
      </c>
      <c r="B200" s="233" t="inlineStr">
        <is>
          <t>LAFDIL NADA</t>
        </is>
      </c>
      <c r="C200" s="234">
        <f>IFERROR(IF(COUNTIFS(Connexions!$K:$K,$Q200,Connexions!$E:$E,VLOOKUP($B200,Mapping_Noms!$A:$B,2,0))=0,"",_xlfn.MINIFS(Connexions!$M:$M,Connexions!$K:$K,$Q200,Connexions!$E:$E,VLOOKUP($B200,Mapping_Noms!$A:$B,2,0))-TIME(1,0,0)),"")</f>
        <v/>
      </c>
      <c r="D200" s="234">
        <f t="array" ref="D200:D200">IFERROR(INDEX(Planning2[],MATCH(1,(Planning2[Nom]=B200)*(Planning2[Date]=Q200),0),3),"-")</f>
        <v/>
      </c>
      <c r="E200" s="235">
        <f>IFERROR(IF(COUNTIFS(Connexions!$K:$K,$Q200,Connexions!$E:$E,VLOOKUP($B200,Mapping_Noms!$A:$B,2,0))=0,"",_xlfn.MAXIFS(Connexions!$O:$O,Connexions!$K:$K,$Q200,Connexions!$E:$E,VLOOKUP($B200,Mapping_Noms!$A:$B,2,0))-TIME(1,0,0)),"")</f>
        <v/>
      </c>
      <c r="F200" s="235">
        <f t="array" ref="F200:F200">IFERROR(INDEX(Planning2[],MATCH(1,(Planning2[Nom]=B200)*(Planning2[Date]=Q200),0),4),"-")</f>
        <v/>
      </c>
      <c r="G200" s="405">
        <f>IFERROR(IF(OR(IFERROR(INDEX('Planning Pauses Dej'!$C:$C,MATCH($B200&amp;"|"&amp;TEXT($Q200,"YYYYMMDD"),'Planning Pauses Dej'!$F:$F,0)),"")="",IFERROR(INDEX('Planning Pauses Dej'!$D:$D,MATCH($B200&amp;"|"&amp;TEXT($Q200,"YYYYMMDD"),'Planning Pauses Dej'!$F:$F,0)),"")=""),"",_xlfn.MAXIFS(Connexions!$Q:$Q,Connexions!$K:$K,$Q200,Connexions!$E:$E,VLOOKUP($B200,Mapping_Noms!$A:$B,2,0),Connexions!$O:$O,"&lt;="&amp;(IFERROR(INDEX('Planning Pauses Dej'!$D:$D,MATCH($B200&amp;"|"&amp;TEXT($Q200,"YYYYMMDD"),'Planning Pauses Dej'!$F:$F,0)),"")+TIME(1,0,0)),Connexions!$P:$P,"&gt;="&amp;(IFERROR(INDEX('Planning Pauses Dej'!$C:$C,MATCH($B200&amp;"|"&amp;TEXT($Q200,"YYYYMMDD"),'Planning Pauses Dej'!$F:$F,0)),"")+TIME(1,0,0)))),"")</f>
        <v/>
      </c>
      <c r="H200" s="405">
        <f>IFERROR(IF(OR($G200="",IFERROR(INDEX('Planning Pauses Dej'!$C:$C,MATCH($B200&amp;"|"&amp;TEXT($Q200,"YYYYMMDD"),'Planning Pauses Dej'!$F:$F,0)),"")="",IFERROR(INDEX('Planning Pauses Dej'!$D:$D,MATCH($B200&amp;"|"&amp;TEXT($Q200,"YYYYMMDD"),'Planning Pauses Dej'!$F:$F,0)),"")=""),"",IF($G200&gt;(IFERROR(INDEX('Planning Pauses Dej'!$D:$D,MATCH($B200&amp;"|"&amp;TEXT($Q200,"YYYYMMDD"),'Planning Pauses Dej'!$F:$F,0)),"")-IFERROR(INDEX('Planning Pauses Dej'!$C:$C,MATCH($B200&amp;"|"&amp;TEXT($Q200,"YYYYMMDD"),'Planning Pauses Dej'!$F:$F,0)),"")),$G200-(IFERROR(INDEX('Planning Pauses Dej'!$D:$D,MATCH($B200&amp;"|"&amp;TEXT($Q200,"YYYYMMDD"),'Planning Pauses Dej'!$F:$F,0)),"")-IFERROR(INDEX('Planning Pauses Dej'!$C:$C,MATCH($B200&amp;"|"&amp;TEXT($Q200,"YYYYMMDD"),'Planning Pauses Dej'!$F:$F,0)),"")),0)),"")</f>
        <v/>
      </c>
      <c r="I200" s="251">
        <f>IF(IF(OR(C200="",D200="Congé",D200="OFF",D200="Congé spécial"),"",IF(D200&gt;F200,D200-C200,IF(C200-D200&lt;0,0,C200-D200)))&lt;0.00068287037037037,"",IF(OR(D200="Congé",D200="OFF",C200="",D200="Congé spécial"),"",IF(D200&gt;F200,D200-C200,IF(C200-D200&lt;0,0,C200-D200))))</f>
        <v/>
      </c>
      <c r="J200" s="405">
        <f>IFERROR(IF($G200="","",IF($G200&gt;TIME(1,0,0),$G200-TIME(1,0,0),0)),"")</f>
        <v/>
      </c>
      <c r="K200" s="238">
        <f>IF(SUM(H200:J200)&lt;0.00068287037037037,0,SUM(H200:J200))</f>
        <v/>
      </c>
      <c r="L200" s="236">
        <f>IF(OR(F200="Congé",F200="OFF",M200="Abs",F200="Congé sans solde",F200="Férié",F200="Congé spécial",D200="Congé spécial"),0,IF(F200-E200&lt;0,0,IF(F200-E200&lt;=0.00068287037037037,0,F200-E200)))</f>
        <v/>
      </c>
      <c r="M200" s="239">
        <f>IF(AND(O200&lt;&gt;0,C200=""),"Abs",0)</f>
        <v/>
      </c>
      <c r="N200" s="240">
        <f>IFERROR(IF(OR(D200="OFF",D200="Congé",M200="Abs",D200="Congé sans solde",D200="Férié"),"",IF(O200-K200-L200&gt;O200,O200,IF(O200-K200-L200&lt;0,"",O200-K200-L200))),"")</f>
        <v/>
      </c>
      <c r="O200" s="241">
        <f>IF(AG200="2H Pause déjeuner",IF(F200-D200-0.0833333333333333&lt;0,F200-D200-0.0833333333333333+1,F200-D200-0.0833333333333333),IF(OR(AND(F200="OFF",D200="OFF"),AND(F200="Congé",D200="Congé"),AND(F200="Congé sans solde",D200="Congé sans solde"),AND(F200="Congé spécial",D200="Congé spécial"),AND(F200="Férié",D200="Férié"),AND(F200="OFF",D200="Congé"),AND(F200="OFF",D200="Congé sans solde"),AND(F200="OFF",D200="Congé spécial"),AND(F200="OFF",D200="Férié"),AND(F200="Congé",D200="OFF"),AND(F200="Congé",D200="Congé sans solde"),AND(F200="Congé",D200="Congé spécial"),AND(F200="Congé",D200="Férié"),AND(F200="Congé sans solde",D200="OFF"),AND(F200="Congé sans solde",D200="Congé"),AND(F200="Congé sans solde",D200="Congé spécial"),AND(F200="Congé sans solde",D200="Férié"),AND(F200="Congé spécial",D200="OFF"),AND(F200="Congé spécial",D200="Congé"),AND(F200="Congé spécial",D200="Congé sans solde"),AND(F200="Congé spécial",D200="Férié"),AND(F200="Férié",D200="OFF"),AND(F200="Férié",D200="Congé"),AND(F200="Férié",D200="Congé sans solde"),AND(F200="Férié",D200="Congé spécial")),0,IF(OR(F200="OFF",F200="Congé",F200="Congé spécial",F200="Congé sans solde",D200="OFF",D200="Congé",D200="Congé spécial",D200="Congé sans solde"),0.208333333333334,IF(AND(AG200="",F200-D200&lt;0),("24:00:00"-D200)+("00:00:00"+F200)-0.0416666666666667,IF(AND(OR(AG200="Allaitement",AG200="Sans déjeuner"),F200-D200&lt;0),("24:00:00"-D200)+("00:00:00"+F200),IF(AND(AG200="",F200-D200&gt;0.166666666666667),F200-D200-0.0416666666666667,IF(AND(OR(AG200="Allaitement",AG200="Sans déjeuner"),F200-D200&gt;0.166666666666667),F200-D200,F200-D200)))))))</f>
        <v/>
      </c>
      <c r="P200" s="242">
        <f>IFERROR(VLOOKUP($B200,Annuaire_roster!$B:$G,MATCH(P$1,Annuaire_roster!$B$1:$G$1,0),0),"-")</f>
        <v/>
      </c>
      <c r="Q200" s="243" t="n">
        <v>44767</v>
      </c>
      <c r="R200" s="244">
        <f>IF(M200="Abs",O200,0)</f>
        <v/>
      </c>
      <c r="S200" s="244">
        <f>SUM(R200,L200,I200,J200,W200,H200)</f>
        <v/>
      </c>
      <c r="T200" s="209">
        <f>"Sem - "&amp;WEEKNUM(Q200,21)</f>
        <v/>
      </c>
      <c r="U200" s="209">
        <f>PROPER(TEXT(Q200,"mmmm"))</f>
        <v/>
      </c>
      <c r="V200" s="245">
        <f>+TEXT(Q200,"aaa")</f>
        <v/>
      </c>
      <c r="W200" s="240" t="n"/>
      <c r="X200" s="246">
        <f>IFERROR(IF(M200="Abs",0,IF((D200-C200+E200-F200)&lt;0.000694444444444444,0,(D200-C200+E200-F200))),0)</f>
        <v/>
      </c>
      <c r="Y200" s="247">
        <f>IFERROR(VLOOKUP(B200,Annuaire_roster!B:E,4,0),"-")</f>
        <v/>
      </c>
      <c r="Z200" s="247">
        <f>IFERROR(VLOOKUP(B200,Annuaire_roster!B:F,3,0),"-")</f>
        <v/>
      </c>
      <c r="AA200" s="247">
        <f>IFERROR(VLOOKUP(B200,Annuaire_roster!B:I,6,0),"-")</f>
        <v/>
      </c>
      <c r="AB200" s="248">
        <f>IF(AND(D200="Congé",F200="Congé"),0.333333333333333,IF(OR(AND(D200="Congé",F200&lt;&gt;"Congé"),(AND(F200="Congé",D200&lt;&gt;"Congé"))),0.166666666666667,""))</f>
        <v/>
      </c>
      <c r="AC200" s="248">
        <f>IF(AND(D200="Congé sans solde",F200="Congé sans solde"),0.333333333333333,IF(OR(AND(D200="Congé sans solde",F200&lt;&gt;"Congé sans solde"),(AND(F200="Congé sans solde",D200&lt;&gt;"Congé sans solde"))),0.166666666666667,""))</f>
        <v/>
      </c>
      <c r="AD200" s="248">
        <f>IF(AND(D200="Congé spécial",F200="Congé spécial"),0.333333333333333,IF(OR(AND(D200="Congé spécial",F200&lt;&gt;"Congé décès"),(AND(F200="Congé spécial",D200&lt;&gt;"Congé spécial"))),0.166666666666667,""))</f>
        <v/>
      </c>
      <c r="AE200" s="249">
        <f>IF(AND(D200="Férié",F200="Férié"),0.333333333333333,IF(OR(AND(D200="Férié",F200&lt;&gt;"Férié"),(AND(F200="Férié",D200&lt;&gt;"Férié"))),0.166666666666667,""))</f>
        <v/>
      </c>
      <c r="AF200" s="249" t="n"/>
      <c r="AG200" s="244" t="n"/>
    </row>
    <row r="201" hidden="1" ht="12.75" customHeight="1" s="231">
      <c r="A201" s="232">
        <f>VLOOKUP(B201,Annuaire_roster!B:F,5,0)</f>
        <v/>
      </c>
      <c r="B201" s="233" t="inlineStr">
        <is>
          <t>GUEYE MOUHAMED</t>
        </is>
      </c>
      <c r="C201" s="234">
        <f>IFERROR(IF(COUNTIFS(Connexions!$K:$K,$Q201,Connexions!$E:$E,VLOOKUP($B201,Mapping_Noms!$A:$B,2,0))=0,"",_xlfn.MINIFS(Connexions!$M:$M,Connexions!$K:$K,$Q201,Connexions!$E:$E,VLOOKUP($B201,Mapping_Noms!$A:$B,2,0))-TIME(1,0,0)),"")</f>
        <v/>
      </c>
      <c r="D201" s="234">
        <f t="array" ref="D201:D201">IFERROR(INDEX(Planning2[],MATCH(1,(Planning2[Nom]=B201)*(Planning2[Date]=Q201),0),3),"-")</f>
        <v/>
      </c>
      <c r="E201" s="235">
        <f>IFERROR(IF(COUNTIFS(Connexions!$K:$K,$Q201,Connexions!$E:$E,VLOOKUP($B201,Mapping_Noms!$A:$B,2,0))=0,"",_xlfn.MAXIFS(Connexions!$O:$O,Connexions!$K:$K,$Q201,Connexions!$E:$E,VLOOKUP($B201,Mapping_Noms!$A:$B,2,0))-TIME(1,0,0)),"")</f>
        <v/>
      </c>
      <c r="F201" s="235">
        <f t="array" ref="F201:F201">IFERROR(INDEX(Planning2[],MATCH(1,(Planning2[Nom]=B201)*(Planning2[Date]=Q201),0),4),"-")</f>
        <v/>
      </c>
      <c r="G201" s="405">
        <f>IFERROR(IF(OR(IFERROR(INDEX('Planning Pauses Dej'!$C:$C,MATCH($B201&amp;"|"&amp;TEXT($Q201,"YYYYMMDD"),'Planning Pauses Dej'!$F:$F,0)),"")="",IFERROR(INDEX('Planning Pauses Dej'!$D:$D,MATCH($B201&amp;"|"&amp;TEXT($Q201,"YYYYMMDD"),'Planning Pauses Dej'!$F:$F,0)),"")=""),"",_xlfn.MAXIFS(Connexions!$Q:$Q,Connexions!$K:$K,$Q201,Connexions!$E:$E,VLOOKUP($B201,Mapping_Noms!$A:$B,2,0),Connexions!$O:$O,"&lt;="&amp;(IFERROR(INDEX('Planning Pauses Dej'!$D:$D,MATCH($B201&amp;"|"&amp;TEXT($Q201,"YYYYMMDD"),'Planning Pauses Dej'!$F:$F,0)),"")+TIME(1,0,0)),Connexions!$P:$P,"&gt;="&amp;(IFERROR(INDEX('Planning Pauses Dej'!$C:$C,MATCH($B201&amp;"|"&amp;TEXT($Q201,"YYYYMMDD"),'Planning Pauses Dej'!$F:$F,0)),"")+TIME(1,0,0)))),"")</f>
        <v/>
      </c>
      <c r="H201" s="405">
        <f>IFERROR(IF(OR($G201="",IFERROR(INDEX('Planning Pauses Dej'!$C:$C,MATCH($B201&amp;"|"&amp;TEXT($Q201,"YYYYMMDD"),'Planning Pauses Dej'!$F:$F,0)),"")="",IFERROR(INDEX('Planning Pauses Dej'!$D:$D,MATCH($B201&amp;"|"&amp;TEXT($Q201,"YYYYMMDD"),'Planning Pauses Dej'!$F:$F,0)),"")=""),"",IF($G201&gt;(IFERROR(INDEX('Planning Pauses Dej'!$D:$D,MATCH($B201&amp;"|"&amp;TEXT($Q201,"YYYYMMDD"),'Planning Pauses Dej'!$F:$F,0)),"")-IFERROR(INDEX('Planning Pauses Dej'!$C:$C,MATCH($B201&amp;"|"&amp;TEXT($Q201,"YYYYMMDD"),'Planning Pauses Dej'!$F:$F,0)),"")),$G201-(IFERROR(INDEX('Planning Pauses Dej'!$D:$D,MATCH($B201&amp;"|"&amp;TEXT($Q201,"YYYYMMDD"),'Planning Pauses Dej'!$F:$F,0)),"")-IFERROR(INDEX('Planning Pauses Dej'!$C:$C,MATCH($B201&amp;"|"&amp;TEXT($Q201,"YYYYMMDD"),'Planning Pauses Dej'!$F:$F,0)),"")),0)),"")</f>
        <v/>
      </c>
      <c r="I201" s="251">
        <f>IF(IF(OR(C201="",D201="Congé",D201="OFF",D201="Congé spécial"),"",IF(D201&gt;F201,D201-C201,IF(C201-D201&lt;0,0,C201-D201)))&lt;0.00068287037037037,"",IF(OR(D201="Congé",D201="OFF",C201="",D201="Congé spécial"),"",IF(D201&gt;F201,D201-C201,IF(C201-D201&lt;0,0,C201-D201))))</f>
        <v/>
      </c>
      <c r="J201" s="405">
        <f>IFERROR(IF($G201="","",IF($G201&gt;TIME(1,0,0),$G201-TIME(1,0,0),0)),"")</f>
        <v/>
      </c>
      <c r="K201" s="238">
        <f>IF(SUM(H201:J201)&lt;0.00068287037037037,0,SUM(H201:J201))</f>
        <v/>
      </c>
      <c r="L201" s="236">
        <f>IF(OR(F201="Congé",F201="OFF",M201="Abs",F201="Congé sans solde",F201="Férié",F201="Congé spécial",D201="Congé spécial"),0,IF(F201-E201&lt;0,0,IF(F201-E201&lt;=0.00068287037037037,0,F201-E201)))</f>
        <v/>
      </c>
      <c r="M201" s="239">
        <f>IF(AND(O201&lt;&gt;0,C201=""),"Abs",0)</f>
        <v/>
      </c>
      <c r="N201" s="240">
        <f>IFERROR(IF(OR(D201="OFF",D201="Congé",M201="Abs",D201="Congé sans solde",D201="Férié"),"",IF(O201-K201-L201&gt;O201,O201,IF(O201-K201-L201&lt;0,"",O201-K201-L201))),"")</f>
        <v/>
      </c>
      <c r="O201" s="241">
        <f>IF(AG201="2H Pause déjeuner",IF(F201-D201-0.0833333333333333&lt;0,F201-D201-0.0833333333333333+1,F201-D201-0.0833333333333333),IF(OR(AND(F201="OFF",D201="OFF"),AND(F201="Congé",D201="Congé"),AND(F201="Congé sans solde",D201="Congé sans solde"),AND(F201="Congé spécial",D201="Congé spécial"),AND(F201="Férié",D201="Férié"),AND(F201="OFF",D201="Congé"),AND(F201="OFF",D201="Congé sans solde"),AND(F201="OFF",D201="Congé spécial"),AND(F201="OFF",D201="Férié"),AND(F201="Congé",D201="OFF"),AND(F201="Congé",D201="Congé sans solde"),AND(F201="Congé",D201="Congé spécial"),AND(F201="Congé",D201="Férié"),AND(F201="Congé sans solde",D201="OFF"),AND(F201="Congé sans solde",D201="Congé"),AND(F201="Congé sans solde",D201="Congé spécial"),AND(F201="Congé sans solde",D201="Férié"),AND(F201="Congé spécial",D201="OFF"),AND(F201="Congé spécial",D201="Congé"),AND(F201="Congé spécial",D201="Congé sans solde"),AND(F201="Congé spécial",D201="Férié"),AND(F201="Férié",D201="OFF"),AND(F201="Férié",D201="Congé"),AND(F201="Férié",D201="Congé sans solde"),AND(F201="Férié",D201="Congé spécial")),0,IF(OR(F201="OFF",F201="Congé",F201="Congé spécial",F201="Congé sans solde",D201="OFF",D201="Congé",D201="Congé spécial",D201="Congé sans solde"),0.208333333333334,IF(AND(AG201="",F201-D201&lt;0),("24:00:00"-D201)+("00:00:00"+F201)-0.0416666666666667,IF(AND(OR(AG201="Allaitement",AG201="Sans déjeuner"),F201-D201&lt;0),("24:00:00"-D201)+("00:00:00"+F201),IF(AND(AG201="",F201-D201&gt;0.166666666666667),F201-D201-0.0416666666666667,IF(AND(OR(AG201="Allaitement",AG201="Sans déjeuner"),F201-D201&gt;0.166666666666667),F201-D201,F201-D201)))))))</f>
        <v/>
      </c>
      <c r="P201" s="242">
        <f>IFERROR(VLOOKUP($B201,Annuaire_roster!$B:$G,MATCH(P$1,Annuaire_roster!$B$1:$G$1,0),0),"-")</f>
        <v/>
      </c>
      <c r="Q201" s="243" t="n">
        <v>44767</v>
      </c>
      <c r="R201" s="244">
        <f>IF(M201="Abs",O201,0)</f>
        <v/>
      </c>
      <c r="S201" s="244">
        <f>SUM(R201,L201,I201,J201,W201,H201)</f>
        <v/>
      </c>
      <c r="T201" s="209">
        <f>"Sem - "&amp;WEEKNUM(Q201,21)</f>
        <v/>
      </c>
      <c r="U201" s="209">
        <f>PROPER(TEXT(Q201,"mmmm"))</f>
        <v/>
      </c>
      <c r="V201" s="245">
        <f>+TEXT(Q201,"aaa")</f>
        <v/>
      </c>
      <c r="W201" s="240" t="n"/>
      <c r="X201" s="246">
        <f>IFERROR(IF(M201="Abs",0,IF((D201-C201+E201-F201)&lt;0.000694444444444444,0,(D201-C201+E201-F201))),0)</f>
        <v/>
      </c>
      <c r="Y201" s="247">
        <f>IFERROR(VLOOKUP(B201,Annuaire_roster!B:E,4,0),"-")</f>
        <v/>
      </c>
      <c r="Z201" s="247">
        <f>IFERROR(VLOOKUP(B201,Annuaire_roster!B:F,3,0),"-")</f>
        <v/>
      </c>
      <c r="AA201" s="247">
        <f>IFERROR(VLOOKUP(B201,Annuaire_roster!B:I,6,0),"-")</f>
        <v/>
      </c>
      <c r="AB201" s="248">
        <f>IF(AND(D201="Congé",F201="Congé"),0.333333333333333,IF(OR(AND(D201="Congé",F201&lt;&gt;"Congé"),(AND(F201="Congé",D201&lt;&gt;"Congé"))),0.166666666666667,""))</f>
        <v/>
      </c>
      <c r="AC201" s="248">
        <f>IF(AND(D201="Congé sans solde",F201="Congé sans solde"),0.333333333333333,IF(OR(AND(D201="Congé sans solde",F201&lt;&gt;"Congé sans solde"),(AND(F201="Congé sans solde",D201&lt;&gt;"Congé sans solde"))),0.166666666666667,""))</f>
        <v/>
      </c>
      <c r="AD201" s="248">
        <f>IF(AND(D201="Congé spécial",F201="Congé spécial"),0.333333333333333,IF(OR(AND(D201="Congé spécial",F201&lt;&gt;"Congé décès"),(AND(F201="Congé spécial",D201&lt;&gt;"Congé spécial"))),0.166666666666667,""))</f>
        <v/>
      </c>
      <c r="AE201" s="249">
        <f>IF(AND(D201="Férié",F201="Férié"),0.333333333333333,IF(OR(AND(D201="Férié",F201&lt;&gt;"Férié"),(AND(F201="Férié",D201&lt;&gt;"Férié"))),0.166666666666667,""))</f>
        <v/>
      </c>
      <c r="AF201" s="249" t="n"/>
      <c r="AG201" s="244" t="n"/>
    </row>
    <row r="202" hidden="1" ht="12.75" customHeight="1" s="231">
      <c r="A202" s="232">
        <f>VLOOKUP(B202,Annuaire_roster!B:F,5,0)</f>
        <v/>
      </c>
      <c r="B202" s="233" t="inlineStr">
        <is>
          <t>RACHAD NAWAR</t>
        </is>
      </c>
      <c r="C202" s="234">
        <f>IFERROR(IF(COUNTIFS(Connexions!$K:$K,$Q202,Connexions!$E:$E,VLOOKUP($B202,Mapping_Noms!$A:$B,2,0))=0,"",_xlfn.MINIFS(Connexions!$M:$M,Connexions!$K:$K,$Q202,Connexions!$E:$E,VLOOKUP($B202,Mapping_Noms!$A:$B,2,0))-TIME(1,0,0)),"")</f>
        <v/>
      </c>
      <c r="D202" s="234">
        <f t="array" ref="D202:D202">IFERROR(INDEX(Planning2[],MATCH(1,(Planning2[Nom]=B202)*(Planning2[Date]=Q202),0),3),"-")</f>
        <v/>
      </c>
      <c r="E202" s="235">
        <f>IFERROR(IF(COUNTIFS(Connexions!$K:$K,$Q202,Connexions!$E:$E,VLOOKUP($B202,Mapping_Noms!$A:$B,2,0))=0,"",_xlfn.MAXIFS(Connexions!$O:$O,Connexions!$K:$K,$Q202,Connexions!$E:$E,VLOOKUP($B202,Mapping_Noms!$A:$B,2,0))-TIME(1,0,0)),"")</f>
        <v/>
      </c>
      <c r="F202" s="235">
        <f t="array" ref="F202:F202">IFERROR(INDEX(Planning2[],MATCH(1,(Planning2[Nom]=B202)*(Planning2[Date]=Q202),0),4),"-")</f>
        <v/>
      </c>
      <c r="G202" s="405">
        <f>IFERROR(IF(OR(IFERROR(INDEX('Planning Pauses Dej'!$C:$C,MATCH($B202&amp;"|"&amp;TEXT($Q202,"YYYYMMDD"),'Planning Pauses Dej'!$F:$F,0)),"")="",IFERROR(INDEX('Planning Pauses Dej'!$D:$D,MATCH($B202&amp;"|"&amp;TEXT($Q202,"YYYYMMDD"),'Planning Pauses Dej'!$F:$F,0)),"")=""),"",_xlfn.MAXIFS(Connexions!$Q:$Q,Connexions!$K:$K,$Q202,Connexions!$E:$E,VLOOKUP($B202,Mapping_Noms!$A:$B,2,0),Connexions!$O:$O,"&lt;="&amp;(IFERROR(INDEX('Planning Pauses Dej'!$D:$D,MATCH($B202&amp;"|"&amp;TEXT($Q202,"YYYYMMDD"),'Planning Pauses Dej'!$F:$F,0)),"")+TIME(1,0,0)),Connexions!$P:$P,"&gt;="&amp;(IFERROR(INDEX('Planning Pauses Dej'!$C:$C,MATCH($B202&amp;"|"&amp;TEXT($Q202,"YYYYMMDD"),'Planning Pauses Dej'!$F:$F,0)),"")+TIME(1,0,0)))),"")</f>
        <v/>
      </c>
      <c r="H202" s="405">
        <f>IFERROR(IF(OR($G202="",IFERROR(INDEX('Planning Pauses Dej'!$C:$C,MATCH($B202&amp;"|"&amp;TEXT($Q202,"YYYYMMDD"),'Planning Pauses Dej'!$F:$F,0)),"")="",IFERROR(INDEX('Planning Pauses Dej'!$D:$D,MATCH($B202&amp;"|"&amp;TEXT($Q202,"YYYYMMDD"),'Planning Pauses Dej'!$F:$F,0)),"")=""),"",IF($G202&gt;(IFERROR(INDEX('Planning Pauses Dej'!$D:$D,MATCH($B202&amp;"|"&amp;TEXT($Q202,"YYYYMMDD"),'Planning Pauses Dej'!$F:$F,0)),"")-IFERROR(INDEX('Planning Pauses Dej'!$C:$C,MATCH($B202&amp;"|"&amp;TEXT($Q202,"YYYYMMDD"),'Planning Pauses Dej'!$F:$F,0)),"")),$G202-(IFERROR(INDEX('Planning Pauses Dej'!$D:$D,MATCH($B202&amp;"|"&amp;TEXT($Q202,"YYYYMMDD"),'Planning Pauses Dej'!$F:$F,0)),"")-IFERROR(INDEX('Planning Pauses Dej'!$C:$C,MATCH($B202&amp;"|"&amp;TEXT($Q202,"YYYYMMDD"),'Planning Pauses Dej'!$F:$F,0)),"")),0)),"")</f>
        <v/>
      </c>
      <c r="I202" s="251">
        <f>IF(IF(OR(C202="",D202="Congé",D202="OFF",D202="Congé spécial"),"",IF(D202&gt;F202,D202-C202,IF(C202-D202&lt;0,0,C202-D202)))&lt;0.00068287037037037,"",IF(OR(D202="Congé",D202="OFF",C202="",D202="Congé spécial"),"",IF(D202&gt;F202,D202-C202,IF(C202-D202&lt;0,0,C202-D202))))</f>
        <v/>
      </c>
      <c r="J202" s="405">
        <f>IFERROR(IF($G202="","",IF($G202&gt;TIME(1,0,0),$G202-TIME(1,0,0),0)),"")</f>
        <v/>
      </c>
      <c r="K202" s="238">
        <f>IF(SUM(H202:J202)&lt;0.00068287037037037,0,SUM(H202:J202))</f>
        <v/>
      </c>
      <c r="L202" s="236">
        <f>IF(OR(F202="Congé",F202="OFF",M202="Abs",F202="Congé sans solde",F202="Férié",F202="Congé spécial",D202="Congé spécial"),0,IF(F202-E202&lt;0,0,IF(F202-E202&lt;=0.00068287037037037,0,F202-E202)))</f>
        <v/>
      </c>
      <c r="M202" s="239">
        <f>IF(AND(O202&lt;&gt;0,C202=""),"Abs",0)</f>
        <v/>
      </c>
      <c r="N202" s="240">
        <f>IFERROR(IF(OR(D202="OFF",D202="Congé",M202="Abs",D202="Congé sans solde",D202="Férié"),"",IF(O202-K202-L202&gt;O202,O202,IF(O202-K202-L202&lt;0,"",O202-K202-L202))),"")</f>
        <v/>
      </c>
      <c r="O202" s="241">
        <f>IF(AG202="2H Pause déjeuner",IF(F202-D202-0.0833333333333333&lt;0,F202-D202-0.0833333333333333+1,F202-D202-0.0833333333333333),IF(OR(AND(F202="OFF",D202="OFF"),AND(F202="Congé",D202="Congé"),AND(F202="Congé sans solde",D202="Congé sans solde"),AND(F202="Congé spécial",D202="Congé spécial"),AND(F202="Férié",D202="Férié"),AND(F202="OFF",D202="Congé"),AND(F202="OFF",D202="Congé sans solde"),AND(F202="OFF",D202="Congé spécial"),AND(F202="OFF",D202="Férié"),AND(F202="Congé",D202="OFF"),AND(F202="Congé",D202="Congé sans solde"),AND(F202="Congé",D202="Congé spécial"),AND(F202="Congé",D202="Férié"),AND(F202="Congé sans solde",D202="OFF"),AND(F202="Congé sans solde",D202="Congé"),AND(F202="Congé sans solde",D202="Congé spécial"),AND(F202="Congé sans solde",D202="Férié"),AND(F202="Congé spécial",D202="OFF"),AND(F202="Congé spécial",D202="Congé"),AND(F202="Congé spécial",D202="Congé sans solde"),AND(F202="Congé spécial",D202="Férié"),AND(F202="Férié",D202="OFF"),AND(F202="Férié",D202="Congé"),AND(F202="Férié",D202="Congé sans solde"),AND(F202="Férié",D202="Congé spécial")),0,IF(OR(F202="OFF",F202="Congé",F202="Congé spécial",F202="Congé sans solde",D202="OFF",D202="Congé",D202="Congé spécial",D202="Congé sans solde"),0.208333333333334,IF(AND(AG202="",F202-D202&lt;0),("24:00:00"-D202)+("00:00:00"+F202)-0.0416666666666667,IF(AND(OR(AG202="Allaitement",AG202="Sans déjeuner"),F202-D202&lt;0),("24:00:00"-D202)+("00:00:00"+F202),IF(AND(AG202="",F202-D202&gt;0.166666666666667),F202-D202-0.0416666666666667,IF(AND(OR(AG202="Allaitement",AG202="Sans déjeuner"),F202-D202&gt;0.166666666666667),F202-D202,F202-D202)))))))</f>
        <v/>
      </c>
      <c r="P202" s="242">
        <f>IFERROR(VLOOKUP($B202,Annuaire_roster!$B:$G,MATCH(P$1,Annuaire_roster!$B$1:$G$1,0),0),"-")</f>
        <v/>
      </c>
      <c r="Q202" s="243" t="n">
        <v>44767</v>
      </c>
      <c r="R202" s="244">
        <f>IF(M202="Abs",O202,0)</f>
        <v/>
      </c>
      <c r="S202" s="244">
        <f>SUM(R202,L202,I202,J202,W202,H202)</f>
        <v/>
      </c>
      <c r="T202" s="209">
        <f>"Sem - "&amp;WEEKNUM(Q202,21)</f>
        <v/>
      </c>
      <c r="U202" s="209">
        <f>PROPER(TEXT(Q202,"mmmm"))</f>
        <v/>
      </c>
      <c r="V202" s="245">
        <f>+TEXT(Q202,"aaa")</f>
        <v/>
      </c>
      <c r="W202" s="240" t="n"/>
      <c r="X202" s="246">
        <f>IFERROR(IF(M202="Abs",0,IF((D202-C202+E202-F202)&lt;0.000694444444444444,0,(D202-C202+E202-F202))),0)</f>
        <v/>
      </c>
      <c r="Y202" s="247">
        <f>IFERROR(VLOOKUP(B202,Annuaire_roster!B:E,4,0),"-")</f>
        <v/>
      </c>
      <c r="Z202" s="247">
        <f>IFERROR(VLOOKUP(B202,Annuaire_roster!B:F,3,0),"-")</f>
        <v/>
      </c>
      <c r="AA202" s="247">
        <f>IFERROR(VLOOKUP(B202,Annuaire_roster!B:I,6,0),"-")</f>
        <v/>
      </c>
      <c r="AB202" s="248">
        <f>IF(AND(D202="Congé",F202="Congé"),0.333333333333333,IF(OR(AND(D202="Congé",F202&lt;&gt;"Congé"),(AND(F202="Congé",D202&lt;&gt;"Congé"))),0.166666666666667,""))</f>
        <v/>
      </c>
      <c r="AC202" s="248">
        <f>IF(AND(D202="Congé sans solde",F202="Congé sans solde"),0.333333333333333,IF(OR(AND(D202="Congé sans solde",F202&lt;&gt;"Congé sans solde"),(AND(F202="Congé sans solde",D202&lt;&gt;"Congé sans solde"))),0.166666666666667,""))</f>
        <v/>
      </c>
      <c r="AD202" s="248">
        <f>IF(AND(D202="Congé spécial",F202="Congé spécial"),0.333333333333333,IF(OR(AND(D202="Congé spécial",F202&lt;&gt;"Congé décès"),(AND(F202="Congé spécial",D202&lt;&gt;"Congé spécial"))),0.166666666666667,""))</f>
        <v/>
      </c>
      <c r="AE202" s="249">
        <f>IF(AND(D202="Férié",F202="Férié"),0.333333333333333,IF(OR(AND(D202="Férié",F202&lt;&gt;"Férié"),(AND(F202="Férié",D202&lt;&gt;"Férié"))),0.166666666666667,""))</f>
        <v/>
      </c>
      <c r="AF202" s="249" t="n"/>
      <c r="AG202" s="244" t="n"/>
    </row>
    <row r="203" hidden="1" ht="12.75" customHeight="1" s="231">
      <c r="A203" s="232">
        <f>VLOOKUP(B203,Annuaire_roster!B:F,5,0)</f>
        <v/>
      </c>
      <c r="B203" s="233" t="inlineStr">
        <is>
          <t>ZITOUNI LAMYA</t>
        </is>
      </c>
      <c r="C203" s="234">
        <f>IFERROR(IF(COUNTIFS(Connexions!$K:$K,$Q203,Connexions!$E:$E,VLOOKUP($B203,Mapping_Noms!$A:$B,2,0))=0,"",_xlfn.MINIFS(Connexions!$M:$M,Connexions!$K:$K,$Q203,Connexions!$E:$E,VLOOKUP($B203,Mapping_Noms!$A:$B,2,0))-TIME(1,0,0)),"")</f>
        <v/>
      </c>
      <c r="D203" s="234">
        <f t="array" ref="D203:D203">IFERROR(INDEX(Planning2[],MATCH(1,(Planning2[Nom]=B203)*(Planning2[Date]=Q203),0),3),"-")</f>
        <v/>
      </c>
      <c r="E203" s="235">
        <f>IFERROR(IF(COUNTIFS(Connexions!$K:$K,$Q203,Connexions!$E:$E,VLOOKUP($B203,Mapping_Noms!$A:$B,2,0))=0,"",_xlfn.MAXIFS(Connexions!$O:$O,Connexions!$K:$K,$Q203,Connexions!$E:$E,VLOOKUP($B203,Mapping_Noms!$A:$B,2,0))-TIME(1,0,0)),"")</f>
        <v/>
      </c>
      <c r="F203" s="235">
        <f t="array" ref="F203:F203">IFERROR(INDEX(Planning2[],MATCH(1,(Planning2[Nom]=B203)*(Planning2[Date]=Q203),0),4),"-")</f>
        <v/>
      </c>
      <c r="G203" s="405">
        <f>IFERROR(IF(OR(IFERROR(INDEX('Planning Pauses Dej'!$C:$C,MATCH($B203&amp;"|"&amp;TEXT($Q203,"YYYYMMDD"),'Planning Pauses Dej'!$F:$F,0)),"")="",IFERROR(INDEX('Planning Pauses Dej'!$D:$D,MATCH($B203&amp;"|"&amp;TEXT($Q203,"YYYYMMDD"),'Planning Pauses Dej'!$F:$F,0)),"")=""),"",_xlfn.MAXIFS(Connexions!$Q:$Q,Connexions!$K:$K,$Q203,Connexions!$E:$E,VLOOKUP($B203,Mapping_Noms!$A:$B,2,0),Connexions!$O:$O,"&lt;="&amp;(IFERROR(INDEX('Planning Pauses Dej'!$D:$D,MATCH($B203&amp;"|"&amp;TEXT($Q203,"YYYYMMDD"),'Planning Pauses Dej'!$F:$F,0)),"")+TIME(1,0,0)),Connexions!$P:$P,"&gt;="&amp;(IFERROR(INDEX('Planning Pauses Dej'!$C:$C,MATCH($B203&amp;"|"&amp;TEXT($Q203,"YYYYMMDD"),'Planning Pauses Dej'!$F:$F,0)),"")+TIME(1,0,0)))),"")</f>
        <v/>
      </c>
      <c r="H203" s="405">
        <f>IFERROR(IF(OR($G203="",IFERROR(INDEX('Planning Pauses Dej'!$C:$C,MATCH($B203&amp;"|"&amp;TEXT($Q203,"YYYYMMDD"),'Planning Pauses Dej'!$F:$F,0)),"")="",IFERROR(INDEX('Planning Pauses Dej'!$D:$D,MATCH($B203&amp;"|"&amp;TEXT($Q203,"YYYYMMDD"),'Planning Pauses Dej'!$F:$F,0)),"")=""),"",IF($G203&gt;(IFERROR(INDEX('Planning Pauses Dej'!$D:$D,MATCH($B203&amp;"|"&amp;TEXT($Q203,"YYYYMMDD"),'Planning Pauses Dej'!$F:$F,0)),"")-IFERROR(INDEX('Planning Pauses Dej'!$C:$C,MATCH($B203&amp;"|"&amp;TEXT($Q203,"YYYYMMDD"),'Planning Pauses Dej'!$F:$F,0)),"")),$G203-(IFERROR(INDEX('Planning Pauses Dej'!$D:$D,MATCH($B203&amp;"|"&amp;TEXT($Q203,"YYYYMMDD"),'Planning Pauses Dej'!$F:$F,0)),"")-IFERROR(INDEX('Planning Pauses Dej'!$C:$C,MATCH($B203&amp;"|"&amp;TEXT($Q203,"YYYYMMDD"),'Planning Pauses Dej'!$F:$F,0)),"")),0)),"")</f>
        <v/>
      </c>
      <c r="I203" s="251">
        <f>IF(IF(OR(C203="",D203="Congé",D203="OFF",D203="Congé spécial"),"",IF(D203&gt;F203,D203-C203,IF(C203-D203&lt;0,0,C203-D203)))&lt;0.00068287037037037,"",IF(OR(D203="Congé",D203="OFF",C203="",D203="Congé spécial"),"",IF(D203&gt;F203,D203-C203,IF(C203-D203&lt;0,0,C203-D203))))</f>
        <v/>
      </c>
      <c r="J203" s="405">
        <f>IFERROR(IF($G203="","",IF($G203&gt;TIME(1,0,0),$G203-TIME(1,0,0),0)),"")</f>
        <v/>
      </c>
      <c r="K203" s="238">
        <f>IF(SUM(H203:J203)&lt;0.00068287037037037,0,SUM(H203:J203))</f>
        <v/>
      </c>
      <c r="L203" s="236">
        <f>IF(OR(F203="Congé",F203="OFF",M203="Abs",F203="Congé sans solde",F203="Férié",F203="Congé spécial",D203="Congé spécial"),0,IF(F203-E203&lt;0,0,IF(F203-E203&lt;=0.00068287037037037,0,F203-E203)))</f>
        <v/>
      </c>
      <c r="M203" s="239">
        <f>IF(AND(O203&lt;&gt;0,C203=""),"Abs",0)</f>
        <v/>
      </c>
      <c r="N203" s="240">
        <f>IFERROR(IF(OR(D203="OFF",D203="Congé",M203="Abs",D203="Congé sans solde",D203="Férié"),"",IF(O203-K203-L203&gt;O203,O203,IF(O203-K203-L203&lt;0,"",O203-K203-L203))),"")</f>
        <v/>
      </c>
      <c r="O203" s="241">
        <f>IF(AG203="2H Pause déjeuner",IF(F203-D203-0.0833333333333333&lt;0,F203-D203-0.0833333333333333+1,F203-D203-0.0833333333333333),IF(OR(AND(F203="OFF",D203="OFF"),AND(F203="Congé",D203="Congé"),AND(F203="Congé sans solde",D203="Congé sans solde"),AND(F203="Congé spécial",D203="Congé spécial"),AND(F203="Férié",D203="Férié"),AND(F203="OFF",D203="Congé"),AND(F203="OFF",D203="Congé sans solde"),AND(F203="OFF",D203="Congé spécial"),AND(F203="OFF",D203="Férié"),AND(F203="Congé",D203="OFF"),AND(F203="Congé",D203="Congé sans solde"),AND(F203="Congé",D203="Congé spécial"),AND(F203="Congé",D203="Férié"),AND(F203="Congé sans solde",D203="OFF"),AND(F203="Congé sans solde",D203="Congé"),AND(F203="Congé sans solde",D203="Congé spécial"),AND(F203="Congé sans solde",D203="Férié"),AND(F203="Congé spécial",D203="OFF"),AND(F203="Congé spécial",D203="Congé"),AND(F203="Congé spécial",D203="Congé sans solde"),AND(F203="Congé spécial",D203="Férié"),AND(F203="Férié",D203="OFF"),AND(F203="Férié",D203="Congé"),AND(F203="Férié",D203="Congé sans solde"),AND(F203="Férié",D203="Congé spécial")),0,IF(OR(F203="OFF",F203="Congé",F203="Congé spécial",F203="Congé sans solde",D203="OFF",D203="Congé",D203="Congé spécial",D203="Congé sans solde"),0.208333333333334,IF(AND(AG203="",F203-D203&lt;0),("24:00:00"-D203)+("00:00:00"+F203)-0.0416666666666667,IF(AND(OR(AG203="Allaitement",AG203="Sans déjeuner"),F203-D203&lt;0),("24:00:00"-D203)+("00:00:00"+F203),IF(AND(AG203="",F203-D203&gt;0.166666666666667),F203-D203-0.0416666666666667,IF(AND(OR(AG203="Allaitement",AG203="Sans déjeuner"),F203-D203&gt;0.166666666666667),F203-D203,F203-D203)))))))</f>
        <v/>
      </c>
      <c r="P203" s="242">
        <f>IFERROR(VLOOKUP($B203,Annuaire_roster!$B:$G,MATCH(P$1,Annuaire_roster!$B$1:$G$1,0),0),"-")</f>
        <v/>
      </c>
      <c r="Q203" s="243" t="n">
        <v>44767</v>
      </c>
      <c r="R203" s="244">
        <f>IF(M203="Abs",O203,0)</f>
        <v/>
      </c>
      <c r="S203" s="244">
        <f>SUM(R203,L203,I203,J203,W203,H203)</f>
        <v/>
      </c>
      <c r="T203" s="209">
        <f>"Sem - "&amp;WEEKNUM(Q203,21)</f>
        <v/>
      </c>
      <c r="U203" s="209">
        <f>PROPER(TEXT(Q203,"mmmm"))</f>
        <v/>
      </c>
      <c r="V203" s="245">
        <f>+TEXT(Q203,"aaa")</f>
        <v/>
      </c>
      <c r="W203" s="240" t="n"/>
      <c r="X203" s="246">
        <f>IFERROR(IF(M203="Abs",0,IF((D203-C203+E203-F203)&lt;0.000694444444444444,0,(D203-C203+E203-F203))),0)</f>
        <v/>
      </c>
      <c r="Y203" s="247">
        <f>IFERROR(VLOOKUP(B203,Annuaire_roster!B:E,4,0),"-")</f>
        <v/>
      </c>
      <c r="Z203" s="247">
        <f>IFERROR(VLOOKUP(B203,Annuaire_roster!B:F,3,0),"-")</f>
        <v/>
      </c>
      <c r="AA203" s="247">
        <f>IFERROR(VLOOKUP(B203,Annuaire_roster!B:I,6,0),"-")</f>
        <v/>
      </c>
      <c r="AB203" s="248">
        <f>IF(AND(D203="Congé",F203="Congé"),0.333333333333333,IF(OR(AND(D203="Congé",F203&lt;&gt;"Congé"),(AND(F203="Congé",D203&lt;&gt;"Congé"))),0.166666666666667,""))</f>
        <v/>
      </c>
      <c r="AC203" s="248">
        <f>IF(AND(D203="Congé sans solde",F203="Congé sans solde"),0.333333333333333,IF(OR(AND(D203="Congé sans solde",F203&lt;&gt;"Congé sans solde"),(AND(F203="Congé sans solde",D203&lt;&gt;"Congé sans solde"))),0.166666666666667,""))</f>
        <v/>
      </c>
      <c r="AD203" s="248">
        <f>IF(AND(D203="Congé spécial",F203="Congé spécial"),0.333333333333333,IF(OR(AND(D203="Congé spécial",F203&lt;&gt;"Congé décès"),(AND(F203="Congé spécial",D203&lt;&gt;"Congé spécial"))),0.166666666666667,""))</f>
        <v/>
      </c>
      <c r="AE203" s="249">
        <f>IF(AND(D203="Férié",F203="Férié"),0.333333333333333,IF(OR(AND(D203="Férié",F203&lt;&gt;"Férié"),(AND(F203="Férié",D203&lt;&gt;"Férié"))),0.166666666666667,""))</f>
        <v/>
      </c>
      <c r="AF203" s="249" t="n"/>
      <c r="AG203" s="244" t="n"/>
    </row>
    <row r="204" hidden="1" ht="12.75" customHeight="1" s="231">
      <c r="A204" s="232">
        <f>VLOOKUP(B204,Annuaire_roster!B:F,5,0)</f>
        <v/>
      </c>
      <c r="B204" s="233" t="inlineStr">
        <is>
          <t>GUEYE GORA</t>
        </is>
      </c>
      <c r="C204" s="234">
        <f>IFERROR(IF(COUNTIFS(Connexions!$K:$K,$Q204,Connexions!$E:$E,VLOOKUP($B204,Mapping_Noms!$A:$B,2,0))=0,"",_xlfn.MINIFS(Connexions!$M:$M,Connexions!$K:$K,$Q204,Connexions!$E:$E,VLOOKUP($B204,Mapping_Noms!$A:$B,2,0))-TIME(1,0,0)),"")</f>
        <v/>
      </c>
      <c r="D204" s="234">
        <f t="array" ref="D204:D204">IFERROR(INDEX(Planning2[],MATCH(1,(Planning2[Nom]=B204)*(Planning2[Date]=Q204),0),3),"-")</f>
        <v/>
      </c>
      <c r="E204" s="235">
        <f>IFERROR(IF(COUNTIFS(Connexions!$K:$K,$Q204,Connexions!$E:$E,VLOOKUP($B204,Mapping_Noms!$A:$B,2,0))=0,"",_xlfn.MAXIFS(Connexions!$O:$O,Connexions!$K:$K,$Q204,Connexions!$E:$E,VLOOKUP($B204,Mapping_Noms!$A:$B,2,0))-TIME(1,0,0)),"")</f>
        <v/>
      </c>
      <c r="F204" s="235">
        <f t="array" ref="F204:F204">IFERROR(INDEX(Planning2[],MATCH(1,(Planning2[Nom]=B204)*(Planning2[Date]=Q204),0),4),"-")</f>
        <v/>
      </c>
      <c r="G204" s="405">
        <f>IFERROR(IF(OR(IFERROR(INDEX('Planning Pauses Dej'!$C:$C,MATCH($B204&amp;"|"&amp;TEXT($Q204,"YYYYMMDD"),'Planning Pauses Dej'!$F:$F,0)),"")="",IFERROR(INDEX('Planning Pauses Dej'!$D:$D,MATCH($B204&amp;"|"&amp;TEXT($Q204,"YYYYMMDD"),'Planning Pauses Dej'!$F:$F,0)),"")=""),"",_xlfn.MAXIFS(Connexions!$Q:$Q,Connexions!$K:$K,$Q204,Connexions!$E:$E,VLOOKUP($B204,Mapping_Noms!$A:$B,2,0),Connexions!$O:$O,"&lt;="&amp;(IFERROR(INDEX('Planning Pauses Dej'!$D:$D,MATCH($B204&amp;"|"&amp;TEXT($Q204,"YYYYMMDD"),'Planning Pauses Dej'!$F:$F,0)),"")+TIME(1,0,0)),Connexions!$P:$P,"&gt;="&amp;(IFERROR(INDEX('Planning Pauses Dej'!$C:$C,MATCH($B204&amp;"|"&amp;TEXT($Q204,"YYYYMMDD"),'Planning Pauses Dej'!$F:$F,0)),"")+TIME(1,0,0)))),"")</f>
        <v/>
      </c>
      <c r="H204" s="405">
        <f>IFERROR(IF(OR($G204="",IFERROR(INDEX('Planning Pauses Dej'!$C:$C,MATCH($B204&amp;"|"&amp;TEXT($Q204,"YYYYMMDD"),'Planning Pauses Dej'!$F:$F,0)),"")="",IFERROR(INDEX('Planning Pauses Dej'!$D:$D,MATCH($B204&amp;"|"&amp;TEXT($Q204,"YYYYMMDD"),'Planning Pauses Dej'!$F:$F,0)),"")=""),"",IF($G204&gt;(IFERROR(INDEX('Planning Pauses Dej'!$D:$D,MATCH($B204&amp;"|"&amp;TEXT($Q204,"YYYYMMDD"),'Planning Pauses Dej'!$F:$F,0)),"")-IFERROR(INDEX('Planning Pauses Dej'!$C:$C,MATCH($B204&amp;"|"&amp;TEXT($Q204,"YYYYMMDD"),'Planning Pauses Dej'!$F:$F,0)),"")),$G204-(IFERROR(INDEX('Planning Pauses Dej'!$D:$D,MATCH($B204&amp;"|"&amp;TEXT($Q204,"YYYYMMDD"),'Planning Pauses Dej'!$F:$F,0)),"")-IFERROR(INDEX('Planning Pauses Dej'!$C:$C,MATCH($B204&amp;"|"&amp;TEXT($Q204,"YYYYMMDD"),'Planning Pauses Dej'!$F:$F,0)),"")),0)),"")</f>
        <v/>
      </c>
      <c r="I204" s="251">
        <f>IF(IF(OR(C204="",D204="Congé",D204="OFF",D204="Congé spécial"),"",IF(D204&gt;F204,D204-C204,IF(C204-D204&lt;0,0,C204-D204)))&lt;0.00068287037037037,"",IF(OR(D204="Congé",D204="OFF",C204="",D204="Congé spécial"),"",IF(D204&gt;F204,D204-C204,IF(C204-D204&lt;0,0,C204-D204))))</f>
        <v/>
      </c>
      <c r="J204" s="406">
        <f>IFERROR(IF($G204="","",IF($G204&gt;TIME(1,0,0),$G204-TIME(1,0,0),0)),"")</f>
        <v/>
      </c>
      <c r="K204" s="238">
        <f>IF(SUM(H204:J204)&lt;0.00068287037037037,0,SUM(H204:J204))</f>
        <v/>
      </c>
      <c r="L204" s="236">
        <f>IF(OR(F204="Congé",F204="OFF",M204="Abs",F204="Congé sans solde",F204="Férié",F204="Congé spécial",D204="Congé spécial"),0,IF(F204-E204&lt;0,0,IF(F204-E204&lt;=0.00068287037037037,0,F204-E204)))</f>
        <v/>
      </c>
      <c r="M204" s="239">
        <f>IF(AND(O204&lt;&gt;0,C204=""),"Abs",0)</f>
        <v/>
      </c>
      <c r="N204" s="240">
        <f>IFERROR(IF(OR(D204="OFF",D204="Congé",M204="Abs",D204="Congé sans solde",D204="Férié"),"",IF(O204-K204-L204&gt;O204,O204,IF(O204-K204-L204&lt;0,"",O204-K204-L204))),"")</f>
        <v/>
      </c>
      <c r="O204" s="241">
        <f>IF(AG204="2H Pause déjeuner",IF(F204-D204-0.0833333333333333&lt;0,F204-D204-0.0833333333333333+1,F204-D204-0.0833333333333333),IF(OR(AND(F204="OFF",D204="OFF"),AND(F204="Congé",D204="Congé"),AND(F204="Congé sans solde",D204="Congé sans solde"),AND(F204="Congé spécial",D204="Congé spécial"),AND(F204="Férié",D204="Férié"),AND(F204="OFF",D204="Congé"),AND(F204="OFF",D204="Congé sans solde"),AND(F204="OFF",D204="Congé spécial"),AND(F204="OFF",D204="Férié"),AND(F204="Congé",D204="OFF"),AND(F204="Congé",D204="Congé sans solde"),AND(F204="Congé",D204="Congé spécial"),AND(F204="Congé",D204="Férié"),AND(F204="Congé sans solde",D204="OFF"),AND(F204="Congé sans solde",D204="Congé"),AND(F204="Congé sans solde",D204="Congé spécial"),AND(F204="Congé sans solde",D204="Férié"),AND(F204="Congé spécial",D204="OFF"),AND(F204="Congé spécial",D204="Congé"),AND(F204="Congé spécial",D204="Congé sans solde"),AND(F204="Congé spécial",D204="Férié"),AND(F204="Férié",D204="OFF"),AND(F204="Férié",D204="Congé"),AND(F204="Férié",D204="Congé sans solde"),AND(F204="Férié",D204="Congé spécial")),0,IF(OR(F204="OFF",F204="Congé",F204="Congé spécial",F204="Congé sans solde",D204="OFF",D204="Congé",D204="Congé spécial",D204="Congé sans solde"),0.208333333333334,IF(AND(AG204="",F204-D204&lt;0),("24:00:00"-D204)+("00:00:00"+F204)-0.0416666666666667,IF(AND(OR(AG204="Allaitement",AG204="Sans déjeuner"),F204-D204&lt;0),("24:00:00"-D204)+("00:00:00"+F204),IF(AND(AG204="",F204-D204&gt;0.166666666666667),F204-D204-0.0416666666666667,IF(AND(OR(AG204="Allaitement",AG204="Sans déjeuner"),F204-D204&gt;0.166666666666667),F204-D204,F204-D204)))))))</f>
        <v/>
      </c>
      <c r="P204" s="242">
        <f>IFERROR(VLOOKUP($B204,Annuaire_roster!$B:$G,MATCH(P$1,Annuaire_roster!$B$1:$G$1,0),0),"-")</f>
        <v/>
      </c>
      <c r="Q204" s="243" t="n">
        <v>44767</v>
      </c>
      <c r="R204" s="244">
        <f>IF(M204="Abs",O204,0)</f>
        <v/>
      </c>
      <c r="S204" s="244">
        <f>SUM(R204,L204,I204,J204,W204,H204)</f>
        <v/>
      </c>
      <c r="T204" s="209">
        <f>"Sem - "&amp;WEEKNUM(Q204,21)</f>
        <v/>
      </c>
      <c r="U204" s="209">
        <f>PROPER(TEXT(Q204,"mmmm"))</f>
        <v/>
      </c>
      <c r="V204" s="245">
        <f>+TEXT(Q204,"aaa")</f>
        <v/>
      </c>
      <c r="W204" s="240" t="n"/>
      <c r="X204" s="246">
        <f>IFERROR(IF(M204="Abs",0,IF((D204-C204+E204-F204)&lt;0.000694444444444444,0,(D204-C204+E204-F204))),0)</f>
        <v/>
      </c>
      <c r="Y204" s="247">
        <f>IFERROR(VLOOKUP(B204,Annuaire_roster!B:E,4,0),"-")</f>
        <v/>
      </c>
      <c r="Z204" s="247">
        <f>IFERROR(VLOOKUP(B204,Annuaire_roster!B:F,3,0),"-")</f>
        <v/>
      </c>
      <c r="AA204" s="247">
        <f>IFERROR(VLOOKUP(B204,Annuaire_roster!B:I,6,0),"-")</f>
        <v/>
      </c>
      <c r="AB204" s="248">
        <f>IF(AND(D204="Congé",F204="Congé"),0.333333333333333,IF(OR(AND(D204="Congé",F204&lt;&gt;"Congé"),(AND(F204="Congé",D204&lt;&gt;"Congé"))),0.166666666666667,""))</f>
        <v/>
      </c>
      <c r="AC204" s="248">
        <f>IF(AND(D204="Congé sans solde",F204="Congé sans solde"),0.333333333333333,IF(OR(AND(D204="Congé sans solde",F204&lt;&gt;"Congé sans solde"),(AND(F204="Congé sans solde",D204&lt;&gt;"Congé sans solde"))),0.166666666666667,""))</f>
        <v/>
      </c>
      <c r="AD204" s="248">
        <f>IF(AND(D204="Congé spécial",F204="Congé spécial"),0.333333333333333,IF(OR(AND(D204="Congé spécial",F204&lt;&gt;"Congé décès"),(AND(F204="Congé spécial",D204&lt;&gt;"Congé spécial"))),0.166666666666667,""))</f>
        <v/>
      </c>
      <c r="AE204" s="249">
        <f>IF(AND(D204="Férié",F204="Férié"),0.333333333333333,IF(OR(AND(D204="Férié",F204&lt;&gt;"Férié"),(AND(F204="Férié",D204&lt;&gt;"Férié"))),0.166666666666667,""))</f>
        <v/>
      </c>
      <c r="AF204" s="249" t="n"/>
      <c r="AG204" s="244" t="n"/>
    </row>
    <row r="205" hidden="1" ht="12.75" customHeight="1" s="231">
      <c r="A205" s="232">
        <f>VLOOKUP(B205,Annuaire_roster!B:F,5,0)</f>
        <v/>
      </c>
      <c r="B205" s="233" t="inlineStr">
        <is>
          <t>DIOUF OUSSMANE</t>
        </is>
      </c>
      <c r="C205" s="234">
        <f>IFERROR(IF(COUNTIFS(Connexions!$K:$K,$Q205,Connexions!$E:$E,VLOOKUP($B205,Mapping_Noms!$A:$B,2,0))=0,"",_xlfn.MINIFS(Connexions!$M:$M,Connexions!$K:$K,$Q205,Connexions!$E:$E,VLOOKUP($B205,Mapping_Noms!$A:$B,2,0))-TIME(1,0,0)),"")</f>
        <v/>
      </c>
      <c r="D205" s="234">
        <f t="array" ref="D205:D205">IFERROR(INDEX(Planning2[],MATCH(1,(Planning2[Nom]=B205)*(Planning2[Date]=Q205),0),3),"-")</f>
        <v/>
      </c>
      <c r="E205" s="235">
        <f>IFERROR(IF(COUNTIFS(Connexions!$K:$K,$Q205,Connexions!$E:$E,VLOOKUP($B205,Mapping_Noms!$A:$B,2,0))=0,"",_xlfn.MAXIFS(Connexions!$O:$O,Connexions!$K:$K,$Q205,Connexions!$E:$E,VLOOKUP($B205,Mapping_Noms!$A:$B,2,0))-TIME(1,0,0)),"")</f>
        <v/>
      </c>
      <c r="F205" s="235">
        <f t="array" ref="F205:F205">IFERROR(INDEX(Planning2[],MATCH(1,(Planning2[Nom]=B205)*(Planning2[Date]=Q205),0),4),"-")</f>
        <v/>
      </c>
      <c r="G205" s="405">
        <f>IFERROR(IF(OR(IFERROR(INDEX('Planning Pauses Dej'!$C:$C,MATCH($B205&amp;"|"&amp;TEXT($Q205,"YYYYMMDD"),'Planning Pauses Dej'!$F:$F,0)),"")="",IFERROR(INDEX('Planning Pauses Dej'!$D:$D,MATCH($B205&amp;"|"&amp;TEXT($Q205,"YYYYMMDD"),'Planning Pauses Dej'!$F:$F,0)),"")=""),"",_xlfn.MAXIFS(Connexions!$Q:$Q,Connexions!$K:$K,$Q205,Connexions!$E:$E,VLOOKUP($B205,Mapping_Noms!$A:$B,2,0),Connexions!$O:$O,"&lt;="&amp;(IFERROR(INDEX('Planning Pauses Dej'!$D:$D,MATCH($B205&amp;"|"&amp;TEXT($Q205,"YYYYMMDD"),'Planning Pauses Dej'!$F:$F,0)),"")+TIME(1,0,0)),Connexions!$P:$P,"&gt;="&amp;(IFERROR(INDEX('Planning Pauses Dej'!$C:$C,MATCH($B205&amp;"|"&amp;TEXT($Q205,"YYYYMMDD"),'Planning Pauses Dej'!$F:$F,0)),"")+TIME(1,0,0)))),"")</f>
        <v/>
      </c>
      <c r="H205" s="405">
        <f>IFERROR(IF(OR($G205="",IFERROR(INDEX('Planning Pauses Dej'!$C:$C,MATCH($B205&amp;"|"&amp;TEXT($Q205,"YYYYMMDD"),'Planning Pauses Dej'!$F:$F,0)),"")="",IFERROR(INDEX('Planning Pauses Dej'!$D:$D,MATCH($B205&amp;"|"&amp;TEXT($Q205,"YYYYMMDD"),'Planning Pauses Dej'!$F:$F,0)),"")=""),"",IF($G205&gt;(IFERROR(INDEX('Planning Pauses Dej'!$D:$D,MATCH($B205&amp;"|"&amp;TEXT($Q205,"YYYYMMDD"),'Planning Pauses Dej'!$F:$F,0)),"")-IFERROR(INDEX('Planning Pauses Dej'!$C:$C,MATCH($B205&amp;"|"&amp;TEXT($Q205,"YYYYMMDD"),'Planning Pauses Dej'!$F:$F,0)),"")),$G205-(IFERROR(INDEX('Planning Pauses Dej'!$D:$D,MATCH($B205&amp;"|"&amp;TEXT($Q205,"YYYYMMDD"),'Planning Pauses Dej'!$F:$F,0)),"")-IFERROR(INDEX('Planning Pauses Dej'!$C:$C,MATCH($B205&amp;"|"&amp;TEXT($Q205,"YYYYMMDD"),'Planning Pauses Dej'!$F:$F,0)),"")),0)),"")</f>
        <v/>
      </c>
      <c r="I205" s="251">
        <f>IF(IF(OR(C205="",D205="Congé",D205="OFF",D205="Congé spécial"),"",IF(D205&gt;F205,D205-C205,IF(C205-D205&lt;0,0,C205-D205)))&lt;0.00068287037037037,"",IF(OR(D205="Congé",D205="OFF",C205="",D205="Congé spécial"),"",IF(D205&gt;F205,D205-C205,IF(C205-D205&lt;0,0,C205-D205))))</f>
        <v/>
      </c>
      <c r="J205" s="406">
        <f>IFERROR(IF($G205="","",IF($G205&gt;TIME(1,0,0),$G205-TIME(1,0,0),0)),"")</f>
        <v/>
      </c>
      <c r="K205" s="238">
        <f>IF(SUM(H205:J205)&lt;0.00068287037037037,0,SUM(H205:J205))</f>
        <v/>
      </c>
      <c r="L205" s="236">
        <f>IF(OR(F205="Congé",F205="OFF",M205="Abs",F205="Congé sans solde",F205="Férié",F205="Congé spécial",D205="Congé spécial"),0,IF(F205-E205&lt;0,0,IF(F205-E205&lt;=0.00068287037037037,0,F205-E205)))</f>
        <v/>
      </c>
      <c r="M205" s="239">
        <f>IF(AND(O205&lt;&gt;0,C205=""),"Abs",0)</f>
        <v/>
      </c>
      <c r="N205" s="240">
        <f>IFERROR(IF(OR(D205="OFF",D205="Congé",M205="Abs",D205="Congé sans solde",D205="Férié"),"",IF(O205-K205-L205&gt;O205,O205,IF(O205-K205-L205&lt;0,"",O205-K205-L205))),"")</f>
        <v/>
      </c>
      <c r="O205" s="241">
        <f>IF(AG205="2H Pause déjeuner",IF(F205-D205-0.0833333333333333&lt;0,F205-D205-0.0833333333333333+1,F205-D205-0.0833333333333333),IF(OR(AND(F205="OFF",D205="OFF"),AND(F205="Congé",D205="Congé"),AND(F205="Congé sans solde",D205="Congé sans solde"),AND(F205="Congé spécial",D205="Congé spécial"),AND(F205="Férié",D205="Férié"),AND(F205="OFF",D205="Congé"),AND(F205="OFF",D205="Congé sans solde"),AND(F205="OFF",D205="Congé spécial"),AND(F205="OFF",D205="Férié"),AND(F205="Congé",D205="OFF"),AND(F205="Congé",D205="Congé sans solde"),AND(F205="Congé",D205="Congé spécial"),AND(F205="Congé",D205="Férié"),AND(F205="Congé sans solde",D205="OFF"),AND(F205="Congé sans solde",D205="Congé"),AND(F205="Congé sans solde",D205="Congé spécial"),AND(F205="Congé sans solde",D205="Férié"),AND(F205="Congé spécial",D205="OFF"),AND(F205="Congé spécial",D205="Congé"),AND(F205="Congé spécial",D205="Congé sans solde"),AND(F205="Congé spécial",D205="Férié"),AND(F205="Férié",D205="OFF"),AND(F205="Férié",D205="Congé"),AND(F205="Férié",D205="Congé sans solde"),AND(F205="Férié",D205="Congé spécial")),0,IF(OR(F205="OFF",F205="Congé",F205="Congé spécial",F205="Congé sans solde",D205="OFF",D205="Congé",D205="Congé spécial",D205="Congé sans solde"),0.208333333333334,IF(AND(AG205="",F205-D205&lt;0),("24:00:00"-D205)+("00:00:00"+F205)-0.0416666666666667,IF(AND(OR(AG205="Allaitement",AG205="Sans déjeuner"),F205-D205&lt;0),("24:00:00"-D205)+("00:00:00"+F205),IF(AND(AG205="",F205-D205&gt;0.166666666666667),F205-D205-0.0416666666666667,IF(AND(OR(AG205="Allaitement",AG205="Sans déjeuner"),F205-D205&gt;0.166666666666667),F205-D205,F205-D205)))))))</f>
        <v/>
      </c>
      <c r="P205" s="242">
        <f>IFERROR(VLOOKUP($B205,Annuaire_roster!$B:$G,MATCH(P$1,Annuaire_roster!$B$1:$G$1,0),0),"-")</f>
        <v/>
      </c>
      <c r="Q205" s="243" t="n">
        <v>44767</v>
      </c>
      <c r="R205" s="244">
        <f>IF(M205="Abs",O205,0)</f>
        <v/>
      </c>
      <c r="S205" s="244">
        <f>SUM(R205,L205,I205,J205,W205,H205)</f>
        <v/>
      </c>
      <c r="T205" s="209">
        <f>"Sem - "&amp;WEEKNUM(Q205,21)</f>
        <v/>
      </c>
      <c r="U205" s="209">
        <f>PROPER(TEXT(Q205,"mmmm"))</f>
        <v/>
      </c>
      <c r="V205" s="245">
        <f>+TEXT(Q205,"aaa")</f>
        <v/>
      </c>
      <c r="W205" s="240" t="n"/>
      <c r="X205" s="246">
        <f>IFERROR(IF(M205="Abs",0,IF((D205-C205+E205-F205)&lt;0.000694444444444444,0,(D205-C205+E205-F205))),0)</f>
        <v/>
      </c>
      <c r="Y205" s="247">
        <f>IFERROR(VLOOKUP(B205,Annuaire_roster!B:E,4,0),"-")</f>
        <v/>
      </c>
      <c r="Z205" s="247">
        <f>IFERROR(VLOOKUP(B205,Annuaire_roster!B:F,3,0),"-")</f>
        <v/>
      </c>
      <c r="AA205" s="247">
        <f>IFERROR(VLOOKUP(B205,Annuaire_roster!B:I,6,0),"-")</f>
        <v/>
      </c>
      <c r="AB205" s="248">
        <f>IF(AND(D205="Congé",F205="Congé"),0.333333333333333,IF(OR(AND(D205="Congé",F205&lt;&gt;"Congé"),(AND(F205="Congé",D205&lt;&gt;"Congé"))),0.166666666666667,""))</f>
        <v/>
      </c>
      <c r="AC205" s="248">
        <f>IF(AND(D205="Congé sans solde",F205="Congé sans solde"),0.333333333333333,IF(OR(AND(D205="Congé sans solde",F205&lt;&gt;"Congé sans solde"),(AND(F205="Congé sans solde",D205&lt;&gt;"Congé sans solde"))),0.166666666666667,""))</f>
        <v/>
      </c>
      <c r="AD205" s="248">
        <f>IF(AND(D205="Congé spécial",F205="Congé spécial"),0.333333333333333,IF(OR(AND(D205="Congé spécial",F205&lt;&gt;"Congé décès"),(AND(F205="Congé spécial",D205&lt;&gt;"Congé spécial"))),0.166666666666667,""))</f>
        <v/>
      </c>
      <c r="AE205" s="249">
        <f>IF(AND(D205="Férié",F205="Férié"),0.333333333333333,IF(OR(AND(D205="Férié",F205&lt;&gt;"Férié"),(AND(F205="Férié",D205&lt;&gt;"Férié"))),0.166666666666667,""))</f>
        <v/>
      </c>
      <c r="AF205" s="249" t="n"/>
      <c r="AG205" s="244" t="n"/>
    </row>
    <row r="206" hidden="1" ht="12.75" customHeight="1" s="231">
      <c r="A206" s="232">
        <f>VLOOKUP(B206,Annuaire_roster!B:F,5,0)</f>
        <v/>
      </c>
      <c r="B206" s="233" t="inlineStr">
        <is>
          <t xml:space="preserve">DERKAOUI AMAL </t>
        </is>
      </c>
      <c r="C206" s="234">
        <f>IFERROR(IF(COUNTIFS(Connexions!$K:$K,$Q206,Connexions!$E:$E,VLOOKUP($B206,Mapping_Noms!$A:$B,2,0))=0,"",_xlfn.MINIFS(Connexions!$M:$M,Connexions!$K:$K,$Q206,Connexions!$E:$E,VLOOKUP($B206,Mapping_Noms!$A:$B,2,0))-TIME(1,0,0)),"")</f>
        <v/>
      </c>
      <c r="D206" s="234">
        <f t="array" ref="D206:D206">IFERROR(INDEX(Planning2[],MATCH(1,(Planning2[Nom]=B206)*(Planning2[Date]=Q206),0),3),"-")</f>
        <v/>
      </c>
      <c r="E206" s="235">
        <f>IFERROR(IF(COUNTIFS(Connexions!$K:$K,$Q206,Connexions!$E:$E,VLOOKUP($B206,Mapping_Noms!$A:$B,2,0))=0,"",_xlfn.MAXIFS(Connexions!$O:$O,Connexions!$K:$K,$Q206,Connexions!$E:$E,VLOOKUP($B206,Mapping_Noms!$A:$B,2,0))-TIME(1,0,0)),"")</f>
        <v/>
      </c>
      <c r="F206" s="235">
        <f t="array" ref="F206:F206">IFERROR(INDEX(Planning2[],MATCH(1,(Planning2[Nom]=B206)*(Planning2[Date]=Q206),0),4),"-")</f>
        <v/>
      </c>
      <c r="G206" s="405">
        <f>IFERROR(IF(OR(IFERROR(INDEX('Planning Pauses Dej'!$C:$C,MATCH($B206&amp;"|"&amp;TEXT($Q206,"YYYYMMDD"),'Planning Pauses Dej'!$F:$F,0)),"")="",IFERROR(INDEX('Planning Pauses Dej'!$D:$D,MATCH($B206&amp;"|"&amp;TEXT($Q206,"YYYYMMDD"),'Planning Pauses Dej'!$F:$F,0)),"")=""),"",_xlfn.MAXIFS(Connexions!$Q:$Q,Connexions!$K:$K,$Q206,Connexions!$E:$E,VLOOKUP($B206,Mapping_Noms!$A:$B,2,0),Connexions!$O:$O,"&lt;="&amp;(IFERROR(INDEX('Planning Pauses Dej'!$D:$D,MATCH($B206&amp;"|"&amp;TEXT($Q206,"YYYYMMDD"),'Planning Pauses Dej'!$F:$F,0)),"")+TIME(1,0,0)),Connexions!$P:$P,"&gt;="&amp;(IFERROR(INDEX('Planning Pauses Dej'!$C:$C,MATCH($B206&amp;"|"&amp;TEXT($Q206,"YYYYMMDD"),'Planning Pauses Dej'!$F:$F,0)),"")+TIME(1,0,0)))),"")</f>
        <v/>
      </c>
      <c r="H206" s="405">
        <f>IFERROR(IF(OR($G206="",IFERROR(INDEX('Planning Pauses Dej'!$C:$C,MATCH($B206&amp;"|"&amp;TEXT($Q206,"YYYYMMDD"),'Planning Pauses Dej'!$F:$F,0)),"")="",IFERROR(INDEX('Planning Pauses Dej'!$D:$D,MATCH($B206&amp;"|"&amp;TEXT($Q206,"YYYYMMDD"),'Planning Pauses Dej'!$F:$F,0)),"")=""),"",IF($G206&gt;(IFERROR(INDEX('Planning Pauses Dej'!$D:$D,MATCH($B206&amp;"|"&amp;TEXT($Q206,"YYYYMMDD"),'Planning Pauses Dej'!$F:$F,0)),"")-IFERROR(INDEX('Planning Pauses Dej'!$C:$C,MATCH($B206&amp;"|"&amp;TEXT($Q206,"YYYYMMDD"),'Planning Pauses Dej'!$F:$F,0)),"")),$G206-(IFERROR(INDEX('Planning Pauses Dej'!$D:$D,MATCH($B206&amp;"|"&amp;TEXT($Q206,"YYYYMMDD"),'Planning Pauses Dej'!$F:$F,0)),"")-IFERROR(INDEX('Planning Pauses Dej'!$C:$C,MATCH($B206&amp;"|"&amp;TEXT($Q206,"YYYYMMDD"),'Planning Pauses Dej'!$F:$F,0)),"")),0)),"")</f>
        <v/>
      </c>
      <c r="I206" s="251">
        <f>IF(IF(OR(C206="",D206="Congé",D206="OFF",D206="Congé spécial"),"",IF(D206&gt;F206,D206-C206,IF(C206-D206&lt;0,0,C206-D206)))&lt;0.00068287037037037,"",IF(OR(D206="Congé",D206="OFF",C206="",D206="Congé spécial"),"",IF(D206&gt;F206,D206-C206,IF(C206-D206&lt;0,0,C206-D206))))</f>
        <v/>
      </c>
      <c r="J206" s="406">
        <f>IFERROR(IF($G206="","",IF($G206&gt;TIME(1,0,0),$G206-TIME(1,0,0),0)),"")</f>
        <v/>
      </c>
      <c r="K206" s="238">
        <f>IF(SUM(H206:J206)&lt;0.00068287037037037,0,SUM(H206:J206))</f>
        <v/>
      </c>
      <c r="L206" s="236">
        <f>IF(OR(F206="Congé",F206="OFF",M206="Abs",F206="Congé sans solde",F206="Férié",F206="Congé spécial",D206="Congé spécial"),0,IF(F206-E206&lt;0,0,IF(F206-E206&lt;=0.00068287037037037,0,F206-E206)))</f>
        <v/>
      </c>
      <c r="M206" s="239">
        <f>IF(AND(O206&lt;&gt;0,C206=""),"Abs",0)</f>
        <v/>
      </c>
      <c r="N206" s="240">
        <f>IFERROR(IF(OR(D206="OFF",D206="Congé",M206="Abs",D206="Congé sans solde",D206="Férié"),"",IF(O206-K206-L206&gt;O206,O206,IF(O206-K206-L206&lt;0,"",O206-K206-L206))),"")</f>
        <v/>
      </c>
      <c r="O206" s="241">
        <f>IF(AG206="2H Pause déjeuner",IF(F206-D206-0.0833333333333333&lt;0,F206-D206-0.0833333333333333+1,F206-D206-0.0833333333333333),IF(OR(AND(F206="OFF",D206="OFF"),AND(F206="Congé",D206="Congé"),AND(F206="Congé sans solde",D206="Congé sans solde"),AND(F206="Congé spécial",D206="Congé spécial"),AND(F206="Férié",D206="Férié"),AND(F206="OFF",D206="Congé"),AND(F206="OFF",D206="Congé sans solde"),AND(F206="OFF",D206="Congé spécial"),AND(F206="OFF",D206="Férié"),AND(F206="Congé",D206="OFF"),AND(F206="Congé",D206="Congé sans solde"),AND(F206="Congé",D206="Congé spécial"),AND(F206="Congé",D206="Férié"),AND(F206="Congé sans solde",D206="OFF"),AND(F206="Congé sans solde",D206="Congé"),AND(F206="Congé sans solde",D206="Congé spécial"),AND(F206="Congé sans solde",D206="Férié"),AND(F206="Congé spécial",D206="OFF"),AND(F206="Congé spécial",D206="Congé"),AND(F206="Congé spécial",D206="Congé sans solde"),AND(F206="Congé spécial",D206="Férié"),AND(F206="Férié",D206="OFF"),AND(F206="Férié",D206="Congé"),AND(F206="Férié",D206="Congé sans solde"),AND(F206="Férié",D206="Congé spécial")),0,IF(OR(F206="OFF",F206="Congé",F206="Congé spécial",F206="Congé sans solde",D206="OFF",D206="Congé",D206="Congé spécial",D206="Congé sans solde"),0.208333333333334,IF(AND(AG206="",F206-D206&lt;0),("24:00:00"-D206)+("00:00:00"+F206)-0.0416666666666667,IF(AND(OR(AG206="Allaitement",AG206="Sans déjeuner"),F206-D206&lt;0),("24:00:00"-D206)+("00:00:00"+F206),IF(AND(AG206="",F206-D206&gt;0.166666666666667),F206-D206-0.0416666666666667,IF(AND(OR(AG206="Allaitement",AG206="Sans déjeuner"),F206-D206&gt;0.166666666666667),F206-D206,F206-D206)))))))</f>
        <v/>
      </c>
      <c r="P206" s="242">
        <f>IFERROR(VLOOKUP($B206,Annuaire_roster!$B:$G,MATCH(P$1,Annuaire_roster!$B$1:$G$1,0),0),"-")</f>
        <v/>
      </c>
      <c r="Q206" s="243" t="n">
        <v>44767</v>
      </c>
      <c r="R206" s="244">
        <f>IF(M206="Abs",O206,0)</f>
        <v/>
      </c>
      <c r="S206" s="244">
        <f>SUM(R206,L206,I206,J206,W206,H206)</f>
        <v/>
      </c>
      <c r="T206" s="209">
        <f>"Sem - "&amp;WEEKNUM(Q206,21)</f>
        <v/>
      </c>
      <c r="U206" s="209">
        <f>PROPER(TEXT(Q206,"mmmm"))</f>
        <v/>
      </c>
      <c r="V206" s="245">
        <f>+TEXT(Q206,"aaa")</f>
        <v/>
      </c>
      <c r="W206" s="240" t="n"/>
      <c r="X206" s="246">
        <f>IFERROR(IF(M206="Abs",0,IF((D206-C206+E206-F206)&lt;0.000694444444444444,0,(D206-C206+E206-F206))),0)</f>
        <v/>
      </c>
      <c r="Y206" s="247">
        <f>IFERROR(VLOOKUP(B206,Annuaire_roster!B:E,4,0),"-")</f>
        <v/>
      </c>
      <c r="Z206" s="247">
        <f>IFERROR(VLOOKUP(B206,Annuaire_roster!B:F,3,0),"-")</f>
        <v/>
      </c>
      <c r="AA206" s="247">
        <f>IFERROR(VLOOKUP(B206,Annuaire_roster!B:I,6,0),"-")</f>
        <v/>
      </c>
      <c r="AB206" s="248">
        <f>IF(AND(D206="Congé",F206="Congé"),0.333333333333333,IF(OR(AND(D206="Congé",F206&lt;&gt;"Congé"),(AND(F206="Congé",D206&lt;&gt;"Congé"))),0.166666666666667,""))</f>
        <v/>
      </c>
      <c r="AC206" s="248">
        <f>IF(AND(D206="Congé sans solde",F206="Congé sans solde"),0.333333333333333,IF(OR(AND(D206="Congé sans solde",F206&lt;&gt;"Congé sans solde"),(AND(F206="Congé sans solde",D206&lt;&gt;"Congé sans solde"))),0.166666666666667,""))</f>
        <v/>
      </c>
      <c r="AD206" s="248">
        <f>IF(AND(D206="Congé spécial",F206="Congé spécial"),0.333333333333333,IF(OR(AND(D206="Congé spécial",F206&lt;&gt;"Congé décès"),(AND(F206="Congé spécial",D206&lt;&gt;"Congé spécial"))),0.166666666666667,""))</f>
        <v/>
      </c>
      <c r="AE206" s="249">
        <f>IF(AND(D206="Férié",F206="Férié"),0.333333333333333,IF(OR(AND(D206="Férié",F206&lt;&gt;"Férié"),(AND(F206="Férié",D206&lt;&gt;"Férié"))),0.166666666666667,""))</f>
        <v/>
      </c>
      <c r="AF206" s="249" t="n"/>
      <c r="AG206" s="244" t="n"/>
    </row>
    <row r="207" hidden="1" ht="12.75" customHeight="1" s="231">
      <c r="A207" s="232">
        <f>VLOOKUP(B207,Annuaire_roster!B:F,5,0)</f>
        <v/>
      </c>
      <c r="B207" s="233" t="inlineStr">
        <is>
          <t>AIT LARBI HIND</t>
        </is>
      </c>
      <c r="C207" s="234">
        <f>IFERROR(IF(COUNTIFS(Connexions!$K:$K,$Q207,Connexions!$E:$E,VLOOKUP($B207,Mapping_Noms!$A:$B,2,0))=0,"",_xlfn.MINIFS(Connexions!$M:$M,Connexions!$K:$K,$Q207,Connexions!$E:$E,VLOOKUP($B207,Mapping_Noms!$A:$B,2,0))-TIME(1,0,0)),"")</f>
        <v/>
      </c>
      <c r="D207" s="234">
        <f t="array" ref="D207:D207">IFERROR(INDEX(Planning2[],MATCH(1,(Planning2[Nom]=B207)*(Planning2[Date]=Q207),0),3),"-")</f>
        <v/>
      </c>
      <c r="E207" s="235">
        <f>IFERROR(IF(COUNTIFS(Connexions!$K:$K,$Q207,Connexions!$E:$E,VLOOKUP($B207,Mapping_Noms!$A:$B,2,0))=0,"",_xlfn.MAXIFS(Connexions!$O:$O,Connexions!$K:$K,$Q207,Connexions!$E:$E,VLOOKUP($B207,Mapping_Noms!$A:$B,2,0))-TIME(1,0,0)),"")</f>
        <v/>
      </c>
      <c r="F207" s="235">
        <f t="array" ref="F207:F207">IFERROR(INDEX(Planning2[],MATCH(1,(Planning2[Nom]=B207)*(Planning2[Date]=Q207),0),4),"-")</f>
        <v/>
      </c>
      <c r="G207" s="405">
        <f>IFERROR(IF(OR(IFERROR(INDEX('Planning Pauses Dej'!$C:$C,MATCH($B207&amp;"|"&amp;TEXT($Q207,"YYYYMMDD"),'Planning Pauses Dej'!$F:$F,0)),"")="",IFERROR(INDEX('Planning Pauses Dej'!$D:$D,MATCH($B207&amp;"|"&amp;TEXT($Q207,"YYYYMMDD"),'Planning Pauses Dej'!$F:$F,0)),"")=""),"",_xlfn.MAXIFS(Connexions!$Q:$Q,Connexions!$K:$K,$Q207,Connexions!$E:$E,VLOOKUP($B207,Mapping_Noms!$A:$B,2,0),Connexions!$O:$O,"&lt;="&amp;(IFERROR(INDEX('Planning Pauses Dej'!$D:$D,MATCH($B207&amp;"|"&amp;TEXT($Q207,"YYYYMMDD"),'Planning Pauses Dej'!$F:$F,0)),"")+TIME(1,0,0)),Connexions!$P:$P,"&gt;="&amp;(IFERROR(INDEX('Planning Pauses Dej'!$C:$C,MATCH($B207&amp;"|"&amp;TEXT($Q207,"YYYYMMDD"),'Planning Pauses Dej'!$F:$F,0)),"")+TIME(1,0,0)))),"")</f>
        <v/>
      </c>
      <c r="H207" s="405">
        <f>IFERROR(IF(OR($G207="",IFERROR(INDEX('Planning Pauses Dej'!$C:$C,MATCH($B207&amp;"|"&amp;TEXT($Q207,"YYYYMMDD"),'Planning Pauses Dej'!$F:$F,0)),"")="",IFERROR(INDEX('Planning Pauses Dej'!$D:$D,MATCH($B207&amp;"|"&amp;TEXT($Q207,"YYYYMMDD"),'Planning Pauses Dej'!$F:$F,0)),"")=""),"",IF($G207&gt;(IFERROR(INDEX('Planning Pauses Dej'!$D:$D,MATCH($B207&amp;"|"&amp;TEXT($Q207,"YYYYMMDD"),'Planning Pauses Dej'!$F:$F,0)),"")-IFERROR(INDEX('Planning Pauses Dej'!$C:$C,MATCH($B207&amp;"|"&amp;TEXT($Q207,"YYYYMMDD"),'Planning Pauses Dej'!$F:$F,0)),"")),$G207-(IFERROR(INDEX('Planning Pauses Dej'!$D:$D,MATCH($B207&amp;"|"&amp;TEXT($Q207,"YYYYMMDD"),'Planning Pauses Dej'!$F:$F,0)),"")-IFERROR(INDEX('Planning Pauses Dej'!$C:$C,MATCH($B207&amp;"|"&amp;TEXT($Q207,"YYYYMMDD"),'Planning Pauses Dej'!$F:$F,0)),"")),0)),"")</f>
        <v/>
      </c>
      <c r="I207" s="251">
        <f>IF(IF(OR(C207="",D207="Congé",D207="OFF",D207="Congé spécial"),"",IF(D207&gt;F207,D207-C207,IF(C207-D207&lt;0,0,C207-D207)))&lt;0.00068287037037037,"",IF(OR(D207="Congé",D207="OFF",C207="",D207="Congé spécial"),"",IF(D207&gt;F207,D207-C207,IF(C207-D207&lt;0,0,C207-D207))))</f>
        <v/>
      </c>
      <c r="J207" s="406">
        <f>IFERROR(IF($G207="","",IF($G207&gt;TIME(1,0,0),$G207-TIME(1,0,0),0)),"")</f>
        <v/>
      </c>
      <c r="K207" s="238">
        <f>IF(SUM(H207:J207)&lt;0.00068287037037037,0,SUM(H207:J207))</f>
        <v/>
      </c>
      <c r="L207" s="236">
        <f>IF(OR(F207="Congé",F207="OFF",M207="Abs",F207="Congé sans solde",F207="Férié",F207="Congé spécial",D207="Congé spécial"),0,IF(F207-E207&lt;0,0,IF(F207-E207&lt;=0.00068287037037037,0,F207-E207)))</f>
        <v/>
      </c>
      <c r="M207" s="239">
        <f>IF(AND(O207&lt;&gt;0,C207=""),"Abs",0)</f>
        <v/>
      </c>
      <c r="N207" s="240">
        <f>IFERROR(IF(OR(D207="OFF",D207="Congé",M207="Abs",D207="Congé sans solde",D207="Férié"),"",IF(O207-K207-L207&gt;O207,O207,IF(O207-K207-L207&lt;0,"",O207-K207-L207))),"")</f>
        <v/>
      </c>
      <c r="O207" s="241">
        <f>IF(AG207="2H Pause déjeuner",IF(F207-D207-0.0833333333333333&lt;0,F207-D207-0.0833333333333333+1,F207-D207-0.0833333333333333),IF(OR(AND(F207="OFF",D207="OFF"),AND(F207="Congé",D207="Congé"),AND(F207="Congé sans solde",D207="Congé sans solde"),AND(F207="Congé spécial",D207="Congé spécial"),AND(F207="Férié",D207="Férié"),AND(F207="OFF",D207="Congé"),AND(F207="OFF",D207="Congé sans solde"),AND(F207="OFF",D207="Congé spécial"),AND(F207="OFF",D207="Férié"),AND(F207="Congé",D207="OFF"),AND(F207="Congé",D207="Congé sans solde"),AND(F207="Congé",D207="Congé spécial"),AND(F207="Congé",D207="Férié"),AND(F207="Congé sans solde",D207="OFF"),AND(F207="Congé sans solde",D207="Congé"),AND(F207="Congé sans solde",D207="Congé spécial"),AND(F207="Congé sans solde",D207="Férié"),AND(F207="Congé spécial",D207="OFF"),AND(F207="Congé spécial",D207="Congé"),AND(F207="Congé spécial",D207="Congé sans solde"),AND(F207="Congé spécial",D207="Férié"),AND(F207="Férié",D207="OFF"),AND(F207="Férié",D207="Congé"),AND(F207="Férié",D207="Congé sans solde"),AND(F207="Férié",D207="Congé spécial")),0,IF(OR(F207="OFF",F207="Congé",F207="Congé spécial",F207="Congé sans solde",D207="OFF",D207="Congé",D207="Congé spécial",D207="Congé sans solde"),0.208333333333334,IF(AND(AG207="",F207-D207&lt;0),("24:00:00"-D207)+("00:00:00"+F207)-0.0416666666666667,IF(AND(OR(AG207="Allaitement",AG207="Sans déjeuner"),F207-D207&lt;0),("24:00:00"-D207)+("00:00:00"+F207),IF(AND(AG207="",F207-D207&gt;0.166666666666667),F207-D207-0.0416666666666667,IF(AND(OR(AG207="Allaitement",AG207="Sans déjeuner"),F207-D207&gt;0.166666666666667),F207-D207,F207-D207)))))))</f>
        <v/>
      </c>
      <c r="P207" s="242">
        <f>IFERROR(VLOOKUP($B207,Annuaire_roster!$B:$G,MATCH(P$1,Annuaire_roster!$B$1:$G$1,0),0),"-")</f>
        <v/>
      </c>
      <c r="Q207" s="243" t="n">
        <v>44767</v>
      </c>
      <c r="R207" s="244">
        <f>IF(M207="Abs",O207,0)</f>
        <v/>
      </c>
      <c r="S207" s="244">
        <f>SUM(R207,L207,I207,J207,W207,H207)</f>
        <v/>
      </c>
      <c r="T207" s="209">
        <f>"Sem - "&amp;WEEKNUM(Q207,21)</f>
        <v/>
      </c>
      <c r="U207" s="209">
        <f>PROPER(TEXT(Q207,"mmmm"))</f>
        <v/>
      </c>
      <c r="V207" s="245">
        <f>+TEXT(Q207,"aaa")</f>
        <v/>
      </c>
      <c r="W207" s="240" t="n"/>
      <c r="X207" s="246">
        <f>IFERROR(IF(M207="Abs",0,IF((D207-C207+E207-F207)&lt;0.000694444444444444,0,(D207-C207+E207-F207))),0)</f>
        <v/>
      </c>
      <c r="Y207" s="247">
        <f>IFERROR(VLOOKUP(B207,Annuaire_roster!B:E,4,0),"-")</f>
        <v/>
      </c>
      <c r="Z207" s="247">
        <f>IFERROR(VLOOKUP(B207,Annuaire_roster!B:F,3,0),"-")</f>
        <v/>
      </c>
      <c r="AA207" s="247">
        <f>IFERROR(VLOOKUP(B207,Annuaire_roster!B:I,6,0),"-")</f>
        <v/>
      </c>
      <c r="AB207" s="248">
        <f>IF(AND(D207="Congé",F207="Congé"),0.333333333333333,IF(OR(AND(D207="Congé",F207&lt;&gt;"Congé"),(AND(F207="Congé",D207&lt;&gt;"Congé"))),0.166666666666667,""))</f>
        <v/>
      </c>
      <c r="AC207" s="248">
        <f>IF(AND(D207="Congé sans solde",F207="Congé sans solde"),0.333333333333333,IF(OR(AND(D207="Congé sans solde",F207&lt;&gt;"Congé sans solde"),(AND(F207="Congé sans solde",D207&lt;&gt;"Congé sans solde"))),0.166666666666667,""))</f>
        <v/>
      </c>
      <c r="AD207" s="248">
        <f>IF(AND(D207="Congé spécial",F207="Congé spécial"),0.333333333333333,IF(OR(AND(D207="Congé spécial",F207&lt;&gt;"Congé décès"),(AND(F207="Congé spécial",D207&lt;&gt;"Congé spécial"))),0.166666666666667,""))</f>
        <v/>
      </c>
      <c r="AE207" s="249">
        <f>IF(AND(D207="Férié",F207="Férié"),0.333333333333333,IF(OR(AND(D207="Férié",F207&lt;&gt;"Férié"),(AND(F207="Férié",D207&lt;&gt;"Férié"))),0.166666666666667,""))</f>
        <v/>
      </c>
      <c r="AF207" s="249" t="n"/>
      <c r="AG207" s="244" t="n"/>
    </row>
    <row r="208" hidden="1" ht="12.75" customHeight="1" s="231">
      <c r="A208" s="232">
        <f>VLOOKUP(B208,Annuaire_roster!B:F,5,0)</f>
        <v/>
      </c>
      <c r="B208" s="233" t="inlineStr">
        <is>
          <t>TOURE ABIBOU</t>
        </is>
      </c>
      <c r="C208" s="234">
        <f>IFERROR(IF(COUNTIFS(Connexions!$K:$K,$Q208,Connexions!$E:$E,VLOOKUP($B208,Mapping_Noms!$A:$B,2,0))=0,"",_xlfn.MINIFS(Connexions!$M:$M,Connexions!$K:$K,$Q208,Connexions!$E:$E,VLOOKUP($B208,Mapping_Noms!$A:$B,2,0))-TIME(1,0,0)),"")</f>
        <v/>
      </c>
      <c r="D208" s="234">
        <f t="array" ref="D208:D208">IFERROR(INDEX(Planning2[],MATCH(1,(Planning2[Nom]=B208)*(Planning2[Date]=Q208),0),3),"-")</f>
        <v/>
      </c>
      <c r="E208" s="235">
        <f>IFERROR(IF(COUNTIFS(Connexions!$K:$K,$Q208,Connexions!$E:$E,VLOOKUP($B208,Mapping_Noms!$A:$B,2,0))=0,"",_xlfn.MAXIFS(Connexions!$O:$O,Connexions!$K:$K,$Q208,Connexions!$E:$E,VLOOKUP($B208,Mapping_Noms!$A:$B,2,0))-TIME(1,0,0)),"")</f>
        <v/>
      </c>
      <c r="F208" s="235">
        <f t="array" ref="F208:F208">IFERROR(INDEX(Planning2[],MATCH(1,(Planning2[Nom]=B208)*(Planning2[Date]=Q208),0),4),"-")</f>
        <v/>
      </c>
      <c r="G208" s="405">
        <f>IFERROR(IF(OR(IFERROR(INDEX('Planning Pauses Dej'!$C:$C,MATCH($B208&amp;"|"&amp;TEXT($Q208,"YYYYMMDD"),'Planning Pauses Dej'!$F:$F,0)),"")="",IFERROR(INDEX('Planning Pauses Dej'!$D:$D,MATCH($B208&amp;"|"&amp;TEXT($Q208,"YYYYMMDD"),'Planning Pauses Dej'!$F:$F,0)),"")=""),"",_xlfn.MAXIFS(Connexions!$Q:$Q,Connexions!$K:$K,$Q208,Connexions!$E:$E,VLOOKUP($B208,Mapping_Noms!$A:$B,2,0),Connexions!$O:$O,"&lt;="&amp;(IFERROR(INDEX('Planning Pauses Dej'!$D:$D,MATCH($B208&amp;"|"&amp;TEXT($Q208,"YYYYMMDD"),'Planning Pauses Dej'!$F:$F,0)),"")+TIME(1,0,0)),Connexions!$P:$P,"&gt;="&amp;(IFERROR(INDEX('Planning Pauses Dej'!$C:$C,MATCH($B208&amp;"|"&amp;TEXT($Q208,"YYYYMMDD"),'Planning Pauses Dej'!$F:$F,0)),"")+TIME(1,0,0)))),"")</f>
        <v/>
      </c>
      <c r="H208" s="405">
        <f>IFERROR(IF(OR($G208="",IFERROR(INDEX('Planning Pauses Dej'!$C:$C,MATCH($B208&amp;"|"&amp;TEXT($Q208,"YYYYMMDD"),'Planning Pauses Dej'!$F:$F,0)),"")="",IFERROR(INDEX('Planning Pauses Dej'!$D:$D,MATCH($B208&amp;"|"&amp;TEXT($Q208,"YYYYMMDD"),'Planning Pauses Dej'!$F:$F,0)),"")=""),"",IF($G208&gt;(IFERROR(INDEX('Planning Pauses Dej'!$D:$D,MATCH($B208&amp;"|"&amp;TEXT($Q208,"YYYYMMDD"),'Planning Pauses Dej'!$F:$F,0)),"")-IFERROR(INDEX('Planning Pauses Dej'!$C:$C,MATCH($B208&amp;"|"&amp;TEXT($Q208,"YYYYMMDD"),'Planning Pauses Dej'!$F:$F,0)),"")),$G208-(IFERROR(INDEX('Planning Pauses Dej'!$D:$D,MATCH($B208&amp;"|"&amp;TEXT($Q208,"YYYYMMDD"),'Planning Pauses Dej'!$F:$F,0)),"")-IFERROR(INDEX('Planning Pauses Dej'!$C:$C,MATCH($B208&amp;"|"&amp;TEXT($Q208,"YYYYMMDD"),'Planning Pauses Dej'!$F:$F,0)),"")),0)),"")</f>
        <v/>
      </c>
      <c r="I208" s="251">
        <f>IF(IF(OR(C208="",D208="Congé",D208="OFF",D208="Congé spécial"),"",IF(D208&gt;F208,D208-C208,IF(C208-D208&lt;0,0,C208-D208)))&lt;0.00068287037037037,"",IF(OR(D208="Congé",D208="OFF",C208="",D208="Congé spécial"),"",IF(D208&gt;F208,D208-C208,IF(C208-D208&lt;0,0,C208-D208))))</f>
        <v/>
      </c>
      <c r="J208" s="406">
        <f>IFERROR(IF($G208="","",IF($G208&gt;TIME(1,0,0),$G208-TIME(1,0,0),0)),"")</f>
        <v/>
      </c>
      <c r="K208" s="238">
        <f>IF(SUM(H208:J208)&lt;0.00068287037037037,0,SUM(H208:J208))</f>
        <v/>
      </c>
      <c r="L208" s="236">
        <f>IF(OR(F208="Congé",F208="OFF",M208="Abs",F208="Congé sans solde",F208="Férié",F208="Congé spécial",D208="Congé spécial"),0,IF(F208-E208&lt;0,0,IF(F208-E208&lt;=0.00068287037037037,0,F208-E208)))</f>
        <v/>
      </c>
      <c r="M208" s="239">
        <f>IF(AND(O208&lt;&gt;0,C208=""),"Abs",0)</f>
        <v/>
      </c>
      <c r="N208" s="240">
        <f>IFERROR(IF(OR(D208="OFF",D208="Congé",M208="Abs",D208="Congé sans solde",D208="Férié"),"",IF(O208-K208-L208&gt;O208,O208,IF(O208-K208-L208&lt;0,"",O208-K208-L208))),"")</f>
        <v/>
      </c>
      <c r="O208" s="241">
        <f>IF(AG208="2H Pause déjeuner",IF(F208-D208-0.0833333333333333&lt;0,F208-D208-0.0833333333333333+1,F208-D208-0.0833333333333333),IF(OR(AND(F208="OFF",D208="OFF"),AND(F208="Congé",D208="Congé"),AND(F208="Congé sans solde",D208="Congé sans solde"),AND(F208="Congé spécial",D208="Congé spécial"),AND(F208="Férié",D208="Férié"),AND(F208="OFF",D208="Congé"),AND(F208="OFF",D208="Congé sans solde"),AND(F208="OFF",D208="Congé spécial"),AND(F208="OFF",D208="Férié"),AND(F208="Congé",D208="OFF"),AND(F208="Congé",D208="Congé sans solde"),AND(F208="Congé",D208="Congé spécial"),AND(F208="Congé",D208="Férié"),AND(F208="Congé sans solde",D208="OFF"),AND(F208="Congé sans solde",D208="Congé"),AND(F208="Congé sans solde",D208="Congé spécial"),AND(F208="Congé sans solde",D208="Férié"),AND(F208="Congé spécial",D208="OFF"),AND(F208="Congé spécial",D208="Congé"),AND(F208="Congé spécial",D208="Congé sans solde"),AND(F208="Congé spécial",D208="Férié"),AND(F208="Férié",D208="OFF"),AND(F208="Férié",D208="Congé"),AND(F208="Férié",D208="Congé sans solde"),AND(F208="Férié",D208="Congé spécial")),0,IF(OR(F208="OFF",F208="Congé",F208="Congé spécial",F208="Congé sans solde",D208="OFF",D208="Congé",D208="Congé spécial",D208="Congé sans solde"),0.208333333333334,IF(AND(AG208="",F208-D208&lt;0),("24:00:00"-D208)+("00:00:00"+F208)-0.0416666666666667,IF(AND(OR(AG208="Allaitement",AG208="Sans déjeuner"),F208-D208&lt;0),("24:00:00"-D208)+("00:00:00"+F208),IF(AND(AG208="",F208-D208&gt;0.166666666666667),F208-D208-0.0416666666666667,IF(AND(OR(AG208="Allaitement",AG208="Sans déjeuner"),F208-D208&gt;0.166666666666667),F208-D208,F208-D208)))))))</f>
        <v/>
      </c>
      <c r="P208" s="242">
        <f>IFERROR(VLOOKUP($B208,Annuaire_roster!$B:$G,MATCH(P$1,Annuaire_roster!$B$1:$G$1,0),0),"-")</f>
        <v/>
      </c>
      <c r="Q208" s="243" t="n">
        <v>44767</v>
      </c>
      <c r="R208" s="244">
        <f>IF(M208="Abs",O208,0)</f>
        <v/>
      </c>
      <c r="S208" s="244">
        <f>SUM(R208,L208,I208,J208,W208,H208)</f>
        <v/>
      </c>
      <c r="T208" s="209">
        <f>"Sem - "&amp;WEEKNUM(Q208,21)</f>
        <v/>
      </c>
      <c r="U208" s="209">
        <f>PROPER(TEXT(Q208,"mmmm"))</f>
        <v/>
      </c>
      <c r="V208" s="245">
        <f>+TEXT(Q208,"aaa")</f>
        <v/>
      </c>
      <c r="W208" s="240" t="n"/>
      <c r="X208" s="246">
        <f>IFERROR(IF(M208="Abs",0,IF((D208-C208+E208-F208)&lt;0.000694444444444444,0,(D208-C208+E208-F208))),0)</f>
        <v/>
      </c>
      <c r="Y208" s="247">
        <f>IFERROR(VLOOKUP(B208,Annuaire_roster!B:E,4,0),"-")</f>
        <v/>
      </c>
      <c r="Z208" s="247">
        <f>IFERROR(VLOOKUP(B208,Annuaire_roster!B:F,3,0),"-")</f>
        <v/>
      </c>
      <c r="AA208" s="247">
        <f>IFERROR(VLOOKUP(B208,Annuaire_roster!B:I,6,0),"-")</f>
        <v/>
      </c>
      <c r="AB208" s="248">
        <f>IF(AND(D208="Congé",F208="Congé"),0.333333333333333,IF(OR(AND(D208="Congé",F208&lt;&gt;"Congé"),(AND(F208="Congé",D208&lt;&gt;"Congé"))),0.166666666666667,""))</f>
        <v/>
      </c>
      <c r="AC208" s="248">
        <f>IF(AND(D208="Congé sans solde",F208="Congé sans solde"),0.333333333333333,IF(OR(AND(D208="Congé sans solde",F208&lt;&gt;"Congé sans solde"),(AND(F208="Congé sans solde",D208&lt;&gt;"Congé sans solde"))),0.166666666666667,""))</f>
        <v/>
      </c>
      <c r="AD208" s="248">
        <f>IF(AND(D208="Congé spécial",F208="Congé spécial"),0.333333333333333,IF(OR(AND(D208="Congé spécial",F208&lt;&gt;"Congé décès"),(AND(F208="Congé spécial",D208&lt;&gt;"Congé spécial"))),0.166666666666667,""))</f>
        <v/>
      </c>
      <c r="AE208" s="249">
        <f>IF(AND(D208="Férié",F208="Férié"),0.333333333333333,IF(OR(AND(D208="Férié",F208&lt;&gt;"Férié"),(AND(F208="Férié",D208&lt;&gt;"Férié"))),0.166666666666667,""))</f>
        <v/>
      </c>
      <c r="AF208" s="249" t="n"/>
      <c r="AG208" s="244" t="n"/>
    </row>
    <row r="209" hidden="1" ht="12.75" customHeight="1" s="231">
      <c r="A209" s="232">
        <f>VLOOKUP(B209,Annuaire_roster!B:F,5,0)</f>
        <v/>
      </c>
      <c r="B209" s="233" t="inlineStr">
        <is>
          <t>KANTAOUI SALMA</t>
        </is>
      </c>
      <c r="C209" s="234">
        <f>IFERROR(IF(COUNTIFS(Connexions!$K:$K,$Q209,Connexions!$E:$E,VLOOKUP($B209,Mapping_Noms!$A:$B,2,0))=0,"",_xlfn.MINIFS(Connexions!$M:$M,Connexions!$K:$K,$Q209,Connexions!$E:$E,VLOOKUP($B209,Mapping_Noms!$A:$B,2,0))-TIME(1,0,0)),"")</f>
        <v/>
      </c>
      <c r="D209" s="234">
        <f t="array" ref="D209:D209">IFERROR(INDEX(Planning2[],MATCH(1,(Planning2[Nom]=B209)*(Planning2[Date]=Q209),0),3),"-")</f>
        <v/>
      </c>
      <c r="E209" s="235">
        <f>IFERROR(IF(COUNTIFS(Connexions!$K:$K,$Q209,Connexions!$E:$E,VLOOKUP($B209,Mapping_Noms!$A:$B,2,0))=0,"",_xlfn.MAXIFS(Connexions!$O:$O,Connexions!$K:$K,$Q209,Connexions!$E:$E,VLOOKUP($B209,Mapping_Noms!$A:$B,2,0))-TIME(1,0,0)),"")</f>
        <v/>
      </c>
      <c r="F209" s="235">
        <f t="array" ref="F209:F209">IFERROR(INDEX(Planning2[],MATCH(1,(Planning2[Nom]=B209)*(Planning2[Date]=Q209),0),4),"-")</f>
        <v/>
      </c>
      <c r="G209" s="405">
        <f>IFERROR(IF(OR(IFERROR(INDEX('Planning Pauses Dej'!$C:$C,MATCH($B209&amp;"|"&amp;TEXT($Q209,"YYYYMMDD"),'Planning Pauses Dej'!$F:$F,0)),"")="",IFERROR(INDEX('Planning Pauses Dej'!$D:$D,MATCH($B209&amp;"|"&amp;TEXT($Q209,"YYYYMMDD"),'Planning Pauses Dej'!$F:$F,0)),"")=""),"",_xlfn.MAXIFS(Connexions!$Q:$Q,Connexions!$K:$K,$Q209,Connexions!$E:$E,VLOOKUP($B209,Mapping_Noms!$A:$B,2,0),Connexions!$O:$O,"&lt;="&amp;(IFERROR(INDEX('Planning Pauses Dej'!$D:$D,MATCH($B209&amp;"|"&amp;TEXT($Q209,"YYYYMMDD"),'Planning Pauses Dej'!$F:$F,0)),"")+TIME(1,0,0)),Connexions!$P:$P,"&gt;="&amp;(IFERROR(INDEX('Planning Pauses Dej'!$C:$C,MATCH($B209&amp;"|"&amp;TEXT($Q209,"YYYYMMDD"),'Planning Pauses Dej'!$F:$F,0)),"")+TIME(1,0,0)))),"")</f>
        <v/>
      </c>
      <c r="H209" s="405">
        <f>IFERROR(IF(OR($G209="",IFERROR(INDEX('Planning Pauses Dej'!$C:$C,MATCH($B209&amp;"|"&amp;TEXT($Q209,"YYYYMMDD"),'Planning Pauses Dej'!$F:$F,0)),"")="",IFERROR(INDEX('Planning Pauses Dej'!$D:$D,MATCH($B209&amp;"|"&amp;TEXT($Q209,"YYYYMMDD"),'Planning Pauses Dej'!$F:$F,0)),"")=""),"",IF($G209&gt;(IFERROR(INDEX('Planning Pauses Dej'!$D:$D,MATCH($B209&amp;"|"&amp;TEXT($Q209,"YYYYMMDD"),'Planning Pauses Dej'!$F:$F,0)),"")-IFERROR(INDEX('Planning Pauses Dej'!$C:$C,MATCH($B209&amp;"|"&amp;TEXT($Q209,"YYYYMMDD"),'Planning Pauses Dej'!$F:$F,0)),"")),$G209-(IFERROR(INDEX('Planning Pauses Dej'!$D:$D,MATCH($B209&amp;"|"&amp;TEXT($Q209,"YYYYMMDD"),'Planning Pauses Dej'!$F:$F,0)),"")-IFERROR(INDEX('Planning Pauses Dej'!$C:$C,MATCH($B209&amp;"|"&amp;TEXT($Q209,"YYYYMMDD"),'Planning Pauses Dej'!$F:$F,0)),"")),0)),"")</f>
        <v/>
      </c>
      <c r="I209" s="251">
        <f>IF(IF(OR(C209="",D209="Congé",D209="OFF",D209="Congé spécial"),"",IF(D209&gt;F209,D209-C209,IF(C209-D209&lt;0,0,C209-D209)))&lt;0.00068287037037037,"",IF(OR(D209="Congé",D209="OFF",C209="",D209="Congé spécial"),"",IF(D209&gt;F209,D209-C209,IF(C209-D209&lt;0,0,C209-D209))))</f>
        <v/>
      </c>
      <c r="J209" s="406">
        <f>IFERROR(IF($G209="","",IF($G209&gt;TIME(1,0,0),$G209-TIME(1,0,0),0)),"")</f>
        <v/>
      </c>
      <c r="K209" s="238">
        <f>IF(SUM(H209:J209)&lt;0.00068287037037037,0,SUM(H209:J209))</f>
        <v/>
      </c>
      <c r="L209" s="236">
        <f>IF(OR(F209="Congé",F209="OFF",M209="Abs",F209="Congé sans solde",F209="Férié",F209="Congé spécial",D209="Congé spécial"),0,IF(F209-E209&lt;0,0,IF(F209-E209&lt;=0.00068287037037037,0,F209-E209)))</f>
        <v/>
      </c>
      <c r="M209" s="239">
        <f>IF(AND(O209&lt;&gt;0,C209=""),"Abs",0)</f>
        <v/>
      </c>
      <c r="N209" s="240">
        <f>IFERROR(IF(OR(D209="OFF",D209="Congé",M209="Abs",D209="Congé sans solde",D209="Férié"),"",IF(O209-K209-L209&gt;O209,O209,IF(O209-K209-L209&lt;0,"",O209-K209-L209))),"")</f>
        <v/>
      </c>
      <c r="O209" s="241">
        <f>IF(AG209="2H Pause déjeuner",IF(F209-D209-0.0833333333333333&lt;0,F209-D209-0.0833333333333333+1,F209-D209-0.0833333333333333),IF(OR(AND(F209="OFF",D209="OFF"),AND(F209="Congé",D209="Congé"),AND(F209="Congé sans solde",D209="Congé sans solde"),AND(F209="Congé spécial",D209="Congé spécial"),AND(F209="Férié",D209="Férié"),AND(F209="OFF",D209="Congé"),AND(F209="OFF",D209="Congé sans solde"),AND(F209="OFF",D209="Congé spécial"),AND(F209="OFF",D209="Férié"),AND(F209="Congé",D209="OFF"),AND(F209="Congé",D209="Congé sans solde"),AND(F209="Congé",D209="Congé spécial"),AND(F209="Congé",D209="Férié"),AND(F209="Congé sans solde",D209="OFF"),AND(F209="Congé sans solde",D209="Congé"),AND(F209="Congé sans solde",D209="Congé spécial"),AND(F209="Congé sans solde",D209="Férié"),AND(F209="Congé spécial",D209="OFF"),AND(F209="Congé spécial",D209="Congé"),AND(F209="Congé spécial",D209="Congé sans solde"),AND(F209="Congé spécial",D209="Férié"),AND(F209="Férié",D209="OFF"),AND(F209="Férié",D209="Congé"),AND(F209="Férié",D209="Congé sans solde"),AND(F209="Férié",D209="Congé spécial")),0,IF(OR(F209="OFF",F209="Congé",F209="Congé spécial",F209="Congé sans solde",D209="OFF",D209="Congé",D209="Congé spécial",D209="Congé sans solde"),0.208333333333334,IF(AND(AG209="",F209-D209&lt;0),("24:00:00"-D209)+("00:00:00"+F209)-0.0416666666666667,IF(AND(OR(AG209="Allaitement",AG209="Sans déjeuner"),F209-D209&lt;0),("24:00:00"-D209)+("00:00:00"+F209),IF(AND(AG209="",F209-D209&gt;0.166666666666667),F209-D209-0.0416666666666667,IF(AND(OR(AG209="Allaitement",AG209="Sans déjeuner"),F209-D209&gt;0.166666666666667),F209-D209,F209-D209)))))))</f>
        <v/>
      </c>
      <c r="P209" s="242">
        <f>IFERROR(VLOOKUP($B209,Annuaire_roster!$B:$G,MATCH(P$1,Annuaire_roster!$B$1:$G$1,0),0),"-")</f>
        <v/>
      </c>
      <c r="Q209" s="243" t="n">
        <v>44767</v>
      </c>
      <c r="R209" s="244">
        <f>IF(M209="Abs",O209,0)</f>
        <v/>
      </c>
      <c r="S209" s="244">
        <f>SUM(R209,L209,I209,J209,W209,H209)</f>
        <v/>
      </c>
      <c r="T209" s="209">
        <f>"Sem - "&amp;WEEKNUM(Q209,21)</f>
        <v/>
      </c>
      <c r="U209" s="209">
        <f>PROPER(TEXT(Q209,"mmmm"))</f>
        <v/>
      </c>
      <c r="V209" s="245">
        <f>+TEXT(Q209,"aaa")</f>
        <v/>
      </c>
      <c r="W209" s="240" t="n"/>
      <c r="X209" s="246">
        <f>IFERROR(IF(M209="Abs",0,IF((D209-C209+E209-F209)&lt;0.000694444444444444,0,(D209-C209+E209-F209))),0)</f>
        <v/>
      </c>
      <c r="Y209" s="247">
        <f>IFERROR(VLOOKUP(B209,Annuaire_roster!B:E,4,0),"-")</f>
        <v/>
      </c>
      <c r="Z209" s="247">
        <f>IFERROR(VLOOKUP(B209,Annuaire_roster!B:F,3,0),"-")</f>
        <v/>
      </c>
      <c r="AA209" s="247">
        <f>IFERROR(VLOOKUP(B209,Annuaire_roster!B:I,6,0),"-")</f>
        <v/>
      </c>
      <c r="AB209" s="248">
        <f>IF(AND(D209="Congé",F209="Congé"),0.333333333333333,IF(OR(AND(D209="Congé",F209&lt;&gt;"Congé"),(AND(F209="Congé",D209&lt;&gt;"Congé"))),0.166666666666667,""))</f>
        <v/>
      </c>
      <c r="AC209" s="248">
        <f>IF(AND(D209="Congé sans solde",F209="Congé sans solde"),0.333333333333333,IF(OR(AND(D209="Congé sans solde",F209&lt;&gt;"Congé sans solde"),(AND(F209="Congé sans solde",D209&lt;&gt;"Congé sans solde"))),0.166666666666667,""))</f>
        <v/>
      </c>
      <c r="AD209" s="248">
        <f>IF(AND(D209="Congé spécial",F209="Congé spécial"),0.333333333333333,IF(OR(AND(D209="Congé spécial",F209&lt;&gt;"Congé décès"),(AND(F209="Congé spécial",D209&lt;&gt;"Congé spécial"))),0.166666666666667,""))</f>
        <v/>
      </c>
      <c r="AE209" s="249">
        <f>IF(AND(D209="Férié",F209="Férié"),0.333333333333333,IF(OR(AND(D209="Férié",F209&lt;&gt;"Férié"),(AND(F209="Férié",D209&lt;&gt;"Férié"))),0.166666666666667,""))</f>
        <v/>
      </c>
      <c r="AF209" s="249" t="n"/>
      <c r="AG209" s="244" t="n"/>
    </row>
    <row r="210" hidden="1" ht="12.75" customHeight="1" s="231">
      <c r="A210" s="232">
        <f>VLOOKUP(B210,Annuaire_roster!B:F,5,0)</f>
        <v/>
      </c>
      <c r="B210" s="233" t="inlineStr">
        <is>
          <t>ZIOUI DOUNIA</t>
        </is>
      </c>
      <c r="C210" s="234">
        <f>IFERROR(IF(COUNTIFS(Connexions!$K:$K,$Q210,Connexions!$E:$E,VLOOKUP($B210,Mapping_Noms!$A:$B,2,0))=0,"",_xlfn.MINIFS(Connexions!$M:$M,Connexions!$K:$K,$Q210,Connexions!$E:$E,VLOOKUP($B210,Mapping_Noms!$A:$B,2,0))-TIME(1,0,0)),"")</f>
        <v/>
      </c>
      <c r="D210" s="234">
        <f t="array" ref="D210:D210">IFERROR(INDEX(Planning2[],MATCH(1,(Planning2[Nom]=B210)*(Planning2[Date]=Q210),0),3),"-")</f>
        <v/>
      </c>
      <c r="E210" s="235">
        <f>IFERROR(IF(COUNTIFS(Connexions!$K:$K,$Q210,Connexions!$E:$E,VLOOKUP($B210,Mapping_Noms!$A:$B,2,0))=0,"",_xlfn.MAXIFS(Connexions!$O:$O,Connexions!$K:$K,$Q210,Connexions!$E:$E,VLOOKUP($B210,Mapping_Noms!$A:$B,2,0))-TIME(1,0,0)),"")</f>
        <v/>
      </c>
      <c r="F210" s="235">
        <f t="array" ref="F210:F210">IFERROR(INDEX(Planning2[],MATCH(1,(Planning2[Nom]=B210)*(Planning2[Date]=Q210),0),4),"-")</f>
        <v/>
      </c>
      <c r="G210" s="405">
        <f>IFERROR(IF(OR(IFERROR(INDEX('Planning Pauses Dej'!$C:$C,MATCH($B210&amp;"|"&amp;TEXT($Q210,"YYYYMMDD"),'Planning Pauses Dej'!$F:$F,0)),"")="",IFERROR(INDEX('Planning Pauses Dej'!$D:$D,MATCH($B210&amp;"|"&amp;TEXT($Q210,"YYYYMMDD"),'Planning Pauses Dej'!$F:$F,0)),"")=""),"",_xlfn.MAXIFS(Connexions!$Q:$Q,Connexions!$K:$K,$Q210,Connexions!$E:$E,VLOOKUP($B210,Mapping_Noms!$A:$B,2,0),Connexions!$O:$O,"&lt;="&amp;(IFERROR(INDEX('Planning Pauses Dej'!$D:$D,MATCH($B210&amp;"|"&amp;TEXT($Q210,"YYYYMMDD"),'Planning Pauses Dej'!$F:$F,0)),"")+TIME(1,0,0)),Connexions!$P:$P,"&gt;="&amp;(IFERROR(INDEX('Planning Pauses Dej'!$C:$C,MATCH($B210&amp;"|"&amp;TEXT($Q210,"YYYYMMDD"),'Planning Pauses Dej'!$F:$F,0)),"")+TIME(1,0,0)))),"")</f>
        <v/>
      </c>
      <c r="H210" s="405">
        <f>IFERROR(IF(OR($G210="",IFERROR(INDEX('Planning Pauses Dej'!$C:$C,MATCH($B210&amp;"|"&amp;TEXT($Q210,"YYYYMMDD"),'Planning Pauses Dej'!$F:$F,0)),"")="",IFERROR(INDEX('Planning Pauses Dej'!$D:$D,MATCH($B210&amp;"|"&amp;TEXT($Q210,"YYYYMMDD"),'Planning Pauses Dej'!$F:$F,0)),"")=""),"",IF($G210&gt;(IFERROR(INDEX('Planning Pauses Dej'!$D:$D,MATCH($B210&amp;"|"&amp;TEXT($Q210,"YYYYMMDD"),'Planning Pauses Dej'!$F:$F,0)),"")-IFERROR(INDEX('Planning Pauses Dej'!$C:$C,MATCH($B210&amp;"|"&amp;TEXT($Q210,"YYYYMMDD"),'Planning Pauses Dej'!$F:$F,0)),"")),$G210-(IFERROR(INDEX('Planning Pauses Dej'!$D:$D,MATCH($B210&amp;"|"&amp;TEXT($Q210,"YYYYMMDD"),'Planning Pauses Dej'!$F:$F,0)),"")-IFERROR(INDEX('Planning Pauses Dej'!$C:$C,MATCH($B210&amp;"|"&amp;TEXT($Q210,"YYYYMMDD"),'Planning Pauses Dej'!$F:$F,0)),"")),0)),"")</f>
        <v/>
      </c>
      <c r="I210" s="251">
        <f>IF(IF(OR(C210="",D210="Congé",D210="OFF",D210="Congé spécial"),"",IF(D210&gt;F210,D210-C210,IF(C210-D210&lt;0,0,C210-D210)))&lt;0.00068287037037037,"",IF(OR(D210="Congé",D210="OFF",C210="",D210="Congé spécial"),"",IF(D210&gt;F210,D210-C210,IF(C210-D210&lt;0,0,C210-D210))))</f>
        <v/>
      </c>
      <c r="J210" s="406">
        <f>IFERROR(IF($G210="","",IF($G210&gt;TIME(1,0,0),$G210-TIME(1,0,0),0)),"")</f>
        <v/>
      </c>
      <c r="K210" s="238">
        <f>IF(SUM(H210:J210)&lt;0.00068287037037037,0,SUM(H210:J210))</f>
        <v/>
      </c>
      <c r="L210" s="236">
        <f>IF(OR(F210="Congé",F210="OFF",M210="Abs",F210="Congé sans solde",F210="Férié",F210="Congé spécial",D210="Congé spécial"),0,IF(F210-E210&lt;0,0,IF(F210-E210&lt;=0.00068287037037037,0,F210-E210)))</f>
        <v/>
      </c>
      <c r="M210" s="239">
        <f>IF(AND(O210&lt;&gt;0,C210=""),"Abs",0)</f>
        <v/>
      </c>
      <c r="N210" s="240">
        <f>IFERROR(IF(OR(D210="OFF",D210="Congé",M210="Abs",D210="Congé sans solde",D210="Férié"),"",IF(O210-K210-L210&gt;O210,O210,IF(O210-K210-L210&lt;0,"",O210-K210-L210))),"")</f>
        <v/>
      </c>
      <c r="O210" s="241">
        <f>IF(AG210="2H Pause déjeuner",IF(F210-D210-0.0833333333333333&lt;0,F210-D210-0.0833333333333333+1,F210-D210-0.0833333333333333),IF(OR(AND(F210="OFF",D210="OFF"),AND(F210="Congé",D210="Congé"),AND(F210="Congé sans solde",D210="Congé sans solde"),AND(F210="Congé spécial",D210="Congé spécial"),AND(F210="Férié",D210="Férié"),AND(F210="OFF",D210="Congé"),AND(F210="OFF",D210="Congé sans solde"),AND(F210="OFF",D210="Congé spécial"),AND(F210="OFF",D210="Férié"),AND(F210="Congé",D210="OFF"),AND(F210="Congé",D210="Congé sans solde"),AND(F210="Congé",D210="Congé spécial"),AND(F210="Congé",D210="Férié"),AND(F210="Congé sans solde",D210="OFF"),AND(F210="Congé sans solde",D210="Congé"),AND(F210="Congé sans solde",D210="Congé spécial"),AND(F210="Congé sans solde",D210="Férié"),AND(F210="Congé spécial",D210="OFF"),AND(F210="Congé spécial",D210="Congé"),AND(F210="Congé spécial",D210="Congé sans solde"),AND(F210="Congé spécial",D210="Férié"),AND(F210="Férié",D210="OFF"),AND(F210="Férié",D210="Congé"),AND(F210="Férié",D210="Congé sans solde"),AND(F210="Férié",D210="Congé spécial")),0,IF(OR(F210="OFF",F210="Congé",F210="Congé spécial",F210="Congé sans solde",D210="OFF",D210="Congé",D210="Congé spécial",D210="Congé sans solde"),0.208333333333334,IF(AND(AG210="",F210-D210&lt;0),("24:00:00"-D210)+("00:00:00"+F210)-0.0416666666666667,IF(AND(OR(AG210="Allaitement",AG210="Sans déjeuner"),F210-D210&lt;0),("24:00:00"-D210)+("00:00:00"+F210),IF(AND(AG210="",F210-D210&gt;0.166666666666667),F210-D210-0.0416666666666667,IF(AND(OR(AG210="Allaitement",AG210="Sans déjeuner"),F210-D210&gt;0.166666666666667),F210-D210,F210-D210)))))))</f>
        <v/>
      </c>
      <c r="P210" s="242">
        <f>IFERROR(VLOOKUP($B210,Annuaire_roster!$B:$G,MATCH(P$1,Annuaire_roster!$B$1:$G$1,0),0),"-")</f>
        <v/>
      </c>
      <c r="Q210" s="243" t="n">
        <v>44767</v>
      </c>
      <c r="R210" s="244">
        <f>IF(M210="Abs",O210,0)</f>
        <v/>
      </c>
      <c r="S210" s="244">
        <f>SUM(R210,L210,I210,J210,W210,H210)</f>
        <v/>
      </c>
      <c r="T210" s="209">
        <f>"Sem - "&amp;WEEKNUM(Q210,21)</f>
        <v/>
      </c>
      <c r="U210" s="209">
        <f>PROPER(TEXT(Q210,"mmmm"))</f>
        <v/>
      </c>
      <c r="V210" s="245">
        <f>+TEXT(Q210,"aaa")</f>
        <v/>
      </c>
      <c r="W210" s="240" t="n"/>
      <c r="X210" s="246">
        <f>IFERROR(IF(M210="Abs",0,IF((D210-C210+E210-F210)&lt;0.000694444444444444,0,(D210-C210+E210-F210))),0)</f>
        <v/>
      </c>
      <c r="Y210" s="247">
        <f>IFERROR(VLOOKUP(B210,Annuaire_roster!B:E,4,0),"-")</f>
        <v/>
      </c>
      <c r="Z210" s="247">
        <f>IFERROR(VLOOKUP(B210,Annuaire_roster!B:F,3,0),"-")</f>
        <v/>
      </c>
      <c r="AA210" s="247">
        <f>IFERROR(VLOOKUP(B210,Annuaire_roster!B:I,6,0),"-")</f>
        <v/>
      </c>
      <c r="AB210" s="248">
        <f>IF(AND(D210="Congé",F210="Congé"),0.333333333333333,IF(OR(AND(D210="Congé",F210&lt;&gt;"Congé"),(AND(F210="Congé",D210&lt;&gt;"Congé"))),0.166666666666667,""))</f>
        <v/>
      </c>
      <c r="AC210" s="248">
        <f>IF(AND(D210="Congé sans solde",F210="Congé sans solde"),0.333333333333333,IF(OR(AND(D210="Congé sans solde",F210&lt;&gt;"Congé sans solde"),(AND(F210="Congé sans solde",D210&lt;&gt;"Congé sans solde"))),0.166666666666667,""))</f>
        <v/>
      </c>
      <c r="AD210" s="248">
        <f>IF(AND(D210="Congé spécial",F210="Congé spécial"),0.333333333333333,IF(OR(AND(D210="Congé spécial",F210&lt;&gt;"Congé décès"),(AND(F210="Congé spécial",D210&lt;&gt;"Congé spécial"))),0.166666666666667,""))</f>
        <v/>
      </c>
      <c r="AE210" s="249">
        <f>IF(AND(D210="Férié",F210="Férié"),0.333333333333333,IF(OR(AND(D210="Férié",F210&lt;&gt;"Férié"),(AND(F210="Férié",D210&lt;&gt;"Férié"))),0.166666666666667,""))</f>
        <v/>
      </c>
      <c r="AF210" s="249" t="n"/>
      <c r="AG210" s="244" t="n"/>
    </row>
    <row r="211" hidden="1" ht="12.75" customHeight="1" s="231">
      <c r="A211" s="232">
        <f>VLOOKUP(B211,Annuaire_roster!B:F,5,0)</f>
        <v/>
      </c>
      <c r="B211" s="233" t="inlineStr">
        <is>
          <t>AIT ADDI KHADIJA</t>
        </is>
      </c>
      <c r="C211" s="234">
        <f>IFERROR(IF(COUNTIFS(Connexions!$K:$K,$Q211,Connexions!$E:$E,VLOOKUP($B211,Mapping_Noms!$A:$B,2,0))=0,"",_xlfn.MINIFS(Connexions!$M:$M,Connexions!$K:$K,$Q211,Connexions!$E:$E,VLOOKUP($B211,Mapping_Noms!$A:$B,2,0))-TIME(1,0,0)),"")</f>
        <v/>
      </c>
      <c r="D211" s="234">
        <f t="array" ref="D211:D211">IFERROR(INDEX(Planning2[],MATCH(1,(Planning2[Nom]=B211)*(Planning2[Date]=Q211),0),3),"-")</f>
        <v/>
      </c>
      <c r="E211" s="235">
        <f>IFERROR(IF(COUNTIFS(Connexions!$K:$K,$Q211,Connexions!$E:$E,VLOOKUP($B211,Mapping_Noms!$A:$B,2,0))=0,"",_xlfn.MAXIFS(Connexions!$O:$O,Connexions!$K:$K,$Q211,Connexions!$E:$E,VLOOKUP($B211,Mapping_Noms!$A:$B,2,0))-TIME(1,0,0)),"")</f>
        <v/>
      </c>
      <c r="F211" s="235">
        <f t="array" ref="F211:F211">IFERROR(INDEX(Planning2[],MATCH(1,(Planning2[Nom]=B211)*(Planning2[Date]=Q211),0),4),"-")</f>
        <v/>
      </c>
      <c r="G211" s="405">
        <f>IFERROR(IF(OR(IFERROR(INDEX('Planning Pauses Dej'!$C:$C,MATCH($B211&amp;"|"&amp;TEXT($Q211,"YYYYMMDD"),'Planning Pauses Dej'!$F:$F,0)),"")="",IFERROR(INDEX('Planning Pauses Dej'!$D:$D,MATCH($B211&amp;"|"&amp;TEXT($Q211,"YYYYMMDD"),'Planning Pauses Dej'!$F:$F,0)),"")=""),"",_xlfn.MAXIFS(Connexions!$Q:$Q,Connexions!$K:$K,$Q211,Connexions!$E:$E,VLOOKUP($B211,Mapping_Noms!$A:$B,2,0),Connexions!$O:$O,"&lt;="&amp;(IFERROR(INDEX('Planning Pauses Dej'!$D:$D,MATCH($B211&amp;"|"&amp;TEXT($Q211,"YYYYMMDD"),'Planning Pauses Dej'!$F:$F,0)),"")+TIME(1,0,0)),Connexions!$P:$P,"&gt;="&amp;(IFERROR(INDEX('Planning Pauses Dej'!$C:$C,MATCH($B211&amp;"|"&amp;TEXT($Q211,"YYYYMMDD"),'Planning Pauses Dej'!$F:$F,0)),"")+TIME(1,0,0)))),"")</f>
        <v/>
      </c>
      <c r="H211" s="405">
        <f>IFERROR(IF(OR($G211="",IFERROR(INDEX('Planning Pauses Dej'!$C:$C,MATCH($B211&amp;"|"&amp;TEXT($Q211,"YYYYMMDD"),'Planning Pauses Dej'!$F:$F,0)),"")="",IFERROR(INDEX('Planning Pauses Dej'!$D:$D,MATCH($B211&amp;"|"&amp;TEXT($Q211,"YYYYMMDD"),'Planning Pauses Dej'!$F:$F,0)),"")=""),"",IF($G211&gt;(IFERROR(INDEX('Planning Pauses Dej'!$D:$D,MATCH($B211&amp;"|"&amp;TEXT($Q211,"YYYYMMDD"),'Planning Pauses Dej'!$F:$F,0)),"")-IFERROR(INDEX('Planning Pauses Dej'!$C:$C,MATCH($B211&amp;"|"&amp;TEXT($Q211,"YYYYMMDD"),'Planning Pauses Dej'!$F:$F,0)),"")),$G211-(IFERROR(INDEX('Planning Pauses Dej'!$D:$D,MATCH($B211&amp;"|"&amp;TEXT($Q211,"YYYYMMDD"),'Planning Pauses Dej'!$F:$F,0)),"")-IFERROR(INDEX('Planning Pauses Dej'!$C:$C,MATCH($B211&amp;"|"&amp;TEXT($Q211,"YYYYMMDD"),'Planning Pauses Dej'!$F:$F,0)),"")),0)),"")</f>
        <v/>
      </c>
      <c r="I211" s="251">
        <f>IF(IF(OR(C211="",D211="Congé",D211="OFF",D211="Congé spécial"),"",IF(D211&gt;F211,D211-C211,IF(C211-D211&lt;0,0,C211-D211)))&lt;0.00068287037037037,"",IF(OR(D211="Congé",D211="OFF",C211="",D211="Congé spécial"),"",IF(D211&gt;F211,D211-C211,IF(C211-D211&lt;0,0,C211-D211))))</f>
        <v/>
      </c>
      <c r="J211" s="406">
        <f>IFERROR(IF($G211="","",IF($G211&gt;TIME(1,0,0),$G211-TIME(1,0,0),0)),"")</f>
        <v/>
      </c>
      <c r="K211" s="238">
        <f>IF(SUM(H211:J211)&lt;0.00068287037037037,0,SUM(H211:J211))</f>
        <v/>
      </c>
      <c r="L211" s="236">
        <f>IF(OR(F211="Congé",F211="OFF",M211="Abs",F211="Congé sans solde",F211="Férié",F211="Congé spécial",D211="Congé spécial"),0,IF(F211-E211&lt;0,0,IF(F211-E211&lt;=0.00068287037037037,0,F211-E211)))</f>
        <v/>
      </c>
      <c r="M211" s="239">
        <f>IF(AND(O211&lt;&gt;0,C211=""),"Abs",0)</f>
        <v/>
      </c>
      <c r="N211" s="240">
        <f>IFERROR(IF(OR(D211="OFF",D211="Congé",M211="Abs",D211="Congé sans solde",D211="Férié"),"",IF(O211-K211-L211&gt;O211,O211,IF(O211-K211-L211&lt;0,"",O211-K211-L211))),"")</f>
        <v/>
      </c>
      <c r="O211" s="241">
        <f>IF(AG211="2H Pause déjeuner",IF(F211-D211-0.0833333333333333&lt;0,F211-D211-0.0833333333333333+1,F211-D211-0.0833333333333333),IF(OR(AND(F211="OFF",D211="OFF"),AND(F211="Congé",D211="Congé"),AND(F211="Congé sans solde",D211="Congé sans solde"),AND(F211="Congé spécial",D211="Congé spécial"),AND(F211="Férié",D211="Férié"),AND(F211="OFF",D211="Congé"),AND(F211="OFF",D211="Congé sans solde"),AND(F211="OFF",D211="Congé spécial"),AND(F211="OFF",D211="Férié"),AND(F211="Congé",D211="OFF"),AND(F211="Congé",D211="Congé sans solde"),AND(F211="Congé",D211="Congé spécial"),AND(F211="Congé",D211="Férié"),AND(F211="Congé sans solde",D211="OFF"),AND(F211="Congé sans solde",D211="Congé"),AND(F211="Congé sans solde",D211="Congé spécial"),AND(F211="Congé sans solde",D211="Férié"),AND(F211="Congé spécial",D211="OFF"),AND(F211="Congé spécial",D211="Congé"),AND(F211="Congé spécial",D211="Congé sans solde"),AND(F211="Congé spécial",D211="Férié"),AND(F211="Férié",D211="OFF"),AND(F211="Férié",D211="Congé"),AND(F211="Férié",D211="Congé sans solde"),AND(F211="Férié",D211="Congé spécial")),0,IF(OR(F211="OFF",F211="Congé",F211="Congé spécial",F211="Congé sans solde",D211="OFF",D211="Congé",D211="Congé spécial",D211="Congé sans solde"),0.208333333333334,IF(AND(AG211="",F211-D211&lt;0),("24:00:00"-D211)+("00:00:00"+F211)-0.0416666666666667,IF(AND(OR(AG211="Allaitement",AG211="Sans déjeuner"),F211-D211&lt;0),("24:00:00"-D211)+("00:00:00"+F211),IF(AND(AG211="",F211-D211&gt;0.166666666666667),F211-D211-0.0416666666666667,IF(AND(OR(AG211="Allaitement",AG211="Sans déjeuner"),F211-D211&gt;0.166666666666667),F211-D211,F211-D211)))))))</f>
        <v/>
      </c>
      <c r="P211" s="242">
        <f>IFERROR(VLOOKUP($B211,Annuaire_roster!$B:$G,MATCH(P$1,Annuaire_roster!$B$1:$G$1,0),0),"-")</f>
        <v/>
      </c>
      <c r="Q211" s="243" t="n">
        <v>44767</v>
      </c>
      <c r="R211" s="244">
        <f>IF(M211="Abs",O211,0)</f>
        <v/>
      </c>
      <c r="S211" s="244">
        <f>SUM(R211,L211,I211,J211,W211,H211)</f>
        <v/>
      </c>
      <c r="T211" s="209">
        <f>"Sem - "&amp;WEEKNUM(Q211,21)</f>
        <v/>
      </c>
      <c r="U211" s="209">
        <f>PROPER(TEXT(Q211,"mmmm"))</f>
        <v/>
      </c>
      <c r="V211" s="245">
        <f>+TEXT(Q211,"aaa")</f>
        <v/>
      </c>
      <c r="W211" s="240" t="n"/>
      <c r="X211" s="246">
        <f>IFERROR(IF(M211="Abs",0,IF((D211-C211+E211-F211)&lt;0.000694444444444444,0,(D211-C211+E211-F211))),0)</f>
        <v/>
      </c>
      <c r="Y211" s="247">
        <f>IFERROR(VLOOKUP(B211,Annuaire_roster!B:E,4,0),"-")</f>
        <v/>
      </c>
      <c r="Z211" s="247">
        <f>IFERROR(VLOOKUP(B211,Annuaire_roster!B:F,3,0),"-")</f>
        <v/>
      </c>
      <c r="AA211" s="247">
        <f>IFERROR(VLOOKUP(B211,Annuaire_roster!B:I,6,0),"-")</f>
        <v/>
      </c>
      <c r="AB211" s="248">
        <f>IF(AND(D211="Congé",F211="Congé"),0.333333333333333,IF(OR(AND(D211="Congé",F211&lt;&gt;"Congé"),(AND(F211="Congé",D211&lt;&gt;"Congé"))),0.166666666666667,""))</f>
        <v/>
      </c>
      <c r="AC211" s="248">
        <f>IF(AND(D211="Congé sans solde",F211="Congé sans solde"),0.333333333333333,IF(OR(AND(D211="Congé sans solde",F211&lt;&gt;"Congé sans solde"),(AND(F211="Congé sans solde",D211&lt;&gt;"Congé sans solde"))),0.166666666666667,""))</f>
        <v/>
      </c>
      <c r="AD211" s="248">
        <f>IF(AND(D211="Congé spécial",F211="Congé spécial"),0.333333333333333,IF(OR(AND(D211="Congé spécial",F211&lt;&gt;"Congé décès"),(AND(F211="Congé spécial",D211&lt;&gt;"Congé spécial"))),0.166666666666667,""))</f>
        <v/>
      </c>
      <c r="AE211" s="249">
        <f>IF(AND(D211="Férié",F211="Férié"),0.333333333333333,IF(OR(AND(D211="Férié",F211&lt;&gt;"Férié"),(AND(F211="Férié",D211&lt;&gt;"Férié"))),0.166666666666667,""))</f>
        <v/>
      </c>
      <c r="AF211" s="249" t="n"/>
      <c r="AG211" s="244" t="n"/>
    </row>
    <row r="212" hidden="1" ht="12.75" customHeight="1" s="231">
      <c r="A212" s="232">
        <f>VLOOKUP(B212,Annuaire_roster!B:F,5,0)</f>
        <v/>
      </c>
      <c r="B212" s="233" t="inlineStr">
        <is>
          <t>MELLAHI YOUSSEF</t>
        </is>
      </c>
      <c r="C212" s="234">
        <f>IFERROR(IF(COUNTIFS(Connexions!$K:$K,$Q212,Connexions!$E:$E,VLOOKUP($B212,Mapping_Noms!$A:$B,2,0))=0,"",_xlfn.MINIFS(Connexions!$M:$M,Connexions!$K:$K,$Q212,Connexions!$E:$E,VLOOKUP($B212,Mapping_Noms!$A:$B,2,0))-TIME(1,0,0)),"")</f>
        <v/>
      </c>
      <c r="D212" s="234">
        <f t="array" ref="D212:D212">IFERROR(INDEX(Planning2[],MATCH(1,(Planning2[Nom]=B212)*(Planning2[Date]=Q212),0),3),"-")</f>
        <v/>
      </c>
      <c r="E212" s="235">
        <f>IFERROR(IF(COUNTIFS(Connexions!$K:$K,$Q212,Connexions!$E:$E,VLOOKUP($B212,Mapping_Noms!$A:$B,2,0))=0,"",_xlfn.MAXIFS(Connexions!$O:$O,Connexions!$K:$K,$Q212,Connexions!$E:$E,VLOOKUP($B212,Mapping_Noms!$A:$B,2,0))-TIME(1,0,0)),"")</f>
        <v/>
      </c>
      <c r="F212" s="235">
        <f t="array" ref="F212:F212">IFERROR(INDEX(Planning2[],MATCH(1,(Planning2[Nom]=B212)*(Planning2[Date]=Q212),0),4),"-")</f>
        <v/>
      </c>
      <c r="G212" s="405">
        <f>IFERROR(IF(OR(IFERROR(INDEX('Planning Pauses Dej'!$C:$C,MATCH($B212&amp;"|"&amp;TEXT($Q212,"YYYYMMDD"),'Planning Pauses Dej'!$F:$F,0)),"")="",IFERROR(INDEX('Planning Pauses Dej'!$D:$D,MATCH($B212&amp;"|"&amp;TEXT($Q212,"YYYYMMDD"),'Planning Pauses Dej'!$F:$F,0)),"")=""),"",_xlfn.MAXIFS(Connexions!$Q:$Q,Connexions!$K:$K,$Q212,Connexions!$E:$E,VLOOKUP($B212,Mapping_Noms!$A:$B,2,0),Connexions!$O:$O,"&lt;="&amp;(IFERROR(INDEX('Planning Pauses Dej'!$D:$D,MATCH($B212&amp;"|"&amp;TEXT($Q212,"YYYYMMDD"),'Planning Pauses Dej'!$F:$F,0)),"")+TIME(1,0,0)),Connexions!$P:$P,"&gt;="&amp;(IFERROR(INDEX('Planning Pauses Dej'!$C:$C,MATCH($B212&amp;"|"&amp;TEXT($Q212,"YYYYMMDD"),'Planning Pauses Dej'!$F:$F,0)),"")+TIME(1,0,0)))),"")</f>
        <v/>
      </c>
      <c r="H212" s="405">
        <f>IFERROR(IF(OR($G212="",IFERROR(INDEX('Planning Pauses Dej'!$C:$C,MATCH($B212&amp;"|"&amp;TEXT($Q212,"YYYYMMDD"),'Planning Pauses Dej'!$F:$F,0)),"")="",IFERROR(INDEX('Planning Pauses Dej'!$D:$D,MATCH($B212&amp;"|"&amp;TEXT($Q212,"YYYYMMDD"),'Planning Pauses Dej'!$F:$F,0)),"")=""),"",IF($G212&gt;(IFERROR(INDEX('Planning Pauses Dej'!$D:$D,MATCH($B212&amp;"|"&amp;TEXT($Q212,"YYYYMMDD"),'Planning Pauses Dej'!$F:$F,0)),"")-IFERROR(INDEX('Planning Pauses Dej'!$C:$C,MATCH($B212&amp;"|"&amp;TEXT($Q212,"YYYYMMDD"),'Planning Pauses Dej'!$F:$F,0)),"")),$G212-(IFERROR(INDEX('Planning Pauses Dej'!$D:$D,MATCH($B212&amp;"|"&amp;TEXT($Q212,"YYYYMMDD"),'Planning Pauses Dej'!$F:$F,0)),"")-IFERROR(INDEX('Planning Pauses Dej'!$C:$C,MATCH($B212&amp;"|"&amp;TEXT($Q212,"YYYYMMDD"),'Planning Pauses Dej'!$F:$F,0)),"")),0)),"")</f>
        <v/>
      </c>
      <c r="I212" s="251">
        <f>IF(IF(OR(C212="",D212="Congé",D212="OFF",D212="Congé spécial"),"",IF(D212&gt;F212,D212-C212,IF(C212-D212&lt;0,0,C212-D212)))&lt;0.00068287037037037,"",IF(OR(D212="Congé",D212="OFF",C212="",D212="Congé spécial"),"",IF(D212&gt;F212,D212-C212,IF(C212-D212&lt;0,0,C212-D212))))</f>
        <v/>
      </c>
      <c r="J212" s="406">
        <f>IFERROR(IF($G212="","",IF($G212&gt;TIME(1,0,0),$G212-TIME(1,0,0),0)),"")</f>
        <v/>
      </c>
      <c r="K212" s="238">
        <f>IF(SUM(H212:J212)&lt;0.00068287037037037,0,SUM(H212:J212))</f>
        <v/>
      </c>
      <c r="L212" s="236">
        <f>IF(OR(F212="Congé",F212="OFF",M212="Abs",F212="Congé sans solde",F212="Férié",F212="Congé spécial",D212="Congé spécial"),0,IF(F212-E212&lt;0,0,IF(F212-E212&lt;=0.00068287037037037,0,F212-E212)))</f>
        <v/>
      </c>
      <c r="M212" s="239">
        <f>IF(AND(O212&lt;&gt;0,C212=""),"Abs",0)</f>
        <v/>
      </c>
      <c r="N212" s="240">
        <f>IFERROR(IF(OR(D212="OFF",D212="Congé",M212="Abs",D212="Congé sans solde",D212="Férié"),"",IF(O212-K212-L212&gt;O212,O212,IF(O212-K212-L212&lt;0,"",O212-K212-L212))),"")</f>
        <v/>
      </c>
      <c r="O212" s="241">
        <f>IF(AG212="2H Pause déjeuner",IF(F212-D212-0.0833333333333333&lt;0,F212-D212-0.0833333333333333+1,F212-D212-0.0833333333333333),IF(OR(AND(F212="OFF",D212="OFF"),AND(F212="Congé",D212="Congé"),AND(F212="Congé sans solde",D212="Congé sans solde"),AND(F212="Congé spécial",D212="Congé spécial"),AND(F212="Férié",D212="Férié"),AND(F212="OFF",D212="Congé"),AND(F212="OFF",D212="Congé sans solde"),AND(F212="OFF",D212="Congé spécial"),AND(F212="OFF",D212="Férié"),AND(F212="Congé",D212="OFF"),AND(F212="Congé",D212="Congé sans solde"),AND(F212="Congé",D212="Congé spécial"),AND(F212="Congé",D212="Férié"),AND(F212="Congé sans solde",D212="OFF"),AND(F212="Congé sans solde",D212="Congé"),AND(F212="Congé sans solde",D212="Congé spécial"),AND(F212="Congé sans solde",D212="Férié"),AND(F212="Congé spécial",D212="OFF"),AND(F212="Congé spécial",D212="Congé"),AND(F212="Congé spécial",D212="Congé sans solde"),AND(F212="Congé spécial",D212="Férié"),AND(F212="Férié",D212="OFF"),AND(F212="Férié",D212="Congé"),AND(F212="Férié",D212="Congé sans solde"),AND(F212="Férié",D212="Congé spécial")),0,IF(OR(F212="OFF",F212="Congé",F212="Congé spécial",F212="Congé sans solde",D212="OFF",D212="Congé",D212="Congé spécial",D212="Congé sans solde"),0.208333333333334,IF(AND(AG212="",F212-D212&lt;0),("24:00:00"-D212)+("00:00:00"+F212)-0.0416666666666667,IF(AND(OR(AG212="Allaitement",AG212="Sans déjeuner"),F212-D212&lt;0),("24:00:00"-D212)+("00:00:00"+F212),IF(AND(AG212="",F212-D212&gt;0.166666666666667),F212-D212-0.0416666666666667,IF(AND(OR(AG212="Allaitement",AG212="Sans déjeuner"),F212-D212&gt;0.166666666666667),F212-D212,F212-D212)))))))</f>
        <v/>
      </c>
      <c r="P212" s="242">
        <f>IFERROR(VLOOKUP($B212,Annuaire_roster!$B:$G,MATCH(P$1,Annuaire_roster!$B$1:$G$1,0),0),"-")</f>
        <v/>
      </c>
      <c r="Q212" s="243" t="n">
        <v>44767</v>
      </c>
      <c r="R212" s="244">
        <f>IF(M212="Abs",O212,0)</f>
        <v/>
      </c>
      <c r="S212" s="244">
        <f>SUM(R212,L212,I212,J212,W212,H212)</f>
        <v/>
      </c>
      <c r="T212" s="209">
        <f>"Sem - "&amp;WEEKNUM(Q212,21)</f>
        <v/>
      </c>
      <c r="U212" s="209">
        <f>PROPER(TEXT(Q212,"mmmm"))</f>
        <v/>
      </c>
      <c r="V212" s="245">
        <f>+TEXT(Q212,"aaa")</f>
        <v/>
      </c>
      <c r="W212" s="240" t="n"/>
      <c r="X212" s="246">
        <f>IFERROR(IF(M212="Abs",0,IF((D212-C212+E212-F212)&lt;0.000694444444444444,0,(D212-C212+E212-F212))),0)</f>
        <v/>
      </c>
      <c r="Y212" s="247">
        <f>IFERROR(VLOOKUP(B212,Annuaire_roster!B:E,4,0),"-")</f>
        <v/>
      </c>
      <c r="Z212" s="247">
        <f>IFERROR(VLOOKUP(B212,Annuaire_roster!B:F,3,0),"-")</f>
        <v/>
      </c>
      <c r="AA212" s="247">
        <f>IFERROR(VLOOKUP(B212,Annuaire_roster!B:I,6,0),"-")</f>
        <v/>
      </c>
      <c r="AB212" s="248">
        <f>IF(AND(D212="Congé",F212="Congé"),0.333333333333333,IF(OR(AND(D212="Congé",F212&lt;&gt;"Congé"),(AND(F212="Congé",D212&lt;&gt;"Congé"))),0.166666666666667,""))</f>
        <v/>
      </c>
      <c r="AC212" s="248">
        <f>IF(AND(D212="Congé sans solde",F212="Congé sans solde"),0.333333333333333,IF(OR(AND(D212="Congé sans solde",F212&lt;&gt;"Congé sans solde"),(AND(F212="Congé sans solde",D212&lt;&gt;"Congé sans solde"))),0.166666666666667,""))</f>
        <v/>
      </c>
      <c r="AD212" s="248">
        <f>IF(AND(D212="Congé spécial",F212="Congé spécial"),0.333333333333333,IF(OR(AND(D212="Congé spécial",F212&lt;&gt;"Congé décès"),(AND(F212="Congé spécial",D212&lt;&gt;"Congé spécial"))),0.166666666666667,""))</f>
        <v/>
      </c>
      <c r="AE212" s="249">
        <f>IF(AND(D212="Férié",F212="Férié"),0.333333333333333,IF(OR(AND(D212="Férié",F212&lt;&gt;"Férié"),(AND(F212="Férié",D212&lt;&gt;"Férié"))),0.166666666666667,""))</f>
        <v/>
      </c>
      <c r="AF212" s="249" t="n"/>
      <c r="AG212" s="244" t="n"/>
    </row>
    <row r="213" hidden="1" ht="12.75" customHeight="1" s="231">
      <c r="A213" s="232">
        <f>VLOOKUP(B213,Annuaire_roster!B:F,5,0)</f>
        <v/>
      </c>
      <c r="B213" s="233" t="inlineStr">
        <is>
          <t xml:space="preserve">EL HOUJJAJI Soufiane </t>
        </is>
      </c>
      <c r="C213" s="234">
        <f>IFERROR(IF(COUNTIFS(Connexions!$K:$K,$Q213,Connexions!$E:$E,VLOOKUP($B213,Mapping_Noms!$A:$B,2,0))=0,"",_xlfn.MINIFS(Connexions!$M:$M,Connexions!$K:$K,$Q213,Connexions!$E:$E,VLOOKUP($B213,Mapping_Noms!$A:$B,2,0))-TIME(1,0,0)),"")</f>
        <v/>
      </c>
      <c r="D213" s="234">
        <f t="array" ref="D213:D213">IFERROR(INDEX(Planning2[],MATCH(1,(Planning2[Nom]=B213)*(Planning2[Date]=Q213),0),3),"-")</f>
        <v/>
      </c>
      <c r="E213" s="235">
        <f>IFERROR(IF(COUNTIFS(Connexions!$K:$K,$Q213,Connexions!$E:$E,VLOOKUP($B213,Mapping_Noms!$A:$B,2,0))=0,"",_xlfn.MAXIFS(Connexions!$O:$O,Connexions!$K:$K,$Q213,Connexions!$E:$E,VLOOKUP($B213,Mapping_Noms!$A:$B,2,0))-TIME(1,0,0)),"")</f>
        <v/>
      </c>
      <c r="F213" s="235">
        <f t="array" ref="F213:F213">IFERROR(INDEX(Planning2[],MATCH(1,(Planning2[Nom]=B213)*(Planning2[Date]=Q213),0),4),"-")</f>
        <v/>
      </c>
      <c r="G213" s="405">
        <f>IFERROR(IF(OR(IFERROR(INDEX('Planning Pauses Dej'!$C:$C,MATCH($B213&amp;"|"&amp;TEXT($Q213,"YYYYMMDD"),'Planning Pauses Dej'!$F:$F,0)),"")="",IFERROR(INDEX('Planning Pauses Dej'!$D:$D,MATCH($B213&amp;"|"&amp;TEXT($Q213,"YYYYMMDD"),'Planning Pauses Dej'!$F:$F,0)),"")=""),"",_xlfn.MAXIFS(Connexions!$Q:$Q,Connexions!$K:$K,$Q213,Connexions!$E:$E,VLOOKUP($B213,Mapping_Noms!$A:$B,2,0),Connexions!$O:$O,"&lt;="&amp;(IFERROR(INDEX('Planning Pauses Dej'!$D:$D,MATCH($B213&amp;"|"&amp;TEXT($Q213,"YYYYMMDD"),'Planning Pauses Dej'!$F:$F,0)),"")+TIME(1,0,0)),Connexions!$P:$P,"&gt;="&amp;(IFERROR(INDEX('Planning Pauses Dej'!$C:$C,MATCH($B213&amp;"|"&amp;TEXT($Q213,"YYYYMMDD"),'Planning Pauses Dej'!$F:$F,0)),"")+TIME(1,0,0)))),"")</f>
        <v/>
      </c>
      <c r="H213" s="405">
        <f>IFERROR(IF(OR($G213="",IFERROR(INDEX('Planning Pauses Dej'!$C:$C,MATCH($B213&amp;"|"&amp;TEXT($Q213,"YYYYMMDD"),'Planning Pauses Dej'!$F:$F,0)),"")="",IFERROR(INDEX('Planning Pauses Dej'!$D:$D,MATCH($B213&amp;"|"&amp;TEXT($Q213,"YYYYMMDD"),'Planning Pauses Dej'!$F:$F,0)),"")=""),"",IF($G213&gt;(IFERROR(INDEX('Planning Pauses Dej'!$D:$D,MATCH($B213&amp;"|"&amp;TEXT($Q213,"YYYYMMDD"),'Planning Pauses Dej'!$F:$F,0)),"")-IFERROR(INDEX('Planning Pauses Dej'!$C:$C,MATCH($B213&amp;"|"&amp;TEXT($Q213,"YYYYMMDD"),'Planning Pauses Dej'!$F:$F,0)),"")),$G213-(IFERROR(INDEX('Planning Pauses Dej'!$D:$D,MATCH($B213&amp;"|"&amp;TEXT($Q213,"YYYYMMDD"),'Planning Pauses Dej'!$F:$F,0)),"")-IFERROR(INDEX('Planning Pauses Dej'!$C:$C,MATCH($B213&amp;"|"&amp;TEXT($Q213,"YYYYMMDD"),'Planning Pauses Dej'!$F:$F,0)),"")),0)),"")</f>
        <v/>
      </c>
      <c r="I213" s="251">
        <f>IF(IF(OR(C213="",D213="Congé",D213="OFF",D213="Congé spécial"),"",IF(D213&gt;F213,D213-C213,IF(C213-D213&lt;0,0,C213-D213)))&lt;0.00068287037037037,"",IF(OR(D213="Congé",D213="OFF",C213="",D213="Congé spécial"),"",IF(D213&gt;F213,D213-C213,IF(C213-D213&lt;0,0,C213-D213))))</f>
        <v/>
      </c>
      <c r="J213" s="406">
        <f>IFERROR(IF($G213="","",IF($G213&gt;TIME(1,0,0),$G213-TIME(1,0,0),0)),"")</f>
        <v/>
      </c>
      <c r="K213" s="238">
        <f>IF(SUM(H213:J213)&lt;0.00068287037037037,0,SUM(H213:J213))</f>
        <v/>
      </c>
      <c r="L213" s="236">
        <f>IF(OR(F213="Congé",F213="OFF",M213="Abs",F213="Congé sans solde",F213="Férié",F213="Congé spécial",D213="Congé spécial"),0,IF(F213-E213&lt;0,0,IF(F213-E213&lt;=0.00068287037037037,0,F213-E213)))</f>
        <v/>
      </c>
      <c r="M213" s="239">
        <f>IF(AND(O213&lt;&gt;0,C213=""),"Abs",0)</f>
        <v/>
      </c>
      <c r="N213" s="240">
        <f>IFERROR(IF(OR(D213="OFF",D213="Congé",M213="Abs",D213="Congé sans solde",D213="Férié"),"",IF(O213-K213-L213&gt;O213,O213,IF(O213-K213-L213&lt;0,"",O213-K213-L213))),"")</f>
        <v/>
      </c>
      <c r="O213" s="241">
        <f>IF(AG213="2H Pause déjeuner",IF(F213-D213-0.0833333333333333&lt;0,F213-D213-0.0833333333333333+1,F213-D213-0.0833333333333333),IF(OR(AND(F213="OFF",D213="OFF"),AND(F213="Congé",D213="Congé"),AND(F213="Congé sans solde",D213="Congé sans solde"),AND(F213="Congé spécial",D213="Congé spécial"),AND(F213="Férié",D213="Férié"),AND(F213="OFF",D213="Congé"),AND(F213="OFF",D213="Congé sans solde"),AND(F213="OFF",D213="Congé spécial"),AND(F213="OFF",D213="Férié"),AND(F213="Congé",D213="OFF"),AND(F213="Congé",D213="Congé sans solde"),AND(F213="Congé",D213="Congé spécial"),AND(F213="Congé",D213="Férié"),AND(F213="Congé sans solde",D213="OFF"),AND(F213="Congé sans solde",D213="Congé"),AND(F213="Congé sans solde",D213="Congé spécial"),AND(F213="Congé sans solde",D213="Férié"),AND(F213="Congé spécial",D213="OFF"),AND(F213="Congé spécial",D213="Congé"),AND(F213="Congé spécial",D213="Congé sans solde"),AND(F213="Congé spécial",D213="Férié"),AND(F213="Férié",D213="OFF"),AND(F213="Férié",D213="Congé"),AND(F213="Férié",D213="Congé sans solde"),AND(F213="Férié",D213="Congé spécial")),0,IF(OR(F213="OFF",F213="Congé",F213="Congé spécial",F213="Congé sans solde",D213="OFF",D213="Congé",D213="Congé spécial",D213="Congé sans solde"),0.208333333333334,IF(AND(AG213="",F213-D213&lt;0),("24:00:00"-D213)+("00:00:00"+F213)-0.0416666666666667,IF(AND(OR(AG213="Allaitement",AG213="Sans déjeuner"),F213-D213&lt;0),("24:00:00"-D213)+("00:00:00"+F213),IF(AND(AG213="",F213-D213&gt;0.166666666666667),F213-D213-0.0416666666666667,IF(AND(OR(AG213="Allaitement",AG213="Sans déjeuner"),F213-D213&gt;0.166666666666667),F213-D213,F213-D213)))))))</f>
        <v/>
      </c>
      <c r="P213" s="242">
        <f>IFERROR(VLOOKUP($B213,Annuaire_roster!$B:$G,MATCH(P$1,Annuaire_roster!$B$1:$G$1,0),0),"-")</f>
        <v/>
      </c>
      <c r="Q213" s="243" t="n">
        <v>44767</v>
      </c>
      <c r="R213" s="244">
        <f>IF(M213="Abs",O213,0)</f>
        <v/>
      </c>
      <c r="S213" s="244">
        <f>SUM(R213,L213,I213,J213,W213,H213)</f>
        <v/>
      </c>
      <c r="T213" s="209">
        <f>"Sem - "&amp;WEEKNUM(Q213,21)</f>
        <v/>
      </c>
      <c r="U213" s="209">
        <f>PROPER(TEXT(Q213,"mmmm"))</f>
        <v/>
      </c>
      <c r="V213" s="245">
        <f>+TEXT(Q213,"aaa")</f>
        <v/>
      </c>
      <c r="W213" s="240" t="n"/>
      <c r="X213" s="246">
        <f>IFERROR(IF(M213="Abs",0,IF((D213-C213+E213-F213)&lt;0.000694444444444444,0,(D213-C213+E213-F213))),0)</f>
        <v/>
      </c>
      <c r="Y213" s="247">
        <f>IFERROR(VLOOKUP(B213,Annuaire_roster!B:E,4,0),"-")</f>
        <v/>
      </c>
      <c r="Z213" s="247">
        <f>IFERROR(VLOOKUP(B213,Annuaire_roster!B:F,3,0),"-")</f>
        <v/>
      </c>
      <c r="AA213" s="247">
        <f>IFERROR(VLOOKUP(B213,Annuaire_roster!B:I,6,0),"-")</f>
        <v/>
      </c>
      <c r="AB213" s="248">
        <f>IF(AND(D213="Congé",F213="Congé"),0.333333333333333,IF(OR(AND(D213="Congé",F213&lt;&gt;"Congé"),(AND(F213="Congé",D213&lt;&gt;"Congé"))),0.166666666666667,""))</f>
        <v/>
      </c>
      <c r="AC213" s="248">
        <f>IF(AND(D213="Congé sans solde",F213="Congé sans solde"),0.333333333333333,IF(OR(AND(D213="Congé sans solde",F213&lt;&gt;"Congé sans solde"),(AND(F213="Congé sans solde",D213&lt;&gt;"Congé sans solde"))),0.166666666666667,""))</f>
        <v/>
      </c>
      <c r="AD213" s="248">
        <f>IF(AND(D213="Congé spécial",F213="Congé spécial"),0.333333333333333,IF(OR(AND(D213="Congé spécial",F213&lt;&gt;"Congé décès"),(AND(F213="Congé spécial",D213&lt;&gt;"Congé spécial"))),0.166666666666667,""))</f>
        <v/>
      </c>
      <c r="AE213" s="249">
        <f>IF(AND(D213="Férié",F213="Férié"),0.333333333333333,IF(OR(AND(D213="Férié",F213&lt;&gt;"Férié"),(AND(F213="Férié",D213&lt;&gt;"Férié"))),0.166666666666667,""))</f>
        <v/>
      </c>
      <c r="AF213" s="249" t="n"/>
      <c r="AG213" s="244" t="n"/>
    </row>
    <row r="214" hidden="1" ht="12.75" customHeight="1" s="231">
      <c r="A214" s="232">
        <f>VLOOKUP(B214,Annuaire_roster!B:F,5,0)</f>
        <v/>
      </c>
      <c r="B214" s="233" t="inlineStr">
        <is>
          <t>AZHARI ABDELHAMID</t>
        </is>
      </c>
      <c r="C214" s="234">
        <f>IFERROR(IF(COUNTIFS(Connexions!$K:$K,$Q214,Connexions!$E:$E,VLOOKUP($B214,Mapping_Noms!$A:$B,2,0))=0,"",_xlfn.MINIFS(Connexions!$M:$M,Connexions!$K:$K,$Q214,Connexions!$E:$E,VLOOKUP($B214,Mapping_Noms!$A:$B,2,0))-TIME(1,0,0)),"")</f>
        <v/>
      </c>
      <c r="D214" s="234">
        <f t="array" ref="D214:D214">IFERROR(INDEX(Planning2[],MATCH(1,(Planning2[Nom]=B214)*(Planning2[Date]=Q214),0),3),"-")</f>
        <v/>
      </c>
      <c r="E214" s="235">
        <f>IFERROR(IF(COUNTIFS(Connexions!$K:$K,$Q214,Connexions!$E:$E,VLOOKUP($B214,Mapping_Noms!$A:$B,2,0))=0,"",_xlfn.MAXIFS(Connexions!$O:$O,Connexions!$K:$K,$Q214,Connexions!$E:$E,VLOOKUP($B214,Mapping_Noms!$A:$B,2,0))-TIME(1,0,0)),"")</f>
        <v/>
      </c>
      <c r="F214" s="235">
        <f t="array" ref="F214:F214">IFERROR(INDEX(Planning2[],MATCH(1,(Planning2[Nom]=B214)*(Planning2[Date]=Q214),0),4),"-")</f>
        <v/>
      </c>
      <c r="G214" s="405">
        <f>IFERROR(IF(OR(IFERROR(INDEX('Planning Pauses Dej'!$C:$C,MATCH($B214&amp;"|"&amp;TEXT($Q214,"YYYYMMDD"),'Planning Pauses Dej'!$F:$F,0)),"")="",IFERROR(INDEX('Planning Pauses Dej'!$D:$D,MATCH($B214&amp;"|"&amp;TEXT($Q214,"YYYYMMDD"),'Planning Pauses Dej'!$F:$F,0)),"")=""),"",_xlfn.MAXIFS(Connexions!$Q:$Q,Connexions!$K:$K,$Q214,Connexions!$E:$E,VLOOKUP($B214,Mapping_Noms!$A:$B,2,0),Connexions!$O:$O,"&lt;="&amp;(IFERROR(INDEX('Planning Pauses Dej'!$D:$D,MATCH($B214&amp;"|"&amp;TEXT($Q214,"YYYYMMDD"),'Planning Pauses Dej'!$F:$F,0)),"")+TIME(1,0,0)),Connexions!$P:$P,"&gt;="&amp;(IFERROR(INDEX('Planning Pauses Dej'!$C:$C,MATCH($B214&amp;"|"&amp;TEXT($Q214,"YYYYMMDD"),'Planning Pauses Dej'!$F:$F,0)),"")+TIME(1,0,0)))),"")</f>
        <v/>
      </c>
      <c r="H214" s="405">
        <f>IFERROR(IF(OR($G214="",IFERROR(INDEX('Planning Pauses Dej'!$C:$C,MATCH($B214&amp;"|"&amp;TEXT($Q214,"YYYYMMDD"),'Planning Pauses Dej'!$F:$F,0)),"")="",IFERROR(INDEX('Planning Pauses Dej'!$D:$D,MATCH($B214&amp;"|"&amp;TEXT($Q214,"YYYYMMDD"),'Planning Pauses Dej'!$F:$F,0)),"")=""),"",IF($G214&gt;(IFERROR(INDEX('Planning Pauses Dej'!$D:$D,MATCH($B214&amp;"|"&amp;TEXT($Q214,"YYYYMMDD"),'Planning Pauses Dej'!$F:$F,0)),"")-IFERROR(INDEX('Planning Pauses Dej'!$C:$C,MATCH($B214&amp;"|"&amp;TEXT($Q214,"YYYYMMDD"),'Planning Pauses Dej'!$F:$F,0)),"")),$G214-(IFERROR(INDEX('Planning Pauses Dej'!$D:$D,MATCH($B214&amp;"|"&amp;TEXT($Q214,"YYYYMMDD"),'Planning Pauses Dej'!$F:$F,0)),"")-IFERROR(INDEX('Planning Pauses Dej'!$C:$C,MATCH($B214&amp;"|"&amp;TEXT($Q214,"YYYYMMDD"),'Planning Pauses Dej'!$F:$F,0)),"")),0)),"")</f>
        <v/>
      </c>
      <c r="I214" s="251">
        <f>IF(IF(OR(C214="",D214="Congé",D214="OFF",D214="Congé spécial"),"",IF(D214&gt;F214,D214-C214,IF(C214-D214&lt;0,0,C214-D214)))&lt;0.00068287037037037,"",IF(OR(D214="Congé",D214="OFF",C214="",D214="Congé spécial"),"",IF(D214&gt;F214,D214-C214,IF(C214-D214&lt;0,0,C214-D214))))</f>
        <v/>
      </c>
      <c r="J214" s="406">
        <f>IFERROR(IF($G214="","",IF($G214&gt;TIME(1,0,0),$G214-TIME(1,0,0),0)),"")</f>
        <v/>
      </c>
      <c r="K214" s="238">
        <f>IF(SUM(H214:J214)&lt;0.00068287037037037,0,SUM(H214:J214))</f>
        <v/>
      </c>
      <c r="L214" s="236">
        <f>IF(OR(F214="Congé",F214="OFF",M214="Abs",F214="Congé sans solde",F214="Férié",F214="Congé spécial",D214="Congé spécial"),0,IF(F214-E214&lt;0,0,IF(F214-E214&lt;=0.00068287037037037,0,F214-E214)))</f>
        <v/>
      </c>
      <c r="M214" s="239">
        <f>IF(AND(O214&lt;&gt;0,C214=""),"Abs",0)</f>
        <v/>
      </c>
      <c r="N214" s="240">
        <f>IFERROR(IF(OR(D214="OFF",D214="Congé",M214="Abs",D214="Congé sans solde",D214="Férié"),"",IF(O214-K214-L214&gt;O214,O214,IF(O214-K214-L214&lt;0,"",O214-K214-L214))),"")</f>
        <v/>
      </c>
      <c r="O214" s="241">
        <f>IF(AG214="2H Pause déjeuner",IF(F214-D214-0.0833333333333333&lt;0,F214-D214-0.0833333333333333+1,F214-D214-0.0833333333333333),IF(OR(AND(F214="OFF",D214="OFF"),AND(F214="Congé",D214="Congé"),AND(F214="Congé sans solde",D214="Congé sans solde"),AND(F214="Congé spécial",D214="Congé spécial"),AND(F214="Férié",D214="Férié"),AND(F214="OFF",D214="Congé"),AND(F214="OFF",D214="Congé sans solde"),AND(F214="OFF",D214="Congé spécial"),AND(F214="OFF",D214="Férié"),AND(F214="Congé",D214="OFF"),AND(F214="Congé",D214="Congé sans solde"),AND(F214="Congé",D214="Congé spécial"),AND(F214="Congé",D214="Férié"),AND(F214="Congé sans solde",D214="OFF"),AND(F214="Congé sans solde",D214="Congé"),AND(F214="Congé sans solde",D214="Congé spécial"),AND(F214="Congé sans solde",D214="Férié"),AND(F214="Congé spécial",D214="OFF"),AND(F214="Congé spécial",D214="Congé"),AND(F214="Congé spécial",D214="Congé sans solde"),AND(F214="Congé spécial",D214="Férié"),AND(F214="Férié",D214="OFF"),AND(F214="Férié",D214="Congé"),AND(F214="Férié",D214="Congé sans solde"),AND(F214="Férié",D214="Congé spécial")),0,IF(OR(F214="OFF",F214="Congé",F214="Congé spécial",F214="Congé sans solde",D214="OFF",D214="Congé",D214="Congé spécial",D214="Congé sans solde"),0.208333333333334,IF(AND(AG214="",F214-D214&lt;0),("24:00:00"-D214)+("00:00:00"+F214)-0.0416666666666667,IF(AND(OR(AG214="Allaitement",AG214="Sans déjeuner"),F214-D214&lt;0),("24:00:00"-D214)+("00:00:00"+F214),IF(AND(AG214="",F214-D214&gt;0.166666666666667),F214-D214-0.0416666666666667,IF(AND(OR(AG214="Allaitement",AG214="Sans déjeuner"),F214-D214&gt;0.166666666666667),F214-D214,F214-D214)))))))</f>
        <v/>
      </c>
      <c r="P214" s="242">
        <f>IFERROR(VLOOKUP($B214,Annuaire_roster!$B:$G,MATCH(P$1,Annuaire_roster!$B$1:$G$1,0),0),"-")</f>
        <v/>
      </c>
      <c r="Q214" s="243" t="n">
        <v>44767</v>
      </c>
      <c r="R214" s="244">
        <f>IF(M214="Abs",O214,0)</f>
        <v/>
      </c>
      <c r="S214" s="244">
        <f>SUM(R214,L214,I214,J214,W214,H214)</f>
        <v/>
      </c>
      <c r="T214" s="209">
        <f>"Sem - "&amp;WEEKNUM(Q214,21)</f>
        <v/>
      </c>
      <c r="U214" s="209">
        <f>PROPER(TEXT(Q214,"mmmm"))</f>
        <v/>
      </c>
      <c r="V214" s="245">
        <f>+TEXT(Q214,"aaa")</f>
        <v/>
      </c>
      <c r="W214" s="240" t="n"/>
      <c r="X214" s="246">
        <f>IFERROR(IF(M214="Abs",0,IF((D214-C214+E214-F214)&lt;0.000694444444444444,0,(D214-C214+E214-F214))),0)</f>
        <v/>
      </c>
      <c r="Y214" s="247">
        <f>IFERROR(VLOOKUP(B214,Annuaire_roster!B:E,4,0),"-")</f>
        <v/>
      </c>
      <c r="Z214" s="247">
        <f>IFERROR(VLOOKUP(B214,Annuaire_roster!B:F,3,0),"-")</f>
        <v/>
      </c>
      <c r="AA214" s="247">
        <f>IFERROR(VLOOKUP(B214,Annuaire_roster!B:I,6,0),"-")</f>
        <v/>
      </c>
      <c r="AB214" s="248">
        <f>IF(AND(D214="Congé",F214="Congé"),0.333333333333333,IF(OR(AND(D214="Congé",F214&lt;&gt;"Congé"),(AND(F214="Congé",D214&lt;&gt;"Congé"))),0.166666666666667,""))</f>
        <v/>
      </c>
      <c r="AC214" s="248">
        <f>IF(AND(D214="Congé sans solde",F214="Congé sans solde"),0.333333333333333,IF(OR(AND(D214="Congé sans solde",F214&lt;&gt;"Congé sans solde"),(AND(F214="Congé sans solde",D214&lt;&gt;"Congé sans solde"))),0.166666666666667,""))</f>
        <v/>
      </c>
      <c r="AD214" s="248">
        <f>IF(AND(D214="Congé spécial",F214="Congé spécial"),0.333333333333333,IF(OR(AND(D214="Congé spécial",F214&lt;&gt;"Congé décès"),(AND(F214="Congé spécial",D214&lt;&gt;"Congé spécial"))),0.166666666666667,""))</f>
        <v/>
      </c>
      <c r="AE214" s="249">
        <f>IF(AND(D214="Férié",F214="Férié"),0.333333333333333,IF(OR(AND(D214="Férié",F214&lt;&gt;"Férié"),(AND(F214="Férié",D214&lt;&gt;"Férié"))),0.166666666666667,""))</f>
        <v/>
      </c>
      <c r="AF214" s="249" t="n"/>
      <c r="AG214" s="244" t="n"/>
    </row>
    <row r="215" hidden="1" ht="12.75" customHeight="1" s="231">
      <c r="A215" s="232">
        <f>VLOOKUP(B215,Annuaire_roster!B:F,5,0)</f>
        <v/>
      </c>
      <c r="B215" s="233" t="inlineStr">
        <is>
          <t>NUNEZ LUCIEN BERNARD</t>
        </is>
      </c>
      <c r="C215" s="234">
        <f>IFERROR(IF(COUNTIFS(Connexions!$K:$K,$Q215,Connexions!$E:$E,VLOOKUP($B215,Mapping_Noms!$A:$B,2,0))=0,"",_xlfn.MINIFS(Connexions!$M:$M,Connexions!$K:$K,$Q215,Connexions!$E:$E,VLOOKUP($B215,Mapping_Noms!$A:$B,2,0))-TIME(1,0,0)),"")</f>
        <v/>
      </c>
      <c r="D215" s="234">
        <f t="array" ref="D215:D215">IFERROR(INDEX(Planning2[],MATCH(1,(Planning2[Nom]=B215)*(Planning2[Date]=Q215),0),3),"-")</f>
        <v/>
      </c>
      <c r="E215" s="235">
        <f>IFERROR(IF(COUNTIFS(Connexions!$K:$K,$Q215,Connexions!$E:$E,VLOOKUP($B215,Mapping_Noms!$A:$B,2,0))=0,"",_xlfn.MAXIFS(Connexions!$O:$O,Connexions!$K:$K,$Q215,Connexions!$E:$E,VLOOKUP($B215,Mapping_Noms!$A:$B,2,0))-TIME(1,0,0)),"")</f>
        <v/>
      </c>
      <c r="F215" s="235">
        <f t="array" ref="F215:F215">IFERROR(INDEX(Planning2[],MATCH(1,(Planning2[Nom]=B215)*(Planning2[Date]=Q215),0),4),"-")</f>
        <v/>
      </c>
      <c r="G215" s="405">
        <f>IFERROR(IF(OR(IFERROR(INDEX('Planning Pauses Dej'!$C:$C,MATCH($B215&amp;"|"&amp;TEXT($Q215,"YYYYMMDD"),'Planning Pauses Dej'!$F:$F,0)),"")="",IFERROR(INDEX('Planning Pauses Dej'!$D:$D,MATCH($B215&amp;"|"&amp;TEXT($Q215,"YYYYMMDD"),'Planning Pauses Dej'!$F:$F,0)),"")=""),"",_xlfn.MAXIFS(Connexions!$Q:$Q,Connexions!$K:$K,$Q215,Connexions!$E:$E,VLOOKUP($B215,Mapping_Noms!$A:$B,2,0),Connexions!$O:$O,"&lt;="&amp;(IFERROR(INDEX('Planning Pauses Dej'!$D:$D,MATCH($B215&amp;"|"&amp;TEXT($Q215,"YYYYMMDD"),'Planning Pauses Dej'!$F:$F,0)),"")+TIME(1,0,0)),Connexions!$P:$P,"&gt;="&amp;(IFERROR(INDEX('Planning Pauses Dej'!$C:$C,MATCH($B215&amp;"|"&amp;TEXT($Q215,"YYYYMMDD"),'Planning Pauses Dej'!$F:$F,0)),"")+TIME(1,0,0)))),"")</f>
        <v/>
      </c>
      <c r="H215" s="405">
        <f>IFERROR(IF(OR($G215="",IFERROR(INDEX('Planning Pauses Dej'!$C:$C,MATCH($B215&amp;"|"&amp;TEXT($Q215,"YYYYMMDD"),'Planning Pauses Dej'!$F:$F,0)),"")="",IFERROR(INDEX('Planning Pauses Dej'!$D:$D,MATCH($B215&amp;"|"&amp;TEXT($Q215,"YYYYMMDD"),'Planning Pauses Dej'!$F:$F,0)),"")=""),"",IF($G215&gt;(IFERROR(INDEX('Planning Pauses Dej'!$D:$D,MATCH($B215&amp;"|"&amp;TEXT($Q215,"YYYYMMDD"),'Planning Pauses Dej'!$F:$F,0)),"")-IFERROR(INDEX('Planning Pauses Dej'!$C:$C,MATCH($B215&amp;"|"&amp;TEXT($Q215,"YYYYMMDD"),'Planning Pauses Dej'!$F:$F,0)),"")),$G215-(IFERROR(INDEX('Planning Pauses Dej'!$D:$D,MATCH($B215&amp;"|"&amp;TEXT($Q215,"YYYYMMDD"),'Planning Pauses Dej'!$F:$F,0)),"")-IFERROR(INDEX('Planning Pauses Dej'!$C:$C,MATCH($B215&amp;"|"&amp;TEXT($Q215,"YYYYMMDD"),'Planning Pauses Dej'!$F:$F,0)),"")),0)),"")</f>
        <v/>
      </c>
      <c r="I215" s="251">
        <f>IF(IF(OR(C215="",D215="Congé",D215="OFF",D215="Congé spécial"),"",IF(D215&gt;F215,D215-C215,IF(C215-D215&lt;0,0,C215-D215)))&lt;0.00068287037037037,"",IF(OR(D215="Congé",D215="OFF",C215="",D215="Congé spécial"),"",IF(D215&gt;F215,D215-C215,IF(C215-D215&lt;0,0,C215-D215))))</f>
        <v/>
      </c>
      <c r="J215" s="406">
        <f>IFERROR(IF($G215="","",IF($G215&gt;TIME(1,0,0),$G215-TIME(1,0,0),0)),"")</f>
        <v/>
      </c>
      <c r="K215" s="238">
        <f>IF(SUM(H215:J215)&lt;0.00068287037037037,0,SUM(H215:J215))</f>
        <v/>
      </c>
      <c r="L215" s="236">
        <f>IF(OR(F215="Congé",F215="OFF",M215="Abs",F215="Congé sans solde",F215="Férié",F215="Congé spécial",D215="Congé spécial"),0,IF(F215-E215&lt;0,0,IF(F215-E215&lt;=0.00068287037037037,0,F215-E215)))</f>
        <v/>
      </c>
      <c r="M215" s="239">
        <f>IF(AND(O215&lt;&gt;0,C215=""),"Abs",0)</f>
        <v/>
      </c>
      <c r="N215" s="240">
        <f>IFERROR(IF(OR(D215="OFF",D215="Congé",M215="Abs",D215="Congé sans solde",D215="Férié"),"",IF(O215-K215-L215&gt;O215,O215,IF(O215-K215-L215&lt;0,"",O215-K215-L215))),"")</f>
        <v/>
      </c>
      <c r="O215" s="241">
        <f>IF(AG215="2H Pause déjeuner",IF(F215-D215-0.0833333333333333&lt;0,F215-D215-0.0833333333333333+1,F215-D215-0.0833333333333333),IF(OR(AND(F215="OFF",D215="OFF"),AND(F215="Congé",D215="Congé"),AND(F215="Congé sans solde",D215="Congé sans solde"),AND(F215="Congé spécial",D215="Congé spécial"),AND(F215="Férié",D215="Férié"),AND(F215="OFF",D215="Congé"),AND(F215="OFF",D215="Congé sans solde"),AND(F215="OFF",D215="Congé spécial"),AND(F215="OFF",D215="Férié"),AND(F215="Congé",D215="OFF"),AND(F215="Congé",D215="Congé sans solde"),AND(F215="Congé",D215="Congé spécial"),AND(F215="Congé",D215="Férié"),AND(F215="Congé sans solde",D215="OFF"),AND(F215="Congé sans solde",D215="Congé"),AND(F215="Congé sans solde",D215="Congé spécial"),AND(F215="Congé sans solde",D215="Férié"),AND(F215="Congé spécial",D215="OFF"),AND(F215="Congé spécial",D215="Congé"),AND(F215="Congé spécial",D215="Congé sans solde"),AND(F215="Congé spécial",D215="Férié"),AND(F215="Férié",D215="OFF"),AND(F215="Férié",D215="Congé"),AND(F215="Férié",D215="Congé sans solde"),AND(F215="Férié",D215="Congé spécial")),0,IF(OR(F215="OFF",F215="Congé",F215="Congé spécial",F215="Congé sans solde",D215="OFF",D215="Congé",D215="Congé spécial",D215="Congé sans solde"),0.208333333333334,IF(AND(AG215="",F215-D215&lt;0),("24:00:00"-D215)+("00:00:00"+F215)-0.0416666666666667,IF(AND(OR(AG215="Allaitement",AG215="Sans déjeuner"),F215-D215&lt;0),("24:00:00"-D215)+("00:00:00"+F215),IF(AND(AG215="",F215-D215&gt;0.166666666666667),F215-D215-0.0416666666666667,IF(AND(OR(AG215="Allaitement",AG215="Sans déjeuner"),F215-D215&gt;0.166666666666667),F215-D215,F215-D215)))))))</f>
        <v/>
      </c>
      <c r="P215" s="242">
        <f>IFERROR(VLOOKUP($B215,Annuaire_roster!$B:$G,MATCH(P$1,Annuaire_roster!$B$1:$G$1,0),0),"-")</f>
        <v/>
      </c>
      <c r="Q215" s="243" t="n">
        <v>44767</v>
      </c>
      <c r="R215" s="244">
        <f>IF(M215="Abs",O215,0)</f>
        <v/>
      </c>
      <c r="S215" s="244">
        <f>SUM(R215,L215,I215,J215,W215,H215)</f>
        <v/>
      </c>
      <c r="T215" s="209">
        <f>"Sem - "&amp;WEEKNUM(Q215,21)</f>
        <v/>
      </c>
      <c r="U215" s="209">
        <f>PROPER(TEXT(Q215,"mmmm"))</f>
        <v/>
      </c>
      <c r="V215" s="245">
        <f>+TEXT(Q215,"aaa")</f>
        <v/>
      </c>
      <c r="W215" s="240" t="n"/>
      <c r="X215" s="246">
        <f>IFERROR(IF(M215="Abs",0,IF((D215-C215+E215-F215)&lt;0.000694444444444444,0,(D215-C215+E215-F215))),0)</f>
        <v/>
      </c>
      <c r="Y215" s="247">
        <f>IFERROR(VLOOKUP(B215,Annuaire_roster!B:E,4,0),"-")</f>
        <v/>
      </c>
      <c r="Z215" s="247">
        <f>IFERROR(VLOOKUP(B215,Annuaire_roster!B:F,3,0),"-")</f>
        <v/>
      </c>
      <c r="AA215" s="247">
        <f>IFERROR(VLOOKUP(B215,Annuaire_roster!B:I,6,0),"-")</f>
        <v/>
      </c>
      <c r="AB215" s="248">
        <f>IF(AND(D215="Congé",F215="Congé"),0.333333333333333,IF(OR(AND(D215="Congé",F215&lt;&gt;"Congé"),(AND(F215="Congé",D215&lt;&gt;"Congé"))),0.166666666666667,""))</f>
        <v/>
      </c>
      <c r="AC215" s="248">
        <f>IF(AND(D215="Congé sans solde",F215="Congé sans solde"),0.333333333333333,IF(OR(AND(D215="Congé sans solde",F215&lt;&gt;"Congé sans solde"),(AND(F215="Congé sans solde",D215&lt;&gt;"Congé sans solde"))),0.166666666666667,""))</f>
        <v/>
      </c>
      <c r="AD215" s="248">
        <f>IF(AND(D215="Congé spécial",F215="Congé spécial"),0.333333333333333,IF(OR(AND(D215="Congé spécial",F215&lt;&gt;"Congé décès"),(AND(F215="Congé spécial",D215&lt;&gt;"Congé spécial"))),0.166666666666667,""))</f>
        <v/>
      </c>
      <c r="AE215" s="249">
        <f>IF(AND(D215="Férié",F215="Férié"),0.333333333333333,IF(OR(AND(D215="Férié",F215&lt;&gt;"Férié"),(AND(F215="Férié",D215&lt;&gt;"Férié"))),0.166666666666667,""))</f>
        <v/>
      </c>
      <c r="AF215" s="249" t="n"/>
      <c r="AG215" s="244" t="n"/>
    </row>
    <row r="216" hidden="1" ht="12.75" customHeight="1" s="231">
      <c r="A216" s="232">
        <f>VLOOKUP(B216,Annuaire_roster!B:F,5,0)</f>
        <v/>
      </c>
      <c r="B216" s="233" t="inlineStr">
        <is>
          <t xml:space="preserve">LALOUN MANAL </t>
        </is>
      </c>
      <c r="C216" s="234">
        <f>IFERROR(IF(COUNTIFS(Connexions!$K:$K,$Q216,Connexions!$E:$E,VLOOKUP($B216,Mapping_Noms!$A:$B,2,0))=0,"",_xlfn.MINIFS(Connexions!$M:$M,Connexions!$K:$K,$Q216,Connexions!$E:$E,VLOOKUP($B216,Mapping_Noms!$A:$B,2,0))-TIME(1,0,0)),"")</f>
        <v/>
      </c>
      <c r="D216" s="234">
        <f t="array" ref="D216:D216">IFERROR(INDEX(Planning2[],MATCH(1,(Planning2[Nom]=B216)*(Planning2[Date]=Q216),0),3),"-")</f>
        <v/>
      </c>
      <c r="E216" s="235">
        <f>IFERROR(IF(COUNTIFS(Connexions!$K:$K,$Q216,Connexions!$E:$E,VLOOKUP($B216,Mapping_Noms!$A:$B,2,0))=0,"",_xlfn.MAXIFS(Connexions!$O:$O,Connexions!$K:$K,$Q216,Connexions!$E:$E,VLOOKUP($B216,Mapping_Noms!$A:$B,2,0))-TIME(1,0,0)),"")</f>
        <v/>
      </c>
      <c r="F216" s="235">
        <f t="array" ref="F216:F216">IFERROR(INDEX(Planning2[],MATCH(1,(Planning2[Nom]=B216)*(Planning2[Date]=Q216),0),4),"-")</f>
        <v/>
      </c>
      <c r="G216" s="405">
        <f>IFERROR(IF(OR(IFERROR(INDEX('Planning Pauses Dej'!$C:$C,MATCH($B216&amp;"|"&amp;TEXT($Q216,"YYYYMMDD"),'Planning Pauses Dej'!$F:$F,0)),"")="",IFERROR(INDEX('Planning Pauses Dej'!$D:$D,MATCH($B216&amp;"|"&amp;TEXT($Q216,"YYYYMMDD"),'Planning Pauses Dej'!$F:$F,0)),"")=""),"",_xlfn.MAXIFS(Connexions!$Q:$Q,Connexions!$K:$K,$Q216,Connexions!$E:$E,VLOOKUP($B216,Mapping_Noms!$A:$B,2,0),Connexions!$O:$O,"&lt;="&amp;(IFERROR(INDEX('Planning Pauses Dej'!$D:$D,MATCH($B216&amp;"|"&amp;TEXT($Q216,"YYYYMMDD"),'Planning Pauses Dej'!$F:$F,0)),"")+TIME(1,0,0)),Connexions!$P:$P,"&gt;="&amp;(IFERROR(INDEX('Planning Pauses Dej'!$C:$C,MATCH($B216&amp;"|"&amp;TEXT($Q216,"YYYYMMDD"),'Planning Pauses Dej'!$F:$F,0)),"")+TIME(1,0,0)))),"")</f>
        <v/>
      </c>
      <c r="H216" s="405">
        <f>IFERROR(IF(OR($G216="",IFERROR(INDEX('Planning Pauses Dej'!$C:$C,MATCH($B216&amp;"|"&amp;TEXT($Q216,"YYYYMMDD"),'Planning Pauses Dej'!$F:$F,0)),"")="",IFERROR(INDEX('Planning Pauses Dej'!$D:$D,MATCH($B216&amp;"|"&amp;TEXT($Q216,"YYYYMMDD"),'Planning Pauses Dej'!$F:$F,0)),"")=""),"",IF($G216&gt;(IFERROR(INDEX('Planning Pauses Dej'!$D:$D,MATCH($B216&amp;"|"&amp;TEXT($Q216,"YYYYMMDD"),'Planning Pauses Dej'!$F:$F,0)),"")-IFERROR(INDEX('Planning Pauses Dej'!$C:$C,MATCH($B216&amp;"|"&amp;TEXT($Q216,"YYYYMMDD"),'Planning Pauses Dej'!$F:$F,0)),"")),$G216-(IFERROR(INDEX('Planning Pauses Dej'!$D:$D,MATCH($B216&amp;"|"&amp;TEXT($Q216,"YYYYMMDD"),'Planning Pauses Dej'!$F:$F,0)),"")-IFERROR(INDEX('Planning Pauses Dej'!$C:$C,MATCH($B216&amp;"|"&amp;TEXT($Q216,"YYYYMMDD"),'Planning Pauses Dej'!$F:$F,0)),"")),0)),"")</f>
        <v/>
      </c>
      <c r="I216" s="251">
        <f>IF(IF(OR(C216="",D216="Congé",D216="OFF",D216="Congé spécial"),"",IF(D216&gt;F216,D216-C216,IF(C216-D216&lt;0,0,C216-D216)))&lt;0.00068287037037037,"",IF(OR(D216="Congé",D216="OFF",C216="",D216="Congé spécial"),"",IF(D216&gt;F216,D216-C216,IF(C216-D216&lt;0,0,C216-D216))))</f>
        <v/>
      </c>
      <c r="J216" s="406">
        <f>IFERROR(IF($G216="","",IF($G216&gt;TIME(1,0,0),$G216-TIME(1,0,0),0)),"")</f>
        <v/>
      </c>
      <c r="K216" s="238">
        <f>IF(SUM(H216:J216)&lt;0.00068287037037037,0,SUM(H216:J216))</f>
        <v/>
      </c>
      <c r="L216" s="236">
        <f>IF(OR(F216="Congé",F216="OFF",M216="Abs",F216="Congé sans solde",F216="Férié",F216="Congé spécial",D216="Congé spécial"),0,IF(F216-E216&lt;0,0,IF(F216-E216&lt;=0.00068287037037037,0,F216-E216)))</f>
        <v/>
      </c>
      <c r="M216" s="239">
        <f>IF(AND(O216&lt;&gt;0,C216=""),"Abs",0)</f>
        <v/>
      </c>
      <c r="N216" s="240">
        <f>IFERROR(IF(OR(D216="OFF",D216="Congé",M216="Abs",D216="Congé sans solde",D216="Férié"),"",IF(O216-K216-L216&gt;O216,O216,IF(O216-K216-L216&lt;0,"",O216-K216-L216))),"")</f>
        <v/>
      </c>
      <c r="O216" s="241">
        <f>IF(AG216="2H Pause déjeuner",IF(F216-D216-0.0833333333333333&lt;0,F216-D216-0.0833333333333333+1,F216-D216-0.0833333333333333),IF(OR(AND(F216="OFF",D216="OFF"),AND(F216="Congé",D216="Congé"),AND(F216="Congé sans solde",D216="Congé sans solde"),AND(F216="Congé spécial",D216="Congé spécial"),AND(F216="Férié",D216="Férié"),AND(F216="OFF",D216="Congé"),AND(F216="OFF",D216="Congé sans solde"),AND(F216="OFF",D216="Congé spécial"),AND(F216="OFF",D216="Férié"),AND(F216="Congé",D216="OFF"),AND(F216="Congé",D216="Congé sans solde"),AND(F216="Congé",D216="Congé spécial"),AND(F216="Congé",D216="Férié"),AND(F216="Congé sans solde",D216="OFF"),AND(F216="Congé sans solde",D216="Congé"),AND(F216="Congé sans solde",D216="Congé spécial"),AND(F216="Congé sans solde",D216="Férié"),AND(F216="Congé spécial",D216="OFF"),AND(F216="Congé spécial",D216="Congé"),AND(F216="Congé spécial",D216="Congé sans solde"),AND(F216="Congé spécial",D216="Férié"),AND(F216="Férié",D216="OFF"),AND(F216="Férié",D216="Congé"),AND(F216="Férié",D216="Congé sans solde"),AND(F216="Férié",D216="Congé spécial")),0,IF(OR(F216="OFF",F216="Congé",F216="Congé spécial",F216="Congé sans solde",D216="OFF",D216="Congé",D216="Congé spécial",D216="Congé sans solde"),0.208333333333334,IF(AND(AG216="",F216-D216&lt;0),("24:00:00"-D216)+("00:00:00"+F216)-0.0416666666666667,IF(AND(OR(AG216="Allaitement",AG216="Sans déjeuner"),F216-D216&lt;0),("24:00:00"-D216)+("00:00:00"+F216),IF(AND(AG216="",F216-D216&gt;0.166666666666667),F216-D216-0.0416666666666667,IF(AND(OR(AG216="Allaitement",AG216="Sans déjeuner"),F216-D216&gt;0.166666666666667),F216-D216,F216-D216)))))))</f>
        <v/>
      </c>
      <c r="P216" s="242">
        <f>IFERROR(VLOOKUP($B216,Annuaire_roster!$B:$G,MATCH(P$1,Annuaire_roster!$B$1:$G$1,0),0),"-")</f>
        <v/>
      </c>
      <c r="Q216" s="243" t="n">
        <v>44767</v>
      </c>
      <c r="R216" s="244">
        <f>IF(M216="Abs",O216,0)</f>
        <v/>
      </c>
      <c r="S216" s="244">
        <f>SUM(R216,L216,I216,J216,W216,H216)</f>
        <v/>
      </c>
      <c r="T216" s="209">
        <f>"Sem - "&amp;WEEKNUM(Q216,21)</f>
        <v/>
      </c>
      <c r="U216" s="209">
        <f>PROPER(TEXT(Q216,"mmmm"))</f>
        <v/>
      </c>
      <c r="V216" s="245">
        <f>+TEXT(Q216,"aaa")</f>
        <v/>
      </c>
      <c r="W216" s="240" t="n"/>
      <c r="X216" s="246">
        <f>IFERROR(IF(M216="Abs",0,IF((D216-C216+E216-F216)&lt;0.000694444444444444,0,(D216-C216+E216-F216))),0)</f>
        <v/>
      </c>
      <c r="Y216" s="247">
        <f>IFERROR(VLOOKUP(B216,Annuaire_roster!B:E,4,0),"-")</f>
        <v/>
      </c>
      <c r="Z216" s="247">
        <f>IFERROR(VLOOKUP(B216,Annuaire_roster!B:F,3,0),"-")</f>
        <v/>
      </c>
      <c r="AA216" s="247">
        <f>IFERROR(VLOOKUP(B216,Annuaire_roster!B:I,6,0),"-")</f>
        <v/>
      </c>
      <c r="AB216" s="248">
        <f>IF(AND(D216="Congé",F216="Congé"),0.333333333333333,IF(OR(AND(D216="Congé",F216&lt;&gt;"Congé"),(AND(F216="Congé",D216&lt;&gt;"Congé"))),0.166666666666667,""))</f>
        <v/>
      </c>
      <c r="AC216" s="248">
        <f>IF(AND(D216="Congé sans solde",F216="Congé sans solde"),0.333333333333333,IF(OR(AND(D216="Congé sans solde",F216&lt;&gt;"Congé sans solde"),(AND(F216="Congé sans solde",D216&lt;&gt;"Congé sans solde"))),0.166666666666667,""))</f>
        <v/>
      </c>
      <c r="AD216" s="248">
        <f>IF(AND(D216="Congé spécial",F216="Congé spécial"),0.333333333333333,IF(OR(AND(D216="Congé spécial",F216&lt;&gt;"Congé décès"),(AND(F216="Congé spécial",D216&lt;&gt;"Congé spécial"))),0.166666666666667,""))</f>
        <v/>
      </c>
      <c r="AE216" s="249">
        <f>IF(AND(D216="Férié",F216="Férié"),0.333333333333333,IF(OR(AND(D216="Férié",F216&lt;&gt;"Férié"),(AND(F216="Férié",D216&lt;&gt;"Férié"))),0.166666666666667,""))</f>
        <v/>
      </c>
      <c r="AF216" s="249" t="n"/>
      <c r="AG216" s="244" t="n"/>
    </row>
    <row r="217" hidden="1" ht="12.75" customHeight="1" s="231">
      <c r="A217" s="232">
        <f>VLOOKUP(B217,Annuaire_roster!B:F,5,0)</f>
        <v/>
      </c>
      <c r="B217" s="233" t="inlineStr">
        <is>
          <t>SIDIBE MOUSKEBA DALAFINA</t>
        </is>
      </c>
      <c r="C217" s="234">
        <f>IFERROR(IF(COUNTIFS(Connexions!$K:$K,$Q217,Connexions!$E:$E,VLOOKUP($B217,Mapping_Noms!$A:$B,2,0))=0,"",_xlfn.MINIFS(Connexions!$M:$M,Connexions!$K:$K,$Q217,Connexions!$E:$E,VLOOKUP($B217,Mapping_Noms!$A:$B,2,0))-TIME(1,0,0)),"")</f>
        <v/>
      </c>
      <c r="D217" s="234">
        <f t="array" ref="D217:D217">IFERROR(INDEX(Planning2[],MATCH(1,(Planning2[Nom]=B217)*(Planning2[Date]=Q217),0),3),"-")</f>
        <v/>
      </c>
      <c r="E217" s="235">
        <f>IFERROR(IF(COUNTIFS(Connexions!$K:$K,$Q217,Connexions!$E:$E,VLOOKUP($B217,Mapping_Noms!$A:$B,2,0))=0,"",_xlfn.MAXIFS(Connexions!$O:$O,Connexions!$K:$K,$Q217,Connexions!$E:$E,VLOOKUP($B217,Mapping_Noms!$A:$B,2,0))-TIME(1,0,0)),"")</f>
        <v/>
      </c>
      <c r="F217" s="235">
        <f t="array" ref="F217:F217">IFERROR(INDEX(Planning2[],MATCH(1,(Planning2[Nom]=B217)*(Planning2[Date]=Q217),0),4),"-")</f>
        <v/>
      </c>
      <c r="G217" s="405">
        <f>IFERROR(IF(OR(IFERROR(INDEX('Planning Pauses Dej'!$C:$C,MATCH($B217&amp;"|"&amp;TEXT($Q217,"YYYYMMDD"),'Planning Pauses Dej'!$F:$F,0)),"")="",IFERROR(INDEX('Planning Pauses Dej'!$D:$D,MATCH($B217&amp;"|"&amp;TEXT($Q217,"YYYYMMDD"),'Planning Pauses Dej'!$F:$F,0)),"")=""),"",_xlfn.MAXIFS(Connexions!$Q:$Q,Connexions!$K:$K,$Q217,Connexions!$E:$E,VLOOKUP($B217,Mapping_Noms!$A:$B,2,0),Connexions!$O:$O,"&lt;="&amp;(IFERROR(INDEX('Planning Pauses Dej'!$D:$D,MATCH($B217&amp;"|"&amp;TEXT($Q217,"YYYYMMDD"),'Planning Pauses Dej'!$F:$F,0)),"")+TIME(1,0,0)),Connexions!$P:$P,"&gt;="&amp;(IFERROR(INDEX('Planning Pauses Dej'!$C:$C,MATCH($B217&amp;"|"&amp;TEXT($Q217,"YYYYMMDD"),'Planning Pauses Dej'!$F:$F,0)),"")+TIME(1,0,0)))),"")</f>
        <v/>
      </c>
      <c r="H217" s="405">
        <f>IFERROR(IF(OR($G217="",IFERROR(INDEX('Planning Pauses Dej'!$C:$C,MATCH($B217&amp;"|"&amp;TEXT($Q217,"YYYYMMDD"),'Planning Pauses Dej'!$F:$F,0)),"")="",IFERROR(INDEX('Planning Pauses Dej'!$D:$D,MATCH($B217&amp;"|"&amp;TEXT($Q217,"YYYYMMDD"),'Planning Pauses Dej'!$F:$F,0)),"")=""),"",IF($G217&gt;(IFERROR(INDEX('Planning Pauses Dej'!$D:$D,MATCH($B217&amp;"|"&amp;TEXT($Q217,"YYYYMMDD"),'Planning Pauses Dej'!$F:$F,0)),"")-IFERROR(INDEX('Planning Pauses Dej'!$C:$C,MATCH($B217&amp;"|"&amp;TEXT($Q217,"YYYYMMDD"),'Planning Pauses Dej'!$F:$F,0)),"")),$G217-(IFERROR(INDEX('Planning Pauses Dej'!$D:$D,MATCH($B217&amp;"|"&amp;TEXT($Q217,"YYYYMMDD"),'Planning Pauses Dej'!$F:$F,0)),"")-IFERROR(INDEX('Planning Pauses Dej'!$C:$C,MATCH($B217&amp;"|"&amp;TEXT($Q217,"YYYYMMDD"),'Planning Pauses Dej'!$F:$F,0)),"")),0)),"")</f>
        <v/>
      </c>
      <c r="I217" s="251">
        <f>IF(IF(OR(C217="",D217="Congé",D217="OFF",D217="Congé spécial"),"",IF(D217&gt;F217,D217-C217,IF(C217-D217&lt;0,0,C217-D217)))&lt;0.00068287037037037,"",IF(OR(D217="Congé",D217="OFF",C217="",D217="Congé spécial"),"",IF(D217&gt;F217,D217-C217,IF(C217-D217&lt;0,0,C217-D217))))</f>
        <v/>
      </c>
      <c r="J217" s="406">
        <f>IFERROR(IF($G217="","",IF($G217&gt;TIME(1,0,0),$G217-TIME(1,0,0),0)),"")</f>
        <v/>
      </c>
      <c r="K217" s="238">
        <f>IF(SUM(H217:J217)&lt;0.00068287037037037,0,SUM(H217:J217))</f>
        <v/>
      </c>
      <c r="L217" s="236">
        <f>IF(OR(F217="Congé",F217="OFF",M217="Abs",F217="Congé sans solde",F217="Férié",F217="Congé spécial",D217="Congé spécial"),0,IF(F217-E217&lt;0,0,IF(F217-E217&lt;=0.00068287037037037,0,F217-E217)))</f>
        <v/>
      </c>
      <c r="M217" s="239">
        <f>IF(AND(O217&lt;&gt;0,C217=""),"Abs",0)</f>
        <v/>
      </c>
      <c r="N217" s="240">
        <f>IFERROR(IF(OR(D217="OFF",D217="Congé",M217="Abs",D217="Congé sans solde",D217="Férié"),"",IF(O217-K217-L217&gt;O217,O217,IF(O217-K217-L217&lt;0,"",O217-K217-L217))),"")</f>
        <v/>
      </c>
      <c r="O217" s="241">
        <f>IF(AG217="2H Pause déjeuner",IF(F217-D217-0.0833333333333333&lt;0,F217-D217-0.0833333333333333+1,F217-D217-0.0833333333333333),IF(OR(AND(F217="OFF",D217="OFF"),AND(F217="Congé",D217="Congé"),AND(F217="Congé sans solde",D217="Congé sans solde"),AND(F217="Congé spécial",D217="Congé spécial"),AND(F217="Férié",D217="Férié"),AND(F217="OFF",D217="Congé"),AND(F217="OFF",D217="Congé sans solde"),AND(F217="OFF",D217="Congé spécial"),AND(F217="OFF",D217="Férié"),AND(F217="Congé",D217="OFF"),AND(F217="Congé",D217="Congé sans solde"),AND(F217="Congé",D217="Congé spécial"),AND(F217="Congé",D217="Férié"),AND(F217="Congé sans solde",D217="OFF"),AND(F217="Congé sans solde",D217="Congé"),AND(F217="Congé sans solde",D217="Congé spécial"),AND(F217="Congé sans solde",D217="Férié"),AND(F217="Congé spécial",D217="OFF"),AND(F217="Congé spécial",D217="Congé"),AND(F217="Congé spécial",D217="Congé sans solde"),AND(F217="Congé spécial",D217="Férié"),AND(F217="Férié",D217="OFF"),AND(F217="Férié",D217="Congé"),AND(F217="Férié",D217="Congé sans solde"),AND(F217="Férié",D217="Congé spécial")),0,IF(OR(F217="OFF",F217="Congé",F217="Congé spécial",F217="Congé sans solde",D217="OFF",D217="Congé",D217="Congé spécial",D217="Congé sans solde"),0.208333333333334,IF(AND(AG217="",F217-D217&lt;0),("24:00:00"-D217)+("00:00:00"+F217)-0.0416666666666667,IF(AND(OR(AG217="Allaitement",AG217="Sans déjeuner"),F217-D217&lt;0),("24:00:00"-D217)+("00:00:00"+F217),IF(AND(AG217="",F217-D217&gt;0.166666666666667),F217-D217-0.0416666666666667,IF(AND(OR(AG217="Allaitement",AG217="Sans déjeuner"),F217-D217&gt;0.166666666666667),F217-D217,F217-D217)))))))</f>
        <v/>
      </c>
      <c r="P217" s="242">
        <f>IFERROR(VLOOKUP($B217,Annuaire_roster!$B:$G,MATCH(P$1,Annuaire_roster!$B$1:$G$1,0),0),"-")</f>
        <v/>
      </c>
      <c r="Q217" s="243" t="n">
        <v>44767</v>
      </c>
      <c r="R217" s="244">
        <f>IF(M217="Abs",O217,0)</f>
        <v/>
      </c>
      <c r="S217" s="244">
        <f>SUM(R217,L217,I217,J217,W217,H217)</f>
        <v/>
      </c>
      <c r="T217" s="209">
        <f>"Sem - "&amp;WEEKNUM(Q217,21)</f>
        <v/>
      </c>
      <c r="U217" s="209">
        <f>PROPER(TEXT(Q217,"mmmm"))</f>
        <v/>
      </c>
      <c r="V217" s="245">
        <f>+TEXT(Q217,"aaa")</f>
        <v/>
      </c>
      <c r="W217" s="240" t="n"/>
      <c r="X217" s="246">
        <f>IFERROR(IF(M217="Abs",0,IF((D217-C217+E217-F217)&lt;0.000694444444444444,0,(D217-C217+E217-F217))),0)</f>
        <v/>
      </c>
      <c r="Y217" s="247">
        <f>IFERROR(VLOOKUP(B217,Annuaire_roster!B:E,4,0),"-")</f>
        <v/>
      </c>
      <c r="Z217" s="247">
        <f>IFERROR(VLOOKUP(B217,Annuaire_roster!B:F,3,0),"-")</f>
        <v/>
      </c>
      <c r="AA217" s="247">
        <f>IFERROR(VLOOKUP(B217,Annuaire_roster!B:I,6,0),"-")</f>
        <v/>
      </c>
      <c r="AB217" s="248">
        <f>IF(AND(D217="Congé",F217="Congé"),0.333333333333333,IF(OR(AND(D217="Congé",F217&lt;&gt;"Congé"),(AND(F217="Congé",D217&lt;&gt;"Congé"))),0.166666666666667,""))</f>
        <v/>
      </c>
      <c r="AC217" s="248">
        <f>IF(AND(D217="Congé sans solde",F217="Congé sans solde"),0.333333333333333,IF(OR(AND(D217="Congé sans solde",F217&lt;&gt;"Congé sans solde"),(AND(F217="Congé sans solde",D217&lt;&gt;"Congé sans solde"))),0.166666666666667,""))</f>
        <v/>
      </c>
      <c r="AD217" s="248">
        <f>IF(AND(D217="Congé spécial",F217="Congé spécial"),0.333333333333333,IF(OR(AND(D217="Congé spécial",F217&lt;&gt;"Congé décès"),(AND(F217="Congé spécial",D217&lt;&gt;"Congé spécial"))),0.166666666666667,""))</f>
        <v/>
      </c>
      <c r="AE217" s="249">
        <f>IF(AND(D217="Férié",F217="Férié"),0.333333333333333,IF(OR(AND(D217="Férié",F217&lt;&gt;"Férié"),(AND(F217="Férié",D217&lt;&gt;"Férié"))),0.166666666666667,""))</f>
        <v/>
      </c>
      <c r="AF217" s="249" t="n"/>
      <c r="AG217" s="244" t="n"/>
    </row>
    <row r="218" hidden="1" ht="12.75" customHeight="1" s="231">
      <c r="A218" s="232">
        <f>VLOOKUP(B218,Annuaire_roster!B:F,5,0)</f>
        <v/>
      </c>
      <c r="B218" s="233" t="inlineStr">
        <is>
          <t>BOULHROUD SALMA</t>
        </is>
      </c>
      <c r="C218" s="234">
        <f>IFERROR(IF(COUNTIFS(Connexions!$K:$K,$Q218,Connexions!$E:$E,VLOOKUP($B218,Mapping_Noms!$A:$B,2,0))=0,"",_xlfn.MINIFS(Connexions!$M:$M,Connexions!$K:$K,$Q218,Connexions!$E:$E,VLOOKUP($B218,Mapping_Noms!$A:$B,2,0))-TIME(1,0,0)),"")</f>
        <v/>
      </c>
      <c r="D218" s="234">
        <f t="array" ref="D218:D218">IFERROR(INDEX(Planning2[],MATCH(1,(Planning2[Nom]=B218)*(Planning2[Date]=Q218),0),3),"-")</f>
        <v/>
      </c>
      <c r="E218" s="235">
        <f>IFERROR(IF(COUNTIFS(Connexions!$K:$K,$Q218,Connexions!$E:$E,VLOOKUP($B218,Mapping_Noms!$A:$B,2,0))=0,"",_xlfn.MAXIFS(Connexions!$O:$O,Connexions!$K:$K,$Q218,Connexions!$E:$E,VLOOKUP($B218,Mapping_Noms!$A:$B,2,0))-TIME(1,0,0)),"")</f>
        <v/>
      </c>
      <c r="F218" s="235">
        <f t="array" ref="F218:F218">IFERROR(INDEX(Planning2[],MATCH(1,(Planning2[Nom]=B218)*(Planning2[Date]=Q218),0),4),"-")</f>
        <v/>
      </c>
      <c r="G218" s="405">
        <f>IFERROR(IF(OR(IFERROR(INDEX('Planning Pauses Dej'!$C:$C,MATCH($B218&amp;"|"&amp;TEXT($Q218,"YYYYMMDD"),'Planning Pauses Dej'!$F:$F,0)),"")="",IFERROR(INDEX('Planning Pauses Dej'!$D:$D,MATCH($B218&amp;"|"&amp;TEXT($Q218,"YYYYMMDD"),'Planning Pauses Dej'!$F:$F,0)),"")=""),"",_xlfn.MAXIFS(Connexions!$Q:$Q,Connexions!$K:$K,$Q218,Connexions!$E:$E,VLOOKUP($B218,Mapping_Noms!$A:$B,2,0),Connexions!$O:$O,"&lt;="&amp;(IFERROR(INDEX('Planning Pauses Dej'!$D:$D,MATCH($B218&amp;"|"&amp;TEXT($Q218,"YYYYMMDD"),'Planning Pauses Dej'!$F:$F,0)),"")+TIME(1,0,0)),Connexions!$P:$P,"&gt;="&amp;(IFERROR(INDEX('Planning Pauses Dej'!$C:$C,MATCH($B218&amp;"|"&amp;TEXT($Q218,"YYYYMMDD"),'Planning Pauses Dej'!$F:$F,0)),"")+TIME(1,0,0)))),"")</f>
        <v/>
      </c>
      <c r="H218" s="405">
        <f>IFERROR(IF(OR($G218="",IFERROR(INDEX('Planning Pauses Dej'!$C:$C,MATCH($B218&amp;"|"&amp;TEXT($Q218,"YYYYMMDD"),'Planning Pauses Dej'!$F:$F,0)),"")="",IFERROR(INDEX('Planning Pauses Dej'!$D:$D,MATCH($B218&amp;"|"&amp;TEXT($Q218,"YYYYMMDD"),'Planning Pauses Dej'!$F:$F,0)),"")=""),"",IF($G218&gt;(IFERROR(INDEX('Planning Pauses Dej'!$D:$D,MATCH($B218&amp;"|"&amp;TEXT($Q218,"YYYYMMDD"),'Planning Pauses Dej'!$F:$F,0)),"")-IFERROR(INDEX('Planning Pauses Dej'!$C:$C,MATCH($B218&amp;"|"&amp;TEXT($Q218,"YYYYMMDD"),'Planning Pauses Dej'!$F:$F,0)),"")),$G218-(IFERROR(INDEX('Planning Pauses Dej'!$D:$D,MATCH($B218&amp;"|"&amp;TEXT($Q218,"YYYYMMDD"),'Planning Pauses Dej'!$F:$F,0)),"")-IFERROR(INDEX('Planning Pauses Dej'!$C:$C,MATCH($B218&amp;"|"&amp;TEXT($Q218,"YYYYMMDD"),'Planning Pauses Dej'!$F:$F,0)),"")),0)),"")</f>
        <v/>
      </c>
      <c r="I218" s="237">
        <f>IF(IF(OR(C218="",D218="Congé",D218="OFF",D218="Congé spécial"),"",IF(D218&gt;F218,D218-C218,IF(C218-D218&lt;0,0,C218-D218)))&lt;0.00068287037037037,"",IF(OR(D218="Congé",D218="OFF",C218="",D218="Congé spécial"),"",IF(D218&gt;F218,D218-C218,IF(C218-D218&lt;0,0,C218-D218))))</f>
        <v/>
      </c>
      <c r="J218" s="406">
        <f>IFERROR(IF($G218="","",IF($G218&gt;TIME(1,0,0),$G218-TIME(1,0,0),0)),"")</f>
        <v/>
      </c>
      <c r="K218" s="238">
        <f>IF(SUM(H218:J218)&lt;0.00068287037037037,0,SUM(H218:J218))</f>
        <v/>
      </c>
      <c r="L218" s="236">
        <f>IF(OR(F218="Congé",F218="OFF",M218="Abs",F218="Congé sans solde",F218="Férié",F218="Congé spécial",D218="Congé spécial"),0,IF(F218-E218&lt;0,0,IF(F218-E218&lt;=0.00068287037037037,0,F218-E218)))</f>
        <v/>
      </c>
      <c r="M218" s="239">
        <f>IF(AND(O218&lt;&gt;0,C218=""),"Abs",0)</f>
        <v/>
      </c>
      <c r="N218" s="240">
        <f>IFERROR(IF(OR(D218="OFF",D218="Congé",M218="Abs",D218="Congé sans solde",D218="Férié"),"",IF(O218-K218-L218&gt;O218,O218,IF(O218-K218-L218&lt;0,"",O218-K218-L218))),"")</f>
        <v/>
      </c>
      <c r="O218" s="241">
        <f>IF(AG218="2H Pause déjeuner",IF(F218-D218-0.0833333333333333&lt;0,F218-D218-0.0833333333333333+1,F218-D218-0.0833333333333333),IF(OR(AND(F218="OFF",D218="OFF"),AND(F218="Congé",D218="Congé"),AND(F218="Congé sans solde",D218="Congé sans solde"),AND(F218="Congé spécial",D218="Congé spécial"),AND(F218="Férié",D218="Férié"),AND(F218="OFF",D218="Congé"),AND(F218="OFF",D218="Congé sans solde"),AND(F218="OFF",D218="Congé spécial"),AND(F218="OFF",D218="Férié"),AND(F218="Congé",D218="OFF"),AND(F218="Congé",D218="Congé sans solde"),AND(F218="Congé",D218="Congé spécial"),AND(F218="Congé",D218="Férié"),AND(F218="Congé sans solde",D218="OFF"),AND(F218="Congé sans solde",D218="Congé"),AND(F218="Congé sans solde",D218="Congé spécial"),AND(F218="Congé sans solde",D218="Férié"),AND(F218="Congé spécial",D218="OFF"),AND(F218="Congé spécial",D218="Congé"),AND(F218="Congé spécial",D218="Congé sans solde"),AND(F218="Congé spécial",D218="Férié"),AND(F218="Férié",D218="OFF"),AND(F218="Férié",D218="Congé"),AND(F218="Férié",D218="Congé sans solde"),AND(F218="Férié",D218="Congé spécial")),0,IF(OR(F218="OFF",F218="Congé",F218="Congé spécial",F218="Congé sans solde",D218="OFF",D218="Congé",D218="Congé spécial",D218="Congé sans solde"),0.208333333333334,IF(AND(AG218="",F218-D218&lt;0),("24:00:00"-D218)+("00:00:00"+F218)-0.0416666666666667,IF(AND(OR(AG218="Allaitement",AG218="Sans déjeuner"),F218-D218&lt;0),("24:00:00"-D218)+("00:00:00"+F218),IF(AND(AG218="",F218-D218&gt;0.166666666666667),F218-D218-0.0416666666666667,IF(AND(OR(AG218="Allaitement",AG218="Sans déjeuner"),F218-D218&gt;0.166666666666667),F218-D218,F218-D218)))))))</f>
        <v/>
      </c>
      <c r="P218" s="242">
        <f>IFERROR(VLOOKUP($B218,Annuaire_roster!$B:$G,MATCH(P$1,Annuaire_roster!$B$1:$G$1,0),0),"-")</f>
        <v/>
      </c>
      <c r="Q218" s="243" t="n">
        <v>44767</v>
      </c>
      <c r="R218" s="244">
        <f>IF(M218="Abs",O218,0)</f>
        <v/>
      </c>
      <c r="S218" s="244">
        <f>SUM(R218,L218,I218,J218,W218,H218)</f>
        <v/>
      </c>
      <c r="T218" s="209">
        <f>"Sem - "&amp;WEEKNUM(Q218,21)</f>
        <v/>
      </c>
      <c r="U218" s="209">
        <f>PROPER(TEXT(Q218,"mmmm"))</f>
        <v/>
      </c>
      <c r="V218" s="245">
        <f>+TEXT(Q218,"aaa")</f>
        <v/>
      </c>
      <c r="W218" s="240" t="n"/>
      <c r="X218" s="246">
        <f>IFERROR(IF(M218="Abs",0,IF((D218-C218+E218-F218)&lt;0.000694444444444444,0,(D218-C218+E218-F218))),0)</f>
        <v/>
      </c>
      <c r="Y218" s="247">
        <f>IFERROR(VLOOKUP(B218,Annuaire_roster!B:E,4,0),"-")</f>
        <v/>
      </c>
      <c r="Z218" s="247">
        <f>IFERROR(VLOOKUP(B218,Annuaire_roster!B:F,3,0),"-")</f>
        <v/>
      </c>
      <c r="AA218" s="247">
        <f>IFERROR(VLOOKUP(B218,Annuaire_roster!B:I,6,0),"-")</f>
        <v/>
      </c>
      <c r="AB218" s="248">
        <f>IF(AND(D218="Congé",F218="Congé"),0.333333333333333,IF(OR(AND(D218="Congé",F218&lt;&gt;"Congé"),(AND(F218="Congé",D218&lt;&gt;"Congé"))),0.166666666666667,""))</f>
        <v/>
      </c>
      <c r="AC218" s="248">
        <f>IF(AND(D218="Congé sans solde",F218="Congé sans solde"),0.333333333333333,IF(OR(AND(D218="Congé sans solde",F218&lt;&gt;"Congé sans solde"),(AND(F218="Congé sans solde",D218&lt;&gt;"Congé sans solde"))),0.166666666666667,""))</f>
        <v/>
      </c>
      <c r="AD218" s="248">
        <f>IF(AND(D218="Congé spécial",F218="Congé spécial"),0.333333333333333,IF(OR(AND(D218="Congé spécial",F218&lt;&gt;"Congé décès"),(AND(F218="Congé spécial",D218&lt;&gt;"Congé spécial"))),0.166666666666667,""))</f>
        <v/>
      </c>
      <c r="AE218" s="249">
        <f>IF(AND(D218="Férié",F218="Férié"),0.333333333333333,IF(OR(AND(D218="Férié",F218&lt;&gt;"Férié"),(AND(F218="Férié",D218&lt;&gt;"Férié"))),0.166666666666667,""))</f>
        <v/>
      </c>
      <c r="AF218" s="249" t="n"/>
      <c r="AG218" s="244" t="n"/>
    </row>
    <row r="219" hidden="1" ht="12.75" customHeight="1" s="231">
      <c r="A219" s="232">
        <f>VLOOKUP(B219,Annuaire_roster!B:F,5,0)</f>
        <v/>
      </c>
      <c r="B219" s="233" t="inlineStr">
        <is>
          <t>BOURABAA HASSAN</t>
        </is>
      </c>
      <c r="C219" s="234">
        <f>IFERROR(IF(COUNTIFS(Connexions!$K:$K,$Q219,Connexions!$E:$E,VLOOKUP($B219,Mapping_Noms!$A:$B,2,0))=0,"",_xlfn.MINIFS(Connexions!$M:$M,Connexions!$K:$K,$Q219,Connexions!$E:$E,VLOOKUP($B219,Mapping_Noms!$A:$B,2,0))-TIME(1,0,0)),"")</f>
        <v/>
      </c>
      <c r="D219" s="234">
        <f t="array" ref="D219:D219">IFERROR(INDEX(Planning2[],MATCH(1,(Planning2[Nom]=B219)*(Planning2[Date]=Q219),0),3),"-")</f>
        <v/>
      </c>
      <c r="E219" s="235">
        <f>IFERROR(IF(COUNTIFS(Connexions!$K:$K,$Q219,Connexions!$E:$E,VLOOKUP($B219,Mapping_Noms!$A:$B,2,0))=0,"",_xlfn.MAXIFS(Connexions!$O:$O,Connexions!$K:$K,$Q219,Connexions!$E:$E,VLOOKUP($B219,Mapping_Noms!$A:$B,2,0))-TIME(1,0,0)),"")</f>
        <v/>
      </c>
      <c r="F219" s="235">
        <f t="array" ref="F219:F219">IFERROR(INDEX(Planning2[],MATCH(1,(Planning2[Nom]=B219)*(Planning2[Date]=Q219),0),4),"-")</f>
        <v/>
      </c>
      <c r="G219" s="405">
        <f>IFERROR(IF(OR(IFERROR(INDEX('Planning Pauses Dej'!$C:$C,MATCH($B219&amp;"|"&amp;TEXT($Q219,"YYYYMMDD"),'Planning Pauses Dej'!$F:$F,0)),"")="",IFERROR(INDEX('Planning Pauses Dej'!$D:$D,MATCH($B219&amp;"|"&amp;TEXT($Q219,"YYYYMMDD"),'Planning Pauses Dej'!$F:$F,0)),"")=""),"",_xlfn.MAXIFS(Connexions!$Q:$Q,Connexions!$K:$K,$Q219,Connexions!$E:$E,VLOOKUP($B219,Mapping_Noms!$A:$B,2,0),Connexions!$O:$O,"&lt;="&amp;(IFERROR(INDEX('Planning Pauses Dej'!$D:$D,MATCH($B219&amp;"|"&amp;TEXT($Q219,"YYYYMMDD"),'Planning Pauses Dej'!$F:$F,0)),"")+TIME(1,0,0)),Connexions!$P:$P,"&gt;="&amp;(IFERROR(INDEX('Planning Pauses Dej'!$C:$C,MATCH($B219&amp;"|"&amp;TEXT($Q219,"YYYYMMDD"),'Planning Pauses Dej'!$F:$F,0)),"")+TIME(1,0,0)))),"")</f>
        <v/>
      </c>
      <c r="H219" s="405">
        <f>IFERROR(IF(OR($G219="",IFERROR(INDEX('Planning Pauses Dej'!$C:$C,MATCH($B219&amp;"|"&amp;TEXT($Q219,"YYYYMMDD"),'Planning Pauses Dej'!$F:$F,0)),"")="",IFERROR(INDEX('Planning Pauses Dej'!$D:$D,MATCH($B219&amp;"|"&amp;TEXT($Q219,"YYYYMMDD"),'Planning Pauses Dej'!$F:$F,0)),"")=""),"",IF($G219&gt;(IFERROR(INDEX('Planning Pauses Dej'!$D:$D,MATCH($B219&amp;"|"&amp;TEXT($Q219,"YYYYMMDD"),'Planning Pauses Dej'!$F:$F,0)),"")-IFERROR(INDEX('Planning Pauses Dej'!$C:$C,MATCH($B219&amp;"|"&amp;TEXT($Q219,"YYYYMMDD"),'Planning Pauses Dej'!$F:$F,0)),"")),$G219-(IFERROR(INDEX('Planning Pauses Dej'!$D:$D,MATCH($B219&amp;"|"&amp;TEXT($Q219,"YYYYMMDD"),'Planning Pauses Dej'!$F:$F,0)),"")-IFERROR(INDEX('Planning Pauses Dej'!$C:$C,MATCH($B219&amp;"|"&amp;TEXT($Q219,"YYYYMMDD"),'Planning Pauses Dej'!$F:$F,0)),"")),0)),"")</f>
        <v/>
      </c>
      <c r="I219" s="237">
        <f>IF(IF(OR(C219="",D219="Congé",D219="OFF",D219="Congé spécial"),"",IF(D219&gt;F219,D219-C219,IF(C219-D219&lt;0,0,C219-D219)))&lt;0.00068287037037037,"",IF(OR(D219="Congé",D219="OFF",C219="",D219="Congé spécial"),"",IF(D219&gt;F219,D219-C219,IF(C219-D219&lt;0,0,C219-D219))))</f>
        <v/>
      </c>
      <c r="J219" s="406">
        <f>IFERROR(IF($G219="","",IF($G219&gt;TIME(1,0,0),$G219-TIME(1,0,0),0)),"")</f>
        <v/>
      </c>
      <c r="K219" s="238">
        <f>IF(SUM(H219:J219)&lt;0.00068287037037037,0,SUM(H219:J219))</f>
        <v/>
      </c>
      <c r="L219" s="236">
        <f>IF(OR(F219="Congé",F219="OFF",M219="Abs",F219="Congé sans solde",F219="Férié",F219="Congé spécial",D219="Congé spécial"),0,IF(F219-E219&lt;0,0,IF(F219-E219&lt;=0.00068287037037037,0,F219-E219)))</f>
        <v/>
      </c>
      <c r="M219" s="239">
        <f>IF(AND(O219&lt;&gt;0,C219=""),"Abs",0)</f>
        <v/>
      </c>
      <c r="N219" s="240">
        <f>IFERROR(IF(OR(D219="OFF",D219="Congé",M219="Abs",D219="Congé sans solde",D219="Férié"),"",IF(O219-K219-L219&gt;O219,O219,IF(O219-K219-L219&lt;0,"",O219-K219-L219))),"")</f>
        <v/>
      </c>
      <c r="O219" s="241">
        <f>IF(AG219="2H Pause déjeuner",IF(F219-D219-0.0833333333333333&lt;0,F219-D219-0.0833333333333333+1,F219-D219-0.0833333333333333),IF(OR(AND(F219="OFF",D219="OFF"),AND(F219="Congé",D219="Congé"),AND(F219="Congé sans solde",D219="Congé sans solde"),AND(F219="Congé spécial",D219="Congé spécial"),AND(F219="Férié",D219="Férié"),AND(F219="OFF",D219="Congé"),AND(F219="OFF",D219="Congé sans solde"),AND(F219="OFF",D219="Congé spécial"),AND(F219="OFF",D219="Férié"),AND(F219="Congé",D219="OFF"),AND(F219="Congé",D219="Congé sans solde"),AND(F219="Congé",D219="Congé spécial"),AND(F219="Congé",D219="Férié"),AND(F219="Congé sans solde",D219="OFF"),AND(F219="Congé sans solde",D219="Congé"),AND(F219="Congé sans solde",D219="Congé spécial"),AND(F219="Congé sans solde",D219="Férié"),AND(F219="Congé spécial",D219="OFF"),AND(F219="Congé spécial",D219="Congé"),AND(F219="Congé spécial",D219="Congé sans solde"),AND(F219="Congé spécial",D219="Férié"),AND(F219="Férié",D219="OFF"),AND(F219="Férié",D219="Congé"),AND(F219="Férié",D219="Congé sans solde"),AND(F219="Férié",D219="Congé spécial")),0,IF(OR(F219="OFF",F219="Congé",F219="Congé spécial",F219="Congé sans solde",D219="OFF",D219="Congé",D219="Congé spécial",D219="Congé sans solde"),0.208333333333334,IF(AND(AG219="",F219-D219&lt;0),("24:00:00"-D219)+("00:00:00"+F219)-0.0416666666666667,IF(AND(OR(AG219="Allaitement",AG219="Sans déjeuner"),F219-D219&lt;0),("24:00:00"-D219)+("00:00:00"+F219),IF(AND(AG219="",F219-D219&gt;0.166666666666667),F219-D219-0.0416666666666667,IF(AND(OR(AG219="Allaitement",AG219="Sans déjeuner"),F219-D219&gt;0.166666666666667),F219-D219,F219-D219)))))))</f>
        <v/>
      </c>
      <c r="P219" s="242">
        <f>IFERROR(VLOOKUP($B219,Annuaire_roster!$B:$G,MATCH(P$1,Annuaire_roster!$B$1:$G$1,0),0),"-")</f>
        <v/>
      </c>
      <c r="Q219" s="243" t="n">
        <v>44767</v>
      </c>
      <c r="R219" s="244">
        <f>IF(M219="Abs",O219,0)</f>
        <v/>
      </c>
      <c r="S219" s="244">
        <f>SUM(R219,L219,I219,J219,W219,H219)</f>
        <v/>
      </c>
      <c r="T219" s="209">
        <f>"Sem - "&amp;WEEKNUM(Q219,21)</f>
        <v/>
      </c>
      <c r="U219" s="209">
        <f>PROPER(TEXT(Q219,"mmmm"))</f>
        <v/>
      </c>
      <c r="V219" s="245">
        <f>+TEXT(Q219,"aaa")</f>
        <v/>
      </c>
      <c r="W219" s="240" t="n"/>
      <c r="X219" s="246">
        <f>IFERROR(IF(M219="Abs",0,IF((D219-C219+E219-F219)&lt;0.000694444444444444,0,(D219-C219+E219-F219))),0)</f>
        <v/>
      </c>
      <c r="Y219" s="247">
        <f>IFERROR(VLOOKUP(B219,Annuaire_roster!B:E,4,0),"-")</f>
        <v/>
      </c>
      <c r="Z219" s="247">
        <f>IFERROR(VLOOKUP(B219,Annuaire_roster!B:F,3,0),"-")</f>
        <v/>
      </c>
      <c r="AA219" s="247">
        <f>IFERROR(VLOOKUP(B219,Annuaire_roster!B:I,6,0),"-")</f>
        <v/>
      </c>
      <c r="AB219" s="248">
        <f>IF(AND(D219="Congé",F219="Congé"),0.333333333333333,IF(OR(AND(D219="Congé",F219&lt;&gt;"Congé"),(AND(F219="Congé",D219&lt;&gt;"Congé"))),0.166666666666667,""))</f>
        <v/>
      </c>
      <c r="AC219" s="248">
        <f>IF(AND(D219="Congé sans solde",F219="Congé sans solde"),0.333333333333333,IF(OR(AND(D219="Congé sans solde",F219&lt;&gt;"Congé sans solde"),(AND(F219="Congé sans solde",D219&lt;&gt;"Congé sans solde"))),0.166666666666667,""))</f>
        <v/>
      </c>
      <c r="AD219" s="248">
        <f>IF(AND(D219="Congé spécial",F219="Congé spécial"),0.333333333333333,IF(OR(AND(D219="Congé spécial",F219&lt;&gt;"Congé décès"),(AND(F219="Congé spécial",D219&lt;&gt;"Congé spécial"))),0.166666666666667,""))</f>
        <v/>
      </c>
      <c r="AE219" s="249">
        <f>IF(AND(D219="Férié",F219="Férié"),0.333333333333333,IF(OR(AND(D219="Férié",F219&lt;&gt;"Férié"),(AND(F219="Férié",D219&lt;&gt;"Férié"))),0.166666666666667,""))</f>
        <v/>
      </c>
      <c r="AF219" s="249" t="n"/>
      <c r="AG219" s="244" t="n"/>
    </row>
    <row r="220" hidden="1" ht="12.75" customHeight="1" s="231">
      <c r="A220" s="232">
        <f>VLOOKUP(B220,Annuaire_roster!B:F,5,0)</f>
        <v/>
      </c>
      <c r="B220" s="233" t="inlineStr">
        <is>
          <t>SECK DIARRA</t>
        </is>
      </c>
      <c r="C220" s="234">
        <f>IFERROR(IF(COUNTIFS(Connexions!$K:$K,$Q220,Connexions!$E:$E,VLOOKUP($B220,Mapping_Noms!$A:$B,2,0))=0,"",_xlfn.MINIFS(Connexions!$M:$M,Connexions!$K:$K,$Q220,Connexions!$E:$E,VLOOKUP($B220,Mapping_Noms!$A:$B,2,0))-TIME(1,0,0)),"")</f>
        <v/>
      </c>
      <c r="D220" s="234">
        <f t="array" ref="D220:D220">IFERROR(INDEX(Planning2[],MATCH(1,(Planning2[Nom]=B220)*(Planning2[Date]=Q220),0),3),"-")</f>
        <v/>
      </c>
      <c r="E220" s="235">
        <f>IFERROR(IF(COUNTIFS(Connexions!$K:$K,$Q220,Connexions!$E:$E,VLOOKUP($B220,Mapping_Noms!$A:$B,2,0))=0,"",_xlfn.MAXIFS(Connexions!$O:$O,Connexions!$K:$K,$Q220,Connexions!$E:$E,VLOOKUP($B220,Mapping_Noms!$A:$B,2,0))-TIME(1,0,0)),"")</f>
        <v/>
      </c>
      <c r="F220" s="235">
        <f t="array" ref="F220:F220">IFERROR(INDEX(Planning2[],MATCH(1,(Planning2[Nom]=B220)*(Planning2[Date]=Q220),0),4),"-")</f>
        <v/>
      </c>
      <c r="G220" s="405">
        <f>IFERROR(IF(OR(IFERROR(INDEX('Planning Pauses Dej'!$C:$C,MATCH($B220&amp;"|"&amp;TEXT($Q220,"YYYYMMDD"),'Planning Pauses Dej'!$F:$F,0)),"")="",IFERROR(INDEX('Planning Pauses Dej'!$D:$D,MATCH($B220&amp;"|"&amp;TEXT($Q220,"YYYYMMDD"),'Planning Pauses Dej'!$F:$F,0)),"")=""),"",_xlfn.MAXIFS(Connexions!$Q:$Q,Connexions!$K:$K,$Q220,Connexions!$E:$E,VLOOKUP($B220,Mapping_Noms!$A:$B,2,0),Connexions!$O:$O,"&lt;="&amp;(IFERROR(INDEX('Planning Pauses Dej'!$D:$D,MATCH($B220&amp;"|"&amp;TEXT($Q220,"YYYYMMDD"),'Planning Pauses Dej'!$F:$F,0)),"")+TIME(1,0,0)),Connexions!$P:$P,"&gt;="&amp;(IFERROR(INDEX('Planning Pauses Dej'!$C:$C,MATCH($B220&amp;"|"&amp;TEXT($Q220,"YYYYMMDD"),'Planning Pauses Dej'!$F:$F,0)),"")+TIME(1,0,0)))),"")</f>
        <v/>
      </c>
      <c r="H220" s="405">
        <f>IFERROR(IF(OR($G220="",IFERROR(INDEX('Planning Pauses Dej'!$C:$C,MATCH($B220&amp;"|"&amp;TEXT($Q220,"YYYYMMDD"),'Planning Pauses Dej'!$F:$F,0)),"")="",IFERROR(INDEX('Planning Pauses Dej'!$D:$D,MATCH($B220&amp;"|"&amp;TEXT($Q220,"YYYYMMDD"),'Planning Pauses Dej'!$F:$F,0)),"")=""),"",IF($G220&gt;(IFERROR(INDEX('Planning Pauses Dej'!$D:$D,MATCH($B220&amp;"|"&amp;TEXT($Q220,"YYYYMMDD"),'Planning Pauses Dej'!$F:$F,0)),"")-IFERROR(INDEX('Planning Pauses Dej'!$C:$C,MATCH($B220&amp;"|"&amp;TEXT($Q220,"YYYYMMDD"),'Planning Pauses Dej'!$F:$F,0)),"")),$G220-(IFERROR(INDEX('Planning Pauses Dej'!$D:$D,MATCH($B220&amp;"|"&amp;TEXT($Q220,"YYYYMMDD"),'Planning Pauses Dej'!$F:$F,0)),"")-IFERROR(INDEX('Planning Pauses Dej'!$C:$C,MATCH($B220&amp;"|"&amp;TEXT($Q220,"YYYYMMDD"),'Planning Pauses Dej'!$F:$F,0)),"")),0)),"")</f>
        <v/>
      </c>
      <c r="I220" s="237">
        <f>IF(IF(OR(C220="",D220="Congé",D220="OFF",D220="Congé spécial"),"",IF(D220&gt;F220,D220-C220,IF(C220-D220&lt;0,0,C220-D220)))&lt;0.00068287037037037,"",IF(OR(D220="Congé",D220="OFF",C220="",D220="Congé spécial"),"",IF(D220&gt;F220,D220-C220,IF(C220-D220&lt;0,0,C220-D220))))</f>
        <v/>
      </c>
      <c r="J220" s="406">
        <f>IFERROR(IF($G220="","",IF($G220&gt;TIME(1,0,0),$G220-TIME(1,0,0),0)),"")</f>
        <v/>
      </c>
      <c r="K220" s="238">
        <f>IF(SUM(H220:J220)&lt;0.00068287037037037,0,SUM(H220:J220))</f>
        <v/>
      </c>
      <c r="L220" s="236">
        <f>IF(OR(F220="Congé",F220="OFF",M220="Abs",F220="Congé sans solde",F220="Férié",F220="Congé spécial",D220="Congé spécial"),0,IF(F220-E220&lt;0,0,IF(F220-E220&lt;=0.00068287037037037,0,F220-E220)))</f>
        <v/>
      </c>
      <c r="M220" s="239">
        <f>IF(AND(O220&lt;&gt;0,C220=""),"Abs",0)</f>
        <v/>
      </c>
      <c r="N220" s="240">
        <f>IFERROR(IF(OR(D220="OFF",D220="Congé",M220="Abs",D220="Congé sans solde",D220="Férié"),"",IF(O220-K220-L220&gt;O220,O220,IF(O220-K220-L220&lt;0,"",O220-K220-L220))),"")</f>
        <v/>
      </c>
      <c r="O220" s="241">
        <f>IF(AG220="2H Pause déjeuner",IF(F220-D220-0.0833333333333333&lt;0,F220-D220-0.0833333333333333+1,F220-D220-0.0833333333333333),IF(OR(AND(F220="OFF",D220="OFF"),AND(F220="Congé",D220="Congé"),AND(F220="Congé sans solde",D220="Congé sans solde"),AND(F220="Congé spécial",D220="Congé spécial"),AND(F220="Férié",D220="Férié"),AND(F220="OFF",D220="Congé"),AND(F220="OFF",D220="Congé sans solde"),AND(F220="OFF",D220="Congé spécial"),AND(F220="OFF",D220="Férié"),AND(F220="Congé",D220="OFF"),AND(F220="Congé",D220="Congé sans solde"),AND(F220="Congé",D220="Congé spécial"),AND(F220="Congé",D220="Férié"),AND(F220="Congé sans solde",D220="OFF"),AND(F220="Congé sans solde",D220="Congé"),AND(F220="Congé sans solde",D220="Congé spécial"),AND(F220="Congé sans solde",D220="Férié"),AND(F220="Congé spécial",D220="OFF"),AND(F220="Congé spécial",D220="Congé"),AND(F220="Congé spécial",D220="Congé sans solde"),AND(F220="Congé spécial",D220="Férié"),AND(F220="Férié",D220="OFF"),AND(F220="Férié",D220="Congé"),AND(F220="Férié",D220="Congé sans solde"),AND(F220="Férié",D220="Congé spécial")),0,IF(OR(F220="OFF",F220="Congé",F220="Congé spécial",F220="Congé sans solde",D220="OFF",D220="Congé",D220="Congé spécial",D220="Congé sans solde"),0.208333333333334,IF(AND(AG220="",F220-D220&lt;0),("24:00:00"-D220)+("00:00:00"+F220)-0.0416666666666667,IF(AND(OR(AG220="Allaitement",AG220="Sans déjeuner"),F220-D220&lt;0),("24:00:00"-D220)+("00:00:00"+F220),IF(AND(AG220="",F220-D220&gt;0.166666666666667),F220-D220-0.0416666666666667,IF(AND(OR(AG220="Allaitement",AG220="Sans déjeuner"),F220-D220&gt;0.166666666666667),F220-D220,F220-D220)))))))</f>
        <v/>
      </c>
      <c r="P220" s="242">
        <f>IFERROR(VLOOKUP($B220,Annuaire_roster!$B:$G,MATCH(P$1,Annuaire_roster!$B$1:$G$1,0),0),"-")</f>
        <v/>
      </c>
      <c r="Q220" s="243" t="n">
        <v>44767</v>
      </c>
      <c r="R220" s="244">
        <f>IF(M220="Abs",O220,0)</f>
        <v/>
      </c>
      <c r="S220" s="244">
        <f>SUM(R220,L220,I220,J220,W220,H220)</f>
        <v/>
      </c>
      <c r="T220" s="209">
        <f>"Sem - "&amp;WEEKNUM(Q220,21)</f>
        <v/>
      </c>
      <c r="U220" s="209">
        <f>PROPER(TEXT(Q220,"mmmm"))</f>
        <v/>
      </c>
      <c r="V220" s="245">
        <f>+TEXT(Q220,"aaa")</f>
        <v/>
      </c>
      <c r="W220" s="240" t="n"/>
      <c r="X220" s="246">
        <f>IFERROR(IF(M220="Abs",0,IF((D220-C220+E220-F220)&lt;0.000694444444444444,0,(D220-C220+E220-F220))),0)</f>
        <v/>
      </c>
      <c r="Y220" s="247">
        <f>IFERROR(VLOOKUP(B220,Annuaire_roster!B:E,4,0),"-")</f>
        <v/>
      </c>
      <c r="Z220" s="247">
        <f>IFERROR(VLOOKUP(B220,Annuaire_roster!B:F,3,0),"-")</f>
        <v/>
      </c>
      <c r="AA220" s="247">
        <f>IFERROR(VLOOKUP(B220,Annuaire_roster!B:I,6,0),"-")</f>
        <v/>
      </c>
      <c r="AB220" s="248">
        <f>IF(AND(D220="Congé",F220="Congé"),0.333333333333333,IF(OR(AND(D220="Congé",F220&lt;&gt;"Congé"),(AND(F220="Congé",D220&lt;&gt;"Congé"))),0.166666666666667,""))</f>
        <v/>
      </c>
      <c r="AC220" s="248">
        <f>IF(AND(D220="Congé sans solde",F220="Congé sans solde"),0.333333333333333,IF(OR(AND(D220="Congé sans solde",F220&lt;&gt;"Congé sans solde"),(AND(F220="Congé sans solde",D220&lt;&gt;"Congé sans solde"))),0.166666666666667,""))</f>
        <v/>
      </c>
      <c r="AD220" s="248">
        <f>IF(AND(D220="Congé spécial",F220="Congé spécial"),0.333333333333333,IF(OR(AND(D220="Congé spécial",F220&lt;&gt;"Congé décès"),(AND(F220="Congé spécial",D220&lt;&gt;"Congé spécial"))),0.166666666666667,""))</f>
        <v/>
      </c>
      <c r="AE220" s="249">
        <f>IF(AND(D220="Férié",F220="Férié"),0.333333333333333,IF(OR(AND(D220="Férié",F220&lt;&gt;"Férié"),(AND(F220="Férié",D220&lt;&gt;"Férié"))),0.166666666666667,""))</f>
        <v/>
      </c>
      <c r="AF220" s="249" t="n"/>
      <c r="AG220" s="244" t="n"/>
    </row>
    <row r="221" hidden="1" ht="12.75" customHeight="1" s="231">
      <c r="A221" s="232">
        <f>VLOOKUP(B221,Annuaire_roster!B:F,5,0)</f>
        <v/>
      </c>
      <c r="B221" s="233" t="inlineStr">
        <is>
          <t>AINELKITANE ZINEB</t>
        </is>
      </c>
      <c r="C221" s="234">
        <f>IFERROR(IF(COUNTIFS(Connexions!$K:$K,$Q221,Connexions!$E:$E,VLOOKUP($B221,Mapping_Noms!$A:$B,2,0))=0,"",_xlfn.MINIFS(Connexions!$M:$M,Connexions!$K:$K,$Q221,Connexions!$E:$E,VLOOKUP($B221,Mapping_Noms!$A:$B,2,0))-TIME(1,0,0)),"")</f>
        <v/>
      </c>
      <c r="D221" s="234">
        <f t="array" ref="D221:D221">IFERROR(INDEX(Planning2[],MATCH(1,(Planning2[Nom]=B221)*(Planning2[Date]=Q221),0),3),"-")</f>
        <v/>
      </c>
      <c r="E221" s="235">
        <f>IFERROR(IF(COUNTIFS(Connexions!$K:$K,$Q221,Connexions!$E:$E,VLOOKUP($B221,Mapping_Noms!$A:$B,2,0))=0,"",_xlfn.MAXIFS(Connexions!$O:$O,Connexions!$K:$K,$Q221,Connexions!$E:$E,VLOOKUP($B221,Mapping_Noms!$A:$B,2,0))-TIME(1,0,0)),"")</f>
        <v/>
      </c>
      <c r="F221" s="235">
        <f t="array" ref="F221:F221">IFERROR(INDEX(Planning2[],MATCH(1,(Planning2[Nom]=B221)*(Planning2[Date]=Q221),0),4),"-")</f>
        <v/>
      </c>
      <c r="G221" s="405">
        <f>IFERROR(IF(OR(IFERROR(INDEX('Planning Pauses Dej'!$C:$C,MATCH($B221&amp;"|"&amp;TEXT($Q221,"YYYYMMDD"),'Planning Pauses Dej'!$F:$F,0)),"")="",IFERROR(INDEX('Planning Pauses Dej'!$D:$D,MATCH($B221&amp;"|"&amp;TEXT($Q221,"YYYYMMDD"),'Planning Pauses Dej'!$F:$F,0)),"")=""),"",_xlfn.MAXIFS(Connexions!$Q:$Q,Connexions!$K:$K,$Q221,Connexions!$E:$E,VLOOKUP($B221,Mapping_Noms!$A:$B,2,0),Connexions!$O:$O,"&lt;="&amp;(IFERROR(INDEX('Planning Pauses Dej'!$D:$D,MATCH($B221&amp;"|"&amp;TEXT($Q221,"YYYYMMDD"),'Planning Pauses Dej'!$F:$F,0)),"")+TIME(1,0,0)),Connexions!$P:$P,"&gt;="&amp;(IFERROR(INDEX('Planning Pauses Dej'!$C:$C,MATCH($B221&amp;"|"&amp;TEXT($Q221,"YYYYMMDD"),'Planning Pauses Dej'!$F:$F,0)),"")+TIME(1,0,0)))),"")</f>
        <v/>
      </c>
      <c r="H221" s="405">
        <f>IFERROR(IF(OR($G221="",IFERROR(INDEX('Planning Pauses Dej'!$C:$C,MATCH($B221&amp;"|"&amp;TEXT($Q221,"YYYYMMDD"),'Planning Pauses Dej'!$F:$F,0)),"")="",IFERROR(INDEX('Planning Pauses Dej'!$D:$D,MATCH($B221&amp;"|"&amp;TEXT($Q221,"YYYYMMDD"),'Planning Pauses Dej'!$F:$F,0)),"")=""),"",IF($G221&gt;(IFERROR(INDEX('Planning Pauses Dej'!$D:$D,MATCH($B221&amp;"|"&amp;TEXT($Q221,"YYYYMMDD"),'Planning Pauses Dej'!$F:$F,0)),"")-IFERROR(INDEX('Planning Pauses Dej'!$C:$C,MATCH($B221&amp;"|"&amp;TEXT($Q221,"YYYYMMDD"),'Planning Pauses Dej'!$F:$F,0)),"")),$G221-(IFERROR(INDEX('Planning Pauses Dej'!$D:$D,MATCH($B221&amp;"|"&amp;TEXT($Q221,"YYYYMMDD"),'Planning Pauses Dej'!$F:$F,0)),"")-IFERROR(INDEX('Planning Pauses Dej'!$C:$C,MATCH($B221&amp;"|"&amp;TEXT($Q221,"YYYYMMDD"),'Planning Pauses Dej'!$F:$F,0)),"")),0)),"")</f>
        <v/>
      </c>
      <c r="I221" s="237">
        <f>IF(IF(OR(C221="",D221="Congé",D221="OFF",D221="Congé spécial"),"",IF(D221&gt;F221,D221-C221,IF(C221-D221&lt;0,0,C221-D221)))&lt;0.00068287037037037,"",IF(OR(D221="Congé",D221="OFF",C221="",D221="Congé spécial"),"",IF(D221&gt;F221,D221-C221,IF(C221-D221&lt;0,0,C221-D221))))</f>
        <v/>
      </c>
      <c r="J221" s="406">
        <f>IFERROR(IF($G221="","",IF($G221&gt;TIME(1,0,0),$G221-TIME(1,0,0),0)),"")</f>
        <v/>
      </c>
      <c r="K221" s="238">
        <f>IF(SUM(H221:J221)&lt;0.00068287037037037,0,SUM(H221:J221))</f>
        <v/>
      </c>
      <c r="L221" s="236">
        <f>IF(OR(F221="Congé",F221="OFF",M221="Abs",F221="Congé sans solde",F221="Férié",F221="Congé spécial",D221="Congé spécial"),0,IF(F221-E221&lt;0,0,IF(F221-E221&lt;=0.00068287037037037,0,F221-E221)))</f>
        <v/>
      </c>
      <c r="M221" s="239">
        <f>IF(AND(O221&lt;&gt;0,C221=""),"Abs",0)</f>
        <v/>
      </c>
      <c r="N221" s="240">
        <f>IFERROR(IF(OR(D221="OFF",D221="Congé",M221="Abs",D221="Congé sans solde",D221="Férié"),"",IF(O221-K221-L221&gt;O221,O221,IF(O221-K221-L221&lt;0,"",O221-K221-L221))),"")</f>
        <v/>
      </c>
      <c r="O221" s="241">
        <f>IF(AG221="2H Pause déjeuner",IF(F221-D221-0.0833333333333333&lt;0,F221-D221-0.0833333333333333+1,F221-D221-0.0833333333333333),IF(OR(AND(F221="OFF",D221="OFF"),AND(F221="Congé",D221="Congé"),AND(F221="Congé sans solde",D221="Congé sans solde"),AND(F221="Congé spécial",D221="Congé spécial"),AND(F221="Férié",D221="Férié"),AND(F221="OFF",D221="Congé"),AND(F221="OFF",D221="Congé sans solde"),AND(F221="OFF",D221="Congé spécial"),AND(F221="OFF",D221="Férié"),AND(F221="Congé",D221="OFF"),AND(F221="Congé",D221="Congé sans solde"),AND(F221="Congé",D221="Congé spécial"),AND(F221="Congé",D221="Férié"),AND(F221="Congé sans solde",D221="OFF"),AND(F221="Congé sans solde",D221="Congé"),AND(F221="Congé sans solde",D221="Congé spécial"),AND(F221="Congé sans solde",D221="Férié"),AND(F221="Congé spécial",D221="OFF"),AND(F221="Congé spécial",D221="Congé"),AND(F221="Congé spécial",D221="Congé sans solde"),AND(F221="Congé spécial",D221="Férié"),AND(F221="Férié",D221="OFF"),AND(F221="Férié",D221="Congé"),AND(F221="Férié",D221="Congé sans solde"),AND(F221="Férié",D221="Congé spécial")),0,IF(OR(F221="OFF",F221="Congé",F221="Congé spécial",F221="Congé sans solde",D221="OFF",D221="Congé",D221="Congé spécial",D221="Congé sans solde"),0.208333333333334,IF(AND(AG221="",F221-D221&lt;0),("24:00:00"-D221)+("00:00:00"+F221)-0.0416666666666667,IF(AND(OR(AG221="Allaitement",AG221="Sans déjeuner"),F221-D221&lt;0),("24:00:00"-D221)+("00:00:00"+F221),IF(AND(AG221="",F221-D221&gt;0.166666666666667),F221-D221-0.0416666666666667,IF(AND(OR(AG221="Allaitement",AG221="Sans déjeuner"),F221-D221&gt;0.166666666666667),F221-D221,F221-D221)))))))</f>
        <v/>
      </c>
      <c r="P221" s="242">
        <f>IFERROR(VLOOKUP($B221,Annuaire_roster!$B:$G,MATCH(P$1,Annuaire_roster!$B$1:$G$1,0),0),"-")</f>
        <v/>
      </c>
      <c r="Q221" s="243" t="n">
        <v>44767</v>
      </c>
      <c r="R221" s="244">
        <f>IF(M221="Abs",O221,0)</f>
        <v/>
      </c>
      <c r="S221" s="244">
        <f>SUM(R221,L221,I221,J221,W221,H221)</f>
        <v/>
      </c>
      <c r="T221" s="209">
        <f>"Sem - "&amp;WEEKNUM(Q221,21)</f>
        <v/>
      </c>
      <c r="U221" s="209">
        <f>PROPER(TEXT(Q221,"mmmm"))</f>
        <v/>
      </c>
      <c r="V221" s="245">
        <f>+TEXT(Q221,"aaa")</f>
        <v/>
      </c>
      <c r="W221" s="240" t="n"/>
      <c r="X221" s="246">
        <f>IFERROR(IF(M221="Abs",0,IF((D221-C221+E221-F221)&lt;0.000694444444444444,0,(D221-C221+E221-F221))),0)</f>
        <v/>
      </c>
      <c r="Y221" s="247">
        <f>IFERROR(VLOOKUP(B221,Annuaire_roster!B:E,4,0),"-")</f>
        <v/>
      </c>
      <c r="Z221" s="247">
        <f>IFERROR(VLOOKUP(B221,Annuaire_roster!B:F,3,0),"-")</f>
        <v/>
      </c>
      <c r="AA221" s="247">
        <f>IFERROR(VLOOKUP(B221,Annuaire_roster!B:I,6,0),"-")</f>
        <v/>
      </c>
      <c r="AB221" s="248">
        <f>IF(AND(D221="Congé",F221="Congé"),0.333333333333333,IF(OR(AND(D221="Congé",F221&lt;&gt;"Congé"),(AND(F221="Congé",D221&lt;&gt;"Congé"))),0.166666666666667,""))</f>
        <v/>
      </c>
      <c r="AC221" s="248">
        <f>IF(AND(D221="Congé sans solde",F221="Congé sans solde"),0.333333333333333,IF(OR(AND(D221="Congé sans solde",F221&lt;&gt;"Congé sans solde"),(AND(F221="Congé sans solde",D221&lt;&gt;"Congé sans solde"))),0.166666666666667,""))</f>
        <v/>
      </c>
      <c r="AD221" s="248">
        <f>IF(AND(D221="Congé spécial",F221="Congé spécial"),0.333333333333333,IF(OR(AND(D221="Congé spécial",F221&lt;&gt;"Congé décès"),(AND(F221="Congé spécial",D221&lt;&gt;"Congé spécial"))),0.166666666666667,""))</f>
        <v/>
      </c>
      <c r="AE221" s="249">
        <f>IF(AND(D221="Férié",F221="Férié"),0.333333333333333,IF(OR(AND(D221="Férié",F221&lt;&gt;"Férié"),(AND(F221="Férié",D221&lt;&gt;"Férié"))),0.166666666666667,""))</f>
        <v/>
      </c>
      <c r="AF221" s="249" t="n"/>
      <c r="AG221" s="244" t="n"/>
    </row>
    <row r="222" hidden="1" ht="12.75" customHeight="1" s="231">
      <c r="A222" s="232">
        <f>VLOOKUP(B222,Annuaire_roster!B:F,5,0)</f>
        <v/>
      </c>
      <c r="B222" s="233" t="inlineStr">
        <is>
          <t>BENSAR ANAS</t>
        </is>
      </c>
      <c r="C222" s="234">
        <f>IFERROR(IF(COUNTIFS(Connexions!$K:$K,$Q222,Connexions!$E:$E,VLOOKUP($B222,Mapping_Noms!$A:$B,2,0))=0,"",_xlfn.MINIFS(Connexions!$M:$M,Connexions!$K:$K,$Q222,Connexions!$E:$E,VLOOKUP($B222,Mapping_Noms!$A:$B,2,0))-TIME(1,0,0)),"")</f>
        <v/>
      </c>
      <c r="D222" s="234">
        <f t="array" ref="D222:D222">IFERROR(INDEX(Planning2[],MATCH(1,(Planning2[Nom]=B222)*(Planning2[Date]=Q222),0),3),"-")</f>
        <v/>
      </c>
      <c r="E222" s="235">
        <f>IFERROR(IF(COUNTIFS(Connexions!$K:$K,$Q222,Connexions!$E:$E,VLOOKUP($B222,Mapping_Noms!$A:$B,2,0))=0,"",_xlfn.MAXIFS(Connexions!$O:$O,Connexions!$K:$K,$Q222,Connexions!$E:$E,VLOOKUP($B222,Mapping_Noms!$A:$B,2,0))-TIME(1,0,0)),"")</f>
        <v/>
      </c>
      <c r="F222" s="235">
        <f t="array" ref="F222:F222">IFERROR(INDEX(Planning2[],MATCH(1,(Planning2[Nom]=B222)*(Planning2[Date]=Q222),0),4),"-")</f>
        <v/>
      </c>
      <c r="G222" s="405">
        <f>IFERROR(IF(OR(IFERROR(INDEX('Planning Pauses Dej'!$C:$C,MATCH($B222&amp;"|"&amp;TEXT($Q222,"YYYYMMDD"),'Planning Pauses Dej'!$F:$F,0)),"")="",IFERROR(INDEX('Planning Pauses Dej'!$D:$D,MATCH($B222&amp;"|"&amp;TEXT($Q222,"YYYYMMDD"),'Planning Pauses Dej'!$F:$F,0)),"")=""),"",_xlfn.MAXIFS(Connexions!$Q:$Q,Connexions!$K:$K,$Q222,Connexions!$E:$E,VLOOKUP($B222,Mapping_Noms!$A:$B,2,0),Connexions!$O:$O,"&lt;="&amp;(IFERROR(INDEX('Planning Pauses Dej'!$D:$D,MATCH($B222&amp;"|"&amp;TEXT($Q222,"YYYYMMDD"),'Planning Pauses Dej'!$F:$F,0)),"")+TIME(1,0,0)),Connexions!$P:$P,"&gt;="&amp;(IFERROR(INDEX('Planning Pauses Dej'!$C:$C,MATCH($B222&amp;"|"&amp;TEXT($Q222,"YYYYMMDD"),'Planning Pauses Dej'!$F:$F,0)),"")+TIME(1,0,0)))),"")</f>
        <v/>
      </c>
      <c r="H222" s="405">
        <f>IFERROR(IF(OR($G222="",IFERROR(INDEX('Planning Pauses Dej'!$C:$C,MATCH($B222&amp;"|"&amp;TEXT($Q222,"YYYYMMDD"),'Planning Pauses Dej'!$F:$F,0)),"")="",IFERROR(INDEX('Planning Pauses Dej'!$D:$D,MATCH($B222&amp;"|"&amp;TEXT($Q222,"YYYYMMDD"),'Planning Pauses Dej'!$F:$F,0)),"")=""),"",IF($G222&gt;(IFERROR(INDEX('Planning Pauses Dej'!$D:$D,MATCH($B222&amp;"|"&amp;TEXT($Q222,"YYYYMMDD"),'Planning Pauses Dej'!$F:$F,0)),"")-IFERROR(INDEX('Planning Pauses Dej'!$C:$C,MATCH($B222&amp;"|"&amp;TEXT($Q222,"YYYYMMDD"),'Planning Pauses Dej'!$F:$F,0)),"")),$G222-(IFERROR(INDEX('Planning Pauses Dej'!$D:$D,MATCH($B222&amp;"|"&amp;TEXT($Q222,"YYYYMMDD"),'Planning Pauses Dej'!$F:$F,0)),"")-IFERROR(INDEX('Planning Pauses Dej'!$C:$C,MATCH($B222&amp;"|"&amp;TEXT($Q222,"YYYYMMDD"),'Planning Pauses Dej'!$F:$F,0)),"")),0)),"")</f>
        <v/>
      </c>
      <c r="I222" s="237">
        <f>IF(IF(OR(C222="",D222="Congé",D222="OFF",D222="Congé spécial"),"",IF(D222&gt;F222,D222-C222,IF(C222-D222&lt;0,0,C222-D222)))&lt;0.00068287037037037,"",IF(OR(D222="Congé",D222="OFF",C222="",D222="Congé spécial"),"",IF(D222&gt;F222,D222-C222,IF(C222-D222&lt;0,0,C222-D222))))</f>
        <v/>
      </c>
      <c r="J222" s="406">
        <f>IFERROR(IF($G222="","",IF($G222&gt;TIME(1,0,0),$G222-TIME(1,0,0),0)),"")</f>
        <v/>
      </c>
      <c r="K222" s="238">
        <f>IF(SUM(H222:J222)&lt;0.00068287037037037,0,SUM(H222:J222))</f>
        <v/>
      </c>
      <c r="L222" s="236">
        <f>IF(OR(F222="Congé",F222="OFF",M222="Abs",F222="Congé sans solde",F222="Férié",F222="Congé spécial",D222="Congé spécial"),0,IF(F222-E222&lt;0,0,IF(F222-E222&lt;=0.00068287037037037,0,F222-E222)))</f>
        <v/>
      </c>
      <c r="M222" s="239">
        <f>IF(AND(O222&lt;&gt;0,C222=""),"Abs",0)</f>
        <v/>
      </c>
      <c r="N222" s="240">
        <f>IFERROR(IF(OR(D222="OFF",D222="Congé",M222="Abs",D222="Congé sans solde",D222="Férié"),"",IF(O222-K222-L222&gt;O222,O222,IF(O222-K222-L222&lt;0,"",O222-K222-L222))),"")</f>
        <v/>
      </c>
      <c r="O222" s="241">
        <f>IF(AG222="2H Pause déjeuner",IF(F222-D222-0.0833333333333333&lt;0,F222-D222-0.0833333333333333+1,F222-D222-0.0833333333333333),IF(OR(AND(F222="OFF",D222="OFF"),AND(F222="Congé",D222="Congé"),AND(F222="Congé sans solde",D222="Congé sans solde"),AND(F222="Congé spécial",D222="Congé spécial"),AND(F222="Férié",D222="Férié"),AND(F222="OFF",D222="Congé"),AND(F222="OFF",D222="Congé sans solde"),AND(F222="OFF",D222="Congé spécial"),AND(F222="OFF",D222="Férié"),AND(F222="Congé",D222="OFF"),AND(F222="Congé",D222="Congé sans solde"),AND(F222="Congé",D222="Congé spécial"),AND(F222="Congé",D222="Férié"),AND(F222="Congé sans solde",D222="OFF"),AND(F222="Congé sans solde",D222="Congé"),AND(F222="Congé sans solde",D222="Congé spécial"),AND(F222="Congé sans solde",D222="Férié"),AND(F222="Congé spécial",D222="OFF"),AND(F222="Congé spécial",D222="Congé"),AND(F222="Congé spécial",D222="Congé sans solde"),AND(F222="Congé spécial",D222="Férié"),AND(F222="Férié",D222="OFF"),AND(F222="Férié",D222="Congé"),AND(F222="Férié",D222="Congé sans solde"),AND(F222="Férié",D222="Congé spécial")),0,IF(OR(F222="OFF",F222="Congé",F222="Congé spécial",F222="Congé sans solde",D222="OFF",D222="Congé",D222="Congé spécial",D222="Congé sans solde"),0.208333333333334,IF(AND(AG222="",F222-D222&lt;0),("24:00:00"-D222)+("00:00:00"+F222)-0.0416666666666667,IF(AND(OR(AG222="Allaitement",AG222="Sans déjeuner"),F222-D222&lt;0),("24:00:00"-D222)+("00:00:00"+F222),IF(AND(AG222="",F222-D222&gt;0.166666666666667),F222-D222-0.0416666666666667,IF(AND(OR(AG222="Allaitement",AG222="Sans déjeuner"),F222-D222&gt;0.166666666666667),F222-D222,F222-D222)))))))</f>
        <v/>
      </c>
      <c r="P222" s="242">
        <f>IFERROR(VLOOKUP($B222,Annuaire_roster!$B:$G,MATCH(P$1,Annuaire_roster!$B$1:$G$1,0),0),"-")</f>
        <v/>
      </c>
      <c r="Q222" s="243" t="n">
        <v>44767</v>
      </c>
      <c r="R222" s="244">
        <f>IF(M222="Abs",O222,0)</f>
        <v/>
      </c>
      <c r="S222" s="244">
        <f>SUM(R222,L222,I222,J222,W222,H222)</f>
        <v/>
      </c>
      <c r="T222" s="209">
        <f>"Sem - "&amp;WEEKNUM(Q222,21)</f>
        <v/>
      </c>
      <c r="U222" s="209">
        <f>PROPER(TEXT(Q222,"mmmm"))</f>
        <v/>
      </c>
      <c r="V222" s="245">
        <f>+TEXT(Q222,"aaa")</f>
        <v/>
      </c>
      <c r="W222" s="240" t="n"/>
      <c r="X222" s="246">
        <f>IFERROR(IF(M222="Abs",0,IF((D222-C222+E222-F222)&lt;0.000694444444444444,0,(D222-C222+E222-F222))),0)</f>
        <v/>
      </c>
      <c r="Y222" s="247">
        <f>IFERROR(VLOOKUP(B222,Annuaire_roster!B:E,4,0),"-")</f>
        <v/>
      </c>
      <c r="Z222" s="247">
        <f>IFERROR(VLOOKUP(B222,Annuaire_roster!B:F,3,0),"-")</f>
        <v/>
      </c>
      <c r="AA222" s="247">
        <f>IFERROR(VLOOKUP(B222,Annuaire_roster!B:I,6,0),"-")</f>
        <v/>
      </c>
      <c r="AB222" s="248">
        <f>IF(AND(D222="Congé",F222="Congé"),0.333333333333333,IF(OR(AND(D222="Congé",F222&lt;&gt;"Congé"),(AND(F222="Congé",D222&lt;&gt;"Congé"))),0.166666666666667,""))</f>
        <v/>
      </c>
      <c r="AC222" s="248">
        <f>IF(AND(D222="Congé sans solde",F222="Congé sans solde"),0.333333333333333,IF(OR(AND(D222="Congé sans solde",F222&lt;&gt;"Congé sans solde"),(AND(F222="Congé sans solde",D222&lt;&gt;"Congé sans solde"))),0.166666666666667,""))</f>
        <v/>
      </c>
      <c r="AD222" s="248">
        <f>IF(AND(D222="Congé spécial",F222="Congé spécial"),0.333333333333333,IF(OR(AND(D222="Congé spécial",F222&lt;&gt;"Congé décès"),(AND(F222="Congé spécial",D222&lt;&gt;"Congé spécial"))),0.166666666666667,""))</f>
        <v/>
      </c>
      <c r="AE222" s="249">
        <f>IF(AND(D222="Férié",F222="Férié"),0.333333333333333,IF(OR(AND(D222="Férié",F222&lt;&gt;"Férié"),(AND(F222="Férié",D222&lt;&gt;"Férié"))),0.166666666666667,""))</f>
        <v/>
      </c>
      <c r="AF222" s="249" t="n"/>
      <c r="AG222" s="244" t="n"/>
    </row>
    <row r="223" hidden="1" ht="12.75" customHeight="1" s="231">
      <c r="A223" s="232">
        <f>VLOOKUP(B223,Annuaire_roster!B:F,5,0)</f>
        <v/>
      </c>
      <c r="B223" s="233" t="inlineStr">
        <is>
          <t>NEMMAOUI MOUNIRA</t>
        </is>
      </c>
      <c r="C223" s="234">
        <f>IFERROR(IF(COUNTIFS(Connexions!$K:$K,$Q223,Connexions!$E:$E,VLOOKUP($B223,Mapping_Noms!$A:$B,2,0))=0,"",_xlfn.MINIFS(Connexions!$M:$M,Connexions!$K:$K,$Q223,Connexions!$E:$E,VLOOKUP($B223,Mapping_Noms!$A:$B,2,0))-TIME(1,0,0)),"")</f>
        <v/>
      </c>
      <c r="D223" s="234">
        <f t="array" ref="D223:D223">IFERROR(INDEX(Planning2[],MATCH(1,(Planning2[Nom]=B223)*(Planning2[Date]=Q223),0),3),"-")</f>
        <v/>
      </c>
      <c r="E223" s="235">
        <f>IFERROR(IF(COUNTIFS(Connexions!$K:$K,$Q223,Connexions!$E:$E,VLOOKUP($B223,Mapping_Noms!$A:$B,2,0))=0,"",_xlfn.MAXIFS(Connexions!$O:$O,Connexions!$K:$K,$Q223,Connexions!$E:$E,VLOOKUP($B223,Mapping_Noms!$A:$B,2,0))-TIME(1,0,0)),"")</f>
        <v/>
      </c>
      <c r="F223" s="235">
        <f t="array" ref="F223:F223">IFERROR(INDEX(Planning2[],MATCH(1,(Planning2[Nom]=B223)*(Planning2[Date]=Q223),0),4),"-")</f>
        <v/>
      </c>
      <c r="G223" s="405">
        <f>IFERROR(IF(OR(IFERROR(INDEX('Planning Pauses Dej'!$C:$C,MATCH($B223&amp;"|"&amp;TEXT($Q223,"YYYYMMDD"),'Planning Pauses Dej'!$F:$F,0)),"")="",IFERROR(INDEX('Planning Pauses Dej'!$D:$D,MATCH($B223&amp;"|"&amp;TEXT($Q223,"YYYYMMDD"),'Planning Pauses Dej'!$F:$F,0)),"")=""),"",_xlfn.MAXIFS(Connexions!$Q:$Q,Connexions!$K:$K,$Q223,Connexions!$E:$E,VLOOKUP($B223,Mapping_Noms!$A:$B,2,0),Connexions!$O:$O,"&lt;="&amp;(IFERROR(INDEX('Planning Pauses Dej'!$D:$D,MATCH($B223&amp;"|"&amp;TEXT($Q223,"YYYYMMDD"),'Planning Pauses Dej'!$F:$F,0)),"")+TIME(1,0,0)),Connexions!$P:$P,"&gt;="&amp;(IFERROR(INDEX('Planning Pauses Dej'!$C:$C,MATCH($B223&amp;"|"&amp;TEXT($Q223,"YYYYMMDD"),'Planning Pauses Dej'!$F:$F,0)),"")+TIME(1,0,0)))),"")</f>
        <v/>
      </c>
      <c r="H223" s="405">
        <f>IFERROR(IF(OR($G223="",IFERROR(INDEX('Planning Pauses Dej'!$C:$C,MATCH($B223&amp;"|"&amp;TEXT($Q223,"YYYYMMDD"),'Planning Pauses Dej'!$F:$F,0)),"")="",IFERROR(INDEX('Planning Pauses Dej'!$D:$D,MATCH($B223&amp;"|"&amp;TEXT($Q223,"YYYYMMDD"),'Planning Pauses Dej'!$F:$F,0)),"")=""),"",IF($G223&gt;(IFERROR(INDEX('Planning Pauses Dej'!$D:$D,MATCH($B223&amp;"|"&amp;TEXT($Q223,"YYYYMMDD"),'Planning Pauses Dej'!$F:$F,0)),"")-IFERROR(INDEX('Planning Pauses Dej'!$C:$C,MATCH($B223&amp;"|"&amp;TEXT($Q223,"YYYYMMDD"),'Planning Pauses Dej'!$F:$F,0)),"")),$G223-(IFERROR(INDEX('Planning Pauses Dej'!$D:$D,MATCH($B223&amp;"|"&amp;TEXT($Q223,"YYYYMMDD"),'Planning Pauses Dej'!$F:$F,0)),"")-IFERROR(INDEX('Planning Pauses Dej'!$C:$C,MATCH($B223&amp;"|"&amp;TEXT($Q223,"YYYYMMDD"),'Planning Pauses Dej'!$F:$F,0)),"")),0)),"")</f>
        <v/>
      </c>
      <c r="I223" s="237">
        <f>IF(IF(OR(C223="",D223="Congé",D223="OFF",D223="Congé spécial"),"",IF(D223&gt;F223,D223-C223,IF(C223-D223&lt;0,0,C223-D223)))&lt;0.00068287037037037,"",IF(OR(D223="Congé",D223="OFF",C223="",D223="Congé spécial"),"",IF(D223&gt;F223,D223-C223,IF(C223-D223&lt;0,0,C223-D223))))</f>
        <v/>
      </c>
      <c r="J223" s="406">
        <f>IFERROR(IF($G223="","",IF($G223&gt;TIME(1,0,0),$G223-TIME(1,0,0),0)),"")</f>
        <v/>
      </c>
      <c r="K223" s="238">
        <f>IF(SUM(H223:J223)&lt;0.00068287037037037,0,SUM(H223:J223))</f>
        <v/>
      </c>
      <c r="L223" s="236">
        <f>IF(OR(F223="Congé",F223="OFF",M223="Abs",F223="Congé sans solde",F223="Férié",F223="Congé spécial",D223="Congé spécial"),0,IF(F223-E223&lt;0,0,IF(F223-E223&lt;=0.00068287037037037,0,F223-E223)))</f>
        <v/>
      </c>
      <c r="M223" s="239">
        <f>IF(AND(O223&lt;&gt;0,C223=""),"Abs",0)</f>
        <v/>
      </c>
      <c r="N223" s="240">
        <f>IFERROR(IF(OR(D223="OFF",D223="Congé",M223="Abs",D223="Congé sans solde",D223="Férié"),"",IF(O223-K223-L223&gt;O223,O223,IF(O223-K223-L223&lt;0,"",O223-K223-L223))),"")</f>
        <v/>
      </c>
      <c r="O223" s="241">
        <f>IF(AG223="2H Pause déjeuner",IF(F223-D223-0.0833333333333333&lt;0,F223-D223-0.0833333333333333+1,F223-D223-0.0833333333333333),IF(OR(AND(F223="OFF",D223="OFF"),AND(F223="Congé",D223="Congé"),AND(F223="Congé sans solde",D223="Congé sans solde"),AND(F223="Congé spécial",D223="Congé spécial"),AND(F223="Férié",D223="Férié"),AND(F223="OFF",D223="Congé"),AND(F223="OFF",D223="Congé sans solde"),AND(F223="OFF",D223="Congé spécial"),AND(F223="OFF",D223="Férié"),AND(F223="Congé",D223="OFF"),AND(F223="Congé",D223="Congé sans solde"),AND(F223="Congé",D223="Congé spécial"),AND(F223="Congé",D223="Férié"),AND(F223="Congé sans solde",D223="OFF"),AND(F223="Congé sans solde",D223="Congé"),AND(F223="Congé sans solde",D223="Congé spécial"),AND(F223="Congé sans solde",D223="Férié"),AND(F223="Congé spécial",D223="OFF"),AND(F223="Congé spécial",D223="Congé"),AND(F223="Congé spécial",D223="Congé sans solde"),AND(F223="Congé spécial",D223="Férié"),AND(F223="Férié",D223="OFF"),AND(F223="Férié",D223="Congé"),AND(F223="Férié",D223="Congé sans solde"),AND(F223="Férié",D223="Congé spécial")),0,IF(OR(F223="OFF",F223="Congé",F223="Congé spécial",F223="Congé sans solde",D223="OFF",D223="Congé",D223="Congé spécial",D223="Congé sans solde"),0.208333333333334,IF(AND(AG223="",F223-D223&lt;0),("24:00:00"-D223)+("00:00:00"+F223)-0.0416666666666667,IF(AND(OR(AG223="Allaitement",AG223="Sans déjeuner"),F223-D223&lt;0),("24:00:00"-D223)+("00:00:00"+F223),IF(AND(AG223="",F223-D223&gt;0.166666666666667),F223-D223-0.0416666666666667,IF(AND(OR(AG223="Allaitement",AG223="Sans déjeuner"),F223-D223&gt;0.166666666666667),F223-D223,F223-D223)))))))</f>
        <v/>
      </c>
      <c r="P223" s="242">
        <f>IFERROR(VLOOKUP($B223,Annuaire_roster!$B:$G,MATCH(P$1,Annuaire_roster!$B$1:$G$1,0),0),"-")</f>
        <v/>
      </c>
      <c r="Q223" s="243" t="n">
        <v>44767</v>
      </c>
      <c r="R223" s="244">
        <f>IF(M223="Abs",O223,0)</f>
        <v/>
      </c>
      <c r="S223" s="244">
        <f>SUM(R223,L223,I223,J223,W223,H223)</f>
        <v/>
      </c>
      <c r="T223" s="209">
        <f>"Sem - "&amp;WEEKNUM(Q223,21)</f>
        <v/>
      </c>
      <c r="U223" s="209">
        <f>PROPER(TEXT(Q223,"mmmm"))</f>
        <v/>
      </c>
      <c r="V223" s="245">
        <f>+TEXT(Q223,"aaa")</f>
        <v/>
      </c>
      <c r="W223" s="240" t="n"/>
      <c r="X223" s="246">
        <f>IFERROR(IF(M223="Abs",0,IF((D223-C223+E223-F223)&lt;0.000694444444444444,0,(D223-C223+E223-F223))),0)</f>
        <v/>
      </c>
      <c r="Y223" s="247">
        <f>IFERROR(VLOOKUP(B223,Annuaire_roster!B:E,4,0),"-")</f>
        <v/>
      </c>
      <c r="Z223" s="247">
        <f>IFERROR(VLOOKUP(B223,Annuaire_roster!B:F,3,0),"-")</f>
        <v/>
      </c>
      <c r="AA223" s="247">
        <f>IFERROR(VLOOKUP(B223,Annuaire_roster!B:I,6,0),"-")</f>
        <v/>
      </c>
      <c r="AB223" s="248">
        <f>IF(AND(D223="Congé",F223="Congé"),0.333333333333333,IF(OR(AND(D223="Congé",F223&lt;&gt;"Congé"),(AND(F223="Congé",D223&lt;&gt;"Congé"))),0.166666666666667,""))</f>
        <v/>
      </c>
      <c r="AC223" s="248">
        <f>IF(AND(D223="Congé sans solde",F223="Congé sans solde"),0.333333333333333,IF(OR(AND(D223="Congé sans solde",F223&lt;&gt;"Congé sans solde"),(AND(F223="Congé sans solde",D223&lt;&gt;"Congé sans solde"))),0.166666666666667,""))</f>
        <v/>
      </c>
      <c r="AD223" s="248">
        <f>IF(AND(D223="Congé spécial",F223="Congé spécial"),0.333333333333333,IF(OR(AND(D223="Congé spécial",F223&lt;&gt;"Congé décès"),(AND(F223="Congé spécial",D223&lt;&gt;"Congé spécial"))),0.166666666666667,""))</f>
        <v/>
      </c>
      <c r="AE223" s="249">
        <f>IF(AND(D223="Férié",F223="Férié"),0.333333333333333,IF(OR(AND(D223="Férié",F223&lt;&gt;"Férié"),(AND(F223="Férié",D223&lt;&gt;"Férié"))),0.166666666666667,""))</f>
        <v/>
      </c>
      <c r="AF223" s="249" t="n"/>
      <c r="AG223" s="244" t="n"/>
    </row>
    <row r="224" hidden="1" ht="12.75" customHeight="1" s="231">
      <c r="A224" s="232">
        <f>VLOOKUP(B224,Annuaire_roster!B:F,5,0)</f>
        <v/>
      </c>
      <c r="B224" s="233" t="inlineStr">
        <is>
          <t>QARBOUI Aymane</t>
        </is>
      </c>
      <c r="C224" s="234">
        <f>IFERROR(IF(COUNTIFS(Connexions!$K:$K,$Q224,Connexions!$E:$E,VLOOKUP($B224,Mapping_Noms!$A:$B,2,0))=0,"",_xlfn.MINIFS(Connexions!$M:$M,Connexions!$K:$K,$Q224,Connexions!$E:$E,VLOOKUP($B224,Mapping_Noms!$A:$B,2,0))-TIME(1,0,0)),"")</f>
        <v/>
      </c>
      <c r="D224" s="234">
        <f t="array" ref="D224:D224">IFERROR(INDEX(Planning2[],MATCH(1,(Planning2[Nom]=B224)*(Planning2[Date]=Q224),0),3),"-")</f>
        <v/>
      </c>
      <c r="E224" s="235">
        <f>IFERROR(IF(COUNTIFS(Connexions!$K:$K,$Q224,Connexions!$E:$E,VLOOKUP($B224,Mapping_Noms!$A:$B,2,0))=0,"",_xlfn.MAXIFS(Connexions!$O:$O,Connexions!$K:$K,$Q224,Connexions!$E:$E,VLOOKUP($B224,Mapping_Noms!$A:$B,2,0))-TIME(1,0,0)),"")</f>
        <v/>
      </c>
      <c r="F224" s="235">
        <f t="array" ref="F224:F224">IFERROR(INDEX(Planning2[],MATCH(1,(Planning2[Nom]=B224)*(Planning2[Date]=Q224),0),4),"-")</f>
        <v/>
      </c>
      <c r="G224" s="405">
        <f>IFERROR(IF(OR(IFERROR(INDEX('Planning Pauses Dej'!$C:$C,MATCH($B224&amp;"|"&amp;TEXT($Q224,"YYYYMMDD"),'Planning Pauses Dej'!$F:$F,0)),"")="",IFERROR(INDEX('Planning Pauses Dej'!$D:$D,MATCH($B224&amp;"|"&amp;TEXT($Q224,"YYYYMMDD"),'Planning Pauses Dej'!$F:$F,0)),"")=""),"",_xlfn.MAXIFS(Connexions!$Q:$Q,Connexions!$K:$K,$Q224,Connexions!$E:$E,VLOOKUP($B224,Mapping_Noms!$A:$B,2,0),Connexions!$O:$O,"&lt;="&amp;(IFERROR(INDEX('Planning Pauses Dej'!$D:$D,MATCH($B224&amp;"|"&amp;TEXT($Q224,"YYYYMMDD"),'Planning Pauses Dej'!$F:$F,0)),"")+TIME(1,0,0)),Connexions!$P:$P,"&gt;="&amp;(IFERROR(INDEX('Planning Pauses Dej'!$C:$C,MATCH($B224&amp;"|"&amp;TEXT($Q224,"YYYYMMDD"),'Planning Pauses Dej'!$F:$F,0)),"")+TIME(1,0,0)))),"")</f>
        <v/>
      </c>
      <c r="H224" s="405">
        <f>IFERROR(IF(OR($G224="",IFERROR(INDEX('Planning Pauses Dej'!$C:$C,MATCH($B224&amp;"|"&amp;TEXT($Q224,"YYYYMMDD"),'Planning Pauses Dej'!$F:$F,0)),"")="",IFERROR(INDEX('Planning Pauses Dej'!$D:$D,MATCH($B224&amp;"|"&amp;TEXT($Q224,"YYYYMMDD"),'Planning Pauses Dej'!$F:$F,0)),"")=""),"",IF($G224&gt;(IFERROR(INDEX('Planning Pauses Dej'!$D:$D,MATCH($B224&amp;"|"&amp;TEXT($Q224,"YYYYMMDD"),'Planning Pauses Dej'!$F:$F,0)),"")-IFERROR(INDEX('Planning Pauses Dej'!$C:$C,MATCH($B224&amp;"|"&amp;TEXT($Q224,"YYYYMMDD"),'Planning Pauses Dej'!$F:$F,0)),"")),$G224-(IFERROR(INDEX('Planning Pauses Dej'!$D:$D,MATCH($B224&amp;"|"&amp;TEXT($Q224,"YYYYMMDD"),'Planning Pauses Dej'!$F:$F,0)),"")-IFERROR(INDEX('Planning Pauses Dej'!$C:$C,MATCH($B224&amp;"|"&amp;TEXT($Q224,"YYYYMMDD"),'Planning Pauses Dej'!$F:$F,0)),"")),0)),"")</f>
        <v/>
      </c>
      <c r="I224" s="237">
        <f>IF(IF(OR(C224="",D224="Congé",D224="OFF",D224="Congé spécial"),"",IF(D224&gt;F224,D224-C224,IF(C224-D224&lt;0,0,C224-D224)))&lt;0.00068287037037037,"",IF(OR(D224="Congé",D224="OFF",C224="",D224="Congé spécial"),"",IF(D224&gt;F224,D224-C224,IF(C224-D224&lt;0,0,C224-D224))))</f>
        <v/>
      </c>
      <c r="J224" s="406">
        <f>IFERROR(IF($G224="","",IF($G224&gt;TIME(1,0,0),$G224-TIME(1,0,0),0)),"")</f>
        <v/>
      </c>
      <c r="K224" s="238">
        <f>IF(SUM(H224:J224)&lt;0.00068287037037037,0,SUM(H224:J224))</f>
        <v/>
      </c>
      <c r="L224" s="236">
        <f>IF(OR(F224="Congé",F224="OFF",M224="Abs",F224="Congé sans solde",F224="Férié",F224="Congé spécial",D224="Congé spécial"),0,IF(F224-E224&lt;0,0,IF(F224-E224&lt;=0.00068287037037037,0,F224-E224)))</f>
        <v/>
      </c>
      <c r="M224" s="239">
        <f>IF(AND(O224&lt;&gt;0,C224=""),"Abs",0)</f>
        <v/>
      </c>
      <c r="N224" s="240">
        <f>IFERROR(IF(OR(D224="OFF",D224="Congé",M224="Abs",D224="Congé sans solde",D224="Férié"),"",IF(O224-K224-L224&gt;O224,O224,IF(O224-K224-L224&lt;0,"",O224-K224-L224))),"")</f>
        <v/>
      </c>
      <c r="O224" s="241">
        <f>IF(AG224="2H Pause déjeuner",IF(F224-D224-0.0833333333333333&lt;0,F224-D224-0.0833333333333333+1,F224-D224-0.0833333333333333),IF(OR(AND(F224="OFF",D224="OFF"),AND(F224="Congé",D224="Congé"),AND(F224="Congé sans solde",D224="Congé sans solde"),AND(F224="Congé spécial",D224="Congé spécial"),AND(F224="Férié",D224="Férié"),AND(F224="OFF",D224="Congé"),AND(F224="OFF",D224="Congé sans solde"),AND(F224="OFF",D224="Congé spécial"),AND(F224="OFF",D224="Férié"),AND(F224="Congé",D224="OFF"),AND(F224="Congé",D224="Congé sans solde"),AND(F224="Congé",D224="Congé spécial"),AND(F224="Congé",D224="Férié"),AND(F224="Congé sans solde",D224="OFF"),AND(F224="Congé sans solde",D224="Congé"),AND(F224="Congé sans solde",D224="Congé spécial"),AND(F224="Congé sans solde",D224="Férié"),AND(F224="Congé spécial",D224="OFF"),AND(F224="Congé spécial",D224="Congé"),AND(F224="Congé spécial",D224="Congé sans solde"),AND(F224="Congé spécial",D224="Férié"),AND(F224="Férié",D224="OFF"),AND(F224="Férié",D224="Congé"),AND(F224="Férié",D224="Congé sans solde"),AND(F224="Férié",D224="Congé spécial")),0,IF(OR(F224="OFF",F224="Congé",F224="Congé spécial",F224="Congé sans solde",D224="OFF",D224="Congé",D224="Congé spécial",D224="Congé sans solde"),0.208333333333334,IF(AND(AG224="",F224-D224&lt;0),("24:00:00"-D224)+("00:00:00"+F224)-0.0416666666666667,IF(AND(OR(AG224="Allaitement",AG224="Sans déjeuner"),F224-D224&lt;0),("24:00:00"-D224)+("00:00:00"+F224),IF(AND(AG224="",F224-D224&gt;0.166666666666667),F224-D224-0.0416666666666667,IF(AND(OR(AG224="Allaitement",AG224="Sans déjeuner"),F224-D224&gt;0.166666666666667),F224-D224,F224-D224)))))))</f>
        <v/>
      </c>
      <c r="P224" s="242">
        <f>IFERROR(VLOOKUP($B224,Annuaire_roster!$B:$G,MATCH(P$1,Annuaire_roster!$B$1:$G$1,0),0),"-")</f>
        <v/>
      </c>
      <c r="Q224" s="243" t="n">
        <v>44767</v>
      </c>
      <c r="R224" s="244">
        <f>IF(M224="Abs",O224,0)</f>
        <v/>
      </c>
      <c r="S224" s="244">
        <f>SUM(R224,L224,I224,J224,W224,H224)</f>
        <v/>
      </c>
      <c r="T224" s="209">
        <f>"Sem - "&amp;WEEKNUM(Q224,21)</f>
        <v/>
      </c>
      <c r="U224" s="209">
        <f>PROPER(TEXT(Q224,"mmmm"))</f>
        <v/>
      </c>
      <c r="V224" s="245">
        <f>+TEXT(Q224,"aaa")</f>
        <v/>
      </c>
      <c r="W224" s="240" t="n"/>
      <c r="X224" s="246">
        <f>IFERROR(IF(M224="Abs",0,IF((D224-C224+E224-F224)&lt;0.000694444444444444,0,(D224-C224+E224-F224))),0)</f>
        <v/>
      </c>
      <c r="Y224" s="247">
        <f>IFERROR(VLOOKUP(B224,Annuaire_roster!B:E,4,0),"-")</f>
        <v/>
      </c>
      <c r="Z224" s="247">
        <f>IFERROR(VLOOKUP(B224,Annuaire_roster!B:F,3,0),"-")</f>
        <v/>
      </c>
      <c r="AA224" s="247">
        <f>IFERROR(VLOOKUP(B224,Annuaire_roster!B:I,6,0),"-")</f>
        <v/>
      </c>
      <c r="AB224" s="248">
        <f>IF(AND(D224="Congé",F224="Congé"),0.333333333333333,IF(OR(AND(D224="Congé",F224&lt;&gt;"Congé"),(AND(F224="Congé",D224&lt;&gt;"Congé"))),0.166666666666667,""))</f>
        <v/>
      </c>
      <c r="AC224" s="248">
        <f>IF(AND(D224="Congé sans solde",F224="Congé sans solde"),0.333333333333333,IF(OR(AND(D224="Congé sans solde",F224&lt;&gt;"Congé sans solde"),(AND(F224="Congé sans solde",D224&lt;&gt;"Congé sans solde"))),0.166666666666667,""))</f>
        <v/>
      </c>
      <c r="AD224" s="248">
        <f>IF(AND(D224="Congé spécial",F224="Congé spécial"),0.333333333333333,IF(OR(AND(D224="Congé spécial",F224&lt;&gt;"Congé décès"),(AND(F224="Congé spécial",D224&lt;&gt;"Congé spécial"))),0.166666666666667,""))</f>
        <v/>
      </c>
      <c r="AE224" s="249">
        <f>IF(AND(D224="Férié",F224="Férié"),0.333333333333333,IF(OR(AND(D224="Férié",F224&lt;&gt;"Férié"),(AND(F224="Férié",D224&lt;&gt;"Férié"))),0.166666666666667,""))</f>
        <v/>
      </c>
      <c r="AF224" s="249" t="n"/>
      <c r="AG224" s="244" t="n"/>
    </row>
    <row r="225" hidden="1" ht="12.75" customHeight="1" s="231">
      <c r="A225" s="232">
        <f>VLOOKUP(B225,Annuaire_roster!B:F,5,0)</f>
        <v/>
      </c>
      <c r="B225" s="233" t="inlineStr">
        <is>
          <t>SOUOUD ZAKARIA</t>
        </is>
      </c>
      <c r="C225" s="234">
        <f>IFERROR(IF(COUNTIFS(Connexions!$K:$K,$Q225,Connexions!$E:$E,VLOOKUP($B225,Mapping_Noms!$A:$B,2,0))=0,"",_xlfn.MINIFS(Connexions!$M:$M,Connexions!$K:$K,$Q225,Connexions!$E:$E,VLOOKUP($B225,Mapping_Noms!$A:$B,2,0))-TIME(1,0,0)),"")</f>
        <v/>
      </c>
      <c r="D225" s="234">
        <f t="array" ref="D225:D225">IFERROR(INDEX(Planning2[],MATCH(1,(Planning2[Nom]=B225)*(Planning2[Date]=Q225),0),3),"-")</f>
        <v/>
      </c>
      <c r="E225" s="235">
        <f>IFERROR(IF(COUNTIFS(Connexions!$K:$K,$Q225,Connexions!$E:$E,VLOOKUP($B225,Mapping_Noms!$A:$B,2,0))=0,"",_xlfn.MAXIFS(Connexions!$O:$O,Connexions!$K:$K,$Q225,Connexions!$E:$E,VLOOKUP($B225,Mapping_Noms!$A:$B,2,0))-TIME(1,0,0)),"")</f>
        <v/>
      </c>
      <c r="F225" s="235">
        <f t="array" ref="F225:F225">IFERROR(INDEX(Planning2[],MATCH(1,(Planning2[Nom]=B225)*(Planning2[Date]=Q225),0),4),"-")</f>
        <v/>
      </c>
      <c r="G225" s="405">
        <f>IFERROR(IF(OR(IFERROR(INDEX('Planning Pauses Dej'!$C:$C,MATCH($B225&amp;"|"&amp;TEXT($Q225,"YYYYMMDD"),'Planning Pauses Dej'!$F:$F,0)),"")="",IFERROR(INDEX('Planning Pauses Dej'!$D:$D,MATCH($B225&amp;"|"&amp;TEXT($Q225,"YYYYMMDD"),'Planning Pauses Dej'!$F:$F,0)),"")=""),"",_xlfn.MAXIFS(Connexions!$Q:$Q,Connexions!$K:$K,$Q225,Connexions!$E:$E,VLOOKUP($B225,Mapping_Noms!$A:$B,2,0),Connexions!$O:$O,"&lt;="&amp;(IFERROR(INDEX('Planning Pauses Dej'!$D:$D,MATCH($B225&amp;"|"&amp;TEXT($Q225,"YYYYMMDD"),'Planning Pauses Dej'!$F:$F,0)),"")+TIME(1,0,0)),Connexions!$P:$P,"&gt;="&amp;(IFERROR(INDEX('Planning Pauses Dej'!$C:$C,MATCH($B225&amp;"|"&amp;TEXT($Q225,"YYYYMMDD"),'Planning Pauses Dej'!$F:$F,0)),"")+TIME(1,0,0)))),"")</f>
        <v/>
      </c>
      <c r="H225" s="405">
        <f>IFERROR(IF(OR($G225="",IFERROR(INDEX('Planning Pauses Dej'!$C:$C,MATCH($B225&amp;"|"&amp;TEXT($Q225,"YYYYMMDD"),'Planning Pauses Dej'!$F:$F,0)),"")="",IFERROR(INDEX('Planning Pauses Dej'!$D:$D,MATCH($B225&amp;"|"&amp;TEXT($Q225,"YYYYMMDD"),'Planning Pauses Dej'!$F:$F,0)),"")=""),"",IF($G225&gt;(IFERROR(INDEX('Planning Pauses Dej'!$D:$D,MATCH($B225&amp;"|"&amp;TEXT($Q225,"YYYYMMDD"),'Planning Pauses Dej'!$F:$F,0)),"")-IFERROR(INDEX('Planning Pauses Dej'!$C:$C,MATCH($B225&amp;"|"&amp;TEXT($Q225,"YYYYMMDD"),'Planning Pauses Dej'!$F:$F,0)),"")),$G225-(IFERROR(INDEX('Planning Pauses Dej'!$D:$D,MATCH($B225&amp;"|"&amp;TEXT($Q225,"YYYYMMDD"),'Planning Pauses Dej'!$F:$F,0)),"")-IFERROR(INDEX('Planning Pauses Dej'!$C:$C,MATCH($B225&amp;"|"&amp;TEXT($Q225,"YYYYMMDD"),'Planning Pauses Dej'!$F:$F,0)),"")),0)),"")</f>
        <v/>
      </c>
      <c r="I225" s="237">
        <f>IF(IF(OR(C225="",D225="Congé",D225="OFF",D225="Congé spécial"),"",IF(D225&gt;F225,D225-C225,IF(C225-D225&lt;0,0,C225-D225)))&lt;0.00068287037037037,"",IF(OR(D225="Congé",D225="OFF",C225="",D225="Congé spécial"),"",IF(D225&gt;F225,D225-C225,IF(C225-D225&lt;0,0,C225-D225))))</f>
        <v/>
      </c>
      <c r="J225" s="406">
        <f>IFERROR(IF($G225="","",IF($G225&gt;TIME(1,0,0),$G225-TIME(1,0,0),0)),"")</f>
        <v/>
      </c>
      <c r="K225" s="238">
        <f>IF(SUM(H225:J225)&lt;0.00068287037037037,0,SUM(H225:J225))</f>
        <v/>
      </c>
      <c r="L225" s="236">
        <f>IF(OR(F225="Congé",F225="OFF",M225="Abs",F225="Congé sans solde",F225="Férié",F225="Congé spécial",D225="Congé spécial"),0,IF(F225-E225&lt;0,0,IF(F225-E225&lt;=0.00068287037037037,0,F225-E225)))</f>
        <v/>
      </c>
      <c r="M225" s="239">
        <f>IF(AND(O225&lt;&gt;0,C225=""),"Abs",0)</f>
        <v/>
      </c>
      <c r="N225" s="240">
        <f>IFERROR(IF(OR(D225="OFF",D225="Congé",M225="Abs",D225="Congé sans solde",D225="Férié"),"",IF(O225-K225-L225&gt;O225,O225,IF(O225-K225-L225&lt;0,"",O225-K225-L225))),"")</f>
        <v/>
      </c>
      <c r="O225" s="241">
        <f>IF(AG225="2H Pause déjeuner",IF(F225-D225-0.0833333333333333&lt;0,F225-D225-0.0833333333333333+1,F225-D225-0.0833333333333333),IF(OR(AND(F225="OFF",D225="OFF"),AND(F225="Congé",D225="Congé"),AND(F225="Congé sans solde",D225="Congé sans solde"),AND(F225="Congé spécial",D225="Congé spécial"),AND(F225="Férié",D225="Férié"),AND(F225="OFF",D225="Congé"),AND(F225="OFF",D225="Congé sans solde"),AND(F225="OFF",D225="Congé spécial"),AND(F225="OFF",D225="Férié"),AND(F225="Congé",D225="OFF"),AND(F225="Congé",D225="Congé sans solde"),AND(F225="Congé",D225="Congé spécial"),AND(F225="Congé",D225="Férié"),AND(F225="Congé sans solde",D225="OFF"),AND(F225="Congé sans solde",D225="Congé"),AND(F225="Congé sans solde",D225="Congé spécial"),AND(F225="Congé sans solde",D225="Férié"),AND(F225="Congé spécial",D225="OFF"),AND(F225="Congé spécial",D225="Congé"),AND(F225="Congé spécial",D225="Congé sans solde"),AND(F225="Congé spécial",D225="Férié"),AND(F225="Férié",D225="OFF"),AND(F225="Férié",D225="Congé"),AND(F225="Férié",D225="Congé sans solde"),AND(F225="Férié",D225="Congé spécial")),0,IF(OR(F225="OFF",F225="Congé",F225="Congé spécial",F225="Congé sans solde",D225="OFF",D225="Congé",D225="Congé spécial",D225="Congé sans solde"),0.208333333333334,IF(AND(AG225="",F225-D225&lt;0),("24:00:00"-D225)+("00:00:00"+F225)-0.0416666666666667,IF(AND(OR(AG225="Allaitement",AG225="Sans déjeuner"),F225-D225&lt;0),("24:00:00"-D225)+("00:00:00"+F225),IF(AND(AG225="",F225-D225&gt;0.166666666666667),F225-D225-0.0416666666666667,IF(AND(OR(AG225="Allaitement",AG225="Sans déjeuner"),F225-D225&gt;0.166666666666667),F225-D225,F225-D225)))))))</f>
        <v/>
      </c>
      <c r="P225" s="242">
        <f>IFERROR(VLOOKUP($B225,Annuaire_roster!$B:$G,MATCH(P$1,Annuaire_roster!$B$1:$G$1,0),0),"-")</f>
        <v/>
      </c>
      <c r="Q225" s="243" t="n">
        <v>44767</v>
      </c>
      <c r="R225" s="244">
        <f>IF(M225="Abs",O225,0)</f>
        <v/>
      </c>
      <c r="S225" s="244">
        <f>SUM(R225,L225,I225,J225,W225,H225)</f>
        <v/>
      </c>
      <c r="T225" s="209">
        <f>"Sem - "&amp;WEEKNUM(Q225,21)</f>
        <v/>
      </c>
      <c r="U225" s="209">
        <f>PROPER(TEXT(Q225,"mmmm"))</f>
        <v/>
      </c>
      <c r="V225" s="245">
        <f>+TEXT(Q225,"aaa")</f>
        <v/>
      </c>
      <c r="W225" s="240" t="n"/>
      <c r="X225" s="246">
        <f>IFERROR(IF(M225="Abs",0,IF((D225-C225+E225-F225)&lt;0.000694444444444444,0,(D225-C225+E225-F225))),0)</f>
        <v/>
      </c>
      <c r="Y225" s="247">
        <f>IFERROR(VLOOKUP(B225,Annuaire_roster!B:E,4,0),"-")</f>
        <v/>
      </c>
      <c r="Z225" s="247">
        <f>IFERROR(VLOOKUP(B225,Annuaire_roster!B:F,3,0),"-")</f>
        <v/>
      </c>
      <c r="AA225" s="247">
        <f>IFERROR(VLOOKUP(B225,Annuaire_roster!B:I,6,0),"-")</f>
        <v/>
      </c>
      <c r="AB225" s="248">
        <f>IF(AND(D225="Congé",F225="Congé"),0.333333333333333,IF(OR(AND(D225="Congé",F225&lt;&gt;"Congé"),(AND(F225="Congé",D225&lt;&gt;"Congé"))),0.166666666666667,""))</f>
        <v/>
      </c>
      <c r="AC225" s="248">
        <f>IF(AND(D225="Congé sans solde",F225="Congé sans solde"),0.333333333333333,IF(OR(AND(D225="Congé sans solde",F225&lt;&gt;"Congé sans solde"),(AND(F225="Congé sans solde",D225&lt;&gt;"Congé sans solde"))),0.166666666666667,""))</f>
        <v/>
      </c>
      <c r="AD225" s="248">
        <f>IF(AND(D225="Congé spécial",F225="Congé spécial"),0.333333333333333,IF(OR(AND(D225="Congé spécial",F225&lt;&gt;"Congé décès"),(AND(F225="Congé spécial",D225&lt;&gt;"Congé spécial"))),0.166666666666667,""))</f>
        <v/>
      </c>
      <c r="AE225" s="249">
        <f>IF(AND(D225="Férié",F225="Férié"),0.333333333333333,IF(OR(AND(D225="Férié",F225&lt;&gt;"Férié"),(AND(F225="Férié",D225&lt;&gt;"Férié"))),0.166666666666667,""))</f>
        <v/>
      </c>
      <c r="AF225" s="249" t="n"/>
      <c r="AG225" s="244" t="n"/>
    </row>
  </sheetData>
  <autoFilter ref="A1:AG225">
    <filterColumn colId="16" hiddenButton="0" showButton="1">
      <filters blank="1"/>
    </filterColumn>
    <sortState ref="A2:AG225">
      <sortCondition ref="A2:A225" customList=""/>
    </sortState>
  </autoFilter>
  <conditionalFormatting sqref="B41:B59">
    <cfRule type="cellIs" rank="0" priority="2" equalAverage="0" operator="equal" aboveAverage="0" dxfId="12" text="" percent="0" bottom="0">
      <formula>"OFF"</formula>
    </cfRule>
  </conditionalFormatting>
  <conditionalFormatting sqref="B3:B36">
    <cfRule type="cellIs" rank="0" priority="3" equalAverage="0" operator="equal" aboveAverage="0" dxfId="12" text="" percent="0" bottom="0">
      <formula>"OFF"</formula>
    </cfRule>
  </conditionalFormatting>
  <conditionalFormatting sqref="B37:B40 B157:B225">
    <cfRule type="cellIs" rank="0" priority="4" equalAverage="0" operator="equal" aboveAverage="0" dxfId="12" text="" percent="0" bottom="0">
      <formula>"OFF"</formula>
    </cfRule>
  </conditionalFormatting>
  <conditionalFormatting sqref="X27">
    <cfRule type="cellIs" rank="0" priority="5" equalAverage="0" operator="equal" aboveAverage="0" dxfId="15" text="" percent="0" bottom="0">
      <formula>0</formula>
    </cfRule>
  </conditionalFormatting>
  <conditionalFormatting sqref="G27:K27">
    <cfRule type="cellIs" rank="0" priority="6" equalAverage="0" operator="equal" aboveAverage="0" dxfId="16" text="" percent="0" bottom="0">
      <formula>0</formula>
    </cfRule>
  </conditionalFormatting>
  <conditionalFormatting sqref="X25">
    <cfRule type="cellIs" rank="0" priority="7" equalAverage="0" operator="equal" aboveAverage="0" dxfId="15" text="" percent="0" bottom="0">
      <formula>0</formula>
    </cfRule>
  </conditionalFormatting>
  <conditionalFormatting sqref="G25:K25">
    <cfRule type="cellIs" rank="0" priority="8" equalAverage="0" operator="equal" aboveAverage="0" dxfId="16" text="" percent="0" bottom="0">
      <formula>0</formula>
    </cfRule>
  </conditionalFormatting>
  <conditionalFormatting sqref="X78">
    <cfRule type="cellIs" rank="0" priority="9" equalAverage="0" operator="equal" aboveAverage="0" dxfId="15" text="" percent="0" bottom="0">
      <formula>0</formula>
    </cfRule>
  </conditionalFormatting>
  <conditionalFormatting sqref="G78:H78 J78:K78">
    <cfRule type="cellIs" rank="0" priority="10" equalAverage="0" operator="equal" aboveAverage="0" dxfId="16" text="" percent="0" bottom="0">
      <formula>0</formula>
    </cfRule>
  </conditionalFormatting>
  <conditionalFormatting sqref="X70">
    <cfRule type="cellIs" rank="0" priority="11" equalAverage="0" operator="equal" aboveAverage="0" dxfId="15" text="" percent="0" bottom="0">
      <formula>0</formula>
    </cfRule>
  </conditionalFormatting>
  <conditionalFormatting sqref="G70:H70 J70:K70">
    <cfRule type="cellIs" rank="0" priority="12" equalAverage="0" operator="equal" aboveAverage="0" dxfId="16" text="" percent="0" bottom="0">
      <formula>0</formula>
    </cfRule>
  </conditionalFormatting>
  <conditionalFormatting sqref="X2:X24 X26 X28:X69 X71:X77 X79:X225">
    <cfRule type="cellIs" rank="0" priority="13" equalAverage="0" operator="equal" aboveAverage="0" dxfId="15" text="" percent="0" bottom="0">
      <formula>0</formula>
    </cfRule>
  </conditionalFormatting>
  <conditionalFormatting sqref="G1:M2 G3:K24 G26:K26 G28:K64 G65:H69 G71:H77 G79:H91 G92:K225 I65:I91 J65:K69 J71:K77 J79:K91 L3:M225 O2:O225">
    <cfRule type="cellIs" rank="0" priority="14" equalAverage="0" operator="equal" aboveAverage="0" dxfId="16" text="" percent="0" bottom="0">
      <formula>0</formula>
    </cfRule>
  </conditionalFormatting>
  <conditionalFormatting sqref="B2 B60:B160 C1:F225">
    <cfRule type="cellIs" rank="0" priority="15" equalAverage="0" operator="equal" aboveAverage="0" dxfId="12" text="" percent="0" bottom="0">
      <formula>"OFF"</formula>
    </cfRule>
  </conditionalFormatting>
  <dataValidations count="1">
    <dataValidation sqref="AG2:AG225" showDropDown="0" showInputMessage="1" showErrorMessage="1" allowBlank="1" type="list" errorStyle="stop" operator="between">
      <formula1>"2H Pause déjeuner,Sans déjeuner,Allaitement"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6" activeCellId="0" sqref="D26"/>
    </sheetView>
  </sheetViews>
  <sheetFormatPr baseColWidth="8" defaultColWidth="10.6796875" defaultRowHeight="15" zeroHeight="0" outlineLevelRow="0"/>
  <cols>
    <col width="24.42" customWidth="1" style="216" min="1" max="1"/>
  </cols>
  <sheetData>
    <row r="1" ht="15" customHeight="1" s="231">
      <c r="A1" s="263" t="n"/>
      <c r="B1" s="263" t="inlineStr">
        <is>
          <t>Dernier log</t>
        </is>
      </c>
    </row>
    <row r="2" ht="19.5" customHeight="1" s="231">
      <c r="A2" s="264" t="inlineStr">
        <is>
          <t>AAZAROU Boutayna</t>
        </is>
      </c>
      <c r="B2" s="265" t="n">
        <v>0.3222222222222222</v>
      </c>
    </row>
    <row r="3" ht="19.5" customHeight="1" s="231">
      <c r="A3" s="264" t="inlineStr">
        <is>
          <t>AIT ADDI Khadija</t>
        </is>
      </c>
      <c r="B3" s="265" t="n">
        <v>0.3305555555555555</v>
      </c>
    </row>
    <row r="4" ht="19.5" customHeight="1" s="231">
      <c r="A4" s="264" t="inlineStr">
        <is>
          <t>AIT ELMAHJOUB Taoufiq</t>
        </is>
      </c>
      <c r="B4" s="265" t="n">
        <v>0.3340277777777778</v>
      </c>
    </row>
    <row r="5" ht="19.5" customHeight="1" s="231">
      <c r="A5" s="264" t="inlineStr">
        <is>
          <t>AIT LARBI Hind</t>
        </is>
      </c>
      <c r="B5" s="265" t="n">
        <v>0.3326388888888889</v>
      </c>
    </row>
    <row r="6" ht="19.5" customHeight="1" s="231">
      <c r="A6" s="264" t="inlineStr">
        <is>
          <t>AMRI Zineb</t>
        </is>
      </c>
      <c r="B6" s="265" t="n">
        <v>0.3347222222222222</v>
      </c>
    </row>
    <row r="7" ht="19.5" customHeight="1" s="231">
      <c r="A7" s="264" t="inlineStr">
        <is>
          <t>ATCHANE Mohamed Amine</t>
        </is>
      </c>
      <c r="B7" s="265" t="n">
        <v>0.01736111111111111</v>
      </c>
    </row>
    <row r="8" ht="19.5" customHeight="1" s="231">
      <c r="A8" s="264" t="inlineStr">
        <is>
          <t>AZHARI Abdelhamid</t>
        </is>
      </c>
      <c r="B8" s="265" t="n">
        <v>0.3340277777777778</v>
      </c>
    </row>
    <row r="9" ht="19.5" customHeight="1" s="231">
      <c r="A9" s="264" t="inlineStr">
        <is>
          <t>BOCOUM Diawariah</t>
        </is>
      </c>
      <c r="B9" s="265" t="n">
        <v>0.3222222222222222</v>
      </c>
    </row>
    <row r="10" ht="19.5" customHeight="1" s="231">
      <c r="A10" s="264" t="inlineStr">
        <is>
          <t>BOUABDILLAH Zakaria</t>
        </is>
      </c>
      <c r="B10" s="265" t="n">
        <v>0.3347222222222222</v>
      </c>
    </row>
    <row r="11" ht="19.5" customHeight="1" s="231">
      <c r="A11" s="264" t="inlineStr">
        <is>
          <t>BOULHROUD Salma</t>
        </is>
      </c>
      <c r="B11" s="265" t="n">
        <v>0.3326388888888889</v>
      </c>
    </row>
    <row r="12" ht="15" customHeight="1" s="231">
      <c r="A12" s="264" t="inlineStr">
        <is>
          <t>BOULLOUH Haddou</t>
        </is>
      </c>
      <c r="B12" s="265" t="n">
        <v>0.3277777777777778</v>
      </c>
    </row>
    <row r="13" ht="15" customHeight="1" s="231">
      <c r="A13" s="264" t="inlineStr">
        <is>
          <t>CHAMKHA Nouhaila</t>
        </is>
      </c>
      <c r="B13" s="265" t="n">
        <v>0.3305555555555555</v>
      </c>
    </row>
    <row r="14" ht="15" customHeight="1" s="231">
      <c r="A14" s="264" t="inlineStr">
        <is>
          <t>CHAYAH Chaimae</t>
        </is>
      </c>
      <c r="B14" s="265" t="n">
        <v>0.3194444444444444</v>
      </c>
    </row>
    <row r="15" ht="15" customHeight="1" s="231">
      <c r="A15" s="264" t="inlineStr">
        <is>
          <t>CISSE Oumar</t>
        </is>
      </c>
      <c r="B15" s="265" t="n">
        <v>0.3354166666666666</v>
      </c>
    </row>
    <row r="16" ht="15" customHeight="1" s="231">
      <c r="A16" s="264" t="inlineStr">
        <is>
          <t>CISSE Saliou</t>
        </is>
      </c>
      <c r="B16" s="265" t="n">
        <v>0.3263888888888889</v>
      </c>
    </row>
    <row r="17" ht="15" customHeight="1" s="231">
      <c r="A17" s="264" t="inlineStr">
        <is>
          <t>DIOUF Ousmane</t>
        </is>
      </c>
      <c r="B17" s="265" t="n">
        <v>0.3277777777777778</v>
      </c>
    </row>
    <row r="18" ht="15" customHeight="1" s="231">
      <c r="A18" s="264" t="inlineStr">
        <is>
          <t>EL BASRI Najib</t>
        </is>
      </c>
      <c r="B18" s="265" t="n">
        <v>0.3347222222222222</v>
      </c>
    </row>
    <row r="19" ht="15" customHeight="1" s="231">
      <c r="A19" s="264" t="inlineStr">
        <is>
          <t>EL GUARJAOUI Hiba</t>
        </is>
      </c>
      <c r="B19" s="265" t="n">
        <v>0.31875</v>
      </c>
    </row>
    <row r="20" ht="15" customHeight="1" s="231">
      <c r="A20" s="264" t="inlineStr">
        <is>
          <t>EL HARROUCHI Chaimae</t>
        </is>
      </c>
      <c r="B20" s="265" t="n">
        <v>0.33125</v>
      </c>
    </row>
    <row r="21" ht="15" customHeight="1" s="231">
      <c r="A21" s="264" t="inlineStr">
        <is>
          <t>EL IDRISSI ELHA Maha</t>
        </is>
      </c>
      <c r="B21" s="265" t="n">
        <v>0.3215277777777778</v>
      </c>
    </row>
    <row r="22" ht="15" customHeight="1" s="231">
      <c r="A22" s="264" t="inlineStr">
        <is>
          <t>EL MOUBARIK Oumnia</t>
        </is>
      </c>
      <c r="B22" s="265" t="n">
        <v>0.3215277777777778</v>
      </c>
    </row>
    <row r="23" ht="15" customHeight="1" s="231">
      <c r="A23" s="264" t="inlineStr">
        <is>
          <t>EL OUIKSANI Samia</t>
        </is>
      </c>
      <c r="B23" s="265" t="n">
        <v>0.31875</v>
      </c>
    </row>
    <row r="24" ht="15" customHeight="1" s="231">
      <c r="A24" s="264" t="inlineStr">
        <is>
          <t>ELANMATI Lamiae</t>
        </is>
      </c>
      <c r="B24" s="265" t="n">
        <v>0.3263888888888889</v>
      </c>
    </row>
    <row r="25" ht="15" customHeight="1" s="231">
      <c r="A25" s="264" t="inlineStr">
        <is>
          <t>FAYE Rokhaya</t>
        </is>
      </c>
      <c r="B25" s="265" t="n">
        <v>0.3326388888888889</v>
      </c>
    </row>
    <row r="26" ht="15" customHeight="1" s="231">
      <c r="A26" s="264" t="inlineStr">
        <is>
          <t>GOMIS Aminata Agnes</t>
        </is>
      </c>
      <c r="B26" s="265" t="n">
        <v>0.3243055555555556</v>
      </c>
    </row>
    <row r="27" ht="15" customHeight="1" s="231">
      <c r="A27" s="264" t="inlineStr">
        <is>
          <t>GUEYE Mouhamed</t>
        </is>
      </c>
      <c r="B27" s="265" t="n">
        <v>0.3319444444444444</v>
      </c>
    </row>
    <row r="28" ht="15" customHeight="1" s="231">
      <c r="A28" s="264" t="inlineStr">
        <is>
          <t>HAMDOUNI Yasser</t>
        </is>
      </c>
      <c r="B28" s="265" t="n">
        <v>0.3215277777777778</v>
      </c>
    </row>
    <row r="29" ht="15" customHeight="1" s="231">
      <c r="A29" s="264" t="inlineStr">
        <is>
          <t>KANTAOUI Salma</t>
        </is>
      </c>
      <c r="B29" s="265" t="n">
        <v>0.3326388888888889</v>
      </c>
    </row>
    <row r="30" ht="15" customHeight="1" s="231">
      <c r="A30" s="264" t="inlineStr">
        <is>
          <t>LIMANE Hiba</t>
        </is>
      </c>
      <c r="B30" s="265" t="n">
        <v>0.3333333333333333</v>
      </c>
    </row>
    <row r="31" ht="15" customHeight="1" s="231">
      <c r="A31" s="264" t="inlineStr">
        <is>
          <t>MERZOUG Nasrallah</t>
        </is>
      </c>
      <c r="B31" s="265" t="n">
        <v>0.3340277777777778</v>
      </c>
    </row>
    <row r="32" ht="15" customHeight="1" s="231">
      <c r="A32" s="264" t="inlineStr">
        <is>
          <t>MESKOURI Nabila</t>
        </is>
      </c>
      <c r="B32" s="265" t="n">
        <v>0.3326388888888889</v>
      </c>
    </row>
    <row r="33" ht="15" customHeight="1" s="231">
      <c r="A33" s="264" t="inlineStr">
        <is>
          <t>OULIDA Basma</t>
        </is>
      </c>
      <c r="B33" s="265" t="n">
        <v>0.33125</v>
      </c>
    </row>
    <row r="34" ht="15" customHeight="1" s="231">
      <c r="A34" s="264" t="inlineStr">
        <is>
          <t>QARBOUI Aymane</t>
        </is>
      </c>
      <c r="B34" s="265" t="n">
        <v>0.3347222222222222</v>
      </c>
    </row>
    <row r="35" ht="15" customHeight="1" s="231">
      <c r="A35" s="264" t="inlineStr">
        <is>
          <t>RACHAD Nawar</t>
        </is>
      </c>
      <c r="B35" s="265" t="n">
        <v>0.3291666666666667</v>
      </c>
    </row>
    <row r="36" ht="15" customHeight="1" s="231">
      <c r="A36" s="264" t="inlineStr">
        <is>
          <t>RHEMARI Reda</t>
        </is>
      </c>
      <c r="B36" s="265" t="n">
        <v>0.3340277777777778</v>
      </c>
    </row>
    <row r="37" ht="15" customHeight="1" s="231">
      <c r="A37" s="264" t="inlineStr">
        <is>
          <t>ZIOUI Dounia</t>
        </is>
      </c>
      <c r="B37" s="265" t="n">
        <v>0.3326388888888889</v>
      </c>
    </row>
    <row r="38" ht="15" customHeight="1" s="231">
      <c r="A38" s="264" t="inlineStr">
        <is>
          <t>ZITOUNI Lamya</t>
        </is>
      </c>
      <c r="B38" s="265" t="n">
        <v>0.3326388888888889</v>
      </c>
    </row>
    <row r="39" ht="15" customHeight="1" s="231">
      <c r="A39" s="264" t="inlineStr">
        <is>
          <t>ZTAIT Najlae</t>
        </is>
      </c>
      <c r="B39" s="265" t="n">
        <v>0.3298611111111111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T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2" activeCellId="0" sqref="B2"/>
    </sheetView>
  </sheetViews>
  <sheetFormatPr baseColWidth="8" defaultColWidth="10.6796875" defaultRowHeight="15" zeroHeight="0" outlineLevelRow="0"/>
  <cols>
    <col width="28.42" customWidth="1" style="216" min="1" max="1"/>
    <col width="13.71" customWidth="1" style="216" min="2" max="2"/>
    <col width="17.29" customWidth="1" style="216" min="3" max="3"/>
    <col width="14.42" customWidth="1" style="216" min="4" max="4"/>
    <col width="13.29" customWidth="1" style="266" min="5" max="5"/>
    <col width="12.42" customWidth="1" style="216" min="6" max="6"/>
    <col width="15.71" customWidth="1" style="216" min="7" max="7"/>
    <col width="15" customWidth="1" style="216" min="8" max="8"/>
    <col width="30.29" customWidth="1" style="216" min="9" max="9"/>
    <col width="35.71" customWidth="1" style="216" min="11" max="11"/>
  </cols>
  <sheetData>
    <row r="1" ht="33" customHeight="1" s="231">
      <c r="A1" s="267" t="inlineStr">
        <is>
          <t>Nom De l'agent</t>
        </is>
      </c>
      <c r="B1" s="268" t="inlineStr">
        <is>
          <t>Hr début shift Réalisée</t>
        </is>
      </c>
      <c r="C1" s="268" t="inlineStr">
        <is>
          <t>Hr début shift Planifiée</t>
        </is>
      </c>
      <c r="D1" s="268" t="inlineStr">
        <is>
          <t>Hr Fin shift Planifiée</t>
        </is>
      </c>
      <c r="E1" s="268" t="inlineStr">
        <is>
          <t>Retard Début de shift</t>
        </is>
      </c>
      <c r="F1" s="268" t="inlineStr">
        <is>
          <t>Absences</t>
        </is>
      </c>
      <c r="G1" s="268" t="inlineStr">
        <is>
          <t>Segment</t>
        </is>
      </c>
      <c r="H1" s="268" t="inlineStr">
        <is>
          <t>Date</t>
        </is>
      </c>
      <c r="I1" s="268" t="inlineStr">
        <is>
          <t>Commentaire</t>
        </is>
      </c>
    </row>
    <row r="2" ht="15" customHeight="1" s="231">
      <c r="A2" s="269" t="inlineStr">
        <is>
          <t>AIT ADDI KHADIJA</t>
        </is>
      </c>
      <c r="B2" s="270" t="n">
        <v>0.2888888888888889</v>
      </c>
      <c r="C2" s="270" t="n">
        <v>0.2916666666666667</v>
      </c>
      <c r="D2" s="270" t="n">
        <v>0.7083333333333334</v>
      </c>
      <c r="E2" s="271" t="n"/>
      <c r="F2" s="272" t="n"/>
      <c r="G2" s="273" t="inlineStr">
        <is>
          <t>Google leads</t>
        </is>
      </c>
      <c r="H2" s="274" t="n">
        <v>44762</v>
      </c>
      <c r="I2" s="275" t="n"/>
      <c r="T2" s="276" t="n"/>
    </row>
    <row r="3" ht="15" customHeight="1" s="231">
      <c r="A3" s="269" t="inlineStr">
        <is>
          <t>SIDIBE MOUSKEBA DALAFINA</t>
        </is>
      </c>
      <c r="B3" s="270" t="n">
        <v>0.2895833333333334</v>
      </c>
      <c r="C3" s="270" t="n">
        <v>0.2916666666666667</v>
      </c>
      <c r="D3" s="270" t="n">
        <v>0.7083333333333334</v>
      </c>
      <c r="E3" s="271" t="n"/>
      <c r="F3" s="272" t="n"/>
      <c r="G3" s="273" t="inlineStr">
        <is>
          <t>Google leads</t>
        </is>
      </c>
      <c r="H3" s="274" t="n">
        <v>44762</v>
      </c>
      <c r="I3" s="275" t="n"/>
      <c r="K3" s="277" t="n"/>
      <c r="L3" s="278" t="n"/>
      <c r="T3" s="276" t="n"/>
    </row>
    <row r="4" ht="15" customHeight="1" s="231">
      <c r="A4" s="269" t="inlineStr">
        <is>
          <t>AIT LARBI HIND</t>
        </is>
      </c>
      <c r="B4" s="270" t="n">
        <v>0.2909722222222222</v>
      </c>
      <c r="C4" s="270" t="n">
        <v>0.2916666666666667</v>
      </c>
      <c r="D4" s="270" t="n">
        <v>0.7083333333333334</v>
      </c>
      <c r="E4" s="271" t="n"/>
      <c r="F4" s="279" t="n"/>
      <c r="G4" s="273" t="inlineStr">
        <is>
          <t>Google leads</t>
        </is>
      </c>
      <c r="H4" s="274" t="n">
        <v>44762</v>
      </c>
      <c r="I4" s="275" t="n"/>
      <c r="K4" s="277" t="n"/>
      <c r="L4" s="280" t="n"/>
      <c r="T4" s="276" t="n"/>
    </row>
    <row r="5" ht="15" customHeight="1" s="231">
      <c r="A5" s="269" t="inlineStr">
        <is>
          <t>ZAKI OMAR</t>
        </is>
      </c>
      <c r="B5" s="270" t="n">
        <v>0.2916666666666667</v>
      </c>
      <c r="C5" s="270" t="n">
        <v>0.2916666666666667</v>
      </c>
      <c r="D5" s="270" t="n">
        <v>0.7083333333333334</v>
      </c>
      <c r="E5" s="271" t="n"/>
      <c r="F5" s="279" t="n"/>
      <c r="G5" s="273" t="inlineStr">
        <is>
          <t>Google leads</t>
        </is>
      </c>
      <c r="H5" s="274" t="n">
        <v>44762</v>
      </c>
      <c r="I5" s="281" t="n"/>
      <c r="K5" s="277" t="n"/>
      <c r="L5" s="278" t="n"/>
      <c r="T5" s="276" t="n"/>
    </row>
    <row r="6" ht="15" customHeight="1" s="231">
      <c r="A6" s="282" t="inlineStr">
        <is>
          <t>AZHARI ABDELHAMID</t>
        </is>
      </c>
      <c r="B6" s="270" t="n"/>
      <c r="C6" s="270" t="n">
        <v>0.2916666666666667</v>
      </c>
      <c r="D6" s="270" t="n">
        <v>0.7083333333333334</v>
      </c>
      <c r="E6" s="283" t="n"/>
      <c r="F6" s="279" t="inlineStr">
        <is>
          <t>ABS</t>
        </is>
      </c>
      <c r="G6" s="273" t="inlineStr">
        <is>
          <t>Google leads</t>
        </is>
      </c>
      <c r="H6" s="274" t="n">
        <v>44762</v>
      </c>
      <c r="I6" s="275" t="n"/>
      <c r="K6" s="277" t="n"/>
      <c r="L6" s="278" t="n"/>
      <c r="T6" s="276" t="n"/>
    </row>
    <row r="7" ht="15" customHeight="1" s="231">
      <c r="A7" s="269" t="inlineStr">
        <is>
          <t>NIANG NDEYE ABSA</t>
        </is>
      </c>
      <c r="B7" s="270" t="n">
        <v>0.2902777777777778</v>
      </c>
      <c r="C7" s="270" t="n">
        <v>0.2916666666666667</v>
      </c>
      <c r="D7" s="270" t="n">
        <v>0.7083333333333334</v>
      </c>
      <c r="E7" s="283" t="n"/>
      <c r="F7" s="284" t="n"/>
      <c r="G7" s="273" t="inlineStr">
        <is>
          <t>Google leads</t>
        </is>
      </c>
      <c r="H7" s="274" t="n">
        <v>44762</v>
      </c>
      <c r="I7" s="275" t="n"/>
      <c r="K7" s="277" t="n"/>
      <c r="L7" s="278" t="n"/>
      <c r="T7" s="276" t="n"/>
    </row>
    <row r="8" ht="15" customHeight="1" s="231">
      <c r="A8" s="269" t="inlineStr">
        <is>
          <t>NUNEZ LUCIEN BERNARD</t>
        </is>
      </c>
      <c r="B8" s="270" t="n">
        <v>0.2916666666666667</v>
      </c>
      <c r="C8" s="270" t="n">
        <v>0.2916666666666667</v>
      </c>
      <c r="D8" s="270" t="n">
        <v>0.7083333333333334</v>
      </c>
      <c r="E8" s="271" t="n"/>
      <c r="F8" s="279" t="n"/>
      <c r="G8" s="273" t="inlineStr">
        <is>
          <t>Google leads</t>
        </is>
      </c>
      <c r="H8" s="274" t="n">
        <v>44762</v>
      </c>
      <c r="I8" s="275" t="n"/>
      <c r="K8" s="277" t="n"/>
      <c r="L8" s="278" t="n"/>
    </row>
    <row r="9" ht="15" customHeight="1" s="231">
      <c r="A9" s="269" t="inlineStr">
        <is>
          <t>GUEYE MOUHAMED</t>
        </is>
      </c>
      <c r="B9" s="270" t="n">
        <v>0.2902777777777778</v>
      </c>
      <c r="C9" s="270" t="n">
        <v>0.2916666666666667</v>
      </c>
      <c r="D9" s="270" t="n">
        <v>0.7083333333333334</v>
      </c>
      <c r="E9" s="271" t="n"/>
      <c r="F9" s="279" t="n"/>
      <c r="G9" s="273" t="inlineStr">
        <is>
          <t>Google leads</t>
        </is>
      </c>
      <c r="H9" s="274" t="n">
        <v>44762</v>
      </c>
      <c r="I9" s="275" t="n"/>
      <c r="K9" s="277" t="n"/>
      <c r="L9" s="278" t="n"/>
    </row>
    <row r="10" ht="15" customHeight="1" s="231">
      <c r="A10" s="269" t="inlineStr">
        <is>
          <t>DIOUF OUSSMANE</t>
        </is>
      </c>
      <c r="B10" s="270" t="n">
        <v>0.2888888888888889</v>
      </c>
      <c r="C10" s="270" t="n">
        <v>0.2916666666666667</v>
      </c>
      <c r="D10" s="270" t="n">
        <v>0.7083333333333334</v>
      </c>
      <c r="E10" s="271" t="n"/>
      <c r="F10" s="272" t="n"/>
      <c r="G10" s="273" t="inlineStr">
        <is>
          <t>Google leads</t>
        </is>
      </c>
      <c r="H10" s="274" t="n">
        <v>44762</v>
      </c>
      <c r="I10" s="275" t="n"/>
      <c r="K10" s="277" t="n"/>
      <c r="L10" s="278" t="n"/>
    </row>
    <row r="11" ht="16.5" customHeight="1" s="231">
      <c r="A11" s="269" t="inlineStr">
        <is>
          <t>BOULHROUD SALMA</t>
        </is>
      </c>
      <c r="B11" s="270" t="n">
        <v>0.2902777777777778</v>
      </c>
      <c r="C11" s="270" t="n">
        <v>0.2916666666666667</v>
      </c>
      <c r="D11" s="270" t="n">
        <v>0.7083333333333334</v>
      </c>
      <c r="E11" s="271" t="n"/>
      <c r="F11" s="272" t="n"/>
      <c r="G11" s="273" t="inlineStr">
        <is>
          <t>Google leads</t>
        </is>
      </c>
      <c r="H11" s="274" t="n">
        <v>44762</v>
      </c>
      <c r="I11" s="275" t="n"/>
    </row>
    <row r="12" ht="15" customHeight="1" s="231">
      <c r="A12" s="269" t="inlineStr">
        <is>
          <t>SECK DIARRA</t>
        </is>
      </c>
      <c r="B12" s="270" t="n">
        <v>0.2909722222222222</v>
      </c>
      <c r="C12" s="270" t="n">
        <v>0.2916666666666667</v>
      </c>
      <c r="D12" s="270" t="n">
        <v>0.7083333333333334</v>
      </c>
      <c r="E12" s="271" t="n"/>
      <c r="F12" s="272" t="n"/>
      <c r="G12" s="273" t="inlineStr">
        <is>
          <t>Google leads</t>
        </is>
      </c>
      <c r="H12" s="274" t="n">
        <v>44762</v>
      </c>
      <c r="I12" s="275" t="n"/>
    </row>
    <row r="13" ht="15" customHeight="1" s="231">
      <c r="A13" s="269" t="inlineStr">
        <is>
          <t>GUEYE GORA</t>
        </is>
      </c>
      <c r="B13" s="270" t="n">
        <v>0.2909722222222222</v>
      </c>
      <c r="C13" s="270" t="n">
        <v>0.2916666666666667</v>
      </c>
      <c r="D13" s="270" t="n">
        <v>0.7083333333333334</v>
      </c>
      <c r="E13" s="271" t="n"/>
      <c r="F13" s="272" t="n"/>
      <c r="G13" s="273" t="inlineStr">
        <is>
          <t>Google leads</t>
        </is>
      </c>
      <c r="H13" s="274" t="n">
        <v>44762</v>
      </c>
      <c r="I13" s="275" t="n"/>
    </row>
    <row r="14" ht="15" customHeight="1" s="231">
      <c r="A14" s="269" t="inlineStr">
        <is>
          <t>SOUOUD ZAKARIA</t>
        </is>
      </c>
      <c r="B14" s="270" t="n">
        <v>0.2916666666666667</v>
      </c>
      <c r="C14" s="270" t="n">
        <v>0.2916666666666667</v>
      </c>
      <c r="D14" s="270" t="n">
        <v>0.7083333333333334</v>
      </c>
      <c r="E14" s="271" t="n"/>
      <c r="F14" s="272" t="n"/>
      <c r="G14" s="273" t="inlineStr">
        <is>
          <t>Google leads</t>
        </is>
      </c>
      <c r="H14" s="274" t="n">
        <v>44762</v>
      </c>
      <c r="I14" s="275" t="n"/>
    </row>
    <row r="15" ht="15" customFormat="1" customHeight="1" s="216">
      <c r="A15" s="269" t="inlineStr">
        <is>
          <t>TOURE ABIBOU</t>
        </is>
      </c>
      <c r="B15" s="270" t="n">
        <v>0.3743055555555556</v>
      </c>
      <c r="C15" s="270" t="n">
        <v>0.375</v>
      </c>
      <c r="D15" s="270" t="n">
        <v>0.75</v>
      </c>
      <c r="E15" s="271" t="n"/>
      <c r="F15" s="284" t="n"/>
      <c r="G15" s="273" t="inlineStr">
        <is>
          <t>Google leads</t>
        </is>
      </c>
      <c r="H15" s="274" t="n">
        <v>44762</v>
      </c>
      <c r="I15" s="275" t="n"/>
    </row>
    <row r="16" ht="15" customHeight="1" s="231">
      <c r="A16" s="269" t="inlineStr">
        <is>
          <t>BOURABAA HASSAN</t>
        </is>
      </c>
      <c r="B16" s="270" t="n">
        <v>0.3743055555555556</v>
      </c>
      <c r="C16" s="270" t="n">
        <v>0.375</v>
      </c>
      <c r="D16" s="270" t="n">
        <v>0.75</v>
      </c>
      <c r="E16" s="271" t="n"/>
      <c r="F16" s="272" t="n"/>
      <c r="G16" s="273" t="inlineStr">
        <is>
          <t>Google leads</t>
        </is>
      </c>
      <c r="H16" s="274" t="n">
        <v>44762</v>
      </c>
      <c r="I16" s="275" t="n"/>
    </row>
    <row r="17" ht="15" customHeight="1" s="231">
      <c r="A17" s="269" t="inlineStr">
        <is>
          <t>NEMMAOUI MOUNIRA</t>
        </is>
      </c>
      <c r="B17" s="270" t="n">
        <v>0.4166666666666667</v>
      </c>
      <c r="C17" s="270" t="n">
        <v>0.4166666666666667</v>
      </c>
      <c r="D17" s="270" t="n">
        <v>0.8333333333333334</v>
      </c>
      <c r="E17" s="271" t="n"/>
      <c r="F17" s="279" t="n"/>
      <c r="G17" s="273" t="inlineStr">
        <is>
          <t>Google leads</t>
        </is>
      </c>
      <c r="H17" s="274" t="n">
        <v>44762</v>
      </c>
      <c r="I17" s="285" t="n"/>
    </row>
    <row r="18" ht="15" customHeight="1" s="231">
      <c r="A18" s="269" t="inlineStr">
        <is>
          <t>LAFDIL NADA</t>
        </is>
      </c>
      <c r="B18" s="270" t="n">
        <v>0.4131944444444444</v>
      </c>
      <c r="C18" s="270" t="n">
        <v>0.4166666666666667</v>
      </c>
      <c r="D18" s="270" t="n">
        <v>0.8333333333333334</v>
      </c>
      <c r="E18" s="271" t="n"/>
      <c r="F18" s="284" t="n"/>
      <c r="G18" s="273" t="inlineStr">
        <is>
          <t>Google leads</t>
        </is>
      </c>
      <c r="H18" s="274" t="n">
        <v>44762</v>
      </c>
      <c r="I18" s="285" t="n"/>
    </row>
    <row r="19" ht="15" customHeight="1" s="231">
      <c r="A19" s="269" t="inlineStr">
        <is>
          <t>EL HARROUCHI CHAIMAE</t>
        </is>
      </c>
      <c r="B19" s="270" t="n">
        <v>0.4097222222222222</v>
      </c>
      <c r="C19" s="270" t="n">
        <v>0.4166666666666667</v>
      </c>
      <c r="D19" s="270" t="n">
        <v>0.8333333333333334</v>
      </c>
      <c r="E19" s="283" t="n"/>
      <c r="F19" s="272" t="n"/>
      <c r="G19" s="273" t="inlineStr">
        <is>
          <t>Google leads</t>
        </is>
      </c>
      <c r="H19" s="274" t="n">
        <v>44762</v>
      </c>
      <c r="I19" s="285" t="n"/>
      <c r="K19" s="270" t="inlineStr">
        <is>
          <t>Missionnée</t>
        </is>
      </c>
    </row>
    <row r="20" ht="15" customHeight="1" s="231">
      <c r="A20" s="269" t="inlineStr">
        <is>
          <t>AINELKITANE ZINEB</t>
        </is>
      </c>
      <c r="B20" s="270" t="n">
        <v>0.4166666666666667</v>
      </c>
      <c r="C20" s="270" t="n">
        <v>0.4166666666666667</v>
      </c>
      <c r="D20" s="270" t="n">
        <v>0.8333333333333334</v>
      </c>
      <c r="E20" s="283" t="n"/>
      <c r="F20" s="272" t="n"/>
      <c r="G20" s="273" t="inlineStr">
        <is>
          <t>Google leads</t>
        </is>
      </c>
      <c r="H20" s="274" t="n">
        <v>44762</v>
      </c>
      <c r="I20" s="275" t="n"/>
    </row>
    <row r="21" ht="15" customHeight="1" s="231">
      <c r="A21" s="269" t="inlineStr">
        <is>
          <t>EL HOUSSAINI HOUDA</t>
        </is>
      </c>
      <c r="B21" s="270" t="n">
        <v>0.4159722222222222</v>
      </c>
      <c r="C21" s="270" t="n">
        <v>0.4166666666666667</v>
      </c>
      <c r="D21" s="270" t="n">
        <v>0.8333333333333334</v>
      </c>
      <c r="E21" s="271" t="n"/>
      <c r="F21" s="272" t="n"/>
      <c r="G21" s="273" t="inlineStr">
        <is>
          <t>Google leads</t>
        </is>
      </c>
      <c r="H21" s="274" t="n">
        <v>44762</v>
      </c>
      <c r="I21" s="279" t="n"/>
    </row>
    <row r="22" ht="15" customHeight="1" s="231">
      <c r="A22" s="269" t="inlineStr">
        <is>
          <t xml:space="preserve">DERKAOUI AMAL </t>
        </is>
      </c>
      <c r="B22" s="270" t="n">
        <v>0.4166666666666667</v>
      </c>
      <c r="C22" s="270" t="n">
        <v>0.4166666666666667</v>
      </c>
      <c r="D22" s="270" t="n">
        <v>0.8333333333333334</v>
      </c>
      <c r="E22" s="271" t="n"/>
      <c r="F22" s="272" t="n"/>
      <c r="G22" s="273" t="inlineStr">
        <is>
          <t>Google leads</t>
        </is>
      </c>
      <c r="H22" s="274" t="n">
        <v>44762</v>
      </c>
      <c r="I22" s="279" t="n"/>
    </row>
    <row r="23" ht="15" customHeight="1" s="231">
      <c r="A23" s="269" t="inlineStr">
        <is>
          <t>RACHAD NAWAR</t>
        </is>
      </c>
      <c r="B23" s="270" t="n">
        <v>0.4152777777777778</v>
      </c>
      <c r="C23" s="270" t="n">
        <v>0.4166666666666667</v>
      </c>
      <c r="D23" s="270" t="n">
        <v>0.8333333333333334</v>
      </c>
      <c r="E23" s="271" t="n"/>
      <c r="F23" s="272" t="n"/>
      <c r="G23" s="273" t="inlineStr">
        <is>
          <t>Google leads</t>
        </is>
      </c>
      <c r="H23" s="274" t="n">
        <v>44762</v>
      </c>
      <c r="I23" s="279" t="n"/>
    </row>
    <row r="24" ht="15" customHeight="1" s="231">
      <c r="A24" s="269" t="inlineStr">
        <is>
          <t>QARBOUI Aymane</t>
        </is>
      </c>
      <c r="B24" s="270" t="n">
        <v>0.4152777777777778</v>
      </c>
      <c r="C24" s="270" t="n">
        <v>0.4166666666666667</v>
      </c>
      <c r="D24" s="270" t="n">
        <v>0.8333333333333334</v>
      </c>
      <c r="E24" s="271" t="n"/>
      <c r="F24" s="272" t="n"/>
      <c r="G24" s="273" t="inlineStr">
        <is>
          <t>Google leads</t>
        </is>
      </c>
      <c r="H24" s="274" t="n">
        <v>44762</v>
      </c>
      <c r="I24" s="279" t="n"/>
    </row>
    <row r="25" hidden="1" ht="15" customHeight="1" s="231">
      <c r="A25" s="269" t="inlineStr">
        <is>
          <t>MELLAHI YOUSSEF</t>
        </is>
      </c>
      <c r="B25" s="270" t="n"/>
      <c r="C25" s="270" t="n">
        <v>0.625</v>
      </c>
      <c r="D25" s="270" t="n">
        <v>0.7083333333333334</v>
      </c>
      <c r="E25" s="271" t="n"/>
      <c r="F25" s="272" t="n"/>
      <c r="G25" s="273" t="inlineStr">
        <is>
          <t>Google leads</t>
        </is>
      </c>
      <c r="H25" s="274" t="n">
        <v>44762</v>
      </c>
      <c r="I25" s="279" t="n"/>
    </row>
    <row r="26" ht="15" customHeight="1" s="231">
      <c r="A26" s="269" t="inlineStr">
        <is>
          <t xml:space="preserve">LALOUN MANAL </t>
        </is>
      </c>
      <c r="B26" s="270" t="n"/>
      <c r="C26" s="270" t="inlineStr">
        <is>
          <t>Congé</t>
        </is>
      </c>
      <c r="D26" s="270" t="inlineStr">
        <is>
          <t>Congé</t>
        </is>
      </c>
      <c r="E26" s="271" t="n"/>
      <c r="F26" s="272" t="n"/>
      <c r="G26" s="273" t="inlineStr">
        <is>
          <t>Google leads</t>
        </is>
      </c>
      <c r="H26" s="274" t="n">
        <v>44762</v>
      </c>
      <c r="I26" s="279" t="n"/>
    </row>
    <row r="27" ht="15" customHeight="1" s="231">
      <c r="A27" s="269" t="inlineStr">
        <is>
          <t xml:space="preserve">EL HOUJJAJI Soufiane </t>
        </is>
      </c>
      <c r="B27" s="270" t="n"/>
      <c r="C27" s="270" t="inlineStr">
        <is>
          <t>Congé</t>
        </is>
      </c>
      <c r="D27" s="270" t="inlineStr">
        <is>
          <t>Congé</t>
        </is>
      </c>
      <c r="E27" s="271" t="n"/>
      <c r="F27" s="272" t="n"/>
      <c r="G27" s="273" t="inlineStr">
        <is>
          <t>Google leads</t>
        </is>
      </c>
      <c r="H27" s="274" t="n">
        <v>44762</v>
      </c>
      <c r="I27" s="279" t="n"/>
    </row>
    <row r="28" ht="15" customHeight="1" s="231">
      <c r="A28" s="269" t="inlineStr">
        <is>
          <t>IHASSANE Ikram</t>
        </is>
      </c>
      <c r="B28" s="270" t="n"/>
      <c r="C28" s="270" t="inlineStr">
        <is>
          <t>Missionnée</t>
        </is>
      </c>
      <c r="D28" s="270" t="inlineStr">
        <is>
          <t>Missionnée</t>
        </is>
      </c>
      <c r="E28" s="271" t="n"/>
      <c r="F28" s="272" t="n"/>
      <c r="G28" s="273" t="inlineStr">
        <is>
          <t>Google leads</t>
        </is>
      </c>
      <c r="H28" s="274" t="n">
        <v>44762</v>
      </c>
      <c r="I28" s="279" t="n"/>
    </row>
    <row r="29" ht="15" customHeight="1" s="231">
      <c r="A29" s="269" t="inlineStr">
        <is>
          <t>EL-AOUAQUI BOUCHRA</t>
        </is>
      </c>
      <c r="B29" s="270" t="n"/>
      <c r="C29" s="270" t="inlineStr">
        <is>
          <t>OFF</t>
        </is>
      </c>
      <c r="D29" s="270" t="inlineStr">
        <is>
          <t>OFF</t>
        </is>
      </c>
      <c r="E29" s="271" t="n"/>
      <c r="F29" s="272" t="n"/>
      <c r="G29" s="273" t="inlineStr">
        <is>
          <t>Google leads</t>
        </is>
      </c>
      <c r="H29" s="274" t="n">
        <v>44762</v>
      </c>
      <c r="I29" s="279" t="n"/>
    </row>
    <row r="30" ht="15" customHeight="1" s="231">
      <c r="A30" s="269" t="inlineStr">
        <is>
          <t>ZITOUNI LAMYA</t>
        </is>
      </c>
      <c r="B30" s="270" t="n"/>
      <c r="C30" s="270" t="inlineStr">
        <is>
          <t>OFF</t>
        </is>
      </c>
      <c r="D30" s="270" t="inlineStr">
        <is>
          <t>OFF</t>
        </is>
      </c>
      <c r="E30" s="271" t="n"/>
      <c r="F30" s="272" t="n"/>
      <c r="G30" s="273" t="inlineStr">
        <is>
          <t>Google leads</t>
        </is>
      </c>
      <c r="H30" s="274" t="n">
        <v>44762</v>
      </c>
      <c r="I30" s="279" t="n"/>
    </row>
    <row r="31" ht="15" customHeight="1" s="231">
      <c r="A31" s="269" t="inlineStr">
        <is>
          <t>KANTAOUI SALMA</t>
        </is>
      </c>
      <c r="B31" s="270" t="n"/>
      <c r="C31" s="270" t="inlineStr">
        <is>
          <t>OFF</t>
        </is>
      </c>
      <c r="D31" s="270" t="inlineStr">
        <is>
          <t>OFF</t>
        </is>
      </c>
      <c r="E31" s="271" t="n"/>
      <c r="F31" s="272" t="n"/>
      <c r="G31" s="273" t="inlineStr">
        <is>
          <t>Google leads</t>
        </is>
      </c>
      <c r="H31" s="274" t="n">
        <v>44762</v>
      </c>
      <c r="I31" s="279" t="n"/>
    </row>
    <row r="32" ht="15" customHeight="1" s="231">
      <c r="A32" s="269" t="inlineStr">
        <is>
          <t>ZIOUI DOUNIA</t>
        </is>
      </c>
      <c r="B32" s="270" t="n"/>
      <c r="C32" s="270" t="inlineStr">
        <is>
          <t>OFF</t>
        </is>
      </c>
      <c r="D32" s="270" t="inlineStr">
        <is>
          <t>OFF</t>
        </is>
      </c>
      <c r="E32" s="271" t="n"/>
      <c r="F32" s="272" t="n"/>
      <c r="G32" s="273" t="inlineStr">
        <is>
          <t>Google leads</t>
        </is>
      </c>
      <c r="H32" s="274" t="n">
        <v>44762</v>
      </c>
      <c r="I32" s="279" t="n"/>
    </row>
    <row r="33" ht="15" customHeight="1" s="231">
      <c r="A33" s="269" t="inlineStr">
        <is>
          <t>BENSAR ANAS</t>
        </is>
      </c>
      <c r="B33" s="270" t="n"/>
      <c r="C33" s="270" t="inlineStr">
        <is>
          <t>OFF</t>
        </is>
      </c>
      <c r="D33" s="270" t="inlineStr">
        <is>
          <t>OFF</t>
        </is>
      </c>
      <c r="E33" s="271" t="n"/>
      <c r="F33" s="272" t="n"/>
      <c r="G33" s="273" t="inlineStr">
        <is>
          <t>Google leads</t>
        </is>
      </c>
      <c r="H33" s="274" t="n">
        <v>44762</v>
      </c>
      <c r="I33" s="279" t="n"/>
    </row>
  </sheetData>
  <conditionalFormatting sqref="C23:D23">
    <cfRule type="cellIs" rank="0" priority="2" equalAverage="0" operator="equal" aboveAverage="0" dxfId="12" text="" percent="0" bottom="0">
      <formula>"OFF"</formula>
    </cfRule>
  </conditionalFormatting>
  <conditionalFormatting sqref="D25">
    <cfRule type="cellIs" rank="0" priority="3" equalAverage="0" operator="equal" aboveAverage="0" dxfId="12" text="" percent="0" bottom="0">
      <formula>"OFF"</formula>
    </cfRule>
  </conditionalFormatting>
  <conditionalFormatting sqref="C25">
    <cfRule type="cellIs" rank="0" priority="4" equalAverage="0" operator="equal" aboveAverage="0" dxfId="12" text="" percent="0" bottom="0">
      <formula>"OFF"</formula>
    </cfRule>
  </conditionalFormatting>
  <conditionalFormatting sqref="K19">
    <cfRule type="cellIs" rank="0" priority="5" equalAverage="0" operator="equal" aboveAverage="0" dxfId="12" text="" percent="0" bottom="0">
      <formula>"OFF"</formula>
    </cfRule>
  </conditionalFormatting>
  <conditionalFormatting sqref="C29:D33">
    <cfRule type="cellIs" rank="0" priority="6" equalAverage="0" operator="equal" aboveAverage="0" dxfId="12" text="" percent="0" bottom="0">
      <formula>"OFF"</formula>
    </cfRule>
  </conditionalFormatting>
  <conditionalFormatting sqref="C9:D9">
    <cfRule type="cellIs" rank="0" priority="7" equalAverage="0" operator="equal" aboveAverage="0" dxfId="12" text="" percent="0" bottom="0">
      <formula>"OFF"</formula>
    </cfRule>
  </conditionalFormatting>
  <conditionalFormatting sqref="D19">
    <cfRule type="cellIs" rank="0" priority="8" equalAverage="0" operator="equal" aboveAverage="0" dxfId="12" text="" percent="0" bottom="0">
      <formula>"OFF"</formula>
    </cfRule>
  </conditionalFormatting>
  <conditionalFormatting sqref="C19">
    <cfRule type="cellIs" rank="0" priority="9" equalAverage="0" operator="equal" aboveAverage="0" dxfId="12" text="" percent="0" bottom="0">
      <formula>"OFF"</formula>
    </cfRule>
  </conditionalFormatting>
  <conditionalFormatting sqref="B2:D2 B3:B33">
    <cfRule type="cellIs" rank="0" priority="10" equalAverage="0" operator="equal" aboveAverage="0" dxfId="12" text="" percent="0" bottom="0">
      <formula>"OFF"</formula>
    </cfRule>
  </conditionalFormatting>
  <conditionalFormatting sqref="C16:D18">
    <cfRule type="cellIs" rank="0" priority="11" equalAverage="0" operator="equal" aboveAverage="0" dxfId="12" text="" percent="0" bottom="0">
      <formula>"OFF"</formula>
    </cfRule>
  </conditionalFormatting>
  <conditionalFormatting sqref="C3:D8 C10:D15 C20:D22 C24:D24 C26:D28">
    <cfRule type="cellIs" rank="0" priority="12" equalAverage="0" operator="equal" aboveAverage="0" dxfId="12" text="" percent="0" bottom="0">
      <formula>"OFF"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26" activeCellId="0" sqref="B26"/>
    </sheetView>
  </sheetViews>
  <sheetFormatPr baseColWidth="8" defaultColWidth="10.6796875" defaultRowHeight="15" zeroHeight="0" outlineLevelRow="0"/>
  <cols>
    <col width="24.29" customWidth="1" style="216" min="1" max="1"/>
  </cols>
  <sheetData>
    <row r="1" ht="15" customHeight="1" s="231">
      <c r="A1" s="263" t="n"/>
      <c r="B1" s="263" t="inlineStr">
        <is>
          <t>Dernier log</t>
        </is>
      </c>
    </row>
    <row r="2" ht="15" customHeight="1" s="231">
      <c r="A2" s="264" t="inlineStr">
        <is>
          <t>AIT LARBI Hind</t>
        </is>
      </c>
      <c r="B2" s="265" t="n">
        <v>0.4159722222222222</v>
      </c>
    </row>
    <row r="3" ht="15" customHeight="1" s="231">
      <c r="A3" s="264" t="inlineStr">
        <is>
          <t>BOUABDILLAH Zakaria</t>
        </is>
      </c>
      <c r="B3" s="265" t="n">
        <v>0.4159722222222222</v>
      </c>
    </row>
    <row r="4" ht="15" customHeight="1" s="231">
      <c r="A4" s="264" t="inlineStr">
        <is>
          <t>BOUAZZA Yassine</t>
        </is>
      </c>
      <c r="B4" s="265" t="n">
        <v>0.3333333333333333</v>
      </c>
    </row>
    <row r="5" ht="15" customHeight="1" s="231">
      <c r="A5" s="264" t="inlineStr">
        <is>
          <t>DIOP Abdou</t>
        </is>
      </c>
      <c r="B5" s="265" t="n">
        <v>0.3326388888888889</v>
      </c>
    </row>
    <row r="6" ht="15" customHeight="1" s="231">
      <c r="A6" s="286" t="inlineStr">
        <is>
          <t>DIOUF OUSSMANE</t>
        </is>
      </c>
      <c r="B6" s="265" t="n">
        <v>0.3319444444444444</v>
      </c>
    </row>
    <row r="7" ht="15" customHeight="1" s="231">
      <c r="A7" s="286" t="inlineStr">
        <is>
          <t>EL AOUAQUI Bouchra</t>
        </is>
      </c>
      <c r="B7" s="265" t="n">
        <v>0.3444444444444444</v>
      </c>
    </row>
    <row r="8" ht="15" customHeight="1" s="231">
      <c r="A8" s="264" t="inlineStr">
        <is>
          <t>EL GUARJAOUI Hiba</t>
        </is>
      </c>
      <c r="B8" s="265" t="n">
        <v>0.3326388888888889</v>
      </c>
    </row>
    <row r="9" ht="15" customHeight="1" s="231">
      <c r="A9" s="264" t="inlineStr">
        <is>
          <t>EL HARROUCHI Chaimae</t>
        </is>
      </c>
      <c r="B9" s="265" t="n">
        <v>0.3319444444444444</v>
      </c>
    </row>
    <row r="10" ht="15" customHeight="1" s="231">
      <c r="A10" s="286" t="inlineStr">
        <is>
          <t>EL IDRISSI ELHASSANI MAHA</t>
        </is>
      </c>
      <c r="B10" s="265" t="n">
        <v>0.31875</v>
      </c>
    </row>
    <row r="11" ht="15" customHeight="1" s="231">
      <c r="A11" s="264" t="inlineStr">
        <is>
          <t>GOMIS Aminata Agnes</t>
        </is>
      </c>
      <c r="B11" s="265" t="n">
        <v>0.4138888888888889</v>
      </c>
    </row>
    <row r="12" ht="15" customHeight="1" s="231">
      <c r="A12" s="264" t="inlineStr">
        <is>
          <t>IHASSANE Ikram</t>
        </is>
      </c>
      <c r="B12" s="265" t="n">
        <v>0.3326388888888889</v>
      </c>
    </row>
    <row r="13" ht="15" customHeight="1" s="231">
      <c r="A13" s="264" t="inlineStr">
        <is>
          <t>IKRADINE Rime</t>
        </is>
      </c>
      <c r="B13" s="265" t="n">
        <v>0.4138888888888889</v>
      </c>
    </row>
    <row r="14" ht="15" customHeight="1" s="231">
      <c r="A14" s="264" t="inlineStr">
        <is>
          <t>KANTAOUI Salma</t>
        </is>
      </c>
      <c r="B14" s="265" t="n">
        <v>0.4152777777777778</v>
      </c>
    </row>
    <row r="15" ht="15" customHeight="1" s="231">
      <c r="A15" s="264" t="inlineStr">
        <is>
          <t>LAFDIL Nada</t>
        </is>
      </c>
      <c r="B15" s="265" t="n">
        <v>0.4118055555555555</v>
      </c>
    </row>
    <row r="16" ht="15" customHeight="1" s="231">
      <c r="A16" s="264" t="inlineStr">
        <is>
          <t>LIMANE Hiba</t>
        </is>
      </c>
      <c r="B16" s="265" t="n">
        <v>0.3326388888888889</v>
      </c>
    </row>
    <row r="17" ht="15" customHeight="1" s="231">
      <c r="A17" s="264" t="inlineStr">
        <is>
          <t>NIANG Ndeye Absa</t>
        </is>
      </c>
      <c r="B17" s="265" t="n">
        <v>0.4159722222222222</v>
      </c>
    </row>
    <row r="18" ht="15" customHeight="1" s="231">
      <c r="A18" s="264" t="inlineStr">
        <is>
          <t>RACHAD Nawar</t>
        </is>
      </c>
      <c r="B18" s="265" t="n">
        <v>0.4125</v>
      </c>
    </row>
    <row r="19" ht="15" customHeight="1" s="231">
      <c r="A19" s="264" t="inlineStr">
        <is>
          <t>TOURE Abibou</t>
        </is>
      </c>
      <c r="B19" s="265" t="n">
        <v>0.3305555555555555</v>
      </c>
    </row>
    <row r="20" ht="15" customHeight="1" s="231">
      <c r="A20" s="264" t="inlineStr">
        <is>
          <t>ZIOUI Dounia</t>
        </is>
      </c>
      <c r="B20" s="265" t="n">
        <v>0.4125</v>
      </c>
    </row>
    <row r="21" ht="15" customHeight="1" s="231">
      <c r="B21" s="287" t="n"/>
    </row>
    <row r="22" ht="15" customHeight="1" s="231">
      <c r="B22" s="287" t="n"/>
    </row>
    <row r="23" ht="15" customHeight="1" s="231">
      <c r="A23" s="288" t="n"/>
      <c r="B23" s="287" t="n"/>
    </row>
    <row r="24" ht="15" customHeight="1" s="231">
      <c r="A24" s="288" t="n"/>
      <c r="B24" s="287" t="n"/>
    </row>
    <row r="25" ht="15" customHeight="1" s="231">
      <c r="A25" s="288" t="n"/>
      <c r="B25" s="287" t="n"/>
    </row>
    <row r="26" ht="15" customHeight="1" s="231">
      <c r="A26" s="288" t="n"/>
      <c r="B26" s="287" t="n"/>
    </row>
    <row r="27" ht="15" customHeight="1" s="231">
      <c r="A27" s="288" t="n"/>
      <c r="B27" s="287" t="n"/>
    </row>
    <row r="28" ht="15" customHeight="1" s="231">
      <c r="A28" s="288" t="n"/>
      <c r="B28" s="287" t="n"/>
    </row>
    <row r="29" ht="15" customHeight="1" s="231">
      <c r="A29" s="288" t="n"/>
      <c r="B29" s="287" t="n"/>
    </row>
    <row r="30" ht="15" customHeight="1" s="231">
      <c r="B30" s="287" t="n"/>
    </row>
    <row r="31" ht="15" customHeight="1" s="231">
      <c r="B31" s="287" t="n"/>
    </row>
    <row r="32" ht="15" customHeight="1" s="231">
      <c r="A32" s="288" t="n"/>
      <c r="B32" s="287" t="n"/>
    </row>
    <row r="33" ht="15" customHeight="1" s="231">
      <c r="B33" s="287" t="n"/>
    </row>
    <row r="34" ht="15" customHeight="1" s="231">
      <c r="B34" s="287" t="n"/>
    </row>
    <row r="35" ht="15" customHeight="1" s="231">
      <c r="A35" s="288" t="n"/>
      <c r="B35" s="287" t="n"/>
    </row>
    <row r="36" ht="15" customHeight="1" s="231">
      <c r="B36" s="287" t="n"/>
    </row>
    <row r="37" ht="15" customHeight="1" s="231">
      <c r="A37" s="263" t="n"/>
      <c r="B37" s="289" t="n"/>
    </row>
    <row r="38" ht="15" customHeight="1" s="231">
      <c r="A38" s="288" t="n"/>
      <c r="B38" s="265" t="n"/>
    </row>
    <row r="39" ht="15" customHeight="1" s="231">
      <c r="A39" s="288" t="n"/>
      <c r="B39" s="287" t="n"/>
    </row>
    <row r="40" ht="15" customHeight="1" s="231">
      <c r="B40" s="287" t="n"/>
    </row>
    <row r="41" ht="15" customHeight="1" s="231">
      <c r="B41" s="287" t="n"/>
    </row>
    <row r="42" ht="15" customHeight="1" s="231">
      <c r="B42" s="287" t="n"/>
    </row>
    <row r="43" ht="15" customHeight="1" s="231">
      <c r="B43" s="287" t="n"/>
    </row>
    <row r="44" ht="15" customHeight="1" s="231">
      <c r="B44" s="287" t="n"/>
    </row>
    <row r="45" ht="15" customHeight="1" s="231">
      <c r="B45" s="287" t="n"/>
    </row>
    <row r="46" ht="15" customHeight="1" s="231">
      <c r="B46" s="287" t="n"/>
    </row>
    <row r="47" ht="15" customHeight="1" s="231">
      <c r="B47" s="287" t="n"/>
    </row>
    <row r="48" ht="15" customHeight="1" s="231">
      <c r="B48" s="287" t="n"/>
    </row>
    <row r="49" ht="15" customHeight="1" s="231">
      <c r="B49" s="287" t="n"/>
    </row>
    <row r="50" ht="15" customHeight="1" s="231">
      <c r="B50" s="287" t="n"/>
    </row>
    <row r="51" ht="15" customHeight="1" s="231">
      <c r="B51" s="287" t="n"/>
    </row>
    <row r="52" ht="15" customHeight="1" s="231">
      <c r="B52" s="287" t="n"/>
    </row>
    <row r="53" ht="15" customHeight="1" s="231">
      <c r="B53" s="287" t="n"/>
    </row>
    <row r="54" ht="15" customHeight="1" s="231">
      <c r="B54" s="287" t="n"/>
    </row>
    <row r="55" ht="15" customHeight="1" s="231">
      <c r="B55" s="287" t="n"/>
    </row>
  </sheetData>
  <conditionalFormatting sqref="A27">
    <cfRule type="cellIs" rank="0" priority="2" equalAverage="0" operator="equal" aboveAverage="0" dxfId="12" text="" percent="0" bottom="0">
      <formula>"OFF"</formula>
    </cfRule>
  </conditionalFormatting>
  <conditionalFormatting sqref="A38">
    <cfRule type="cellIs" rank="0" priority="3" equalAverage="0" operator="equal" aboveAverage="0" dxfId="12" text="" percent="0" bottom="0">
      <formula>"OFF"</formula>
    </cfRule>
  </conditionalFormatting>
  <conditionalFormatting sqref="A29">
    <cfRule type="cellIs" rank="0" priority="4" equalAverage="0" operator="equal" aboveAverage="0" dxfId="12" text="" percent="0" bottom="0">
      <formula>"OFF"</formula>
    </cfRule>
  </conditionalFormatting>
  <conditionalFormatting sqref="A26">
    <cfRule type="cellIs" rank="0" priority="5" equalAverage="0" operator="equal" aboveAverage="0" dxfId="12" text="" percent="0" bottom="0">
      <formula>"OFF"</formula>
    </cfRule>
  </conditionalFormatting>
  <conditionalFormatting sqref="A35">
    <cfRule type="cellIs" rank="0" priority="6" equalAverage="0" operator="equal" aboveAverage="0" dxfId="12" text="" percent="0" bottom="0">
      <formula>"OFF"</formula>
    </cfRule>
  </conditionalFormatting>
  <conditionalFormatting sqref="A24">
    <cfRule type="cellIs" rank="0" priority="7" equalAverage="0" operator="equal" aboveAverage="0" dxfId="12" text="" percent="0" bottom="0">
      <formula>"OFF"</formula>
    </cfRule>
  </conditionalFormatting>
  <conditionalFormatting sqref="A39">
    <cfRule type="cellIs" rank="0" priority="8" equalAverage="0" operator="equal" aboveAverage="0" dxfId="12" text="" percent="0" bottom="0">
      <formula>"OFF"</formula>
    </cfRule>
  </conditionalFormatting>
  <conditionalFormatting sqref="A25">
    <cfRule type="cellIs" rank="0" priority="9" equalAverage="0" operator="equal" aboveAverage="0" dxfId="12" text="" percent="0" bottom="0">
      <formula>"OFF"</formula>
    </cfRule>
  </conditionalFormatting>
  <conditionalFormatting sqref="A28">
    <cfRule type="cellIs" rank="0" priority="10" equalAverage="0" operator="equal" aboveAverage="0" dxfId="12" text="" percent="0" bottom="0">
      <formula>"OFF"</formula>
    </cfRule>
  </conditionalFormatting>
  <conditionalFormatting sqref="A32">
    <cfRule type="cellIs" rank="0" priority="11" equalAverage="0" operator="equal" aboveAverage="0" dxfId="12" text="" percent="0" bottom="0">
      <formula>"OFF"</formula>
    </cfRule>
  </conditionalFormatting>
  <conditionalFormatting sqref="A23">
    <cfRule type="cellIs" rank="0" priority="12" equalAverage="0" operator="equal" aboveAverage="0" dxfId="12" text="" percent="0" bottom="0">
      <formula>"OFF"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225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D226" activeCellId="0" sqref="D226"/>
    </sheetView>
  </sheetViews>
  <sheetFormatPr baseColWidth="8" defaultColWidth="11.43359375" defaultRowHeight="15" zeroHeight="0" outlineLevelRow="0"/>
  <cols>
    <col width="37.71" customWidth="1" style="266" min="1" max="1"/>
    <col width="11.71" customWidth="1" style="216" min="2" max="2"/>
    <col width="20.29" customWidth="1" style="290" min="3" max="3"/>
    <col width="20.42" customWidth="1" style="291" min="4" max="4"/>
    <col width="16.43" customWidth="1" style="216" min="5" max="5"/>
    <col width="12.42" customWidth="1" style="216" min="6" max="6"/>
    <col width="11.43" customWidth="1" style="216" min="7" max="9"/>
    <col width="19.71" customWidth="1" style="216" min="10" max="10"/>
    <col width="11.43" customWidth="1" style="216" min="11" max="16384"/>
  </cols>
  <sheetData>
    <row r="1" ht="15" customHeight="1" s="231">
      <c r="A1" s="292" t="inlineStr">
        <is>
          <t>Nom</t>
        </is>
      </c>
      <c r="B1" s="293" t="inlineStr">
        <is>
          <t>Date</t>
        </is>
      </c>
      <c r="C1" s="294" t="inlineStr">
        <is>
          <t>Entrée</t>
        </is>
      </c>
      <c r="D1" s="295" t="inlineStr">
        <is>
          <t>Sortie</t>
        </is>
      </c>
      <c r="E1" s="294" t="inlineStr">
        <is>
          <t>No Semaine</t>
        </is>
      </c>
      <c r="F1" s="293" t="inlineStr">
        <is>
          <t>Segment</t>
        </is>
      </c>
      <c r="G1" s="293" t="inlineStr">
        <is>
          <t>Colonne1</t>
        </is>
      </c>
      <c r="H1" s="293" t="inlineStr">
        <is>
          <t>Colonne2</t>
        </is>
      </c>
    </row>
    <row r="2" hidden="1" ht="14.25" customHeight="1" s="231">
      <c r="A2" s="296" t="inlineStr">
        <is>
          <t>EL-AOUAQUI BOUCHRA</t>
        </is>
      </c>
      <c r="B2" s="296" t="n">
        <v>44761</v>
      </c>
      <c r="C2" s="297" t="inlineStr">
        <is>
          <t>OFF</t>
        </is>
      </c>
      <c r="D2" s="297" t="inlineStr">
        <is>
          <t>OFF</t>
        </is>
      </c>
      <c r="E2" s="298">
        <f>WEEKNUM(Planning2[[#This Row],[Date]],21)</f>
        <v/>
      </c>
      <c r="F2" s="299">
        <f>VLOOKUP(A2,Annuaire_roster!B:C,2,0)</f>
        <v/>
      </c>
      <c r="G2" s="293" t="n"/>
      <c r="H2" s="293" t="n"/>
      <c r="J2" s="300" t="n"/>
      <c r="K2" s="301" t="n"/>
    </row>
    <row r="3" hidden="1" ht="14.25" customHeight="1" s="231">
      <c r="A3" s="296" t="inlineStr">
        <is>
          <t>IHASSANE Ikram</t>
        </is>
      </c>
      <c r="B3" s="296" t="n">
        <v>44761</v>
      </c>
      <c r="C3" s="297" t="inlineStr">
        <is>
          <t>Missionnée</t>
        </is>
      </c>
      <c r="D3" s="297" t="inlineStr">
        <is>
          <t>Missionnée</t>
        </is>
      </c>
      <c r="E3" s="298">
        <f>WEEKNUM(Planning2[[#This Row],[Date]],21)</f>
        <v/>
      </c>
      <c r="F3" s="299">
        <f>VLOOKUP(A3,Annuaire_roster!B:C,2,0)</f>
        <v/>
      </c>
      <c r="G3" s="293" t="n"/>
      <c r="H3" s="293" t="n"/>
      <c r="J3" s="300" t="n"/>
    </row>
    <row r="4" hidden="1" ht="14.25" customHeight="1" s="231">
      <c r="A4" s="296" t="inlineStr">
        <is>
          <t>NIANG NDEYE ABSA</t>
        </is>
      </c>
      <c r="B4" s="296" t="n">
        <v>44761</v>
      </c>
      <c r="C4" s="297" t="n">
        <v>0.2916666666666667</v>
      </c>
      <c r="D4" s="297" t="n">
        <v>0.7083333333333334</v>
      </c>
      <c r="E4" s="298">
        <f>WEEKNUM(Planning2[[#This Row],[Date]],21)</f>
        <v/>
      </c>
      <c r="F4" s="299">
        <f>VLOOKUP(A4,Annuaire_roster!B:C,2,0)</f>
        <v/>
      </c>
      <c r="G4" s="293" t="n"/>
      <c r="H4" s="293" t="n"/>
    </row>
    <row r="5" hidden="1" ht="14.25" customHeight="1" s="231">
      <c r="A5" s="296" t="inlineStr">
        <is>
          <t>ZAKI OMAR</t>
        </is>
      </c>
      <c r="B5" s="296" t="n">
        <v>44761</v>
      </c>
      <c r="C5" s="297" t="n">
        <v>0.2916666666666667</v>
      </c>
      <c r="D5" s="297" t="n">
        <v>0.6666666666666666</v>
      </c>
      <c r="E5" s="298">
        <f>WEEKNUM(Planning2[[#This Row],[Date]],21)</f>
        <v/>
      </c>
      <c r="F5" s="299">
        <f>VLOOKUP(A5,Annuaire_roster!B:C,2,0)</f>
        <v/>
      </c>
      <c r="G5" s="293" t="n"/>
      <c r="H5" s="293" t="n"/>
    </row>
    <row r="6" hidden="1" ht="14.25" customHeight="1" s="231">
      <c r="A6" s="296" t="inlineStr">
        <is>
          <t>EL HOUSSAINI HOUDA</t>
        </is>
      </c>
      <c r="B6" s="296" t="n">
        <v>44761</v>
      </c>
      <c r="C6" s="297" t="n">
        <v>0.4166666666666667</v>
      </c>
      <c r="D6" s="297" t="n">
        <v>0.8333333333333334</v>
      </c>
      <c r="E6" s="298">
        <f>WEEKNUM(Planning2[[#This Row],[Date]],21)</f>
        <v/>
      </c>
      <c r="F6" s="299">
        <f>VLOOKUP(A6,Annuaire_roster!B:C,2,0)</f>
        <v/>
      </c>
      <c r="G6" s="293" t="n"/>
      <c r="H6" s="293" t="n"/>
      <c r="J6" s="302" t="n"/>
      <c r="K6" s="303" t="n"/>
    </row>
    <row r="7" hidden="1" ht="14.25" customHeight="1" s="231">
      <c r="A7" s="296" t="inlineStr">
        <is>
          <t>EL HARROUCHI CHAIMAE</t>
        </is>
      </c>
      <c r="B7" s="296" t="n">
        <v>44761</v>
      </c>
      <c r="C7" s="297" t="n">
        <v>0.4166666666666667</v>
      </c>
      <c r="D7" s="297" t="n">
        <v>0.8333333333333334</v>
      </c>
      <c r="E7" s="298">
        <f>WEEKNUM(Planning2[[#This Row],[Date]],21)</f>
        <v/>
      </c>
      <c r="F7" s="299">
        <f>VLOOKUP(A7,Annuaire_roster!B:C,2,0)</f>
        <v/>
      </c>
      <c r="G7" s="293" t="n"/>
      <c r="H7" s="293" t="n"/>
      <c r="J7" s="302" t="n"/>
    </row>
    <row r="8" hidden="1" ht="14.25" customHeight="1" s="231">
      <c r="A8" s="296" t="inlineStr">
        <is>
          <t>LAFDIL NADA</t>
        </is>
      </c>
      <c r="B8" s="296" t="n">
        <v>44761</v>
      </c>
      <c r="C8" s="297" t="n">
        <v>0.4166666666666667</v>
      </c>
      <c r="D8" s="297" t="n">
        <v>0.8333333333333334</v>
      </c>
      <c r="E8" s="298">
        <f>WEEKNUM(Planning2[[#This Row],[Date]],21)</f>
        <v/>
      </c>
      <c r="F8" s="299">
        <f>VLOOKUP(A8,Annuaire_roster!B:C,2,0)</f>
        <v/>
      </c>
      <c r="G8" s="293" t="n"/>
      <c r="H8" s="293" t="n"/>
      <c r="J8" s="302" t="n"/>
    </row>
    <row r="9" hidden="1" ht="14.25" customHeight="1" s="231">
      <c r="A9" s="296" t="inlineStr">
        <is>
          <t>GUEYE MOUHAMED</t>
        </is>
      </c>
      <c r="B9" s="296" t="n">
        <v>44761</v>
      </c>
      <c r="C9" s="297" t="n">
        <v>0.2916666666666667</v>
      </c>
      <c r="D9" s="297" t="n">
        <v>0.7083333333333334</v>
      </c>
      <c r="E9" s="298">
        <f>WEEKNUM(Planning2[[#This Row],[Date]],21)</f>
        <v/>
      </c>
      <c r="F9" s="299">
        <f>VLOOKUP(A9,Annuaire_roster!B:C,2,0)</f>
        <v/>
      </c>
      <c r="G9" s="293" t="n"/>
      <c r="H9" s="293" t="n"/>
    </row>
    <row r="10" hidden="1" ht="14.25" customHeight="1" s="231">
      <c r="A10" s="296" t="inlineStr">
        <is>
          <t>RACHAD NAWAR</t>
        </is>
      </c>
      <c r="B10" s="296" t="n">
        <v>44761</v>
      </c>
      <c r="C10" s="297" t="n">
        <v>0.4166666666666667</v>
      </c>
      <c r="D10" s="297" t="n">
        <v>0.8333333333333334</v>
      </c>
      <c r="E10" s="298">
        <f>WEEKNUM(Planning2[[#This Row],[Date]],21)</f>
        <v/>
      </c>
      <c r="F10" s="299">
        <f>VLOOKUP(A10,Annuaire_roster!B:C,2,0)</f>
        <v/>
      </c>
      <c r="G10" s="293" t="n"/>
      <c r="H10" s="293" t="n"/>
      <c r="J10" s="302" t="n"/>
    </row>
    <row r="11" hidden="1" ht="14.25" customHeight="1" s="231">
      <c r="A11" s="296" t="inlineStr">
        <is>
          <t>ZITOUNI LAMYA</t>
        </is>
      </c>
      <c r="B11" s="296" t="n">
        <v>44761</v>
      </c>
      <c r="C11" s="297" t="inlineStr">
        <is>
          <t>OFF</t>
        </is>
      </c>
      <c r="D11" s="297" t="inlineStr">
        <is>
          <t>OFF</t>
        </is>
      </c>
      <c r="E11" s="298">
        <f>WEEKNUM(Planning2[[#This Row],[Date]],21)</f>
        <v/>
      </c>
      <c r="F11" s="299">
        <f>VLOOKUP(A11,Annuaire_roster!B:C,2,0)</f>
        <v/>
      </c>
      <c r="G11" s="293" t="n"/>
      <c r="H11" s="293" t="n"/>
    </row>
    <row r="12" hidden="1" ht="14.25" customHeight="1" s="231">
      <c r="A12" s="296" t="inlineStr">
        <is>
          <t>GUEYE GORA</t>
        </is>
      </c>
      <c r="B12" s="296" t="n">
        <v>44761</v>
      </c>
      <c r="C12" s="297" t="n">
        <v>0.2916666666666667</v>
      </c>
      <c r="D12" s="297" t="n">
        <v>0.7083333333333334</v>
      </c>
      <c r="E12" s="298">
        <f>WEEKNUM(Planning2[[#This Row],[Date]],21)</f>
        <v/>
      </c>
      <c r="F12" s="299">
        <f>VLOOKUP(A12,Annuaire_roster!B:C,2,0)</f>
        <v/>
      </c>
      <c r="G12" s="293" t="n"/>
      <c r="H12" s="293" t="n"/>
    </row>
    <row r="13" hidden="1" ht="14.25" customHeight="1" s="231">
      <c r="A13" s="296" t="inlineStr">
        <is>
          <t>DIOUF OUSSMANE</t>
        </is>
      </c>
      <c r="B13" s="296" t="n">
        <v>44761</v>
      </c>
      <c r="C13" s="297" t="n">
        <v>0.2916666666666667</v>
      </c>
      <c r="D13" s="297" t="n">
        <v>0.7083333333333334</v>
      </c>
      <c r="E13" s="298">
        <f>WEEKNUM(Planning2[[#This Row],[Date]],21)</f>
        <v/>
      </c>
      <c r="F13" s="299">
        <f>VLOOKUP(A13,Annuaire_roster!B:C,2,0)</f>
        <v/>
      </c>
      <c r="G13" s="304" t="n"/>
      <c r="H13" s="293" t="n"/>
    </row>
    <row r="14" hidden="1" ht="14.25" customHeight="1" s="231">
      <c r="A14" s="296" t="inlineStr">
        <is>
          <t xml:space="preserve">DERKAOUI AMAL </t>
        </is>
      </c>
      <c r="B14" s="296" t="n">
        <v>44761</v>
      </c>
      <c r="C14" s="297" t="n">
        <v>0.4166666666666667</v>
      </c>
      <c r="D14" s="297" t="n">
        <v>0.8333333333333334</v>
      </c>
      <c r="E14" s="298">
        <f>WEEKNUM(Planning2[[#This Row],[Date]],21)</f>
        <v/>
      </c>
      <c r="F14" s="299">
        <f>VLOOKUP(A14,Annuaire_roster!B:C,2,0)</f>
        <v/>
      </c>
      <c r="G14" s="304" t="n"/>
      <c r="H14" s="293" t="n"/>
    </row>
    <row r="15" hidden="1" ht="14.25" customHeight="1" s="231">
      <c r="A15" s="296" t="inlineStr">
        <is>
          <t>AIT LARBI HIND</t>
        </is>
      </c>
      <c r="B15" s="296" t="n">
        <v>44761</v>
      </c>
      <c r="C15" s="297" t="n">
        <v>0.625</v>
      </c>
      <c r="D15" s="297" t="n">
        <v>0.7083333333333334</v>
      </c>
      <c r="E15" s="298">
        <f>WEEKNUM(Planning2[[#This Row],[Date]],21)</f>
        <v/>
      </c>
      <c r="F15" s="299">
        <f>VLOOKUP(A15,Annuaire_roster!B:C,2,0)</f>
        <v/>
      </c>
      <c r="G15" s="304" t="n"/>
      <c r="H15" s="293" t="n"/>
    </row>
    <row r="16" hidden="1" ht="14.25" customHeight="1" s="231">
      <c r="A16" s="296" t="inlineStr">
        <is>
          <t>TOURE ABIBOU</t>
        </is>
      </c>
      <c r="B16" s="296" t="n">
        <v>44761</v>
      </c>
      <c r="C16" s="297" t="n">
        <v>0.375</v>
      </c>
      <c r="D16" s="297" t="n">
        <v>0.7916666666666666</v>
      </c>
      <c r="E16" s="298">
        <f>WEEKNUM(Planning2[[#This Row],[Date]],21)</f>
        <v/>
      </c>
      <c r="F16" s="299">
        <f>VLOOKUP(A16,Annuaire_roster!B:C,2,0)</f>
        <v/>
      </c>
      <c r="G16" s="304" t="n"/>
      <c r="H16" s="293" t="n"/>
    </row>
    <row r="17" hidden="1" ht="14.25" customHeight="1" s="231">
      <c r="A17" s="296" t="inlineStr">
        <is>
          <t>KANTAOUI SALMA</t>
        </is>
      </c>
      <c r="B17" s="296" t="n">
        <v>44761</v>
      </c>
      <c r="C17" s="297" t="inlineStr">
        <is>
          <t>OFF</t>
        </is>
      </c>
      <c r="D17" s="297" t="inlineStr">
        <is>
          <t>OFF</t>
        </is>
      </c>
      <c r="E17" s="298">
        <f>WEEKNUM(Planning2[[#This Row],[Date]],21)</f>
        <v/>
      </c>
      <c r="F17" s="299">
        <f>VLOOKUP(A17,Annuaire_roster!B:C,2,0)</f>
        <v/>
      </c>
      <c r="G17" s="304" t="n"/>
      <c r="H17" s="293" t="n"/>
    </row>
    <row r="18" hidden="1" ht="14.25" customHeight="1" s="231">
      <c r="A18" s="296" t="inlineStr">
        <is>
          <t>ZIOUI DOUNIA</t>
        </is>
      </c>
      <c r="B18" s="296" t="n">
        <v>44761</v>
      </c>
      <c r="C18" s="297" t="inlineStr">
        <is>
          <t>OFF</t>
        </is>
      </c>
      <c r="D18" s="297" t="inlineStr">
        <is>
          <t>OFF</t>
        </is>
      </c>
      <c r="E18" s="298">
        <f>WEEKNUM(Planning2[[#This Row],[Date]],21)</f>
        <v/>
      </c>
      <c r="F18" s="299">
        <f>VLOOKUP(A18,Annuaire_roster!B:C,2,0)</f>
        <v/>
      </c>
      <c r="G18" s="304" t="n"/>
      <c r="H18" s="293" t="n"/>
    </row>
    <row r="19" hidden="1" ht="14.25" customHeight="1" s="231">
      <c r="A19" s="296" t="inlineStr">
        <is>
          <t>AIT ADDI KHADIJA</t>
        </is>
      </c>
      <c r="B19" s="296" t="n">
        <v>44761</v>
      </c>
      <c r="C19" s="297" t="n">
        <v>0.625</v>
      </c>
      <c r="D19" s="297" t="n">
        <v>0.7083333333333334</v>
      </c>
      <c r="E19" s="298">
        <f>WEEKNUM(Planning2[[#This Row],[Date]],21)</f>
        <v/>
      </c>
      <c r="F19" s="299">
        <f>VLOOKUP(A19,Annuaire_roster!B:C,2,0)</f>
        <v/>
      </c>
      <c r="G19" s="304" t="n"/>
      <c r="H19" s="293" t="n"/>
    </row>
    <row r="20" hidden="1" ht="14.25" customHeight="1" s="231">
      <c r="A20" s="296" t="inlineStr">
        <is>
          <t>MELLAHI YOUSSEF</t>
        </is>
      </c>
      <c r="B20" s="296" t="n">
        <v>44761</v>
      </c>
      <c r="C20" s="297" t="n">
        <v>0.625</v>
      </c>
      <c r="D20" s="297" t="n">
        <v>0.7083333333333334</v>
      </c>
      <c r="E20" s="298">
        <f>WEEKNUM(Planning2[[#This Row],[Date]],21)</f>
        <v/>
      </c>
      <c r="F20" s="299">
        <f>VLOOKUP(A20,Annuaire_roster!B:C,2,0)</f>
        <v/>
      </c>
      <c r="G20" s="304" t="n"/>
      <c r="H20" s="293" t="n"/>
    </row>
    <row r="21" hidden="1" ht="14.25" customHeight="1" s="231">
      <c r="A21" s="296" t="inlineStr">
        <is>
          <t xml:space="preserve">EL HOUJJAJI Soufiane </t>
        </is>
      </c>
      <c r="B21" s="296" t="n">
        <v>44761</v>
      </c>
      <c r="C21" s="297" t="inlineStr">
        <is>
          <t>Congé</t>
        </is>
      </c>
      <c r="D21" s="297" t="inlineStr">
        <is>
          <t>Congé</t>
        </is>
      </c>
      <c r="E21" s="298">
        <f>WEEKNUM(Planning2[[#This Row],[Date]],21)</f>
        <v/>
      </c>
      <c r="F21" s="299">
        <f>VLOOKUP(A21,Annuaire_roster!B:C,2,0)</f>
        <v/>
      </c>
      <c r="G21" s="304" t="n"/>
      <c r="H21" s="293" t="n"/>
    </row>
    <row r="22" hidden="1" ht="14.25" customHeight="1" s="231">
      <c r="A22" s="296" t="inlineStr">
        <is>
          <t>AZHARI ABDELHAMID</t>
        </is>
      </c>
      <c r="B22" s="296" t="n">
        <v>44761</v>
      </c>
      <c r="C22" s="297" t="n">
        <v>0.2916666666666667</v>
      </c>
      <c r="D22" s="297" t="n">
        <v>0.6666666666666666</v>
      </c>
      <c r="E22" s="298">
        <f>WEEKNUM(Planning2[[#This Row],[Date]],21)</f>
        <v/>
      </c>
      <c r="F22" s="299">
        <f>VLOOKUP(A22,Annuaire_roster!B:C,2,0)</f>
        <v/>
      </c>
      <c r="G22" s="304" t="n"/>
      <c r="H22" s="293" t="n"/>
    </row>
    <row r="23" hidden="1" ht="14.25" customHeight="1" s="231">
      <c r="A23" s="296" t="inlineStr">
        <is>
          <t>NUNEZ LUCIEN BERNARD</t>
        </is>
      </c>
      <c r="B23" s="296" t="n">
        <v>44761</v>
      </c>
      <c r="C23" s="297" t="n">
        <v>0.2916666666666667</v>
      </c>
      <c r="D23" s="297" t="n">
        <v>0.7083333333333334</v>
      </c>
      <c r="E23" s="298">
        <f>WEEKNUM(Planning2[[#This Row],[Date]],21)</f>
        <v/>
      </c>
      <c r="F23" s="299">
        <f>VLOOKUP(A23,Annuaire_roster!B:C,2,0)</f>
        <v/>
      </c>
      <c r="G23" s="304" t="n"/>
      <c r="H23" s="293" t="n"/>
    </row>
    <row r="24" hidden="1" ht="14.25" customHeight="1" s="231">
      <c r="A24" s="296" t="inlineStr">
        <is>
          <t xml:space="preserve">LALOUN MANAL </t>
        </is>
      </c>
      <c r="B24" s="296" t="n">
        <v>44761</v>
      </c>
      <c r="C24" s="297" t="inlineStr">
        <is>
          <t>Congé</t>
        </is>
      </c>
      <c r="D24" s="297" t="inlineStr">
        <is>
          <t>Congé</t>
        </is>
      </c>
      <c r="E24" s="298">
        <f>WEEKNUM(Planning2[[#This Row],[Date]],21)</f>
        <v/>
      </c>
      <c r="F24" s="299">
        <f>VLOOKUP(A24,Annuaire_roster!B:C,2,0)</f>
        <v/>
      </c>
      <c r="G24" s="304" t="n"/>
      <c r="H24" s="293" t="n"/>
    </row>
    <row r="25" hidden="1" ht="14.25" customHeight="1" s="231">
      <c r="A25" s="296" t="inlineStr">
        <is>
          <t>SIDIBE MOUSKEBA DALAFINA</t>
        </is>
      </c>
      <c r="B25" s="296" t="n">
        <v>44761</v>
      </c>
      <c r="C25" s="297" t="inlineStr">
        <is>
          <t>OFF</t>
        </is>
      </c>
      <c r="D25" s="297" t="inlineStr">
        <is>
          <t>OFF</t>
        </is>
      </c>
      <c r="E25" s="298">
        <f>WEEKNUM(Planning2[[#This Row],[Date]],21)</f>
        <v/>
      </c>
      <c r="F25" s="299">
        <f>VLOOKUP(A25,Annuaire_roster!B:C,2,0)</f>
        <v/>
      </c>
      <c r="G25" s="304" t="n"/>
      <c r="H25" s="293" t="n"/>
    </row>
    <row r="26" hidden="1" ht="14.25" customHeight="1" s="231">
      <c r="A26" s="296" t="inlineStr">
        <is>
          <t>BOULHROUD SALMA</t>
        </is>
      </c>
      <c r="B26" s="296" t="n">
        <v>44761</v>
      </c>
      <c r="C26" s="297" t="n">
        <v>0.2916666666666667</v>
      </c>
      <c r="D26" s="297" t="n">
        <v>0.7083333333333334</v>
      </c>
      <c r="E26" s="298">
        <f>WEEKNUM(Planning2[[#This Row],[Date]],21)</f>
        <v/>
      </c>
      <c r="F26" s="299">
        <f>VLOOKUP(A26,Annuaire_roster!B:C,2,0)</f>
        <v/>
      </c>
      <c r="G26" s="304" t="n"/>
      <c r="H26" s="293" t="n"/>
    </row>
    <row r="27" hidden="1" ht="14.25" customHeight="1" s="231">
      <c r="A27" s="296" t="inlineStr">
        <is>
          <t>BOURABAA HASSAN</t>
        </is>
      </c>
      <c r="B27" s="296" t="n">
        <v>44761</v>
      </c>
      <c r="C27" s="297" t="n">
        <v>0.375</v>
      </c>
      <c r="D27" s="297" t="n">
        <v>0.7916666666666666</v>
      </c>
      <c r="E27" s="298">
        <f>WEEKNUM(Planning2[[#This Row],[Date]],21)</f>
        <v/>
      </c>
      <c r="F27" s="299">
        <f>VLOOKUP(A27,Annuaire_roster!B:C,2,0)</f>
        <v/>
      </c>
      <c r="G27" s="304" t="n"/>
      <c r="H27" s="293" t="n"/>
    </row>
    <row r="28" hidden="1" ht="14.25" customHeight="1" s="231">
      <c r="A28" s="296" t="inlineStr">
        <is>
          <t>SECK DIARRA</t>
        </is>
      </c>
      <c r="B28" s="296" t="n">
        <v>44761</v>
      </c>
      <c r="C28" s="297" t="n">
        <v>0.2916666666666667</v>
      </c>
      <c r="D28" s="297" t="n">
        <v>0.7083333333333334</v>
      </c>
      <c r="E28" s="298">
        <f>WEEKNUM(Planning2[[#This Row],[Date]],21)</f>
        <v/>
      </c>
      <c r="F28" s="299">
        <f>VLOOKUP(A28,Annuaire_roster!B:C,2,0)</f>
        <v/>
      </c>
      <c r="G28" s="293" t="n"/>
      <c r="H28" s="293" t="n"/>
    </row>
    <row r="29" hidden="1" ht="14.25" customHeight="1" s="231">
      <c r="A29" s="296" t="inlineStr">
        <is>
          <t>AINELKITANE ZINEB</t>
        </is>
      </c>
      <c r="B29" s="296" t="n">
        <v>44761</v>
      </c>
      <c r="C29" s="297" t="n">
        <v>0.4166666666666667</v>
      </c>
      <c r="D29" s="297" t="n">
        <v>0.8333333333333334</v>
      </c>
      <c r="E29" s="298">
        <f>WEEKNUM(Planning2[[#This Row],[Date]],21)</f>
        <v/>
      </c>
      <c r="F29" s="299">
        <f>VLOOKUP(A29,Annuaire_roster!B:C,2,0)</f>
        <v/>
      </c>
      <c r="G29" s="293" t="n"/>
      <c r="H29" s="293" t="n"/>
    </row>
    <row r="30" hidden="1" ht="14.25" customHeight="1" s="231">
      <c r="A30" s="296" t="inlineStr">
        <is>
          <t>BENSAR ANAS</t>
        </is>
      </c>
      <c r="B30" s="296" t="n">
        <v>44761</v>
      </c>
      <c r="C30" s="297" t="n">
        <v>0.4166666666666667</v>
      </c>
      <c r="D30" s="297" t="n">
        <v>0.8333333333333334</v>
      </c>
      <c r="E30" s="298">
        <f>WEEKNUM(Planning2[[#This Row],[Date]],21)</f>
        <v/>
      </c>
      <c r="F30" s="299">
        <f>VLOOKUP(A30,Annuaire_roster!B:C,2,0)</f>
        <v/>
      </c>
      <c r="G30" s="293" t="n"/>
      <c r="H30" s="293" t="n"/>
    </row>
    <row r="31" hidden="1" ht="14.25" customHeight="1" s="231">
      <c r="A31" s="296" t="inlineStr">
        <is>
          <t>NEMMAOUI MOUNIRA</t>
        </is>
      </c>
      <c r="B31" s="296" t="n">
        <v>44761</v>
      </c>
      <c r="C31" s="297" t="n">
        <v>0.4166666666666667</v>
      </c>
      <c r="D31" s="297" t="n">
        <v>0.8333333333333334</v>
      </c>
      <c r="E31" s="298">
        <f>WEEKNUM(Planning2[[#This Row],[Date]],21)</f>
        <v/>
      </c>
      <c r="F31" s="299">
        <f>VLOOKUP(A31,Annuaire_roster!B:C,2,0)</f>
        <v/>
      </c>
      <c r="G31" s="293" t="n"/>
      <c r="H31" s="293" t="n"/>
    </row>
    <row r="32" hidden="1" ht="14.25" customHeight="1" s="231">
      <c r="A32" s="296" t="inlineStr">
        <is>
          <t>QARBOUI Aymane</t>
        </is>
      </c>
      <c r="B32" s="296" t="n">
        <v>44761</v>
      </c>
      <c r="C32" s="297" t="n">
        <v>0.4166666666666667</v>
      </c>
      <c r="D32" s="297" t="n">
        <v>0.8333333333333334</v>
      </c>
      <c r="E32" s="298">
        <f>WEEKNUM(Planning2[[#This Row],[Date]],21)</f>
        <v/>
      </c>
      <c r="F32" s="299">
        <f>VLOOKUP(A32,Annuaire_roster!B:C,2,0)</f>
        <v/>
      </c>
      <c r="G32" s="293" t="n"/>
      <c r="H32" s="293" t="n"/>
    </row>
    <row r="33" hidden="1" ht="14.25" customHeight="1" s="231">
      <c r="A33" s="305" t="inlineStr">
        <is>
          <t>SOUOUD ZAKARIA</t>
        </is>
      </c>
      <c r="B33" s="296" t="n">
        <v>44761</v>
      </c>
      <c r="C33" s="297" t="n">
        <v>0.2916666666666667</v>
      </c>
      <c r="D33" s="297" t="n">
        <v>0.7083333333333334</v>
      </c>
      <c r="E33" s="298">
        <f>WEEKNUM(Planning2[[#This Row],[Date]],21)</f>
        <v/>
      </c>
      <c r="F33" s="299">
        <f>VLOOKUP(A33,Annuaire_roster!B:C,2,0)</f>
        <v/>
      </c>
      <c r="G33" s="293" t="n"/>
      <c r="H33" s="293" t="n"/>
    </row>
    <row r="34" hidden="1" ht="14.25" customHeight="1" s="231">
      <c r="A34" s="296" t="inlineStr">
        <is>
          <t>EL-AOUAQUI BOUCHRA</t>
        </is>
      </c>
      <c r="B34" s="296">
        <f>+B2+1</f>
        <v/>
      </c>
      <c r="C34" s="297" t="inlineStr">
        <is>
          <t>OFF</t>
        </is>
      </c>
      <c r="D34" s="297" t="inlineStr">
        <is>
          <t>OFF</t>
        </is>
      </c>
      <c r="E34" s="298">
        <f>WEEKNUM(Planning2[[#This Row],[Date]],21)</f>
        <v/>
      </c>
      <c r="F34" s="299">
        <f>VLOOKUP(A34,Annuaire_roster!B:C,2,0)</f>
        <v/>
      </c>
      <c r="G34" s="293" t="n"/>
      <c r="H34" s="293" t="n"/>
    </row>
    <row r="35" hidden="1" ht="14.25" customHeight="1" s="231">
      <c r="A35" s="296" t="inlineStr">
        <is>
          <t>IHASSANE Ikram</t>
        </is>
      </c>
      <c r="B35" s="296">
        <f>+B3+1</f>
        <v/>
      </c>
      <c r="C35" s="297" t="inlineStr">
        <is>
          <t>Missionnée</t>
        </is>
      </c>
      <c r="D35" s="297" t="inlineStr">
        <is>
          <t>Missionnée</t>
        </is>
      </c>
      <c r="E35" s="298">
        <f>WEEKNUM(Planning2[[#This Row],[Date]],21)</f>
        <v/>
      </c>
      <c r="F35" s="299">
        <f>VLOOKUP(A35,Annuaire_roster!B:C,2,0)</f>
        <v/>
      </c>
      <c r="G35" s="293" t="n"/>
      <c r="H35" s="293" t="n"/>
    </row>
    <row r="36" hidden="1" ht="14.25" customHeight="1" s="231">
      <c r="A36" s="296" t="inlineStr">
        <is>
          <t>NIANG NDEYE ABSA</t>
        </is>
      </c>
      <c r="B36" s="296">
        <f>+B4+1</f>
        <v/>
      </c>
      <c r="C36" s="297" t="n">
        <v>0.2916666666666667</v>
      </c>
      <c r="D36" s="297" t="n">
        <v>0.7083333333333334</v>
      </c>
      <c r="E36" s="298">
        <f>WEEKNUM(Planning2[[#This Row],[Date]],21)</f>
        <v/>
      </c>
      <c r="F36" s="299">
        <f>VLOOKUP(A36,Annuaire_roster!B:C,2,0)</f>
        <v/>
      </c>
      <c r="G36" s="293" t="n"/>
      <c r="H36" s="293" t="n"/>
    </row>
    <row r="37" hidden="1" ht="14.25" customHeight="1" s="231">
      <c r="A37" s="296" t="inlineStr">
        <is>
          <t>ZAKI OMAR</t>
        </is>
      </c>
      <c r="B37" s="296">
        <f>+B5+1</f>
        <v/>
      </c>
      <c r="C37" s="297" t="n">
        <v>0.2916666666666667</v>
      </c>
      <c r="D37" s="297" t="n">
        <v>0.7083333333333334</v>
      </c>
      <c r="E37" s="298">
        <f>WEEKNUM(Planning2[[#This Row],[Date]],21)</f>
        <v/>
      </c>
      <c r="F37" s="299">
        <f>VLOOKUP(A37,Annuaire_roster!B:C,2,0)</f>
        <v/>
      </c>
      <c r="G37" s="293" t="n"/>
      <c r="H37" s="293" t="n"/>
    </row>
    <row r="38" hidden="1" ht="14.25" customHeight="1" s="231">
      <c r="A38" s="296" t="inlineStr">
        <is>
          <t>EL HOUSSAINI HOUDA</t>
        </is>
      </c>
      <c r="B38" s="296">
        <f>+B6+1</f>
        <v/>
      </c>
      <c r="C38" s="297" t="n">
        <v>0.4166666666666667</v>
      </c>
      <c r="D38" s="297" t="n">
        <v>0.8333333333333334</v>
      </c>
      <c r="E38" s="298">
        <f>WEEKNUM(Planning2[[#This Row],[Date]],21)</f>
        <v/>
      </c>
      <c r="F38" s="299">
        <f>VLOOKUP(A38,Annuaire_roster!B:C,2,0)</f>
        <v/>
      </c>
      <c r="G38" s="293" t="n"/>
      <c r="H38" s="293" t="n"/>
    </row>
    <row r="39" hidden="1" ht="14.25" customHeight="1" s="231">
      <c r="A39" s="296" t="inlineStr">
        <is>
          <t>EL HARROUCHI CHAIMAE</t>
        </is>
      </c>
      <c r="B39" s="296">
        <f>+B7+1</f>
        <v/>
      </c>
      <c r="C39" s="297" t="n">
        <v>0.4166666666666667</v>
      </c>
      <c r="D39" s="297" t="n">
        <v>0.8333333333333334</v>
      </c>
      <c r="E39" s="298">
        <f>WEEKNUM(Planning2[[#This Row],[Date]],21)</f>
        <v/>
      </c>
      <c r="F39" s="299">
        <f>VLOOKUP(A39,Annuaire_roster!B:C,2,0)</f>
        <v/>
      </c>
      <c r="G39" s="302" t="n"/>
      <c r="H39" s="302" t="n"/>
    </row>
    <row r="40" hidden="1" ht="14.25" customHeight="1" s="231">
      <c r="A40" s="296" t="inlineStr">
        <is>
          <t>LAFDIL NADA</t>
        </is>
      </c>
      <c r="B40" s="296">
        <f>+B8+1</f>
        <v/>
      </c>
      <c r="C40" s="297" t="n">
        <v>0.4166666666666667</v>
      </c>
      <c r="D40" s="297" t="n">
        <v>0.8333333333333334</v>
      </c>
      <c r="E40" s="298">
        <f>WEEKNUM(Planning2[[#This Row],[Date]],21)</f>
        <v/>
      </c>
      <c r="F40" s="299">
        <f>VLOOKUP(A40,Annuaire_roster!B:C,2,0)</f>
        <v/>
      </c>
      <c r="G40" s="302" t="n"/>
      <c r="H40" s="302" t="n"/>
    </row>
    <row r="41" hidden="1" ht="14.25" customHeight="1" s="231">
      <c r="A41" s="296" t="inlineStr">
        <is>
          <t>GUEYE MOUHAMED</t>
        </is>
      </c>
      <c r="B41" s="296">
        <f>+B9+1</f>
        <v/>
      </c>
      <c r="C41" s="297" t="n">
        <v>0.2916666666666667</v>
      </c>
      <c r="D41" s="297" t="n">
        <v>0.7083333333333334</v>
      </c>
      <c r="E41" s="298">
        <f>WEEKNUM(Planning2[[#This Row],[Date]],21)</f>
        <v/>
      </c>
      <c r="F41" s="299">
        <f>VLOOKUP(A41,Annuaire_roster!B:C,2,0)</f>
        <v/>
      </c>
      <c r="G41" s="293" t="n"/>
      <c r="H41" s="293" t="n"/>
    </row>
    <row r="42" hidden="1" ht="14.25" customHeight="1" s="231">
      <c r="A42" s="296" t="inlineStr">
        <is>
          <t>RACHAD NAWAR</t>
        </is>
      </c>
      <c r="B42" s="296">
        <f>+B10+1</f>
        <v/>
      </c>
      <c r="C42" s="297" t="n">
        <v>0.4166666666666667</v>
      </c>
      <c r="D42" s="297" t="n">
        <v>0.8333333333333334</v>
      </c>
      <c r="E42" s="298">
        <f>WEEKNUM(Planning2[[#This Row],[Date]],21)</f>
        <v/>
      </c>
      <c r="F42" s="299">
        <f>VLOOKUP(A42,Annuaire_roster!B:C,2,0)</f>
        <v/>
      </c>
      <c r="G42" s="293" t="n"/>
      <c r="H42" s="293" t="n"/>
    </row>
    <row r="43" hidden="1" ht="14.25" customHeight="1" s="231">
      <c r="A43" s="296" t="inlineStr">
        <is>
          <t>ZITOUNI LAMYA</t>
        </is>
      </c>
      <c r="B43" s="296">
        <f>+B11+1</f>
        <v/>
      </c>
      <c r="C43" s="297" t="inlineStr">
        <is>
          <t>OFF</t>
        </is>
      </c>
      <c r="D43" s="297" t="inlineStr">
        <is>
          <t>OFF</t>
        </is>
      </c>
      <c r="E43" s="298">
        <f>WEEKNUM(Planning2[[#This Row],[Date]],21)</f>
        <v/>
      </c>
      <c r="F43" s="299">
        <f>VLOOKUP(A43,Annuaire_roster!B:C,2,0)</f>
        <v/>
      </c>
      <c r="G43" s="293" t="n"/>
      <c r="H43" s="293" t="n"/>
    </row>
    <row r="44" hidden="1" ht="14.25" customHeight="1" s="231">
      <c r="A44" s="296" t="inlineStr">
        <is>
          <t>GUEYE GORA</t>
        </is>
      </c>
      <c r="B44" s="296">
        <f>+B12+1</f>
        <v/>
      </c>
      <c r="C44" s="297" t="n">
        <v>0.2916666666666667</v>
      </c>
      <c r="D44" s="297" t="n">
        <v>0.7083333333333334</v>
      </c>
      <c r="E44" s="298">
        <f>WEEKNUM(Planning2[[#This Row],[Date]],21)</f>
        <v/>
      </c>
      <c r="F44" s="299">
        <f>VLOOKUP(A44,Annuaire_roster!B:C,2,0)</f>
        <v/>
      </c>
      <c r="G44" s="293" t="n"/>
      <c r="H44" s="293" t="n"/>
    </row>
    <row r="45" hidden="1" ht="14.25" customHeight="1" s="231">
      <c r="A45" s="296" t="inlineStr">
        <is>
          <t>DIOUF OUSSMANE</t>
        </is>
      </c>
      <c r="B45" s="296">
        <f>+B13+1</f>
        <v/>
      </c>
      <c r="C45" s="297" t="n">
        <v>0.2916666666666667</v>
      </c>
      <c r="D45" s="297" t="n">
        <v>0.7083333333333334</v>
      </c>
      <c r="E45" s="298">
        <f>WEEKNUM(Planning2[[#This Row],[Date]],21)</f>
        <v/>
      </c>
      <c r="F45" s="299">
        <f>VLOOKUP(A45,Annuaire_roster!B:C,2,0)</f>
        <v/>
      </c>
      <c r="G45" s="293" t="n"/>
      <c r="H45" s="293" t="n"/>
    </row>
    <row r="46" hidden="1" ht="14.25" customHeight="1" s="231">
      <c r="A46" s="296" t="inlineStr">
        <is>
          <t xml:space="preserve">DERKAOUI AMAL </t>
        </is>
      </c>
      <c r="B46" s="296">
        <f>+B14+1</f>
        <v/>
      </c>
      <c r="C46" s="297" t="n">
        <v>0.4166666666666667</v>
      </c>
      <c r="D46" s="297" t="n">
        <v>0.8333333333333334</v>
      </c>
      <c r="E46" s="298">
        <f>WEEKNUM(Planning2[[#This Row],[Date]],21)</f>
        <v/>
      </c>
      <c r="F46" s="299">
        <f>VLOOKUP(A46,Annuaire_roster!B:C,2,0)</f>
        <v/>
      </c>
      <c r="G46" s="293" t="n"/>
      <c r="H46" s="293" t="n"/>
    </row>
    <row r="47" hidden="1" ht="14.25" customHeight="1" s="231">
      <c r="A47" s="296" t="inlineStr">
        <is>
          <t>AIT LARBI HIND</t>
        </is>
      </c>
      <c r="B47" s="296">
        <f>+B15+1</f>
        <v/>
      </c>
      <c r="C47" s="297" t="n">
        <v>0.2916666666666667</v>
      </c>
      <c r="D47" s="297" t="n">
        <v>0.7083333333333334</v>
      </c>
      <c r="E47" s="298">
        <f>WEEKNUM(Planning2[[#This Row],[Date]],21)</f>
        <v/>
      </c>
      <c r="F47" s="299">
        <f>VLOOKUP(A47,Annuaire_roster!B:C,2,0)</f>
        <v/>
      </c>
      <c r="G47" s="293" t="n"/>
      <c r="H47" s="293" t="n"/>
    </row>
    <row r="48" hidden="1" ht="14.25" customHeight="1" s="231">
      <c r="A48" s="296" t="inlineStr">
        <is>
          <t>TOURE ABIBOU</t>
        </is>
      </c>
      <c r="B48" s="296">
        <f>+B16+1</f>
        <v/>
      </c>
      <c r="C48" s="297" t="n">
        <v>0.375</v>
      </c>
      <c r="D48" s="297" t="n">
        <v>0.75</v>
      </c>
      <c r="E48" s="298">
        <f>WEEKNUM(Planning2[[#This Row],[Date]],21)</f>
        <v/>
      </c>
      <c r="F48" s="299">
        <f>VLOOKUP(A48,Annuaire_roster!B:C,2,0)</f>
        <v/>
      </c>
      <c r="G48" s="293" t="n"/>
      <c r="H48" s="293" t="n"/>
    </row>
    <row r="49" hidden="1" ht="14.25" customHeight="1" s="231">
      <c r="A49" s="296" t="inlineStr">
        <is>
          <t>KANTAOUI SALMA</t>
        </is>
      </c>
      <c r="B49" s="296">
        <f>+B17+1</f>
        <v/>
      </c>
      <c r="C49" s="297" t="inlineStr">
        <is>
          <t>OFF</t>
        </is>
      </c>
      <c r="D49" s="297" t="inlineStr">
        <is>
          <t>OFF</t>
        </is>
      </c>
      <c r="E49" s="298">
        <f>WEEKNUM(Planning2[[#This Row],[Date]],21)</f>
        <v/>
      </c>
      <c r="F49" s="299">
        <f>VLOOKUP(A49,Annuaire_roster!B:C,2,0)</f>
        <v/>
      </c>
      <c r="G49" s="293" t="n"/>
      <c r="H49" s="293" t="n"/>
    </row>
    <row r="50" hidden="1" ht="14.25" customHeight="1" s="231">
      <c r="A50" s="296" t="inlineStr">
        <is>
          <t>ZIOUI DOUNIA</t>
        </is>
      </c>
      <c r="B50" s="296">
        <f>+B18+1</f>
        <v/>
      </c>
      <c r="C50" s="297" t="inlineStr">
        <is>
          <t>OFF</t>
        </is>
      </c>
      <c r="D50" s="297" t="inlineStr">
        <is>
          <t>OFF</t>
        </is>
      </c>
      <c r="E50" s="298">
        <f>WEEKNUM(Planning2[[#This Row],[Date]],21)</f>
        <v/>
      </c>
      <c r="F50" s="299">
        <f>VLOOKUP(A50,Annuaire_roster!B:C,2,0)</f>
        <v/>
      </c>
      <c r="G50" s="293" t="n"/>
      <c r="H50" s="293" t="n"/>
    </row>
    <row r="51" hidden="1" ht="14.25" customHeight="1" s="231">
      <c r="A51" s="296" t="inlineStr">
        <is>
          <t>AIT ADDI KHADIJA</t>
        </is>
      </c>
      <c r="B51" s="296">
        <f>+B19+1</f>
        <v/>
      </c>
      <c r="C51" s="297" t="n">
        <v>0.2916666666666667</v>
      </c>
      <c r="D51" s="297" t="n">
        <v>0.7083333333333334</v>
      </c>
      <c r="E51" s="298">
        <f>WEEKNUM(Planning2[[#This Row],[Date]],21)</f>
        <v/>
      </c>
      <c r="F51" s="299">
        <f>VLOOKUP(A51,Annuaire_roster!B:C,2,0)</f>
        <v/>
      </c>
      <c r="G51" s="293" t="n"/>
      <c r="H51" s="293" t="n"/>
    </row>
    <row r="52" hidden="1" ht="14.25" customHeight="1" s="231">
      <c r="A52" s="296" t="inlineStr">
        <is>
          <t>MELLAHI YOUSSEF</t>
        </is>
      </c>
      <c r="B52" s="296">
        <f>+B20+1</f>
        <v/>
      </c>
      <c r="C52" s="297" t="n">
        <v>0.625</v>
      </c>
      <c r="D52" s="297" t="n">
        <v>0.7083333333333334</v>
      </c>
      <c r="E52" s="298">
        <f>WEEKNUM(Planning2[[#This Row],[Date]],21)</f>
        <v/>
      </c>
      <c r="F52" s="299">
        <f>VLOOKUP(A52,Annuaire_roster!B:C,2,0)</f>
        <v/>
      </c>
      <c r="G52" s="293" t="n"/>
      <c r="H52" s="293" t="n"/>
    </row>
    <row r="53" hidden="1" ht="14.25" customHeight="1" s="231">
      <c r="A53" s="296" t="inlineStr">
        <is>
          <t xml:space="preserve">EL HOUJJAJI Soufiane </t>
        </is>
      </c>
      <c r="B53" s="296">
        <f>+B21+1</f>
        <v/>
      </c>
      <c r="C53" s="297" t="inlineStr">
        <is>
          <t>Congé</t>
        </is>
      </c>
      <c r="D53" s="297" t="inlineStr">
        <is>
          <t>Congé</t>
        </is>
      </c>
      <c r="E53" s="298">
        <f>WEEKNUM(Planning2[[#This Row],[Date]],21)</f>
        <v/>
      </c>
      <c r="F53" s="299">
        <f>VLOOKUP(A53,Annuaire_roster!B:C,2,0)</f>
        <v/>
      </c>
      <c r="G53" s="293" t="n"/>
      <c r="H53" s="306" t="n"/>
    </row>
    <row r="54" hidden="1" ht="14.25" customHeight="1" s="231">
      <c r="A54" s="296" t="inlineStr">
        <is>
          <t>AZHARI ABDELHAMID</t>
        </is>
      </c>
      <c r="B54" s="296">
        <f>+B22+1</f>
        <v/>
      </c>
      <c r="C54" s="297" t="n">
        <v>0.2916666666666667</v>
      </c>
      <c r="D54" s="297" t="n">
        <v>0.7083333333333334</v>
      </c>
      <c r="E54" s="298">
        <f>WEEKNUM(Planning2[[#This Row],[Date]],21)</f>
        <v/>
      </c>
      <c r="F54" s="299">
        <f>VLOOKUP(A54,Annuaire_roster!B:C,2,0)</f>
        <v/>
      </c>
      <c r="G54" s="293" t="n"/>
      <c r="H54" s="306" t="n"/>
    </row>
    <row r="55" hidden="1" ht="14.25" customHeight="1" s="231">
      <c r="A55" s="296" t="inlineStr">
        <is>
          <t>NUNEZ LUCIEN BERNARD</t>
        </is>
      </c>
      <c r="B55" s="296">
        <f>+B23+1</f>
        <v/>
      </c>
      <c r="C55" s="297" t="n">
        <v>0.2916666666666667</v>
      </c>
      <c r="D55" s="297" t="n">
        <v>0.7083333333333334</v>
      </c>
      <c r="E55" s="298">
        <f>WEEKNUM(Planning2[[#This Row],[Date]],21)</f>
        <v/>
      </c>
      <c r="F55" s="299">
        <f>VLOOKUP(A55,Annuaire_roster!B:C,2,0)</f>
        <v/>
      </c>
      <c r="G55" s="293" t="n"/>
      <c r="H55" s="306" t="n"/>
    </row>
    <row r="56" hidden="1" ht="14.25" customHeight="1" s="231">
      <c r="A56" s="296" t="inlineStr">
        <is>
          <t xml:space="preserve">LALOUN MANAL </t>
        </is>
      </c>
      <c r="B56" s="296">
        <f>+B24+1</f>
        <v/>
      </c>
      <c r="C56" s="297" t="inlineStr">
        <is>
          <t>Congé</t>
        </is>
      </c>
      <c r="D56" s="297" t="inlineStr">
        <is>
          <t>Congé</t>
        </is>
      </c>
      <c r="E56" s="298">
        <f>WEEKNUM(Planning2[[#This Row],[Date]],21)</f>
        <v/>
      </c>
      <c r="F56" s="299">
        <f>VLOOKUP(A56,Annuaire_roster!B:C,2,0)</f>
        <v/>
      </c>
      <c r="G56" s="293" t="n"/>
      <c r="H56" s="306" t="n"/>
    </row>
    <row r="57" hidden="1" ht="14.25" customHeight="1" s="231">
      <c r="A57" s="296" t="inlineStr">
        <is>
          <t>SIDIBE MOUSKEBA DALAFINA</t>
        </is>
      </c>
      <c r="B57" s="296">
        <f>+B25+1</f>
        <v/>
      </c>
      <c r="C57" s="297" t="n">
        <v>0.2916666666666667</v>
      </c>
      <c r="D57" s="297" t="n">
        <v>0.7083333333333334</v>
      </c>
      <c r="E57" s="298">
        <f>WEEKNUM(Planning2[[#This Row],[Date]],21)</f>
        <v/>
      </c>
      <c r="F57" s="299">
        <f>VLOOKUP(A57,Annuaire_roster!B:C,2,0)</f>
        <v/>
      </c>
      <c r="G57" s="293" t="n"/>
      <c r="H57" s="293" t="n"/>
    </row>
    <row r="58" hidden="1" ht="14.25" customHeight="1" s="231">
      <c r="A58" s="296" t="inlineStr">
        <is>
          <t>BOULHROUD SALMA</t>
        </is>
      </c>
      <c r="B58" s="296">
        <f>+B26+1</f>
        <v/>
      </c>
      <c r="C58" s="297" t="n">
        <v>0.2916666666666667</v>
      </c>
      <c r="D58" s="297" t="n">
        <v>0.7083333333333334</v>
      </c>
      <c r="E58" s="298">
        <f>WEEKNUM(Planning2[[#This Row],[Date]],21)</f>
        <v/>
      </c>
      <c r="F58" s="299">
        <f>VLOOKUP(A58,Annuaire_roster!B:C,2,0)</f>
        <v/>
      </c>
      <c r="G58" s="293" t="n"/>
      <c r="H58" s="293" t="n"/>
    </row>
    <row r="59" ht="14.25" customHeight="1" s="231">
      <c r="A59" s="296" t="inlineStr">
        <is>
          <t>BOURABAA HASSAN</t>
        </is>
      </c>
      <c r="B59" s="296">
        <f>+B27+1</f>
        <v/>
      </c>
      <c r="C59" s="297" t="n">
        <v>0.375</v>
      </c>
      <c r="D59" s="297" t="n">
        <v>0.75</v>
      </c>
      <c r="E59" s="298">
        <f>WEEKNUM(Planning2[[#This Row],[Date]],21)</f>
        <v/>
      </c>
      <c r="F59" s="299">
        <f>VLOOKUP(A59,Annuaire_roster!B:C,2,0)</f>
        <v/>
      </c>
      <c r="G59" s="293" t="n"/>
      <c r="H59" s="293" t="n"/>
    </row>
    <row r="60" hidden="1" ht="14.25" customHeight="1" s="231">
      <c r="A60" s="296" t="inlineStr">
        <is>
          <t>SECK DIARRA</t>
        </is>
      </c>
      <c r="B60" s="296">
        <f>+B28+1</f>
        <v/>
      </c>
      <c r="C60" s="297" t="n">
        <v>0.2916666666666667</v>
      </c>
      <c r="D60" s="297" t="n">
        <v>0.7083333333333334</v>
      </c>
      <c r="E60" s="298">
        <f>WEEKNUM(Planning2[[#This Row],[Date]],21)</f>
        <v/>
      </c>
      <c r="F60" s="299">
        <f>VLOOKUP(A60,Annuaire_roster!B:C,2,0)</f>
        <v/>
      </c>
      <c r="G60" s="293" t="n"/>
      <c r="H60" s="293" t="n"/>
    </row>
    <row r="61" hidden="1" ht="14.25" customHeight="1" s="231">
      <c r="A61" s="296" t="inlineStr">
        <is>
          <t>AINELKITANE ZINEB</t>
        </is>
      </c>
      <c r="B61" s="296">
        <f>+B29+1</f>
        <v/>
      </c>
      <c r="C61" s="297" t="n">
        <v>0.4166666666666667</v>
      </c>
      <c r="D61" s="297" t="n">
        <v>0.8333333333333334</v>
      </c>
      <c r="E61" s="298">
        <f>WEEKNUM(Planning2[[#This Row],[Date]],21)</f>
        <v/>
      </c>
      <c r="F61" s="299">
        <f>VLOOKUP(A61,Annuaire_roster!B:C,2,0)</f>
        <v/>
      </c>
      <c r="G61" s="293" t="n"/>
      <c r="H61" s="293" t="n"/>
    </row>
    <row r="62" hidden="1" ht="14.25" customHeight="1" s="231">
      <c r="A62" s="296" t="inlineStr">
        <is>
          <t>BENSAR ANAS</t>
        </is>
      </c>
      <c r="B62" s="296">
        <f>+B30+1</f>
        <v/>
      </c>
      <c r="C62" s="297" t="inlineStr">
        <is>
          <t>OFF</t>
        </is>
      </c>
      <c r="D62" s="297" t="inlineStr">
        <is>
          <t>OFF</t>
        </is>
      </c>
      <c r="E62" s="298">
        <f>WEEKNUM(Planning2[[#This Row],[Date]],21)</f>
        <v/>
      </c>
      <c r="F62" s="299">
        <f>VLOOKUP(A62,Annuaire_roster!B:C,2,0)</f>
        <v/>
      </c>
      <c r="G62" s="293" t="n"/>
      <c r="H62" s="293" t="n"/>
    </row>
    <row r="63" hidden="1" ht="14.25" customHeight="1" s="231">
      <c r="A63" s="296" t="inlineStr">
        <is>
          <t>NEMMAOUI MOUNIRA</t>
        </is>
      </c>
      <c r="B63" s="296">
        <f>+B31+1</f>
        <v/>
      </c>
      <c r="C63" s="297" t="n">
        <v>0.4166666666666667</v>
      </c>
      <c r="D63" s="297" t="n">
        <v>0.8333333333333334</v>
      </c>
      <c r="E63" s="298">
        <f>WEEKNUM(Planning2[[#This Row],[Date]],21)</f>
        <v/>
      </c>
      <c r="F63" s="299">
        <f>VLOOKUP(A63,Annuaire_roster!B:C,2,0)</f>
        <v/>
      </c>
      <c r="G63" s="293" t="n"/>
      <c r="H63" s="293" t="n"/>
    </row>
    <row r="64" hidden="1" ht="14.25" customHeight="1" s="231">
      <c r="A64" s="296" t="inlineStr">
        <is>
          <t>QARBOUI Aymane</t>
        </is>
      </c>
      <c r="B64" s="296">
        <f>+B32+1</f>
        <v/>
      </c>
      <c r="C64" s="297" t="n">
        <v>0.4166666666666667</v>
      </c>
      <c r="D64" s="297" t="n">
        <v>0.8333333333333334</v>
      </c>
      <c r="E64" s="298">
        <f>WEEKNUM(Planning2[[#This Row],[Date]],21)</f>
        <v/>
      </c>
      <c r="F64" s="299">
        <f>VLOOKUP(A64,Annuaire_roster!B:C,2,0)</f>
        <v/>
      </c>
      <c r="G64" s="293" t="n"/>
      <c r="H64" s="293" t="n"/>
    </row>
    <row r="65" hidden="1" ht="14.25" customHeight="1" s="231">
      <c r="A65" s="305" t="inlineStr">
        <is>
          <t>SOUOUD ZAKARIA</t>
        </is>
      </c>
      <c r="B65" s="296">
        <f>+B33+1</f>
        <v/>
      </c>
      <c r="C65" s="297" t="n">
        <v>0.2916666666666667</v>
      </c>
      <c r="D65" s="297" t="n">
        <v>0.7083333333333334</v>
      </c>
      <c r="E65" s="298">
        <f>WEEKNUM(Planning2[[#This Row],[Date]],21)</f>
        <v/>
      </c>
      <c r="F65" s="299">
        <f>VLOOKUP(A65,Annuaire_roster!B:C,2,0)</f>
        <v/>
      </c>
      <c r="G65" s="293" t="n"/>
      <c r="H65" s="293" t="n"/>
    </row>
    <row r="66" hidden="1" ht="14.25" customHeight="1" s="231">
      <c r="A66" s="296" t="inlineStr">
        <is>
          <t>EL-AOUAQUI BOUCHRA</t>
        </is>
      </c>
      <c r="B66" s="296">
        <f>+B34+1</f>
        <v/>
      </c>
      <c r="C66" s="297" t="n">
        <v>0.375</v>
      </c>
      <c r="D66" s="297" t="n">
        <v>0.7916666666666666</v>
      </c>
      <c r="E66" s="298">
        <f>WEEKNUM(Planning2[[#This Row],[Date]],21)</f>
        <v/>
      </c>
      <c r="F66" s="299">
        <f>VLOOKUP(A66,Annuaire_roster!B:C,2,0)</f>
        <v/>
      </c>
      <c r="G66" s="293" t="n"/>
      <c r="H66" s="293" t="n"/>
    </row>
    <row r="67" hidden="1" ht="14.25" customHeight="1" s="231">
      <c r="A67" s="296" t="inlineStr">
        <is>
          <t>IHASSANE Ikram</t>
        </is>
      </c>
      <c r="B67" s="296">
        <f>+B35+1</f>
        <v/>
      </c>
      <c r="C67" s="297" t="n">
        <v>0.7916666666666666</v>
      </c>
      <c r="D67" s="297" t="inlineStr">
        <is>
          <t>Missionnée</t>
        </is>
      </c>
      <c r="E67" s="298">
        <f>WEEKNUM(Planning2[[#This Row],[Date]],21)</f>
        <v/>
      </c>
      <c r="F67" s="299">
        <f>VLOOKUP(A67,Annuaire_roster!B:C,2,0)</f>
        <v/>
      </c>
      <c r="G67" s="293" t="n"/>
      <c r="H67" s="293" t="n"/>
    </row>
    <row r="68" hidden="1" ht="14.25" customHeight="1" s="231">
      <c r="A68" s="296" t="inlineStr">
        <is>
          <t>NIANG NDEYE ABSA</t>
        </is>
      </c>
      <c r="B68" s="296">
        <f>+B36+1</f>
        <v/>
      </c>
      <c r="C68" s="297" t="n">
        <v>0.2916666666666667</v>
      </c>
      <c r="D68" s="297" t="n">
        <v>0.7083333333333334</v>
      </c>
      <c r="E68" s="298">
        <f>WEEKNUM(Planning2[[#This Row],[Date]],21)</f>
        <v/>
      </c>
      <c r="F68" s="299">
        <f>VLOOKUP(A68,Annuaire_roster!B:C,2,0)</f>
        <v/>
      </c>
      <c r="G68" s="293" t="n"/>
      <c r="H68" s="293" t="n"/>
    </row>
    <row r="69" hidden="1" ht="14.25" customHeight="1" s="231">
      <c r="A69" s="296" t="inlineStr">
        <is>
          <t>ZAKI OMAR</t>
        </is>
      </c>
      <c r="B69" s="296">
        <f>+B37+1</f>
        <v/>
      </c>
      <c r="C69" s="297" t="n">
        <v>0.2916666666666667</v>
      </c>
      <c r="D69" s="297" t="n">
        <v>0.7083333333333334</v>
      </c>
      <c r="E69" s="298">
        <f>WEEKNUM(Planning2[[#This Row],[Date]],21)</f>
        <v/>
      </c>
      <c r="F69" s="299">
        <f>VLOOKUP(A69,Annuaire_roster!B:C,2,0)</f>
        <v/>
      </c>
      <c r="G69" s="293" t="n"/>
      <c r="H69" s="293" t="n"/>
    </row>
    <row r="70" hidden="1" ht="14.25" customHeight="1" s="231">
      <c r="A70" s="296" t="inlineStr">
        <is>
          <t>EL HOUSSAINI HOUDA</t>
        </is>
      </c>
      <c r="B70" s="296">
        <f>+B38+1</f>
        <v/>
      </c>
      <c r="C70" s="297" t="n">
        <v>0.4166666666666667</v>
      </c>
      <c r="D70" s="297" t="n">
        <v>0.8333333333333334</v>
      </c>
      <c r="E70" s="298">
        <f>WEEKNUM(Planning2[[#This Row],[Date]],21)</f>
        <v/>
      </c>
      <c r="F70" s="299">
        <f>VLOOKUP(A70,Annuaire_roster!B:C,2,0)</f>
        <v/>
      </c>
      <c r="G70" s="293" t="n"/>
      <c r="H70" s="307" t="n"/>
    </row>
    <row r="71" hidden="1" ht="14.25" customHeight="1" s="231">
      <c r="A71" s="296" t="inlineStr">
        <is>
          <t>EL HARROUCHI CHAIMAE</t>
        </is>
      </c>
      <c r="B71" s="296">
        <f>+B39+1</f>
        <v/>
      </c>
      <c r="C71" s="297" t="n">
        <v>0.4166666666666667</v>
      </c>
      <c r="D71" s="297" t="n">
        <v>0.8333333333333334</v>
      </c>
      <c r="E71" s="298">
        <f>WEEKNUM(Planning2[[#This Row],[Date]],21)</f>
        <v/>
      </c>
      <c r="F71" s="299">
        <f>VLOOKUP(A71,Annuaire_roster!B:C,2,0)</f>
        <v/>
      </c>
      <c r="G71" s="293" t="n"/>
      <c r="H71" s="293" t="n"/>
    </row>
    <row r="72" hidden="1" ht="14.25" customHeight="1" s="231">
      <c r="A72" s="296" t="inlineStr">
        <is>
          <t>LAFDIL NADA</t>
        </is>
      </c>
      <c r="B72" s="296">
        <f>+B40+1</f>
        <v/>
      </c>
      <c r="C72" s="297" t="n">
        <v>0.4166666666666667</v>
      </c>
      <c r="D72" s="297" t="n">
        <v>0.8333333333333334</v>
      </c>
      <c r="E72" s="298">
        <f>WEEKNUM(Planning2[[#This Row],[Date]],21)</f>
        <v/>
      </c>
      <c r="F72" s="299">
        <f>VLOOKUP(A72,Annuaire_roster!B:C,2,0)</f>
        <v/>
      </c>
      <c r="G72" s="293" t="n"/>
      <c r="H72" s="293" t="n"/>
    </row>
    <row r="73" hidden="1" ht="14.25" customHeight="1" s="231">
      <c r="A73" s="296" t="inlineStr">
        <is>
          <t>GUEYE MOUHAMED</t>
        </is>
      </c>
      <c r="B73" s="296">
        <f>+B41+1</f>
        <v/>
      </c>
      <c r="C73" s="297" t="n">
        <v>0.2916666666666667</v>
      </c>
      <c r="D73" s="297" t="n">
        <v>0.7083333333333334</v>
      </c>
      <c r="E73" s="298">
        <f>WEEKNUM(Planning2[[#This Row],[Date]],21)</f>
        <v/>
      </c>
      <c r="F73" s="299">
        <f>VLOOKUP(A73,Annuaire_roster!B:C,2,0)</f>
        <v/>
      </c>
      <c r="G73" s="293" t="n"/>
      <c r="H73" s="293" t="n"/>
    </row>
    <row r="74" hidden="1" ht="14.25" customHeight="1" s="231">
      <c r="A74" s="296" t="inlineStr">
        <is>
          <t>RACHAD NAWAR</t>
        </is>
      </c>
      <c r="B74" s="296">
        <f>+B42+1</f>
        <v/>
      </c>
      <c r="C74" s="297" t="n">
        <v>0.4166666666666667</v>
      </c>
      <c r="D74" s="297" t="n">
        <v>0.8333333333333334</v>
      </c>
      <c r="E74" s="298">
        <f>WEEKNUM(Planning2[[#This Row],[Date]],21)</f>
        <v/>
      </c>
      <c r="F74" s="299">
        <f>VLOOKUP(A74,Annuaire_roster!B:C,2,0)</f>
        <v/>
      </c>
      <c r="G74" s="293" t="n"/>
      <c r="H74" s="293" t="n"/>
    </row>
    <row r="75" hidden="1" ht="14.25" customHeight="1" s="231">
      <c r="A75" s="296" t="inlineStr">
        <is>
          <t>ZITOUNI LAMYA</t>
        </is>
      </c>
      <c r="B75" s="296">
        <f>+B43+1</f>
        <v/>
      </c>
      <c r="C75" s="297" t="n">
        <v>0.375</v>
      </c>
      <c r="D75" s="297" t="n">
        <v>0.7916666666666666</v>
      </c>
      <c r="E75" s="298">
        <f>WEEKNUM(Planning2[[#This Row],[Date]],21)</f>
        <v/>
      </c>
      <c r="F75" s="299">
        <f>VLOOKUP(A75,Annuaire_roster!B:C,2,0)</f>
        <v/>
      </c>
      <c r="G75" s="293" t="n"/>
      <c r="H75" s="293" t="n"/>
    </row>
    <row r="76" hidden="1" ht="14.25" customHeight="1" s="231">
      <c r="A76" s="296" t="inlineStr">
        <is>
          <t>GUEYE GORA</t>
        </is>
      </c>
      <c r="B76" s="296">
        <f>+B44+1</f>
        <v/>
      </c>
      <c r="C76" s="297" t="inlineStr">
        <is>
          <t>OFF</t>
        </is>
      </c>
      <c r="D76" s="297" t="inlineStr">
        <is>
          <t>OFF</t>
        </is>
      </c>
      <c r="E76" s="298">
        <f>WEEKNUM(Planning2[[#This Row],[Date]],21)</f>
        <v/>
      </c>
      <c r="F76" s="299">
        <f>VLOOKUP(A76,Annuaire_roster!B:C,2,0)</f>
        <v/>
      </c>
      <c r="G76" s="293" t="n"/>
      <c r="H76" s="293" t="n"/>
    </row>
    <row r="77" hidden="1" ht="14.25" customHeight="1" s="231">
      <c r="A77" s="296" t="inlineStr">
        <is>
          <t>DIOUF OUSSMANE</t>
        </is>
      </c>
      <c r="B77" s="296">
        <f>+B45+1</f>
        <v/>
      </c>
      <c r="C77" s="297" t="n">
        <v>0.2916666666666667</v>
      </c>
      <c r="D77" s="297" t="n">
        <v>0.7083333333333334</v>
      </c>
      <c r="E77" s="298">
        <f>WEEKNUM(Planning2[[#This Row],[Date]],21)</f>
        <v/>
      </c>
      <c r="F77" s="299">
        <f>VLOOKUP(A77,Annuaire_roster!B:C,2,0)</f>
        <v/>
      </c>
      <c r="G77" s="293" t="n"/>
      <c r="H77" s="293" t="n"/>
    </row>
    <row r="78" hidden="1" ht="14.25" customHeight="1" s="231">
      <c r="A78" s="296" t="inlineStr">
        <is>
          <t xml:space="preserve">DERKAOUI AMAL </t>
        </is>
      </c>
      <c r="B78" s="296">
        <f>+B46+1</f>
        <v/>
      </c>
      <c r="C78" s="297" t="n">
        <v>0.4166666666666667</v>
      </c>
      <c r="D78" s="297" t="n">
        <v>0.8333333333333334</v>
      </c>
      <c r="E78" s="298">
        <f>WEEKNUM(Planning2[[#This Row],[Date]],21)</f>
        <v/>
      </c>
      <c r="F78" s="299">
        <f>VLOOKUP(A78,Annuaire_roster!B:C,2,0)</f>
        <v/>
      </c>
      <c r="G78" s="293" t="n"/>
      <c r="H78" s="293" t="n"/>
    </row>
    <row r="79" hidden="1" ht="14.25" customHeight="1" s="231">
      <c r="A79" s="296" t="inlineStr">
        <is>
          <t>AIT LARBI HIND</t>
        </is>
      </c>
      <c r="B79" s="296">
        <f>+B47+1</f>
        <v/>
      </c>
      <c r="C79" s="297" t="n">
        <v>0.2916666666666667</v>
      </c>
      <c r="D79" s="297" t="n">
        <v>0.6666666666666666</v>
      </c>
      <c r="E79" s="298">
        <f>WEEKNUM(Planning2[[#This Row],[Date]],21)</f>
        <v/>
      </c>
      <c r="F79" s="299">
        <f>VLOOKUP(A79,Annuaire_roster!B:C,2,0)</f>
        <v/>
      </c>
      <c r="G79" s="293" t="n"/>
      <c r="H79" s="293" t="n"/>
    </row>
    <row r="80" hidden="1" ht="14.25" customHeight="1" s="231">
      <c r="A80" s="296" t="inlineStr">
        <is>
          <t>TOURE ABIBOU</t>
        </is>
      </c>
      <c r="B80" s="296">
        <f>+B48+1</f>
        <v/>
      </c>
      <c r="C80" s="297" t="n">
        <v>0.375</v>
      </c>
      <c r="D80" s="297" t="n">
        <v>0.7916666666666666</v>
      </c>
      <c r="E80" s="298">
        <f>WEEKNUM(Planning2[[#This Row],[Date]],21)</f>
        <v/>
      </c>
      <c r="F80" s="299">
        <f>VLOOKUP(A80,Annuaire_roster!B:C,2,0)</f>
        <v/>
      </c>
      <c r="G80" s="293" t="n"/>
      <c r="H80" s="293" t="n"/>
    </row>
    <row r="81" hidden="1" ht="14.25" customHeight="1" s="231">
      <c r="A81" s="296" t="inlineStr">
        <is>
          <t>KANTAOUI SALMA</t>
        </is>
      </c>
      <c r="B81" s="296">
        <f>+B49+1</f>
        <v/>
      </c>
      <c r="C81" s="297" t="n">
        <v>0.375</v>
      </c>
      <c r="D81" s="297" t="n">
        <v>0.7916666666666666</v>
      </c>
      <c r="E81" s="298">
        <f>WEEKNUM(Planning2[[#This Row],[Date]],21)</f>
        <v/>
      </c>
      <c r="F81" s="299">
        <f>VLOOKUP(A81,Annuaire_roster!B:C,2,0)</f>
        <v/>
      </c>
      <c r="G81" s="293" t="n"/>
      <c r="H81" s="293" t="n"/>
    </row>
    <row r="82" hidden="1" ht="14.25" customHeight="1" s="231">
      <c r="A82" s="296" t="inlineStr">
        <is>
          <t>ZIOUI DOUNIA</t>
        </is>
      </c>
      <c r="B82" s="296">
        <f>+B50+1</f>
        <v/>
      </c>
      <c r="C82" s="297" t="n">
        <v>0.4166666666666667</v>
      </c>
      <c r="D82" s="297" t="n">
        <v>0.8333333333333334</v>
      </c>
      <c r="E82" s="298">
        <f>WEEKNUM(Planning2[[#This Row],[Date]],21)</f>
        <v/>
      </c>
      <c r="F82" s="299">
        <f>VLOOKUP(A82,Annuaire_roster!B:C,2,0)</f>
        <v/>
      </c>
      <c r="G82" s="293" t="n"/>
      <c r="H82" s="293" t="n"/>
    </row>
    <row r="83" hidden="1" ht="14.25" customHeight="1" s="231">
      <c r="A83" s="296" t="inlineStr">
        <is>
          <t>AIT ADDI KHADIJA</t>
        </is>
      </c>
      <c r="B83" s="296">
        <f>+B51+1</f>
        <v/>
      </c>
      <c r="C83" s="297" t="inlineStr">
        <is>
          <t>OFF</t>
        </is>
      </c>
      <c r="D83" s="297" t="inlineStr">
        <is>
          <t>OFF</t>
        </is>
      </c>
      <c r="E83" s="298">
        <f>WEEKNUM(Planning2[[#This Row],[Date]],21)</f>
        <v/>
      </c>
      <c r="F83" s="299">
        <f>VLOOKUP(A83,Annuaire_roster!B:C,2,0)</f>
        <v/>
      </c>
      <c r="G83" s="293" t="n"/>
      <c r="H83" s="293" t="n"/>
    </row>
    <row r="84" hidden="1" ht="14.25" customHeight="1" s="231">
      <c r="A84" s="296" t="inlineStr">
        <is>
          <t>MELLAHI YOUSSEF</t>
        </is>
      </c>
      <c r="B84" s="296">
        <f>+B52+1</f>
        <v/>
      </c>
      <c r="C84" s="297" t="n">
        <v>0.2916666666666667</v>
      </c>
      <c r="D84" s="297" t="n">
        <v>0.7083333333333334</v>
      </c>
      <c r="E84" s="298">
        <f>WEEKNUM(Planning2[[#This Row],[Date]],21)</f>
        <v/>
      </c>
      <c r="F84" s="299">
        <f>VLOOKUP(A84,Annuaire_roster!B:C,2,0)</f>
        <v/>
      </c>
      <c r="G84" s="293" t="n"/>
      <c r="H84" s="306" t="n"/>
    </row>
    <row r="85" hidden="1" ht="14.25" customHeight="1" s="231">
      <c r="A85" s="296" t="inlineStr">
        <is>
          <t xml:space="preserve">EL HOUJJAJI Soufiane </t>
        </is>
      </c>
      <c r="B85" s="296">
        <f>+B53+1</f>
        <v/>
      </c>
      <c r="C85" s="297" t="inlineStr">
        <is>
          <t>Congé</t>
        </is>
      </c>
      <c r="D85" s="297" t="inlineStr">
        <is>
          <t>Congé</t>
        </is>
      </c>
      <c r="E85" s="298">
        <f>WEEKNUM(Planning2[[#This Row],[Date]],21)</f>
        <v/>
      </c>
      <c r="F85" s="299">
        <f>VLOOKUP(A85,Annuaire_roster!B:C,2,0)</f>
        <v/>
      </c>
      <c r="G85" s="293" t="n"/>
      <c r="H85" s="306" t="n"/>
    </row>
    <row r="86" hidden="1" ht="14.25" customHeight="1" s="231">
      <c r="A86" s="296" t="inlineStr">
        <is>
          <t>AZHARI ABDELHAMID</t>
        </is>
      </c>
      <c r="B86" s="296">
        <f>+B54+1</f>
        <v/>
      </c>
      <c r="C86" s="297" t="n">
        <v>0.2916666666666667</v>
      </c>
      <c r="D86" s="297" t="n">
        <v>0.7083333333333334</v>
      </c>
      <c r="E86" s="298">
        <f>WEEKNUM(Planning2[[#This Row],[Date]],21)</f>
        <v/>
      </c>
      <c r="F86" s="299">
        <f>VLOOKUP(A86,Annuaire_roster!B:C,2,0)</f>
        <v/>
      </c>
      <c r="G86" s="293" t="n"/>
      <c r="H86" s="306" t="n"/>
    </row>
    <row r="87" hidden="1" ht="14.25" customHeight="1" s="231">
      <c r="A87" s="296" t="inlineStr">
        <is>
          <t>NUNEZ LUCIEN BERNARD</t>
        </is>
      </c>
      <c r="B87" s="296">
        <f>+B55+1</f>
        <v/>
      </c>
      <c r="C87" s="297" t="inlineStr">
        <is>
          <t>OFF</t>
        </is>
      </c>
      <c r="D87" s="297" t="inlineStr">
        <is>
          <t>OFF</t>
        </is>
      </c>
      <c r="E87" s="298">
        <f>WEEKNUM(Planning2[[#This Row],[Date]],21)</f>
        <v/>
      </c>
      <c r="F87" s="299">
        <f>VLOOKUP(A87,Annuaire_roster!B:C,2,0)</f>
        <v/>
      </c>
      <c r="G87" s="293" t="n"/>
      <c r="H87" s="306" t="n"/>
    </row>
    <row r="88" hidden="1" ht="14.25" customHeight="1" s="231">
      <c r="A88" s="296" t="inlineStr">
        <is>
          <t xml:space="preserve">LALOUN MANAL </t>
        </is>
      </c>
      <c r="B88" s="296">
        <f>+B56+1</f>
        <v/>
      </c>
      <c r="C88" s="297" t="inlineStr">
        <is>
          <t>Congé</t>
        </is>
      </c>
      <c r="D88" s="297" t="inlineStr">
        <is>
          <t>Congé</t>
        </is>
      </c>
      <c r="E88" s="298">
        <f>WEEKNUM(Planning2[[#This Row],[Date]],21)</f>
        <v/>
      </c>
      <c r="F88" s="299">
        <f>VLOOKUP(A88,Annuaire_roster!B:C,2,0)</f>
        <v/>
      </c>
      <c r="G88" s="293" t="n"/>
      <c r="H88" s="293" t="n"/>
    </row>
    <row r="89" hidden="1" ht="14.25" customHeight="1" s="231">
      <c r="A89" s="296" t="inlineStr">
        <is>
          <t>SIDIBE MOUSKEBA DALAFINA</t>
        </is>
      </c>
      <c r="B89" s="296">
        <f>+B57+1</f>
        <v/>
      </c>
      <c r="C89" s="297" t="n">
        <v>0.2916666666666667</v>
      </c>
      <c r="D89" s="297" t="n">
        <v>0.7083333333333334</v>
      </c>
      <c r="E89" s="298">
        <f>WEEKNUM(Planning2[[#This Row],[Date]],21)</f>
        <v/>
      </c>
      <c r="F89" s="299">
        <f>VLOOKUP(A89,Annuaire_roster!B:C,2,0)</f>
        <v/>
      </c>
      <c r="G89" s="293" t="n"/>
      <c r="H89" s="293" t="n"/>
    </row>
    <row r="90" hidden="1" ht="14.25" customHeight="1" s="231">
      <c r="A90" s="296" t="inlineStr">
        <is>
          <t>BOULHROUD SALMA</t>
        </is>
      </c>
      <c r="B90" s="296">
        <f>+B58+1</f>
        <v/>
      </c>
      <c r="C90" s="297" t="n">
        <v>0.2916666666666667</v>
      </c>
      <c r="D90" s="297" t="n">
        <v>0.6666666666666666</v>
      </c>
      <c r="E90" s="298">
        <f>WEEKNUM(Planning2[[#This Row],[Date]],21)</f>
        <v/>
      </c>
      <c r="F90" s="299">
        <f>VLOOKUP(A90,Annuaire_roster!B:C,2,0)</f>
        <v/>
      </c>
      <c r="G90" s="293" t="n"/>
      <c r="H90" s="293" t="n"/>
    </row>
    <row r="91" hidden="1" ht="14.25" customHeight="1" s="231">
      <c r="A91" s="296" t="inlineStr">
        <is>
          <t>BOURABAA HASSAN</t>
        </is>
      </c>
      <c r="B91" s="296">
        <f>+B59+1</f>
        <v/>
      </c>
      <c r="C91" s="297" t="n">
        <v>0.375</v>
      </c>
      <c r="D91" s="297" t="n">
        <v>0.7916666666666666</v>
      </c>
      <c r="E91" s="298">
        <f>WEEKNUM(Planning2[[#This Row],[Date]],21)</f>
        <v/>
      </c>
      <c r="F91" s="299">
        <f>VLOOKUP(A91,Annuaire_roster!B:C,2,0)</f>
        <v/>
      </c>
      <c r="G91" s="293" t="n"/>
      <c r="H91" s="293" t="n"/>
    </row>
    <row r="92" hidden="1" ht="14.25" customHeight="1" s="231">
      <c r="A92" s="296" t="inlineStr">
        <is>
          <t>SECK DIARRA</t>
        </is>
      </c>
      <c r="B92" s="296">
        <f>+B60+1</f>
        <v/>
      </c>
      <c r="C92" s="297" t="n">
        <v>0.2916666666666667</v>
      </c>
      <c r="D92" s="297" t="n">
        <v>0.7083333333333334</v>
      </c>
      <c r="E92" s="298">
        <f>WEEKNUM(Planning2[[#This Row],[Date]],21)</f>
        <v/>
      </c>
      <c r="F92" s="299">
        <f>VLOOKUP(A92,Annuaire_roster!B:C,2,0)</f>
        <v/>
      </c>
      <c r="G92" s="293" t="n"/>
      <c r="H92" s="293" t="n"/>
    </row>
    <row r="93" hidden="1" ht="14.25" customHeight="1" s="231">
      <c r="A93" s="296" t="inlineStr">
        <is>
          <t>AINELKITANE ZINEB</t>
        </is>
      </c>
      <c r="B93" s="296">
        <f>+B61+1</f>
        <v/>
      </c>
      <c r="C93" s="297" t="n">
        <v>0.4166666666666667</v>
      </c>
      <c r="D93" s="297" t="n">
        <v>0.8333333333333334</v>
      </c>
      <c r="E93" s="298">
        <f>WEEKNUM(Planning2[[#This Row],[Date]],21)</f>
        <v/>
      </c>
      <c r="F93" s="299">
        <f>VLOOKUP(A93,Annuaire_roster!B:C,2,0)</f>
        <v/>
      </c>
      <c r="G93" s="293" t="n"/>
      <c r="H93" s="293" t="n"/>
    </row>
    <row r="94" hidden="1" ht="14.25" customHeight="1" s="231">
      <c r="A94" s="296" t="inlineStr">
        <is>
          <t>BENSAR ANAS</t>
        </is>
      </c>
      <c r="B94" s="296">
        <f>+B62+1</f>
        <v/>
      </c>
      <c r="C94" s="297" t="n">
        <v>0.2916666666666667</v>
      </c>
      <c r="D94" s="297" t="n">
        <v>0.7083333333333334</v>
      </c>
      <c r="E94" s="298">
        <f>WEEKNUM(Planning2[[#This Row],[Date]],21)</f>
        <v/>
      </c>
      <c r="F94" s="299">
        <f>VLOOKUP(A94,Annuaire_roster!B:C,2,0)</f>
        <v/>
      </c>
      <c r="G94" s="293" t="n"/>
      <c r="H94" s="293" t="n"/>
    </row>
    <row r="95" hidden="1" ht="14.25" customHeight="1" s="231">
      <c r="A95" s="296" t="inlineStr">
        <is>
          <t>NEMMAOUI MOUNIRA</t>
        </is>
      </c>
      <c r="B95" s="296">
        <f>+B63+1</f>
        <v/>
      </c>
      <c r="C95" s="297" t="inlineStr">
        <is>
          <t>OFF</t>
        </is>
      </c>
      <c r="D95" s="297" t="inlineStr">
        <is>
          <t>OFF</t>
        </is>
      </c>
      <c r="E95" s="298">
        <f>WEEKNUM(Planning2[[#This Row],[Date]],21)</f>
        <v/>
      </c>
      <c r="F95" s="299">
        <f>VLOOKUP(A95,Annuaire_roster!B:C,2,0)</f>
        <v/>
      </c>
      <c r="G95" s="293" t="n"/>
      <c r="H95" s="293" t="n"/>
    </row>
    <row r="96" hidden="1" ht="14.25" customHeight="1" s="231">
      <c r="A96" s="296" t="inlineStr">
        <is>
          <t>QARBOUI Aymane</t>
        </is>
      </c>
      <c r="B96" s="296">
        <f>+B64+1</f>
        <v/>
      </c>
      <c r="C96" s="297" t="n">
        <v>0.4166666666666667</v>
      </c>
      <c r="D96" s="297" t="n">
        <v>0.8333333333333334</v>
      </c>
      <c r="E96" s="298">
        <f>WEEKNUM(Planning2[[#This Row],[Date]],21)</f>
        <v/>
      </c>
      <c r="F96" s="299">
        <f>VLOOKUP(A96,Annuaire_roster!B:C,2,0)</f>
        <v/>
      </c>
      <c r="G96" s="293" t="n"/>
      <c r="H96" s="293" t="n"/>
    </row>
    <row r="97" hidden="1" ht="14.25" customHeight="1" s="231">
      <c r="A97" s="305" t="inlineStr">
        <is>
          <t>SOUOUD ZAKARIA</t>
        </is>
      </c>
      <c r="B97" s="296">
        <f>+B65+1</f>
        <v/>
      </c>
      <c r="C97" s="297" t="inlineStr">
        <is>
          <t>OFF</t>
        </is>
      </c>
      <c r="D97" s="297" t="inlineStr">
        <is>
          <t>OFF</t>
        </is>
      </c>
      <c r="E97" s="298">
        <f>WEEKNUM(Planning2[[#This Row],[Date]],21)</f>
        <v/>
      </c>
      <c r="F97" s="299">
        <f>VLOOKUP(A97,Annuaire_roster!B:C,2,0)</f>
        <v/>
      </c>
      <c r="G97" s="293" t="n"/>
      <c r="H97" s="293" t="n"/>
    </row>
    <row r="98" hidden="1" ht="14.25" customHeight="1" s="231">
      <c r="A98" s="296" t="inlineStr">
        <is>
          <t>EL-AOUAQUI BOUCHRA</t>
        </is>
      </c>
      <c r="B98" s="296">
        <f>+B66+1</f>
        <v/>
      </c>
      <c r="C98" s="297" t="n">
        <v>0.375</v>
      </c>
      <c r="D98" s="297" t="n">
        <v>0.7916666666666666</v>
      </c>
      <c r="E98" s="298">
        <f>WEEKNUM(Planning2[[#This Row],[Date]],21)</f>
        <v/>
      </c>
      <c r="F98" s="299">
        <f>VLOOKUP(A98,Annuaire_roster!B:C,2,0)</f>
        <v/>
      </c>
      <c r="G98" s="293" t="n"/>
      <c r="H98" s="293" t="n"/>
    </row>
    <row r="99" hidden="1" ht="14.25" customHeight="1" s="231">
      <c r="A99" s="296" t="inlineStr">
        <is>
          <t>IHASSANE Ikram</t>
        </is>
      </c>
      <c r="B99" s="296">
        <f>+B67+1</f>
        <v/>
      </c>
      <c r="C99" s="297" t="inlineStr">
        <is>
          <t>Missionnée</t>
        </is>
      </c>
      <c r="D99" s="297" t="inlineStr">
        <is>
          <t>Missionnée</t>
        </is>
      </c>
      <c r="E99" s="298">
        <f>WEEKNUM(Planning2[[#This Row],[Date]],21)</f>
        <v/>
      </c>
      <c r="F99" s="299">
        <f>VLOOKUP(A99,Annuaire_roster!B:C,2,0)</f>
        <v/>
      </c>
      <c r="G99" s="293" t="n"/>
      <c r="H99" s="293" t="n"/>
    </row>
    <row r="100" hidden="1" ht="15" customHeight="1" s="231">
      <c r="A100" s="296" t="inlineStr">
        <is>
          <t>NIANG NDEYE ABSA</t>
        </is>
      </c>
      <c r="B100" s="296">
        <f>+B68+1</f>
        <v/>
      </c>
      <c r="C100" s="297" t="inlineStr">
        <is>
          <t>OFF</t>
        </is>
      </c>
      <c r="D100" s="297" t="inlineStr">
        <is>
          <t>OFF</t>
        </is>
      </c>
      <c r="E100" s="298">
        <f>WEEKNUM(Planning2[[#This Row],[Date]],21)</f>
        <v/>
      </c>
      <c r="F100" s="299">
        <f>VLOOKUP(A100,Annuaire_roster!B:C,2,0)</f>
        <v/>
      </c>
      <c r="G100" s="293" t="n"/>
      <c r="H100" s="293" t="n"/>
    </row>
    <row r="101" hidden="1" ht="15" customHeight="1" s="231">
      <c r="A101" s="296" t="inlineStr">
        <is>
          <t>ZAKI OMAR</t>
        </is>
      </c>
      <c r="B101" s="296">
        <f>+B69+1</f>
        <v/>
      </c>
      <c r="C101" s="297" t="n">
        <v>0.2916666666666667</v>
      </c>
      <c r="D101" s="297" t="n">
        <v>0.7083333333333334</v>
      </c>
      <c r="E101" s="298">
        <f>WEEKNUM(Planning2[[#This Row],[Date]],21)</f>
        <v/>
      </c>
      <c r="F101" s="299">
        <f>VLOOKUP(A101,Annuaire_roster!B:C,2,0)</f>
        <v/>
      </c>
      <c r="G101" s="293" t="n"/>
      <c r="H101" s="293" t="n"/>
    </row>
    <row r="102" hidden="1" ht="15" customHeight="1" s="231">
      <c r="A102" s="296" t="inlineStr">
        <is>
          <t>EL HOUSSAINI HOUDA</t>
        </is>
      </c>
      <c r="B102" s="296">
        <f>+B70+1</f>
        <v/>
      </c>
      <c r="C102" s="297" t="n">
        <v>0.4166666666666667</v>
      </c>
      <c r="D102" s="297" t="n">
        <v>0.8333333333333334</v>
      </c>
      <c r="E102" s="298">
        <f>WEEKNUM(Planning2[[#This Row],[Date]],21)</f>
        <v/>
      </c>
      <c r="F102" s="299">
        <f>VLOOKUP(A102,Annuaire_roster!B:C,2,0)</f>
        <v/>
      </c>
      <c r="G102" s="293" t="n"/>
      <c r="H102" s="293" t="n"/>
    </row>
    <row r="103" hidden="1" ht="15" customHeight="1" s="231">
      <c r="A103" s="296" t="inlineStr">
        <is>
          <t>EL HARROUCHI CHAIMAE</t>
        </is>
      </c>
      <c r="B103" s="296">
        <f>+B71+1</f>
        <v/>
      </c>
      <c r="C103" s="297" t="n">
        <v>0.4166666666666667</v>
      </c>
      <c r="D103" s="297" t="n">
        <v>0.8333333333333334</v>
      </c>
      <c r="E103" s="298">
        <f>WEEKNUM(Planning2[[#This Row],[Date]],21)</f>
        <v/>
      </c>
      <c r="F103" s="299">
        <f>VLOOKUP(A103,Annuaire_roster!B:C,2,0)</f>
        <v/>
      </c>
      <c r="G103" s="293" t="n"/>
      <c r="H103" s="293" t="n"/>
    </row>
    <row r="104" hidden="1" ht="15" customHeight="1" s="231">
      <c r="A104" s="296" t="inlineStr">
        <is>
          <t>LAFDIL NADA</t>
        </is>
      </c>
      <c r="B104" s="296">
        <f>+B72+1</f>
        <v/>
      </c>
      <c r="C104" s="297" t="n">
        <v>0.4166666666666667</v>
      </c>
      <c r="D104" s="297" t="n">
        <v>0.8333333333333334</v>
      </c>
      <c r="E104" s="298">
        <f>WEEKNUM(Planning2[[#This Row],[Date]],21)</f>
        <v/>
      </c>
      <c r="F104" s="299">
        <f>VLOOKUP(A104,Annuaire_roster!B:C,2,0)</f>
        <v/>
      </c>
      <c r="G104" s="293" t="n"/>
      <c r="H104" s="293" t="n"/>
    </row>
    <row r="105" hidden="1" ht="15" customHeight="1" s="231">
      <c r="A105" s="296" t="inlineStr">
        <is>
          <t>GUEYE MOUHAMED</t>
        </is>
      </c>
      <c r="B105" s="296">
        <f>+B73+1</f>
        <v/>
      </c>
      <c r="C105" s="297" t="n">
        <v>0.2916666666666667</v>
      </c>
      <c r="D105" s="297" t="n">
        <v>0.7083333333333334</v>
      </c>
      <c r="E105" s="298">
        <f>WEEKNUM(Planning2[[#This Row],[Date]],21)</f>
        <v/>
      </c>
      <c r="F105" s="299">
        <f>VLOOKUP(A105,Annuaire_roster!B:C,2,0)</f>
        <v/>
      </c>
      <c r="G105" s="293" t="n"/>
      <c r="H105" s="293" t="n"/>
    </row>
    <row r="106" hidden="1" ht="15" customHeight="1" s="231">
      <c r="A106" s="296" t="inlineStr">
        <is>
          <t>RACHAD NAWAR</t>
        </is>
      </c>
      <c r="B106" s="296">
        <f>+B74+1</f>
        <v/>
      </c>
      <c r="C106" s="297" t="inlineStr">
        <is>
          <t>OFF</t>
        </is>
      </c>
      <c r="D106" s="297" t="inlineStr">
        <is>
          <t>OFF</t>
        </is>
      </c>
      <c r="E106" s="298">
        <f>WEEKNUM(Planning2[[#This Row],[Date]],21)</f>
        <v/>
      </c>
      <c r="F106" s="299">
        <f>VLOOKUP(A106,Annuaire_roster!B:C,2,0)</f>
        <v/>
      </c>
      <c r="G106" s="293" t="n"/>
      <c r="H106" s="293" t="n"/>
    </row>
    <row r="107" hidden="1" ht="15" customHeight="1" s="231">
      <c r="A107" s="296" t="inlineStr">
        <is>
          <t>ZITOUNI LAMYA</t>
        </is>
      </c>
      <c r="B107" s="296">
        <f>+B75+1</f>
        <v/>
      </c>
      <c r="C107" s="297" t="n">
        <v>0.375</v>
      </c>
      <c r="D107" s="297" t="n">
        <v>0.7916666666666666</v>
      </c>
      <c r="E107" s="298">
        <f>WEEKNUM(Planning2[[#This Row],[Date]],21)</f>
        <v/>
      </c>
      <c r="F107" s="299">
        <f>VLOOKUP(A107,Annuaire_roster!B:C,2,0)</f>
        <v/>
      </c>
      <c r="G107" s="293" t="n"/>
      <c r="H107" s="293" t="n"/>
    </row>
    <row r="108" hidden="1" ht="15" customHeight="1" s="231">
      <c r="A108" s="296" t="inlineStr">
        <is>
          <t>GUEYE GORA</t>
        </is>
      </c>
      <c r="B108" s="296">
        <f>+B76+1</f>
        <v/>
      </c>
      <c r="C108" s="297" t="n">
        <v>0.2916666666666667</v>
      </c>
      <c r="D108" s="297" t="n">
        <v>0.7083333333333334</v>
      </c>
      <c r="E108" s="298">
        <f>WEEKNUM(Planning2[[#This Row],[Date]],21)</f>
        <v/>
      </c>
      <c r="F108" s="299">
        <f>VLOOKUP(A108,Annuaire_roster!B:C,2,0)</f>
        <v/>
      </c>
      <c r="G108" s="293" t="n"/>
      <c r="H108" s="293" t="n"/>
    </row>
    <row r="109" hidden="1" ht="15" customHeight="1" s="231">
      <c r="A109" s="296" t="inlineStr">
        <is>
          <t>DIOUF OUSSMANE</t>
        </is>
      </c>
      <c r="B109" s="296">
        <f>+B77+1</f>
        <v/>
      </c>
      <c r="C109" s="297" t="n">
        <v>0.2916666666666667</v>
      </c>
      <c r="D109" s="297" t="n">
        <v>0.7083333333333334</v>
      </c>
      <c r="E109" s="298">
        <f>WEEKNUM(Planning2[[#This Row],[Date]],21)</f>
        <v/>
      </c>
      <c r="F109" s="299">
        <f>VLOOKUP(A109,Annuaire_roster!B:C,2,0)</f>
        <v/>
      </c>
      <c r="G109" s="293" t="n"/>
      <c r="H109" s="293" t="n"/>
    </row>
    <row r="110" hidden="1" ht="15" customHeight="1" s="231">
      <c r="A110" s="296" t="inlineStr">
        <is>
          <t xml:space="preserve">DERKAOUI AMAL </t>
        </is>
      </c>
      <c r="B110" s="296">
        <f>+B78+1</f>
        <v/>
      </c>
      <c r="C110" s="297" t="n">
        <v>0.4166666666666667</v>
      </c>
      <c r="D110" s="297" t="n">
        <v>0.8333333333333334</v>
      </c>
      <c r="E110" s="298">
        <f>WEEKNUM(Planning2[[#This Row],[Date]],21)</f>
        <v/>
      </c>
      <c r="F110" s="299">
        <f>VLOOKUP(A110,Annuaire_roster!B:C,2,0)</f>
        <v/>
      </c>
      <c r="G110" s="293" t="n"/>
      <c r="H110" s="293" t="n"/>
    </row>
    <row r="111" hidden="1" ht="15" customHeight="1" s="231">
      <c r="A111" s="296" t="inlineStr">
        <is>
          <t>AIT LARBI HIND</t>
        </is>
      </c>
      <c r="B111" s="296">
        <f>+B79+1</f>
        <v/>
      </c>
      <c r="C111" s="297" t="inlineStr">
        <is>
          <t>OFF</t>
        </is>
      </c>
      <c r="D111" s="297" t="inlineStr">
        <is>
          <t>OFF</t>
        </is>
      </c>
      <c r="E111" s="298">
        <f>WEEKNUM(Planning2[[#This Row],[Date]],21)</f>
        <v/>
      </c>
      <c r="F111" s="299">
        <f>VLOOKUP(A111,Annuaire_roster!B:C,2,0)</f>
        <v/>
      </c>
      <c r="G111" s="293" t="n"/>
      <c r="H111" s="293" t="n"/>
    </row>
    <row r="112" hidden="1" ht="15" customHeight="1" s="231">
      <c r="A112" s="296" t="inlineStr">
        <is>
          <t>TOURE ABIBOU</t>
        </is>
      </c>
      <c r="B112" s="296">
        <f>+B80+1</f>
        <v/>
      </c>
      <c r="C112" s="297" t="n">
        <v>0.375</v>
      </c>
      <c r="D112" s="297" t="n">
        <v>0.7916666666666666</v>
      </c>
      <c r="E112" s="298">
        <f>WEEKNUM(Planning2[[#This Row],[Date]],21)</f>
        <v/>
      </c>
      <c r="F112" s="299">
        <f>VLOOKUP(A112,Annuaire_roster!B:C,2,0)</f>
        <v/>
      </c>
      <c r="G112" s="293" t="n"/>
      <c r="H112" s="293" t="n"/>
    </row>
    <row r="113" hidden="1" ht="15" customHeight="1" s="231">
      <c r="A113" s="296" t="inlineStr">
        <is>
          <t>KANTAOUI SALMA</t>
        </is>
      </c>
      <c r="B113" s="296">
        <f>+B81+1</f>
        <v/>
      </c>
      <c r="C113" s="297" t="n">
        <v>0.375</v>
      </c>
      <c r="D113" s="297" t="n">
        <v>0.7916666666666666</v>
      </c>
      <c r="E113" s="298">
        <f>WEEKNUM(Planning2[[#This Row],[Date]],21)</f>
        <v/>
      </c>
      <c r="F113" s="299">
        <f>VLOOKUP(A113,Annuaire_roster!B:C,2,0)</f>
        <v/>
      </c>
      <c r="G113" s="293" t="n"/>
      <c r="H113" s="293" t="n"/>
    </row>
    <row r="114" hidden="1" ht="15" customHeight="1" s="231">
      <c r="A114" s="296" t="inlineStr">
        <is>
          <t>ZIOUI DOUNIA</t>
        </is>
      </c>
      <c r="B114" s="296">
        <f>+B82+1</f>
        <v/>
      </c>
      <c r="C114" s="297" t="n">
        <v>0.4166666666666667</v>
      </c>
      <c r="D114" s="297" t="n">
        <v>0.8333333333333334</v>
      </c>
      <c r="E114" s="298">
        <f>WEEKNUM(Planning2[[#This Row],[Date]],21)</f>
        <v/>
      </c>
      <c r="F114" s="299">
        <f>VLOOKUP(A114,Annuaire_roster!B:C,2,0)</f>
        <v/>
      </c>
      <c r="G114" s="293" t="n"/>
      <c r="H114" s="293" t="n"/>
    </row>
    <row r="115" hidden="1" ht="15" customHeight="1" s="231">
      <c r="A115" s="296" t="inlineStr">
        <is>
          <t>AIT ADDI KHADIJA</t>
        </is>
      </c>
      <c r="B115" s="296">
        <f>+B83+1</f>
        <v/>
      </c>
      <c r="C115" s="297" t="n">
        <v>0.4166666666666667</v>
      </c>
      <c r="D115" s="297" t="n">
        <v>0.8333333333333334</v>
      </c>
      <c r="E115" s="298">
        <f>WEEKNUM(Planning2[[#This Row],[Date]],21)</f>
        <v/>
      </c>
      <c r="F115" s="299">
        <f>VLOOKUP(A115,Annuaire_roster!B:C,2,0)</f>
        <v/>
      </c>
      <c r="G115" s="293" t="n"/>
      <c r="H115" s="293" t="n"/>
    </row>
    <row r="116" hidden="1" ht="15" customHeight="1" s="231">
      <c r="A116" s="296" t="inlineStr">
        <is>
          <t>MELLAHI YOUSSEF</t>
        </is>
      </c>
      <c r="B116" s="296">
        <f>+B84+1</f>
        <v/>
      </c>
      <c r="C116" s="297" t="n">
        <v>0.2916666666666667</v>
      </c>
      <c r="D116" s="297" t="n">
        <v>0.7083333333333334</v>
      </c>
      <c r="E116" s="298">
        <f>WEEKNUM(Planning2[[#This Row],[Date]],21)</f>
        <v/>
      </c>
      <c r="F116" s="299">
        <f>VLOOKUP(A116,Annuaire_roster!B:C,2,0)</f>
        <v/>
      </c>
      <c r="G116" s="293" t="n"/>
      <c r="H116" s="293" t="n"/>
    </row>
    <row r="117" hidden="1" ht="15" customHeight="1" s="231">
      <c r="A117" s="296" t="inlineStr">
        <is>
          <t xml:space="preserve">EL HOUJJAJI Soufiane </t>
        </is>
      </c>
      <c r="B117" s="296">
        <f>+B85+1</f>
        <v/>
      </c>
      <c r="C117" s="297" t="inlineStr">
        <is>
          <t>Congé</t>
        </is>
      </c>
      <c r="D117" s="297" t="inlineStr">
        <is>
          <t>Congé</t>
        </is>
      </c>
      <c r="E117" s="298">
        <f>WEEKNUM(Planning2[[#This Row],[Date]],21)</f>
        <v/>
      </c>
      <c r="F117" s="299">
        <f>VLOOKUP(A117,Annuaire_roster!B:C,2,0)</f>
        <v/>
      </c>
      <c r="G117" s="293" t="n"/>
      <c r="H117" s="293" t="n"/>
    </row>
    <row r="118" hidden="1" ht="15" customHeight="1" s="231">
      <c r="A118" s="296" t="inlineStr">
        <is>
          <t>AZHARI ABDELHAMID</t>
        </is>
      </c>
      <c r="B118" s="296">
        <f>+B86+1</f>
        <v/>
      </c>
      <c r="C118" s="297" t="n">
        <v>0.2916666666666667</v>
      </c>
      <c r="D118" s="297" t="n">
        <v>0.7083333333333334</v>
      </c>
      <c r="E118" s="298">
        <f>WEEKNUM(Planning2[[#This Row],[Date]],21)</f>
        <v/>
      </c>
      <c r="F118" s="299">
        <f>VLOOKUP(A118,Annuaire_roster!B:C,2,0)</f>
        <v/>
      </c>
      <c r="G118" s="293" t="n"/>
      <c r="H118" s="293" t="n"/>
    </row>
    <row r="119" hidden="1" ht="15" customHeight="1" s="231">
      <c r="A119" s="296" t="inlineStr">
        <is>
          <t>NUNEZ LUCIEN BERNARD</t>
        </is>
      </c>
      <c r="B119" s="296">
        <f>+B87+1</f>
        <v/>
      </c>
      <c r="C119" s="297" t="inlineStr">
        <is>
          <t>OFF</t>
        </is>
      </c>
      <c r="D119" s="297" t="inlineStr">
        <is>
          <t>OFF</t>
        </is>
      </c>
      <c r="E119" s="298">
        <f>WEEKNUM(Planning2[[#This Row],[Date]],21)</f>
        <v/>
      </c>
      <c r="F119" s="299">
        <f>VLOOKUP(A119,Annuaire_roster!B:C,2,0)</f>
        <v/>
      </c>
      <c r="G119" s="293" t="n"/>
      <c r="H119" s="293" t="n"/>
    </row>
    <row r="120" hidden="1" ht="15" customHeight="1" s="231">
      <c r="A120" s="296" t="inlineStr">
        <is>
          <t xml:space="preserve">LALOUN MANAL </t>
        </is>
      </c>
      <c r="B120" s="296">
        <f>+B88+1</f>
        <v/>
      </c>
      <c r="C120" s="297" t="inlineStr">
        <is>
          <t>Congé</t>
        </is>
      </c>
      <c r="D120" s="297" t="inlineStr">
        <is>
          <t>Congé</t>
        </is>
      </c>
      <c r="E120" s="298">
        <f>WEEKNUM(Planning2[[#This Row],[Date]],21)</f>
        <v/>
      </c>
      <c r="F120" s="299">
        <f>VLOOKUP(A120,Annuaire_roster!B:C,2,0)</f>
        <v/>
      </c>
      <c r="G120" s="293" t="n"/>
      <c r="H120" s="293" t="n"/>
    </row>
    <row r="121" hidden="1" ht="15" customHeight="1" s="231">
      <c r="A121" s="296" t="inlineStr">
        <is>
          <t>SIDIBE MOUSKEBA DALAFINA</t>
        </is>
      </c>
      <c r="B121" s="296">
        <f>+B89+1</f>
        <v/>
      </c>
      <c r="C121" s="297" t="n">
        <v>0.2916666666666667</v>
      </c>
      <c r="D121" s="297" t="n">
        <v>0.7083333333333334</v>
      </c>
      <c r="E121" s="298">
        <f>WEEKNUM(Planning2[[#This Row],[Date]],21)</f>
        <v/>
      </c>
      <c r="F121" s="299">
        <f>VLOOKUP(A121,Annuaire_roster!B:C,2,0)</f>
        <v/>
      </c>
      <c r="G121" s="293" t="n"/>
      <c r="H121" s="293" t="n"/>
    </row>
    <row r="122" hidden="1" ht="15" customHeight="1" s="231">
      <c r="A122" s="296" t="inlineStr">
        <is>
          <t>BOULHROUD SALMA</t>
        </is>
      </c>
      <c r="B122" s="296">
        <f>+B90+1</f>
        <v/>
      </c>
      <c r="C122" s="297" t="inlineStr">
        <is>
          <t>OFF</t>
        </is>
      </c>
      <c r="D122" s="297" t="inlineStr">
        <is>
          <t>OFF</t>
        </is>
      </c>
      <c r="E122" s="298">
        <f>WEEKNUM(Planning2[[#This Row],[Date]],21)</f>
        <v/>
      </c>
      <c r="F122" s="299">
        <f>VLOOKUP(A122,Annuaire_roster!B:C,2,0)</f>
        <v/>
      </c>
      <c r="G122" s="293" t="n"/>
      <c r="H122" s="293" t="n"/>
    </row>
    <row r="123" hidden="1" ht="15" customHeight="1" s="231">
      <c r="A123" s="296" t="inlineStr">
        <is>
          <t>BOURABAA HASSAN</t>
        </is>
      </c>
      <c r="B123" s="296">
        <f>+B91+1</f>
        <v/>
      </c>
      <c r="C123" s="297" t="n">
        <v>0.375</v>
      </c>
      <c r="D123" s="297" t="n">
        <v>0.7916666666666666</v>
      </c>
      <c r="E123" s="298">
        <f>WEEKNUM(Planning2[[#This Row],[Date]],21)</f>
        <v/>
      </c>
      <c r="F123" s="299">
        <f>VLOOKUP(A123,Annuaire_roster!B:C,2,0)</f>
        <v/>
      </c>
      <c r="G123" s="293" t="n"/>
      <c r="H123" s="293" t="n"/>
    </row>
    <row r="124" hidden="1" ht="15" customHeight="1" s="231">
      <c r="A124" s="296" t="inlineStr">
        <is>
          <t>SECK DIARRA</t>
        </is>
      </c>
      <c r="B124" s="296">
        <f>+B92+1</f>
        <v/>
      </c>
      <c r="C124" s="297" t="inlineStr">
        <is>
          <t>OFF</t>
        </is>
      </c>
      <c r="D124" s="297" t="inlineStr">
        <is>
          <t>OFF</t>
        </is>
      </c>
      <c r="E124" s="298">
        <f>WEEKNUM(Planning2[[#This Row],[Date]],21)</f>
        <v/>
      </c>
      <c r="F124" s="299">
        <f>VLOOKUP(A124,Annuaire_roster!B:C,2,0)</f>
        <v/>
      </c>
      <c r="G124" s="293" t="n"/>
      <c r="H124" s="293" t="n"/>
    </row>
    <row r="125" hidden="1" ht="15" customHeight="1" s="231">
      <c r="A125" s="296" t="inlineStr">
        <is>
          <t>AINELKITANE ZINEB</t>
        </is>
      </c>
      <c r="B125" s="296">
        <f>+B93+1</f>
        <v/>
      </c>
      <c r="C125" s="297" t="inlineStr">
        <is>
          <t>OFF</t>
        </is>
      </c>
      <c r="D125" s="297" t="inlineStr">
        <is>
          <t>OFF</t>
        </is>
      </c>
      <c r="E125" s="298">
        <f>WEEKNUM(Planning2[[#This Row],[Date]],21)</f>
        <v/>
      </c>
      <c r="F125" s="299">
        <f>VLOOKUP(A125,Annuaire_roster!B:C,2,0)</f>
        <v/>
      </c>
      <c r="G125" s="293" t="n"/>
      <c r="H125" s="293" t="n"/>
    </row>
    <row r="126" hidden="1" ht="15" customHeight="1" s="231">
      <c r="A126" s="296" t="inlineStr">
        <is>
          <t>BENSAR ANAS</t>
        </is>
      </c>
      <c r="B126" s="296">
        <f>+B94+1</f>
        <v/>
      </c>
      <c r="C126" s="297" t="n">
        <v>0.2916666666666667</v>
      </c>
      <c r="D126" s="297" t="n">
        <v>0.7083333333333334</v>
      </c>
      <c r="E126" s="298">
        <f>WEEKNUM(Planning2[[#This Row],[Date]],21)</f>
        <v/>
      </c>
      <c r="F126" s="299">
        <f>VLOOKUP(A126,Annuaire_roster!B:C,2,0)</f>
        <v/>
      </c>
      <c r="G126" s="293" t="n"/>
      <c r="H126" s="293" t="n"/>
    </row>
    <row r="127" hidden="1" ht="15" customHeight="1" s="231">
      <c r="A127" s="296" t="inlineStr">
        <is>
          <t>NEMMAOUI MOUNIRA</t>
        </is>
      </c>
      <c r="B127" s="296">
        <f>+B95+1</f>
        <v/>
      </c>
      <c r="C127" s="297" t="n">
        <v>0.4166666666666667</v>
      </c>
      <c r="D127" s="297" t="n">
        <v>0.8333333333333334</v>
      </c>
      <c r="E127" s="298">
        <f>WEEKNUM(Planning2[[#This Row],[Date]],21)</f>
        <v/>
      </c>
      <c r="F127" s="299">
        <f>VLOOKUP(A127,Annuaire_roster!B:C,2,0)</f>
        <v/>
      </c>
      <c r="G127" s="293" t="n"/>
      <c r="H127" s="293" t="n"/>
    </row>
    <row r="128" hidden="1" ht="15" customHeight="1" s="231">
      <c r="A128" s="296" t="inlineStr">
        <is>
          <t>QARBOUI Aymane</t>
        </is>
      </c>
      <c r="B128" s="296">
        <f>+B96+1</f>
        <v/>
      </c>
      <c r="C128" s="297" t="n">
        <v>0.4166666666666667</v>
      </c>
      <c r="D128" s="297" t="n">
        <v>0.8333333333333334</v>
      </c>
      <c r="E128" s="298">
        <f>WEEKNUM(Planning2[[#This Row],[Date]],21)</f>
        <v/>
      </c>
      <c r="F128" s="299">
        <f>VLOOKUP(A128,Annuaire_roster!B:C,2,0)</f>
        <v/>
      </c>
      <c r="G128" s="293" t="n"/>
      <c r="H128" s="293" t="n"/>
    </row>
    <row r="129" hidden="1" ht="15" customHeight="1" s="231">
      <c r="A129" s="305" t="inlineStr">
        <is>
          <t>SOUOUD ZAKARIA</t>
        </is>
      </c>
      <c r="B129" s="296">
        <f>+B97+1</f>
        <v/>
      </c>
      <c r="C129" s="297" t="n">
        <v>0.4166666666666667</v>
      </c>
      <c r="D129" s="297" t="n">
        <v>0.8333333333333334</v>
      </c>
      <c r="E129" s="298">
        <f>WEEKNUM(Planning2[[#This Row],[Date]],21)</f>
        <v/>
      </c>
      <c r="F129" s="299">
        <f>VLOOKUP(A129,Annuaire_roster!B:C,2,0)</f>
        <v/>
      </c>
      <c r="G129" s="293" t="n"/>
      <c r="H129" s="293" t="n"/>
    </row>
    <row r="130" hidden="1" ht="15" customHeight="1" s="231">
      <c r="A130" s="296" t="inlineStr">
        <is>
          <t>EL-AOUAQUI BOUCHRA</t>
        </is>
      </c>
      <c r="B130" s="296">
        <f>+B98+1</f>
        <v/>
      </c>
      <c r="C130" s="297" t="n">
        <v>0.375</v>
      </c>
      <c r="D130" s="297" t="n">
        <v>0.7916666666666666</v>
      </c>
      <c r="E130" s="298">
        <f>WEEKNUM(Planning2[[#This Row],[Date]],21)</f>
        <v/>
      </c>
      <c r="F130" s="299">
        <f>VLOOKUP(A130,Annuaire_roster!B:C,2,0)</f>
        <v/>
      </c>
      <c r="G130" s="293" t="n"/>
      <c r="H130" s="293" t="n"/>
    </row>
    <row r="131" hidden="1" ht="15" customHeight="1" s="231">
      <c r="A131" s="296" t="inlineStr">
        <is>
          <t>IHASSANE Ikram</t>
        </is>
      </c>
      <c r="B131" s="296">
        <f>+B99+1</f>
        <v/>
      </c>
      <c r="C131" s="297" t="inlineStr">
        <is>
          <t>Missionnée</t>
        </is>
      </c>
      <c r="D131" s="297" t="inlineStr">
        <is>
          <t>Missionnée</t>
        </is>
      </c>
      <c r="E131" s="298">
        <f>WEEKNUM(Planning2[[#This Row],[Date]],21)</f>
        <v/>
      </c>
      <c r="F131" s="299">
        <f>VLOOKUP(A131,Annuaire_roster!B:C,2,0)</f>
        <v/>
      </c>
      <c r="G131" s="293" t="n"/>
      <c r="H131" s="293" t="n"/>
    </row>
    <row r="132" hidden="1" ht="15" customHeight="1" s="231">
      <c r="A132" s="296" t="inlineStr">
        <is>
          <t>NIANG NDEYE ABSA</t>
        </is>
      </c>
      <c r="B132" s="296">
        <f>+B100+1</f>
        <v/>
      </c>
      <c r="C132" s="297" t="n">
        <v>0.2916666666666667</v>
      </c>
      <c r="D132" s="297" t="n">
        <v>0.7083333333333334</v>
      </c>
      <c r="E132" s="298">
        <f>WEEKNUM(Planning2[[#This Row],[Date]],21)</f>
        <v/>
      </c>
      <c r="F132" s="299">
        <f>VLOOKUP(A132,Annuaire_roster!B:C,2,0)</f>
        <v/>
      </c>
      <c r="G132" s="293" t="n"/>
      <c r="H132" s="293" t="n"/>
    </row>
    <row r="133" hidden="1" ht="15" customHeight="1" s="231">
      <c r="A133" s="296" t="inlineStr">
        <is>
          <t>ZAKI OMAR</t>
        </is>
      </c>
      <c r="B133" s="296">
        <f>+B101+1</f>
        <v/>
      </c>
      <c r="C133" s="297" t="n">
        <v>0.2916666666666667</v>
      </c>
      <c r="D133" s="297" t="n">
        <v>0.7083333333333334</v>
      </c>
      <c r="E133" s="298">
        <f>WEEKNUM(Planning2[[#This Row],[Date]],21)</f>
        <v/>
      </c>
      <c r="F133" s="299">
        <f>VLOOKUP(A133,Annuaire_roster!B:C,2,0)</f>
        <v/>
      </c>
      <c r="G133" s="293" t="n"/>
      <c r="H133" s="293" t="n"/>
    </row>
    <row r="134" hidden="1" ht="15" customHeight="1" s="231">
      <c r="A134" s="296" t="inlineStr">
        <is>
          <t>EL HOUSSAINI HOUDA</t>
        </is>
      </c>
      <c r="B134" s="296">
        <f>+B102+1</f>
        <v/>
      </c>
      <c r="C134" s="297" t="n">
        <v>0.4583333333333333</v>
      </c>
      <c r="D134" s="297" t="n">
        <v>0.8333333333333334</v>
      </c>
      <c r="E134" s="298">
        <f>WEEKNUM(Planning2[[#This Row],[Date]],21)</f>
        <v/>
      </c>
      <c r="F134" s="299">
        <f>VLOOKUP(A134,Annuaire_roster!B:C,2,0)</f>
        <v/>
      </c>
      <c r="G134" s="293" t="n"/>
      <c r="H134" s="293" t="n"/>
    </row>
    <row r="135" hidden="1" ht="15" customHeight="1" s="231">
      <c r="A135" s="296" t="inlineStr">
        <is>
          <t>EL HARROUCHI CHAIMAE</t>
        </is>
      </c>
      <c r="B135" s="296">
        <f>+B103+1</f>
        <v/>
      </c>
      <c r="C135" s="297" t="n">
        <v>0.4583333333333333</v>
      </c>
      <c r="D135" s="297" t="n">
        <v>0.8333333333333334</v>
      </c>
      <c r="E135" s="298">
        <f>WEEKNUM(Planning2[[#This Row],[Date]],21)</f>
        <v/>
      </c>
      <c r="F135" s="299">
        <f>VLOOKUP(A135,Annuaire_roster!B:C,2,0)</f>
        <v/>
      </c>
      <c r="G135" s="293" t="n"/>
      <c r="H135" s="293" t="n"/>
    </row>
    <row r="136" hidden="1" ht="15" customHeight="1" s="231">
      <c r="A136" s="296" t="inlineStr">
        <is>
          <t>LAFDIL NADA</t>
        </is>
      </c>
      <c r="B136" s="296">
        <f>+B104+1</f>
        <v/>
      </c>
      <c r="C136" s="297" t="n">
        <v>0.4583333333333333</v>
      </c>
      <c r="D136" s="297" t="n">
        <v>0.8333333333333334</v>
      </c>
      <c r="E136" s="298">
        <f>WEEKNUM(Planning2[[#This Row],[Date]],21)</f>
        <v/>
      </c>
      <c r="F136" s="299">
        <f>VLOOKUP(A136,Annuaire_roster!B:C,2,0)</f>
        <v/>
      </c>
      <c r="G136" s="293" t="n"/>
      <c r="H136" s="293" t="n"/>
    </row>
    <row r="137" hidden="1" ht="15" customHeight="1" s="231">
      <c r="A137" s="296" t="inlineStr">
        <is>
          <t>GUEYE MOUHAMED</t>
        </is>
      </c>
      <c r="B137" s="296">
        <f>+B105+1</f>
        <v/>
      </c>
      <c r="C137" s="297" t="n">
        <v>0.2916666666666667</v>
      </c>
      <c r="D137" s="297" t="n">
        <v>0.6666666666666666</v>
      </c>
      <c r="E137" s="298">
        <f>WEEKNUM(Planning2[[#This Row],[Date]],21)</f>
        <v/>
      </c>
      <c r="F137" s="299">
        <f>VLOOKUP(A137,Annuaire_roster!B:C,2,0)</f>
        <v/>
      </c>
      <c r="G137" s="293" t="n"/>
      <c r="H137" s="293" t="n"/>
    </row>
    <row r="138" hidden="1" ht="15" customHeight="1" s="231">
      <c r="A138" s="296" t="inlineStr">
        <is>
          <t>RACHAD NAWAR</t>
        </is>
      </c>
      <c r="B138" s="296">
        <f>+B106+1</f>
        <v/>
      </c>
      <c r="C138" s="297" t="inlineStr">
        <is>
          <t>OFF</t>
        </is>
      </c>
      <c r="D138" s="297" t="inlineStr">
        <is>
          <t>OFF</t>
        </is>
      </c>
      <c r="E138" s="298">
        <f>WEEKNUM(Planning2[[#This Row],[Date]],21)</f>
        <v/>
      </c>
      <c r="F138" s="299">
        <f>VLOOKUP(A138,Annuaire_roster!B:C,2,0)</f>
        <v/>
      </c>
      <c r="G138" s="293" t="n"/>
      <c r="H138" s="293" t="n"/>
    </row>
    <row r="139" hidden="1" ht="15" customHeight="1" s="231">
      <c r="A139" s="296" t="inlineStr">
        <is>
          <t>ZITOUNI LAMYA</t>
        </is>
      </c>
      <c r="B139" s="296">
        <f>+B107+1</f>
        <v/>
      </c>
      <c r="C139" s="297" t="n">
        <v>0.375</v>
      </c>
      <c r="D139" s="297" t="n">
        <v>0.7916666666666666</v>
      </c>
      <c r="E139" s="298">
        <f>WEEKNUM(Planning2[[#This Row],[Date]],21)</f>
        <v/>
      </c>
      <c r="F139" s="299">
        <f>VLOOKUP(A139,Annuaire_roster!B:C,2,0)</f>
        <v/>
      </c>
      <c r="G139" s="293" t="n"/>
      <c r="H139" s="293" t="n"/>
    </row>
    <row r="140" hidden="1" ht="15" customHeight="1" s="231">
      <c r="A140" s="296" t="inlineStr">
        <is>
          <t>GUEYE GORA</t>
        </is>
      </c>
      <c r="B140" s="296">
        <f>+B108+1</f>
        <v/>
      </c>
      <c r="C140" s="297" t="n">
        <v>0.2916666666666667</v>
      </c>
      <c r="D140" s="297" t="n">
        <v>0.7083333333333334</v>
      </c>
      <c r="E140" s="298">
        <f>WEEKNUM(Planning2[[#This Row],[Date]],21)</f>
        <v/>
      </c>
      <c r="F140" s="299">
        <f>VLOOKUP(A140,Annuaire_roster!B:C,2,0)</f>
        <v/>
      </c>
      <c r="G140" s="293" t="n"/>
      <c r="H140" s="293" t="n"/>
    </row>
    <row r="141" hidden="1" ht="15" customHeight="1" s="231">
      <c r="A141" s="296" t="inlineStr">
        <is>
          <t>DIOUF OUSSMANE</t>
        </is>
      </c>
      <c r="B141" s="296">
        <f>+B109+1</f>
        <v/>
      </c>
      <c r="C141" s="297" t="n">
        <v>0.2916666666666667</v>
      </c>
      <c r="D141" s="297" t="n">
        <v>0.6666666666666666</v>
      </c>
      <c r="E141" s="298">
        <f>WEEKNUM(Planning2[[#This Row],[Date]],21)</f>
        <v/>
      </c>
      <c r="F141" s="299">
        <f>VLOOKUP(A141,Annuaire_roster!B:C,2,0)</f>
        <v/>
      </c>
      <c r="G141" s="293" t="n"/>
      <c r="H141" s="293" t="n"/>
    </row>
    <row r="142" hidden="1" ht="15" customHeight="1" s="231">
      <c r="A142" s="296" t="inlineStr">
        <is>
          <t xml:space="preserve">DERKAOUI AMAL </t>
        </is>
      </c>
      <c r="B142" s="296">
        <f>+B110+1</f>
        <v/>
      </c>
      <c r="C142" s="297" t="n">
        <v>0.4583333333333333</v>
      </c>
      <c r="D142" s="297" t="n">
        <v>0.8333333333333334</v>
      </c>
      <c r="E142" s="298">
        <f>WEEKNUM(Planning2[[#This Row],[Date]],21)</f>
        <v/>
      </c>
      <c r="F142" s="299">
        <f>VLOOKUP(A142,Annuaire_roster!B:C,2,0)</f>
        <v/>
      </c>
      <c r="G142" s="293" t="n"/>
      <c r="H142" s="293" t="n"/>
    </row>
    <row r="143" hidden="1" ht="15" customHeight="1" s="231">
      <c r="A143" s="296" t="inlineStr">
        <is>
          <t>AIT LARBI HIND</t>
        </is>
      </c>
      <c r="B143" s="296">
        <f>+B111+1</f>
        <v/>
      </c>
      <c r="C143" s="297" t="inlineStr">
        <is>
          <t>OFF</t>
        </is>
      </c>
      <c r="D143" s="297" t="inlineStr">
        <is>
          <t>OFF</t>
        </is>
      </c>
      <c r="E143" s="298">
        <f>WEEKNUM(Planning2[[#This Row],[Date]],21)</f>
        <v/>
      </c>
      <c r="F143" s="299">
        <f>VLOOKUP(A143,Annuaire_roster!B:C,2,0)</f>
        <v/>
      </c>
      <c r="G143" s="293" t="n"/>
      <c r="H143" s="293" t="n"/>
    </row>
    <row r="144" hidden="1" ht="15" customHeight="1" s="231">
      <c r="A144" s="296" t="inlineStr">
        <is>
          <t>TOURE ABIBOU</t>
        </is>
      </c>
      <c r="B144" s="296">
        <f>+B112+1</f>
        <v/>
      </c>
      <c r="C144" s="297" t="n">
        <v>0.375</v>
      </c>
      <c r="D144" s="297" t="n">
        <v>0.7916666666666666</v>
      </c>
      <c r="E144" s="298">
        <f>WEEKNUM(Planning2[[#This Row],[Date]],21)</f>
        <v/>
      </c>
      <c r="F144" s="299">
        <f>VLOOKUP(A144,Annuaire_roster!B:C,2,0)</f>
        <v/>
      </c>
      <c r="G144" s="293" t="n"/>
      <c r="H144" s="293" t="n"/>
    </row>
    <row r="145" hidden="1" ht="15" customHeight="1" s="231">
      <c r="A145" s="296" t="inlineStr">
        <is>
          <t>KANTAOUI SALMA</t>
        </is>
      </c>
      <c r="B145" s="296">
        <f>+B113+1</f>
        <v/>
      </c>
      <c r="C145" s="297" t="n">
        <v>0.375</v>
      </c>
      <c r="D145" s="297" t="n">
        <v>0.7916666666666666</v>
      </c>
      <c r="E145" s="298">
        <f>WEEKNUM(Planning2[[#This Row],[Date]],21)</f>
        <v/>
      </c>
      <c r="F145" s="299">
        <f>VLOOKUP(A145,Annuaire_roster!B:C,2,0)</f>
        <v/>
      </c>
      <c r="G145" s="293" t="n"/>
      <c r="H145" s="293" t="n"/>
    </row>
    <row r="146" hidden="1" ht="15" customHeight="1" s="231">
      <c r="A146" s="296" t="inlineStr">
        <is>
          <t>ZIOUI DOUNIA</t>
        </is>
      </c>
      <c r="B146" s="296">
        <f>+B114+1</f>
        <v/>
      </c>
      <c r="C146" s="297" t="n">
        <v>0.4583333333333333</v>
      </c>
      <c r="D146" s="297" t="n">
        <v>0.8333333333333334</v>
      </c>
      <c r="E146" s="298">
        <f>WEEKNUM(Planning2[[#This Row],[Date]],21)</f>
        <v/>
      </c>
      <c r="F146" s="299">
        <f>VLOOKUP(A146,Annuaire_roster!B:C,2,0)</f>
        <v/>
      </c>
      <c r="G146" s="293" t="n"/>
      <c r="H146" s="293" t="n"/>
    </row>
    <row r="147" hidden="1" ht="15" customHeight="1" s="231">
      <c r="A147" s="296" t="inlineStr">
        <is>
          <t>AIT ADDI KHADIJA</t>
        </is>
      </c>
      <c r="B147" s="296">
        <f>+B115+1</f>
        <v/>
      </c>
      <c r="C147" s="297" t="n">
        <v>0.4166666666666667</v>
      </c>
      <c r="D147" s="297" t="n">
        <v>0.8333333333333334</v>
      </c>
      <c r="E147" s="298">
        <f>WEEKNUM(Planning2[[#This Row],[Date]],21)</f>
        <v/>
      </c>
      <c r="F147" s="299">
        <f>VLOOKUP(A147,Annuaire_roster!B:C,2,0)</f>
        <v/>
      </c>
      <c r="G147" s="293" t="n"/>
      <c r="H147" s="293" t="n"/>
    </row>
    <row r="148" hidden="1" ht="15" customHeight="1" s="231">
      <c r="A148" s="296" t="inlineStr">
        <is>
          <t>MELLAHI YOUSSEF</t>
        </is>
      </c>
      <c r="B148" s="296">
        <f>+B116+1</f>
        <v/>
      </c>
      <c r="C148" s="297" t="n">
        <v>0.2916666666666667</v>
      </c>
      <c r="D148" s="297" t="n">
        <v>0.6666666666666666</v>
      </c>
      <c r="E148" s="298">
        <f>WEEKNUM(Planning2[[#This Row],[Date]],21)</f>
        <v/>
      </c>
      <c r="F148" s="299">
        <f>VLOOKUP(A148,Annuaire_roster!B:C,2,0)</f>
        <v/>
      </c>
      <c r="G148" s="293" t="n"/>
      <c r="H148" s="293" t="n"/>
    </row>
    <row r="149" hidden="1" ht="15" customHeight="1" s="231">
      <c r="A149" s="296" t="inlineStr">
        <is>
          <t xml:space="preserve">EL HOUJJAJI Soufiane </t>
        </is>
      </c>
      <c r="B149" s="296">
        <f>+B117+1</f>
        <v/>
      </c>
      <c r="C149" s="297" t="inlineStr">
        <is>
          <t>Congé</t>
        </is>
      </c>
      <c r="D149" s="297" t="inlineStr">
        <is>
          <t>Congé</t>
        </is>
      </c>
      <c r="E149" s="298">
        <f>WEEKNUM(Planning2[[#This Row],[Date]],21)</f>
        <v/>
      </c>
      <c r="F149" s="299">
        <f>VLOOKUP(A149,Annuaire_roster!B:C,2,0)</f>
        <v/>
      </c>
      <c r="G149" s="293" t="n"/>
      <c r="H149" s="293" t="n"/>
    </row>
    <row r="150" hidden="1" ht="15" customHeight="1" s="231">
      <c r="A150" s="296" t="inlineStr">
        <is>
          <t>AZHARI ABDELHAMID</t>
        </is>
      </c>
      <c r="B150" s="296">
        <f>+B118+1</f>
        <v/>
      </c>
      <c r="C150" s="297" t="n">
        <v>0.2916666666666667</v>
      </c>
      <c r="D150" s="297" t="n">
        <v>0.7083333333333334</v>
      </c>
      <c r="E150" s="298">
        <f>WEEKNUM(Planning2[[#This Row],[Date]],21)</f>
        <v/>
      </c>
      <c r="F150" s="299">
        <f>VLOOKUP(A150,Annuaire_roster!B:C,2,0)</f>
        <v/>
      </c>
      <c r="G150" s="293" t="n"/>
      <c r="H150" s="293" t="n"/>
    </row>
    <row r="151" hidden="1" ht="15" customHeight="1" s="231">
      <c r="A151" s="296" t="inlineStr">
        <is>
          <t>NUNEZ LUCIEN BERNARD</t>
        </is>
      </c>
      <c r="B151" s="296">
        <f>+B119+1</f>
        <v/>
      </c>
      <c r="C151" s="297" t="n">
        <v>0.4583333333333333</v>
      </c>
      <c r="D151" s="297" t="n">
        <v>0.8333333333333334</v>
      </c>
      <c r="E151" s="298">
        <f>WEEKNUM(Planning2[[#This Row],[Date]],21)</f>
        <v/>
      </c>
      <c r="F151" s="299">
        <f>VLOOKUP(A151,Annuaire_roster!B:C,2,0)</f>
        <v/>
      </c>
      <c r="G151" s="293" t="n"/>
      <c r="H151" s="293" t="n"/>
    </row>
    <row r="152" hidden="1" ht="15" customHeight="1" s="231">
      <c r="A152" s="296" t="inlineStr">
        <is>
          <t xml:space="preserve">LALOUN MANAL </t>
        </is>
      </c>
      <c r="B152" s="296">
        <f>+B120+1</f>
        <v/>
      </c>
      <c r="C152" s="297" t="inlineStr">
        <is>
          <t>Congé</t>
        </is>
      </c>
      <c r="D152" s="297" t="inlineStr">
        <is>
          <t>Congé</t>
        </is>
      </c>
      <c r="E152" s="298">
        <f>WEEKNUM(Planning2[[#This Row],[Date]],21)</f>
        <v/>
      </c>
      <c r="F152" s="299">
        <f>VLOOKUP(A152,Annuaire_roster!B:C,2,0)</f>
        <v/>
      </c>
      <c r="G152" s="293" t="n"/>
      <c r="H152" s="293" t="n"/>
    </row>
    <row r="153" hidden="1" ht="15" customHeight="1" s="231">
      <c r="A153" s="296" t="inlineStr">
        <is>
          <t>SIDIBE MOUSKEBA DALAFINA</t>
        </is>
      </c>
      <c r="B153" s="296">
        <f>+B121+1</f>
        <v/>
      </c>
      <c r="C153" s="297" t="n">
        <v>0.375</v>
      </c>
      <c r="D153" s="297" t="n">
        <v>0.7916666666666666</v>
      </c>
      <c r="E153" s="298">
        <f>WEEKNUM(Planning2[[#This Row],[Date]],21)</f>
        <v/>
      </c>
      <c r="F153" s="299">
        <f>VLOOKUP(A153,Annuaire_roster!B:C,2,0)</f>
        <v/>
      </c>
      <c r="G153" s="293" t="n"/>
      <c r="H153" s="293" t="n"/>
    </row>
    <row r="154" hidden="1" ht="15" customHeight="1" s="231">
      <c r="A154" s="296" t="inlineStr">
        <is>
          <t>BOULHROUD SALMA</t>
        </is>
      </c>
      <c r="B154" s="296">
        <f>+B122+1</f>
        <v/>
      </c>
      <c r="C154" s="297" t="n">
        <v>0.2916666666666667</v>
      </c>
      <c r="D154" s="297" t="n">
        <v>0.7083333333333334</v>
      </c>
      <c r="E154" s="298">
        <f>WEEKNUM(Planning2[[#This Row],[Date]],21)</f>
        <v/>
      </c>
      <c r="F154" s="299">
        <f>VLOOKUP(A154,Annuaire_roster!B:C,2,0)</f>
        <v/>
      </c>
      <c r="G154" s="293" t="n"/>
      <c r="H154" s="293" t="n"/>
    </row>
    <row r="155" hidden="1" ht="15" customHeight="1" s="231">
      <c r="A155" s="296" t="inlineStr">
        <is>
          <t>BOURABAA HASSAN</t>
        </is>
      </c>
      <c r="B155" s="296">
        <f>+B123+1</f>
        <v/>
      </c>
      <c r="C155" s="297" t="n">
        <v>0.375</v>
      </c>
      <c r="D155" s="297" t="n">
        <v>0.7916666666666666</v>
      </c>
      <c r="E155" s="298">
        <f>WEEKNUM(Planning2[[#This Row],[Date]],21)</f>
        <v/>
      </c>
      <c r="F155" s="299">
        <f>VLOOKUP(A155,Annuaire_roster!B:C,2,0)</f>
        <v/>
      </c>
      <c r="G155" s="293" t="n"/>
      <c r="H155" s="293" t="n"/>
    </row>
    <row r="156" hidden="1" ht="15" customHeight="1" s="231">
      <c r="A156" s="296" t="inlineStr">
        <is>
          <t>SECK DIARRA</t>
        </is>
      </c>
      <c r="B156" s="296">
        <f>+B124+1</f>
        <v/>
      </c>
      <c r="C156" s="297" t="inlineStr">
        <is>
          <t>OFF</t>
        </is>
      </c>
      <c r="D156" s="297" t="inlineStr">
        <is>
          <t>OFF</t>
        </is>
      </c>
      <c r="E156" s="298">
        <f>WEEKNUM(Planning2[[#This Row],[Date]],21)</f>
        <v/>
      </c>
      <c r="F156" s="299">
        <f>VLOOKUP(A156,Annuaire_roster!B:C,2,0)</f>
        <v/>
      </c>
      <c r="G156" s="293" t="n"/>
      <c r="H156" s="293" t="n"/>
    </row>
    <row r="157" hidden="1" ht="15" customHeight="1" s="231">
      <c r="A157" s="296" t="inlineStr">
        <is>
          <t>AINELKITANE ZINEB</t>
        </is>
      </c>
      <c r="B157" s="296">
        <f>+B125+1</f>
        <v/>
      </c>
      <c r="C157" s="297" t="inlineStr">
        <is>
          <t>OFF</t>
        </is>
      </c>
      <c r="D157" s="297" t="inlineStr">
        <is>
          <t>OFF</t>
        </is>
      </c>
      <c r="E157" s="298">
        <f>WEEKNUM(Planning2[[#This Row],[Date]],21)</f>
        <v/>
      </c>
      <c r="F157" s="299">
        <f>VLOOKUP(A157,Annuaire_roster!B:C,2,0)</f>
        <v/>
      </c>
      <c r="G157" s="293" t="n"/>
      <c r="H157" s="293" t="n"/>
    </row>
    <row r="158" hidden="1" ht="15" customHeight="1" s="231">
      <c r="A158" s="296" t="inlineStr">
        <is>
          <t>BENSAR ANAS</t>
        </is>
      </c>
      <c r="B158" s="296">
        <f>+B126+1</f>
        <v/>
      </c>
      <c r="C158" s="297" t="n">
        <v>0.2916666666666667</v>
      </c>
      <c r="D158" s="297" t="n">
        <v>0.7083333333333334</v>
      </c>
      <c r="E158" s="298">
        <f>WEEKNUM(Planning2[[#This Row],[Date]],21)</f>
        <v/>
      </c>
      <c r="F158" s="299">
        <f>VLOOKUP(A158,Annuaire_roster!B:C,2,0)</f>
        <v/>
      </c>
      <c r="G158" s="293" t="n"/>
      <c r="H158" s="293" t="n"/>
    </row>
    <row r="159" hidden="1" ht="15" customHeight="1" s="231">
      <c r="A159" s="296" t="inlineStr">
        <is>
          <t>NEMMAOUI MOUNIRA</t>
        </is>
      </c>
      <c r="B159" s="296">
        <f>+B127+1</f>
        <v/>
      </c>
      <c r="C159" s="297" t="n">
        <v>0.2916666666666667</v>
      </c>
      <c r="D159" s="297" t="n">
        <v>0.7083333333333334</v>
      </c>
      <c r="E159" s="298">
        <f>WEEKNUM(Planning2[[#This Row],[Date]],21)</f>
        <v/>
      </c>
      <c r="F159" s="299">
        <f>VLOOKUP(A159,Annuaire_roster!B:C,2,0)</f>
        <v/>
      </c>
      <c r="G159" s="293" t="n"/>
      <c r="H159" s="293" t="n"/>
    </row>
    <row r="160" hidden="1" ht="15" customHeight="1" s="231">
      <c r="A160" s="296" t="inlineStr">
        <is>
          <t>QARBOUI Aymane</t>
        </is>
      </c>
      <c r="B160" s="296">
        <f>+B128+1</f>
        <v/>
      </c>
      <c r="C160" s="297" t="n">
        <v>0.4583333333333333</v>
      </c>
      <c r="D160" s="297" t="n">
        <v>0.8333333333333334</v>
      </c>
      <c r="E160" s="298">
        <f>WEEKNUM(Planning2[[#This Row],[Date]],21)</f>
        <v/>
      </c>
      <c r="F160" s="299">
        <f>VLOOKUP(A160,Annuaire_roster!B:C,2,0)</f>
        <v/>
      </c>
      <c r="G160" s="293" t="n"/>
      <c r="H160" s="293" t="n"/>
    </row>
    <row r="161" hidden="1" ht="15" customHeight="1" s="231">
      <c r="A161" s="305" t="inlineStr">
        <is>
          <t>SOUOUD ZAKARIA</t>
        </is>
      </c>
      <c r="B161" s="296">
        <f>+B129+1</f>
        <v/>
      </c>
      <c r="C161" s="297" t="n">
        <v>0.2916666666666667</v>
      </c>
      <c r="D161" s="297" t="n">
        <v>0.7083333333333334</v>
      </c>
      <c r="E161" s="298">
        <f>WEEKNUM(Planning2[[#This Row],[Date]],21)</f>
        <v/>
      </c>
      <c r="F161" s="299">
        <f>VLOOKUP(A161,Annuaire_roster!B:C,2,0)</f>
        <v/>
      </c>
      <c r="G161" s="293" t="n"/>
      <c r="H161" s="293" t="n"/>
    </row>
    <row r="162" hidden="1" ht="15" customHeight="1" s="231">
      <c r="A162" s="296" t="inlineStr">
        <is>
          <t>EL-AOUAQUI BOUCHRA</t>
        </is>
      </c>
      <c r="B162" s="296">
        <f>+B130+1</f>
        <v/>
      </c>
      <c r="C162" s="297" t="n">
        <v>0.4166666666666667</v>
      </c>
      <c r="D162" s="297" t="n">
        <v>0.8333333333333334</v>
      </c>
      <c r="E162" s="298">
        <f>WEEKNUM(Planning2[[#This Row],[Date]],21)</f>
        <v/>
      </c>
      <c r="F162" s="299">
        <f>VLOOKUP(A162,Annuaire_roster!B:C,2,0)</f>
        <v/>
      </c>
      <c r="G162" s="293" t="n"/>
      <c r="H162" s="293" t="n"/>
    </row>
    <row r="163" hidden="1" ht="15" customHeight="1" s="231">
      <c r="A163" s="296" t="inlineStr">
        <is>
          <t>IHASSANE Ikram</t>
        </is>
      </c>
      <c r="B163" s="296">
        <f>+B131+1</f>
        <v/>
      </c>
      <c r="C163" s="297" t="inlineStr">
        <is>
          <t>Missionnée</t>
        </is>
      </c>
      <c r="D163" s="297" t="inlineStr">
        <is>
          <t>Missionnée</t>
        </is>
      </c>
      <c r="E163" s="298">
        <f>WEEKNUM(Planning2[[#This Row],[Date]],21)</f>
        <v/>
      </c>
      <c r="F163" s="299">
        <f>VLOOKUP(A163,Annuaire_roster!B:C,2,0)</f>
        <v/>
      </c>
      <c r="G163" s="293" t="n"/>
      <c r="H163" s="293" t="n"/>
    </row>
    <row r="164" hidden="1" ht="15" customHeight="1" s="231">
      <c r="A164" s="296" t="inlineStr">
        <is>
          <t>NIANG NDEYE ABSA</t>
        </is>
      </c>
      <c r="B164" s="296">
        <f>+B132+1</f>
        <v/>
      </c>
      <c r="C164" s="297" t="n">
        <v>0.2916666666666667</v>
      </c>
      <c r="D164" s="297" t="n">
        <v>0.6666666666666666</v>
      </c>
      <c r="E164" s="298">
        <f>WEEKNUM(Planning2[[#This Row],[Date]],21)</f>
        <v/>
      </c>
      <c r="F164" s="299">
        <f>VLOOKUP(A164,Annuaire_roster!B:C,2,0)</f>
        <v/>
      </c>
      <c r="G164" s="293" t="n"/>
      <c r="H164" s="293" t="n"/>
    </row>
    <row r="165" hidden="1" ht="15" customHeight="1" s="231">
      <c r="A165" s="296" t="inlineStr">
        <is>
          <t>ZAKI OMAR</t>
        </is>
      </c>
      <c r="B165" s="296">
        <f>+B133+1</f>
        <v/>
      </c>
      <c r="C165" s="297" t="inlineStr">
        <is>
          <t>OFF</t>
        </is>
      </c>
      <c r="D165" s="297" t="inlineStr">
        <is>
          <t>OFF</t>
        </is>
      </c>
      <c r="E165" s="298">
        <f>WEEKNUM(Planning2[[#This Row],[Date]],21)</f>
        <v/>
      </c>
      <c r="F165" s="299">
        <f>VLOOKUP(A165,Annuaire_roster!B:C,2,0)</f>
        <v/>
      </c>
      <c r="G165" s="293" t="n"/>
      <c r="H165" s="293" t="n"/>
    </row>
    <row r="166" hidden="1" ht="15" customHeight="1" s="231">
      <c r="A166" s="296" t="inlineStr">
        <is>
          <t>EL HOUSSAINI HOUDA</t>
        </is>
      </c>
      <c r="B166" s="296">
        <f>+B134+1</f>
        <v/>
      </c>
      <c r="C166" s="297" t="inlineStr">
        <is>
          <t>OFF</t>
        </is>
      </c>
      <c r="D166" s="297" t="inlineStr">
        <is>
          <t>OFF</t>
        </is>
      </c>
      <c r="E166" s="298">
        <f>WEEKNUM(Planning2[[#This Row],[Date]],21)</f>
        <v/>
      </c>
      <c r="F166" s="299">
        <f>VLOOKUP(A166,Annuaire_roster!B:C,2,0)</f>
        <v/>
      </c>
      <c r="G166" s="293" t="n"/>
      <c r="H166" s="293" t="n"/>
    </row>
    <row r="167" hidden="1" ht="15" customHeight="1" s="231">
      <c r="A167" s="296" t="inlineStr">
        <is>
          <t>EL HARROUCHI CHAIMAE</t>
        </is>
      </c>
      <c r="B167" s="296">
        <f>+B135+1</f>
        <v/>
      </c>
      <c r="C167" s="297" t="inlineStr">
        <is>
          <t>OFF</t>
        </is>
      </c>
      <c r="D167" s="297" t="inlineStr">
        <is>
          <t>OFF</t>
        </is>
      </c>
      <c r="E167" s="298">
        <f>WEEKNUM(Planning2[[#This Row],[Date]],21)</f>
        <v/>
      </c>
      <c r="F167" s="299">
        <f>VLOOKUP(A167,Annuaire_roster!B:C,2,0)</f>
        <v/>
      </c>
      <c r="G167" s="293" t="n"/>
      <c r="H167" s="293" t="n"/>
    </row>
    <row r="168" hidden="1" ht="15" customHeight="1" s="231">
      <c r="A168" s="296" t="inlineStr">
        <is>
          <t>LAFDIL NADA</t>
        </is>
      </c>
      <c r="B168" s="296">
        <f>+B136+1</f>
        <v/>
      </c>
      <c r="C168" s="297" t="inlineStr">
        <is>
          <t>OFF</t>
        </is>
      </c>
      <c r="D168" s="297" t="inlineStr">
        <is>
          <t>OFF</t>
        </is>
      </c>
      <c r="E168" s="298">
        <f>WEEKNUM(Planning2[[#This Row],[Date]],21)</f>
        <v/>
      </c>
      <c r="F168" s="299">
        <f>VLOOKUP(A168,Annuaire_roster!B:C,2,0)</f>
        <v/>
      </c>
      <c r="G168" s="293" t="n"/>
      <c r="H168" s="293" t="n"/>
    </row>
    <row r="169" hidden="1" ht="15" customHeight="1" s="231">
      <c r="A169" s="296" t="inlineStr">
        <is>
          <t>GUEYE MOUHAMED</t>
        </is>
      </c>
      <c r="B169" s="296">
        <f>+B137+1</f>
        <v/>
      </c>
      <c r="C169" s="297" t="inlineStr">
        <is>
          <t>OFF</t>
        </is>
      </c>
      <c r="D169" s="297" t="inlineStr">
        <is>
          <t>OFF</t>
        </is>
      </c>
      <c r="E169" s="298">
        <f>WEEKNUM(Planning2[[#This Row],[Date]],21)</f>
        <v/>
      </c>
      <c r="F169" s="299">
        <f>VLOOKUP(A169,Annuaire_roster!B:C,2,0)</f>
        <v/>
      </c>
      <c r="G169" s="293" t="n"/>
      <c r="H169" s="293" t="n"/>
    </row>
    <row r="170" hidden="1" ht="15" customHeight="1" s="231">
      <c r="A170" s="296" t="inlineStr">
        <is>
          <t>RACHAD NAWAR</t>
        </is>
      </c>
      <c r="B170" s="296">
        <f>+B138+1</f>
        <v/>
      </c>
      <c r="C170" s="297" t="n">
        <v>0.2916666666666667</v>
      </c>
      <c r="D170" s="297" t="n">
        <v>0.6666666666666666</v>
      </c>
      <c r="E170" s="298">
        <f>WEEKNUM(Planning2[[#This Row],[Date]],21)</f>
        <v/>
      </c>
      <c r="F170" s="299">
        <f>VLOOKUP(A170,Annuaire_roster!B:C,2,0)</f>
        <v/>
      </c>
      <c r="G170" s="293" t="n"/>
      <c r="H170" s="293" t="n"/>
    </row>
    <row r="171" hidden="1" ht="15" customHeight="1" s="231">
      <c r="A171" s="296" t="inlineStr">
        <is>
          <t>ZITOUNI LAMYA</t>
        </is>
      </c>
      <c r="B171" s="296">
        <f>+B139+1</f>
        <v/>
      </c>
      <c r="C171" s="297" t="n">
        <v>0.4166666666666667</v>
      </c>
      <c r="D171" s="297" t="n">
        <v>0.8333333333333334</v>
      </c>
      <c r="E171" s="298">
        <f>WEEKNUM(Planning2[[#This Row],[Date]],21)</f>
        <v/>
      </c>
      <c r="F171" s="299">
        <f>VLOOKUP(A171,Annuaire_roster!B:C,2,0)</f>
        <v/>
      </c>
      <c r="G171" s="293" t="n"/>
      <c r="H171" s="293" t="n"/>
    </row>
    <row r="172" hidden="1" ht="15" customHeight="1" s="231">
      <c r="A172" s="296" t="inlineStr">
        <is>
          <t>GUEYE GORA</t>
        </is>
      </c>
      <c r="B172" s="296">
        <f>+B140+1</f>
        <v/>
      </c>
      <c r="C172" s="297" t="n">
        <v>0.2916666666666667</v>
      </c>
      <c r="D172" s="297" t="n">
        <v>0.6666666666666666</v>
      </c>
      <c r="E172" s="298">
        <f>WEEKNUM(Planning2[[#This Row],[Date]],21)</f>
        <v/>
      </c>
      <c r="F172" s="299">
        <f>VLOOKUP(A172,Annuaire_roster!B:C,2,0)</f>
        <v/>
      </c>
      <c r="G172" s="293" t="n"/>
      <c r="H172" s="293" t="n"/>
    </row>
    <row r="173" hidden="1" ht="15" customHeight="1" s="231">
      <c r="A173" s="296" t="inlineStr">
        <is>
          <t>DIOUF OUSSMANE</t>
        </is>
      </c>
      <c r="B173" s="296">
        <f>+B141+1</f>
        <v/>
      </c>
      <c r="C173" s="297" t="inlineStr">
        <is>
          <t>OFF</t>
        </is>
      </c>
      <c r="D173" s="297" t="inlineStr">
        <is>
          <t>OFF</t>
        </is>
      </c>
      <c r="E173" s="298">
        <f>WEEKNUM(Planning2[[#This Row],[Date]],21)</f>
        <v/>
      </c>
      <c r="F173" s="299">
        <f>VLOOKUP(A173,Annuaire_roster!B:C,2,0)</f>
        <v/>
      </c>
      <c r="G173" s="293" t="n"/>
      <c r="H173" s="293" t="n"/>
    </row>
    <row r="174" hidden="1" ht="15" customHeight="1" s="231">
      <c r="A174" s="296" t="inlineStr">
        <is>
          <t xml:space="preserve">DERKAOUI AMAL </t>
        </is>
      </c>
      <c r="B174" s="296">
        <f>+B142+1</f>
        <v/>
      </c>
      <c r="C174" s="297" t="inlineStr">
        <is>
          <t>OFF</t>
        </is>
      </c>
      <c r="D174" s="297" t="inlineStr">
        <is>
          <t>OFF</t>
        </is>
      </c>
      <c r="E174" s="298">
        <f>WEEKNUM(Planning2[[#This Row],[Date]],21)</f>
        <v/>
      </c>
      <c r="F174" s="299">
        <f>VLOOKUP(A174,Annuaire_roster!B:C,2,0)</f>
        <v/>
      </c>
      <c r="G174" s="293" t="n"/>
      <c r="H174" s="293" t="n"/>
    </row>
    <row r="175" hidden="1" ht="15" customHeight="1" s="231">
      <c r="A175" s="296" t="inlineStr">
        <is>
          <t>AIT LARBI HIND</t>
        </is>
      </c>
      <c r="B175" s="296">
        <f>+B143+1</f>
        <v/>
      </c>
      <c r="C175" s="297" t="n">
        <v>0.4166666666666667</v>
      </c>
      <c r="D175" s="297" t="n">
        <v>0.8333333333333334</v>
      </c>
      <c r="E175" s="298">
        <f>WEEKNUM(Planning2[[#This Row],[Date]],21)</f>
        <v/>
      </c>
      <c r="F175" s="299">
        <f>VLOOKUP(A175,Annuaire_roster!B:C,2,0)</f>
        <v/>
      </c>
      <c r="G175" s="293" t="n"/>
      <c r="H175" s="293" t="n"/>
    </row>
    <row r="176" hidden="1" ht="15" customHeight="1" s="231">
      <c r="A176" s="296" t="inlineStr">
        <is>
          <t>TOURE ABIBOU</t>
        </is>
      </c>
      <c r="B176" s="296">
        <f>+B144+1</f>
        <v/>
      </c>
      <c r="C176" s="297" t="inlineStr">
        <is>
          <t>OFF</t>
        </is>
      </c>
      <c r="D176" s="297" t="inlineStr">
        <is>
          <t>OFF</t>
        </is>
      </c>
      <c r="E176" s="298">
        <f>WEEKNUM(Planning2[[#This Row],[Date]],21)</f>
        <v/>
      </c>
      <c r="F176" s="299">
        <f>VLOOKUP(A176,Annuaire_roster!B:C,2,0)</f>
        <v/>
      </c>
      <c r="G176" s="293" t="n"/>
      <c r="H176" s="293" t="n"/>
    </row>
    <row r="177" hidden="1" ht="15" customHeight="1" s="231">
      <c r="A177" s="296" t="inlineStr">
        <is>
          <t>KANTAOUI SALMA</t>
        </is>
      </c>
      <c r="B177" s="296">
        <f>+B145+1</f>
        <v/>
      </c>
      <c r="C177" s="297" t="n">
        <v>0.4166666666666667</v>
      </c>
      <c r="D177" s="297" t="n">
        <v>0.8333333333333334</v>
      </c>
      <c r="E177" s="298">
        <f>WEEKNUM(Planning2[[#This Row],[Date]],21)</f>
        <v/>
      </c>
      <c r="F177" s="299">
        <f>VLOOKUP(A177,Annuaire_roster!B:C,2,0)</f>
        <v/>
      </c>
      <c r="G177" s="293" t="n"/>
      <c r="H177" s="293" t="n"/>
    </row>
    <row r="178" hidden="1" ht="15" customHeight="1" s="231">
      <c r="A178" s="296" t="inlineStr">
        <is>
          <t>ZIOUI DOUNIA</t>
        </is>
      </c>
      <c r="B178" s="296">
        <f>+B146+1</f>
        <v/>
      </c>
      <c r="C178" s="297" t="n">
        <v>0.4166666666666667</v>
      </c>
      <c r="D178" s="297" t="n">
        <v>0.8333333333333334</v>
      </c>
      <c r="E178" s="298">
        <f>WEEKNUM(Planning2[[#This Row],[Date]],21)</f>
        <v/>
      </c>
      <c r="F178" s="299">
        <f>VLOOKUP(A178,Annuaire_roster!B:C,2,0)</f>
        <v/>
      </c>
      <c r="G178" s="293" t="n"/>
      <c r="H178" s="293" t="n"/>
    </row>
    <row r="179" hidden="1" ht="15" customHeight="1" s="231">
      <c r="A179" s="296" t="inlineStr">
        <is>
          <t>AIT ADDI KHADIJA</t>
        </is>
      </c>
      <c r="B179" s="296">
        <f>+B147+1</f>
        <v/>
      </c>
      <c r="C179" s="297" t="n">
        <v>0.2916666666666667</v>
      </c>
      <c r="D179" s="297" t="n">
        <v>0.6666666666666666</v>
      </c>
      <c r="E179" s="298">
        <f>WEEKNUM(Planning2[[#This Row],[Date]],21)</f>
        <v/>
      </c>
      <c r="F179" s="299">
        <f>VLOOKUP(A179,Annuaire_roster!B:C,2,0)</f>
        <v/>
      </c>
      <c r="G179" s="293" t="n"/>
      <c r="H179" s="293" t="n"/>
    </row>
    <row r="180" hidden="1" ht="15" customHeight="1" s="231">
      <c r="A180" s="296" t="inlineStr">
        <is>
          <t>MELLAHI YOUSSEF</t>
        </is>
      </c>
      <c r="B180" s="296">
        <f>+B148+1</f>
        <v/>
      </c>
      <c r="C180" s="297" t="inlineStr">
        <is>
          <t>OFF</t>
        </is>
      </c>
      <c r="D180" s="297" t="inlineStr">
        <is>
          <t>OFF</t>
        </is>
      </c>
      <c r="E180" s="298">
        <f>WEEKNUM(Planning2[[#This Row],[Date]],21)</f>
        <v/>
      </c>
      <c r="F180" s="299">
        <f>VLOOKUP(A180,Annuaire_roster!B:C,2,0)</f>
        <v/>
      </c>
      <c r="G180" s="293" t="n"/>
      <c r="H180" s="293" t="n"/>
    </row>
    <row r="181" hidden="1" ht="15" customHeight="1" s="231">
      <c r="A181" s="296" t="inlineStr">
        <is>
          <t xml:space="preserve">EL HOUJJAJI Soufiane </t>
        </is>
      </c>
      <c r="B181" s="296">
        <f>+B149+1</f>
        <v/>
      </c>
      <c r="C181" s="297" t="inlineStr">
        <is>
          <t>OFF</t>
        </is>
      </c>
      <c r="D181" s="297" t="inlineStr">
        <is>
          <t>OFF</t>
        </is>
      </c>
      <c r="E181" s="298">
        <f>WEEKNUM(Planning2[[#This Row],[Date]],21)</f>
        <v/>
      </c>
      <c r="F181" s="299">
        <f>VLOOKUP(A181,Annuaire_roster!B:C,2,0)</f>
        <v/>
      </c>
      <c r="G181" s="293" t="n"/>
      <c r="H181" s="293" t="n"/>
    </row>
    <row r="182" hidden="1" ht="15" customHeight="1" s="231">
      <c r="A182" s="296" t="inlineStr">
        <is>
          <t>AZHARI ABDELHAMID</t>
        </is>
      </c>
      <c r="B182" s="296">
        <f>+B150+1</f>
        <v/>
      </c>
      <c r="C182" s="297" t="inlineStr">
        <is>
          <t>OFF</t>
        </is>
      </c>
      <c r="D182" s="297" t="inlineStr">
        <is>
          <t>OFF</t>
        </is>
      </c>
      <c r="E182" s="298">
        <f>WEEKNUM(Planning2[[#This Row],[Date]],21)</f>
        <v/>
      </c>
      <c r="F182" s="299">
        <f>VLOOKUP(A182,Annuaire_roster!B:C,2,0)</f>
        <v/>
      </c>
      <c r="G182" s="293" t="n"/>
      <c r="H182" s="293" t="n"/>
    </row>
    <row r="183" hidden="1" ht="15" customHeight="1" s="231">
      <c r="A183" s="296" t="inlineStr">
        <is>
          <t>NUNEZ LUCIEN BERNARD</t>
        </is>
      </c>
      <c r="B183" s="296">
        <f>+B151+1</f>
        <v/>
      </c>
      <c r="C183" s="297" t="n">
        <v>0.4166666666666667</v>
      </c>
      <c r="D183" s="297" t="n">
        <v>0.8333333333333334</v>
      </c>
      <c r="E183" s="298">
        <f>WEEKNUM(Planning2[[#This Row],[Date]],21)</f>
        <v/>
      </c>
      <c r="F183" s="299">
        <f>VLOOKUP(A183,Annuaire_roster!B:C,2,0)</f>
        <v/>
      </c>
      <c r="G183" s="293" t="n"/>
      <c r="H183" s="293" t="n"/>
    </row>
    <row r="184" hidden="1" ht="15" customHeight="1" s="231">
      <c r="A184" s="296" t="inlineStr">
        <is>
          <t xml:space="preserve">LALOUN MANAL </t>
        </is>
      </c>
      <c r="B184" s="296">
        <f>+B152+1</f>
        <v/>
      </c>
      <c r="C184" s="297" t="inlineStr">
        <is>
          <t>OFF</t>
        </is>
      </c>
      <c r="D184" s="297" t="inlineStr">
        <is>
          <t>OFF</t>
        </is>
      </c>
      <c r="E184" s="298">
        <f>WEEKNUM(Planning2[[#This Row],[Date]],21)</f>
        <v/>
      </c>
      <c r="F184" s="299">
        <f>VLOOKUP(A184,Annuaire_roster!B:C,2,0)</f>
        <v/>
      </c>
      <c r="G184" s="293" t="n"/>
      <c r="H184" s="293" t="n"/>
    </row>
    <row r="185" hidden="1" ht="15" customHeight="1" s="231">
      <c r="A185" s="296" t="inlineStr">
        <is>
          <t>SIDIBE MOUSKEBA DALAFINA</t>
        </is>
      </c>
      <c r="B185" s="296">
        <f>+B153+1</f>
        <v/>
      </c>
      <c r="C185" s="297" t="inlineStr">
        <is>
          <t>OFF</t>
        </is>
      </c>
      <c r="D185" s="297" t="inlineStr">
        <is>
          <t>OFF</t>
        </is>
      </c>
      <c r="E185" s="298">
        <f>WEEKNUM(Planning2[[#This Row],[Date]],21)</f>
        <v/>
      </c>
      <c r="F185" s="299">
        <f>VLOOKUP(A185,Annuaire_roster!B:C,2,0)</f>
        <v/>
      </c>
      <c r="G185" s="293" t="n"/>
      <c r="H185" s="293" t="n"/>
    </row>
    <row r="186" hidden="1" ht="15" customHeight="1" s="231">
      <c r="A186" s="296" t="inlineStr">
        <is>
          <t>BOULHROUD SALMA</t>
        </is>
      </c>
      <c r="B186" s="296">
        <f>+B154+1</f>
        <v/>
      </c>
      <c r="C186" s="297" t="n">
        <v>0.4166666666666667</v>
      </c>
      <c r="D186" s="297" t="n">
        <v>0.8333333333333334</v>
      </c>
      <c r="E186" s="298">
        <f>WEEKNUM(Planning2[[#This Row],[Date]],21)</f>
        <v/>
      </c>
      <c r="F186" s="299">
        <f>VLOOKUP(A186,Annuaire_roster!B:C,2,0)</f>
        <v/>
      </c>
      <c r="G186" s="293" t="n"/>
      <c r="H186" s="293" t="n"/>
    </row>
    <row r="187" hidden="1" ht="15" customHeight="1" s="231">
      <c r="A187" s="296" t="inlineStr">
        <is>
          <t>BOURABAA HASSAN</t>
        </is>
      </c>
      <c r="B187" s="296">
        <f>+B155+1</f>
        <v/>
      </c>
      <c r="C187" s="297" t="inlineStr">
        <is>
          <t>OFF</t>
        </is>
      </c>
      <c r="D187" s="297" t="inlineStr">
        <is>
          <t>OFF</t>
        </is>
      </c>
      <c r="E187" s="298">
        <f>WEEKNUM(Planning2[[#This Row],[Date]],21)</f>
        <v/>
      </c>
      <c r="F187" s="299">
        <f>VLOOKUP(A187,Annuaire_roster!B:C,2,0)</f>
        <v/>
      </c>
      <c r="G187" s="293" t="n"/>
      <c r="H187" s="293" t="n"/>
    </row>
    <row r="188" hidden="1" ht="15" customHeight="1" s="231">
      <c r="A188" s="296" t="inlineStr">
        <is>
          <t>SECK DIARRA</t>
        </is>
      </c>
      <c r="B188" s="296">
        <f>+B156+1</f>
        <v/>
      </c>
      <c r="C188" s="297" t="n">
        <v>0.2916666666666667</v>
      </c>
      <c r="D188" s="297" t="n">
        <v>0.6666666666666666</v>
      </c>
      <c r="E188" s="298">
        <f>WEEKNUM(Planning2[[#This Row],[Date]],21)</f>
        <v/>
      </c>
      <c r="F188" s="299">
        <f>VLOOKUP(A188,Annuaire_roster!B:C,2,0)</f>
        <v/>
      </c>
      <c r="G188" s="293" t="n"/>
      <c r="H188" s="293" t="n"/>
    </row>
    <row r="189" hidden="1" ht="15" customHeight="1" s="231">
      <c r="A189" s="296" t="inlineStr">
        <is>
          <t>AINELKITANE ZINEB</t>
        </is>
      </c>
      <c r="B189" s="296">
        <f>+B157+1</f>
        <v/>
      </c>
      <c r="C189" s="297" t="n">
        <v>0.4166666666666667</v>
      </c>
      <c r="D189" s="297" t="n">
        <v>0.8333333333333334</v>
      </c>
      <c r="E189" s="298">
        <f>WEEKNUM(Planning2[[#This Row],[Date]],21)</f>
        <v/>
      </c>
      <c r="F189" s="299">
        <f>VLOOKUP(A189,Annuaire_roster!B:C,2,0)</f>
        <v/>
      </c>
      <c r="G189" s="293" t="n"/>
      <c r="H189" s="293" t="n"/>
    </row>
    <row r="190" hidden="1" ht="15" customHeight="1" s="231">
      <c r="A190" s="296" t="inlineStr">
        <is>
          <t>BENSAR ANAS</t>
        </is>
      </c>
      <c r="B190" s="296">
        <f>+B158+1</f>
        <v/>
      </c>
      <c r="C190" s="297" t="n">
        <v>0.2916666666666667</v>
      </c>
      <c r="D190" s="297" t="n">
        <v>0.6666666666666666</v>
      </c>
      <c r="E190" s="298">
        <f>WEEKNUM(Planning2[[#This Row],[Date]],21)</f>
        <v/>
      </c>
      <c r="F190" s="299">
        <f>VLOOKUP(A190,Annuaire_roster!B:C,2,0)</f>
        <v/>
      </c>
      <c r="G190" s="293" t="n"/>
      <c r="H190" s="293" t="n"/>
    </row>
    <row r="191" hidden="1" ht="15" customHeight="1" s="231">
      <c r="A191" s="296" t="inlineStr">
        <is>
          <t>NEMMAOUI MOUNIRA</t>
        </is>
      </c>
      <c r="B191" s="296">
        <f>+B159+1</f>
        <v/>
      </c>
      <c r="C191" s="297" t="n">
        <v>0.2916666666666667</v>
      </c>
      <c r="D191" s="297" t="n">
        <v>0.6666666666666666</v>
      </c>
      <c r="E191" s="298">
        <f>WEEKNUM(Planning2[[#This Row],[Date]],21)</f>
        <v/>
      </c>
      <c r="F191" s="299">
        <f>VLOOKUP(A191,Annuaire_roster!B:C,2,0)</f>
        <v/>
      </c>
      <c r="G191" s="293" t="n"/>
      <c r="H191" s="293" t="n"/>
    </row>
    <row r="192" hidden="1" ht="15" customHeight="1" s="231">
      <c r="A192" s="296" t="inlineStr">
        <is>
          <t>QARBOUI Aymane</t>
        </is>
      </c>
      <c r="B192" s="296">
        <f>+B160+1</f>
        <v/>
      </c>
      <c r="C192" s="297" t="inlineStr">
        <is>
          <t>OFF</t>
        </is>
      </c>
      <c r="D192" s="297" t="inlineStr">
        <is>
          <t>OFF</t>
        </is>
      </c>
      <c r="E192" s="298">
        <f>WEEKNUM(Planning2[[#This Row],[Date]],21)</f>
        <v/>
      </c>
      <c r="F192" s="299">
        <f>VLOOKUP(A192,Annuaire_roster!B:C,2,0)</f>
        <v/>
      </c>
      <c r="G192" s="293" t="n"/>
      <c r="H192" s="293" t="n"/>
    </row>
    <row r="193" hidden="1" ht="15" customHeight="1" s="231">
      <c r="A193" s="305" t="inlineStr">
        <is>
          <t>SOUOUD ZAKARIA</t>
        </is>
      </c>
      <c r="B193" s="296">
        <f>+B161+1</f>
        <v/>
      </c>
      <c r="C193" s="297" t="n">
        <v>0.2916666666666667</v>
      </c>
      <c r="D193" s="297" t="n">
        <v>0.6666666666666666</v>
      </c>
      <c r="E193" s="298">
        <f>WEEKNUM(Planning2[[#This Row],[Date]],21)</f>
        <v/>
      </c>
      <c r="F193" s="299">
        <f>VLOOKUP(A193,Annuaire_roster!B:C,2,0)</f>
        <v/>
      </c>
      <c r="G193" s="293" t="n"/>
      <c r="H193" s="293" t="n"/>
    </row>
    <row r="194" hidden="1" ht="15" customHeight="1" s="231">
      <c r="A194" s="296" t="inlineStr">
        <is>
          <t>EL-AOUAQUI BOUCHRA</t>
        </is>
      </c>
      <c r="B194" s="296">
        <f>+B162+1</f>
        <v/>
      </c>
      <c r="C194" s="297" t="n">
        <v>0.4583333333333333</v>
      </c>
      <c r="D194" s="297" t="n">
        <v>0.8333333333333334</v>
      </c>
      <c r="E194" s="298">
        <f>WEEKNUM(Planning2[[#This Row],[Date]],21)</f>
        <v/>
      </c>
      <c r="F194" s="299">
        <f>VLOOKUP(A194,Annuaire_roster!B:C,2,0)</f>
        <v/>
      </c>
      <c r="G194" s="293" t="n"/>
      <c r="H194" s="293" t="n"/>
    </row>
    <row r="195" hidden="1" ht="15" customHeight="1" s="231">
      <c r="A195" s="296" t="inlineStr">
        <is>
          <t>IHASSANE Ikram</t>
        </is>
      </c>
      <c r="B195" s="296">
        <f>+B163+1</f>
        <v/>
      </c>
      <c r="C195" s="297" t="inlineStr">
        <is>
          <t>Missionnée</t>
        </is>
      </c>
      <c r="D195" s="297" t="inlineStr">
        <is>
          <t>Missionnée</t>
        </is>
      </c>
      <c r="E195" s="298">
        <f>WEEKNUM(Planning2[[#This Row],[Date]],21)</f>
        <v/>
      </c>
      <c r="F195" s="299">
        <f>VLOOKUP(A195,Annuaire_roster!B:C,2,0)</f>
        <v/>
      </c>
      <c r="G195" s="293" t="n"/>
      <c r="H195" s="293" t="n"/>
    </row>
    <row r="196" hidden="1" ht="15" customHeight="1" s="231">
      <c r="A196" s="296" t="inlineStr">
        <is>
          <t>NIANG NDEYE ABSA</t>
        </is>
      </c>
      <c r="B196" s="296">
        <f>+B164+1</f>
        <v/>
      </c>
      <c r="C196" s="297" t="inlineStr">
        <is>
          <t>OFF</t>
        </is>
      </c>
      <c r="D196" s="297" t="inlineStr">
        <is>
          <t>OFF</t>
        </is>
      </c>
      <c r="E196" s="298">
        <f>WEEKNUM(Planning2[[#This Row],[Date]],21)</f>
        <v/>
      </c>
      <c r="F196" s="299">
        <f>VLOOKUP(A196,Annuaire_roster!B:C,2,0)</f>
        <v/>
      </c>
      <c r="G196" s="293" t="n"/>
      <c r="H196" s="293" t="n"/>
    </row>
    <row r="197" hidden="1" ht="15" customHeight="1" s="231">
      <c r="A197" s="296" t="inlineStr">
        <is>
          <t>ZAKI OMAR</t>
        </is>
      </c>
      <c r="B197" s="296">
        <f>+B165+1</f>
        <v/>
      </c>
      <c r="C197" s="297" t="inlineStr">
        <is>
          <t>OFF</t>
        </is>
      </c>
      <c r="D197" s="297" t="inlineStr">
        <is>
          <t>OFF</t>
        </is>
      </c>
      <c r="E197" s="298">
        <f>WEEKNUM(Planning2[[#This Row],[Date]],21)</f>
        <v/>
      </c>
      <c r="F197" s="299">
        <f>VLOOKUP(A197,Annuaire_roster!B:C,2,0)</f>
        <v/>
      </c>
      <c r="G197" s="293" t="n"/>
      <c r="H197" s="293" t="n"/>
    </row>
    <row r="198" hidden="1" ht="15" customHeight="1" s="231">
      <c r="A198" s="296" t="inlineStr">
        <is>
          <t>EL HOUSSAINI HOUDA</t>
        </is>
      </c>
      <c r="B198" s="296">
        <f>+B166+1</f>
        <v/>
      </c>
      <c r="C198" s="297" t="inlineStr">
        <is>
          <t>OFF</t>
        </is>
      </c>
      <c r="D198" s="297" t="inlineStr">
        <is>
          <t>OFF</t>
        </is>
      </c>
      <c r="E198" s="298">
        <f>WEEKNUM(Planning2[[#This Row],[Date]],21)</f>
        <v/>
      </c>
      <c r="F198" s="299">
        <f>VLOOKUP(A198,Annuaire_roster!B:C,2,0)</f>
        <v/>
      </c>
      <c r="G198" s="293" t="n"/>
      <c r="H198" s="293" t="n"/>
    </row>
    <row r="199" hidden="1" ht="15" customHeight="1" s="231">
      <c r="A199" s="296" t="inlineStr">
        <is>
          <t>EL HARROUCHI CHAIMAE</t>
        </is>
      </c>
      <c r="B199" s="296">
        <f>+B167+1</f>
        <v/>
      </c>
      <c r="C199" s="297" t="inlineStr">
        <is>
          <t>OFF</t>
        </is>
      </c>
      <c r="D199" s="297" t="inlineStr">
        <is>
          <t>OFF</t>
        </is>
      </c>
      <c r="E199" s="298">
        <f>WEEKNUM(Planning2[[#This Row],[Date]],21)</f>
        <v/>
      </c>
      <c r="F199" s="299">
        <f>VLOOKUP(A199,Annuaire_roster!B:C,2,0)</f>
        <v/>
      </c>
      <c r="G199" s="293" t="n"/>
      <c r="H199" s="293" t="n"/>
    </row>
    <row r="200" hidden="1" ht="15" customHeight="1" s="231">
      <c r="A200" s="296" t="inlineStr">
        <is>
          <t>LAFDIL NADA</t>
        </is>
      </c>
      <c r="B200" s="296">
        <f>+B168+1</f>
        <v/>
      </c>
      <c r="C200" s="297" t="inlineStr">
        <is>
          <t>OFF</t>
        </is>
      </c>
      <c r="D200" s="297" t="inlineStr">
        <is>
          <t>OFF</t>
        </is>
      </c>
      <c r="E200" s="298">
        <f>WEEKNUM(Planning2[[#This Row],[Date]],21)</f>
        <v/>
      </c>
      <c r="F200" s="299">
        <f>VLOOKUP(A200,Annuaire_roster!B:C,2,0)</f>
        <v/>
      </c>
      <c r="G200" s="293" t="n"/>
      <c r="H200" s="293" t="n"/>
    </row>
    <row r="201" hidden="1" ht="15" customHeight="1" s="231">
      <c r="A201" s="296" t="inlineStr">
        <is>
          <t>GUEYE MOUHAMED</t>
        </is>
      </c>
      <c r="B201" s="296">
        <f>+B169+1</f>
        <v/>
      </c>
      <c r="C201" s="297" t="inlineStr">
        <is>
          <t>OFF</t>
        </is>
      </c>
      <c r="D201" s="297" t="inlineStr">
        <is>
          <t>OFF</t>
        </is>
      </c>
      <c r="E201" s="298">
        <f>WEEKNUM(Planning2[[#This Row],[Date]],21)</f>
        <v/>
      </c>
      <c r="F201" s="299">
        <f>VLOOKUP(A201,Annuaire_roster!B:C,2,0)</f>
        <v/>
      </c>
      <c r="G201" s="293" t="n"/>
      <c r="H201" s="293" t="n"/>
    </row>
    <row r="202" hidden="1" ht="15" customHeight="1" s="231">
      <c r="A202" s="296" t="inlineStr">
        <is>
          <t>RACHAD NAWAR</t>
        </is>
      </c>
      <c r="B202" s="296">
        <f>+B170+1</f>
        <v/>
      </c>
      <c r="C202" s="297" t="n">
        <v>0.2916666666666667</v>
      </c>
      <c r="D202" s="297" t="n">
        <v>0.7083333333333334</v>
      </c>
      <c r="E202" s="298">
        <f>WEEKNUM(Planning2[[#This Row],[Date]],21)</f>
        <v/>
      </c>
      <c r="F202" s="299">
        <f>VLOOKUP(A202,Annuaire_roster!B:C,2,0)</f>
        <v/>
      </c>
      <c r="G202" s="293" t="n"/>
      <c r="H202" s="293" t="n"/>
    </row>
    <row r="203" hidden="1" ht="15" customHeight="1" s="231">
      <c r="A203" s="296" t="inlineStr">
        <is>
          <t>ZITOUNI LAMYA</t>
        </is>
      </c>
      <c r="B203" s="296">
        <f>+B171+1</f>
        <v/>
      </c>
      <c r="C203" s="297" t="n">
        <v>0.2916666666666667</v>
      </c>
      <c r="D203" s="297" t="n">
        <v>0.6666666666666666</v>
      </c>
      <c r="E203" s="298">
        <f>WEEKNUM(Planning2[[#This Row],[Date]],21)</f>
        <v/>
      </c>
      <c r="F203" s="299">
        <f>VLOOKUP(A203,Annuaire_roster!B:C,2,0)</f>
        <v/>
      </c>
      <c r="G203" s="293" t="n"/>
      <c r="H203" s="293" t="n"/>
    </row>
    <row r="204" hidden="1" ht="15" customHeight="1" s="231">
      <c r="A204" s="296" t="inlineStr">
        <is>
          <t>GUEYE GORA</t>
        </is>
      </c>
      <c r="B204" s="296">
        <f>+B172+1</f>
        <v/>
      </c>
      <c r="C204" s="297" t="inlineStr">
        <is>
          <t>OFF</t>
        </is>
      </c>
      <c r="D204" s="297" t="inlineStr">
        <is>
          <t>OFF</t>
        </is>
      </c>
      <c r="E204" s="298">
        <f>WEEKNUM(Planning2[[#This Row],[Date]],21)</f>
        <v/>
      </c>
      <c r="F204" s="299">
        <f>VLOOKUP(A204,Annuaire_roster!B:C,2,0)</f>
        <v/>
      </c>
      <c r="G204" s="293" t="n"/>
      <c r="H204" s="293" t="n"/>
    </row>
    <row r="205" hidden="1" ht="15" customHeight="1" s="231">
      <c r="A205" s="296" t="inlineStr">
        <is>
          <t>DIOUF OUSSMANE</t>
        </is>
      </c>
      <c r="B205" s="296">
        <f>+B173+1</f>
        <v/>
      </c>
      <c r="C205" s="297" t="inlineStr">
        <is>
          <t>OFF</t>
        </is>
      </c>
      <c r="D205" s="297" t="inlineStr">
        <is>
          <t>OFF</t>
        </is>
      </c>
      <c r="E205" s="298">
        <f>WEEKNUM(Planning2[[#This Row],[Date]],21)</f>
        <v/>
      </c>
      <c r="F205" s="299">
        <f>VLOOKUP(A205,Annuaire_roster!B:C,2,0)</f>
        <v/>
      </c>
      <c r="G205" s="293" t="n"/>
      <c r="H205" s="293" t="n"/>
    </row>
    <row r="206" hidden="1" ht="15" customHeight="1" s="231">
      <c r="A206" s="296" t="inlineStr">
        <is>
          <t xml:space="preserve">DERKAOUI AMAL </t>
        </is>
      </c>
      <c r="B206" s="296">
        <f>+B174+1</f>
        <v/>
      </c>
      <c r="C206" s="297" t="inlineStr">
        <is>
          <t>OFF</t>
        </is>
      </c>
      <c r="D206" s="297" t="inlineStr">
        <is>
          <t>OFF</t>
        </is>
      </c>
      <c r="E206" s="298">
        <f>WEEKNUM(Planning2[[#This Row],[Date]],21)</f>
        <v/>
      </c>
      <c r="F206" s="299">
        <f>VLOOKUP(A206,Annuaire_roster!B:C,2,0)</f>
        <v/>
      </c>
      <c r="G206" s="293" t="n"/>
      <c r="H206" s="293" t="n"/>
    </row>
    <row r="207" hidden="1" ht="15" customHeight="1" s="231">
      <c r="A207" s="296" t="inlineStr">
        <is>
          <t>AIT LARBI HIND</t>
        </is>
      </c>
      <c r="B207" s="296">
        <f>+B175+1</f>
        <v/>
      </c>
      <c r="C207" s="297" t="n">
        <v>0.4166666666666667</v>
      </c>
      <c r="D207" s="297" t="n">
        <v>0.8333333333333334</v>
      </c>
      <c r="E207" s="298">
        <f>WEEKNUM(Planning2[[#This Row],[Date]],21)</f>
        <v/>
      </c>
      <c r="F207" s="299">
        <f>VLOOKUP(A207,Annuaire_roster!B:C,2,0)</f>
        <v/>
      </c>
      <c r="G207" s="293" t="n"/>
      <c r="H207" s="293" t="n"/>
    </row>
    <row r="208" hidden="1" ht="15" customHeight="1" s="231">
      <c r="A208" s="296" t="inlineStr">
        <is>
          <t>TOURE ABIBOU</t>
        </is>
      </c>
      <c r="B208" s="296">
        <f>+B176+1</f>
        <v/>
      </c>
      <c r="C208" s="297" t="inlineStr">
        <is>
          <t>OFF</t>
        </is>
      </c>
      <c r="D208" s="297" t="inlineStr">
        <is>
          <t>OFF</t>
        </is>
      </c>
      <c r="E208" s="298">
        <f>WEEKNUM(Planning2[[#This Row],[Date]],21)</f>
        <v/>
      </c>
      <c r="F208" s="299">
        <f>VLOOKUP(A208,Annuaire_roster!B:C,2,0)</f>
        <v/>
      </c>
      <c r="G208" s="293" t="n"/>
      <c r="H208" s="293" t="n"/>
    </row>
    <row r="209" hidden="1" ht="15" customHeight="1" s="231">
      <c r="A209" s="296" t="inlineStr">
        <is>
          <t>KANTAOUI SALMA</t>
        </is>
      </c>
      <c r="B209" s="296">
        <f>+B177+1</f>
        <v/>
      </c>
      <c r="C209" s="297" t="n">
        <v>0.4583333333333333</v>
      </c>
      <c r="D209" s="297" t="n">
        <v>0.8333333333333334</v>
      </c>
      <c r="E209" s="298">
        <f>WEEKNUM(Planning2[[#This Row],[Date]],21)</f>
        <v/>
      </c>
      <c r="F209" s="299">
        <f>VLOOKUP(A209,Annuaire_roster!B:C,2,0)</f>
        <v/>
      </c>
      <c r="G209" s="293" t="n"/>
      <c r="H209" s="293" t="n"/>
    </row>
    <row r="210" hidden="1" ht="15" customHeight="1" s="231">
      <c r="A210" s="296" t="inlineStr">
        <is>
          <t>ZIOUI DOUNIA</t>
        </is>
      </c>
      <c r="B210" s="296">
        <f>+B178+1</f>
        <v/>
      </c>
      <c r="C210" s="297" t="n">
        <v>0.4166666666666667</v>
      </c>
      <c r="D210" s="297" t="n">
        <v>0.8333333333333334</v>
      </c>
      <c r="E210" s="298">
        <f>WEEKNUM(Planning2[[#This Row],[Date]],21)</f>
        <v/>
      </c>
      <c r="F210" s="299">
        <f>VLOOKUP(A210,Annuaire_roster!B:C,2,0)</f>
        <v/>
      </c>
      <c r="G210" s="293" t="n"/>
      <c r="H210" s="293" t="n"/>
    </row>
    <row r="211" hidden="1" ht="15" customHeight="1" s="231">
      <c r="A211" s="296" t="inlineStr">
        <is>
          <t>AIT ADDI KHADIJA</t>
        </is>
      </c>
      <c r="B211" s="296">
        <f>+B179+1</f>
        <v/>
      </c>
      <c r="C211" s="297" t="inlineStr">
        <is>
          <t>OFF</t>
        </is>
      </c>
      <c r="D211" s="297" t="inlineStr">
        <is>
          <t>OFF</t>
        </is>
      </c>
      <c r="E211" s="298">
        <f>WEEKNUM(Planning2[[#This Row],[Date]],21)</f>
        <v/>
      </c>
      <c r="F211" s="299">
        <f>VLOOKUP(A211,Annuaire_roster!B:C,2,0)</f>
        <v/>
      </c>
      <c r="G211" s="293" t="n"/>
      <c r="H211" s="293" t="n"/>
    </row>
    <row r="212" hidden="1" ht="15" customHeight="1" s="231">
      <c r="A212" s="296" t="inlineStr">
        <is>
          <t>MELLAHI YOUSSEF</t>
        </is>
      </c>
      <c r="B212" s="296">
        <f>+B180+1</f>
        <v/>
      </c>
      <c r="C212" s="297" t="inlineStr">
        <is>
          <t>OFF</t>
        </is>
      </c>
      <c r="D212" s="297" t="inlineStr">
        <is>
          <t>OFF</t>
        </is>
      </c>
      <c r="E212" s="298">
        <f>WEEKNUM(Planning2[[#This Row],[Date]],21)</f>
        <v/>
      </c>
      <c r="F212" s="299">
        <f>VLOOKUP(A212,Annuaire_roster!B:C,2,0)</f>
        <v/>
      </c>
      <c r="G212" s="293" t="n"/>
      <c r="H212" s="293" t="n"/>
    </row>
    <row r="213" hidden="1" ht="15" customHeight="1" s="231">
      <c r="A213" s="296" t="inlineStr">
        <is>
          <t xml:space="preserve">EL HOUJJAJI Soufiane </t>
        </is>
      </c>
      <c r="B213" s="296">
        <f>+B181+1</f>
        <v/>
      </c>
      <c r="C213" s="297" t="inlineStr">
        <is>
          <t>OFF</t>
        </is>
      </c>
      <c r="D213" s="297" t="inlineStr">
        <is>
          <t>OFF</t>
        </is>
      </c>
      <c r="E213" s="298">
        <f>WEEKNUM(Planning2[[#This Row],[Date]],21)</f>
        <v/>
      </c>
      <c r="F213" s="299">
        <f>VLOOKUP(A213,Annuaire_roster!B:C,2,0)</f>
        <v/>
      </c>
      <c r="G213" s="293" t="n"/>
      <c r="H213" s="293" t="n"/>
    </row>
    <row r="214" hidden="1" ht="15" customHeight="1" s="231">
      <c r="A214" s="296" t="inlineStr">
        <is>
          <t>AZHARI ABDELHAMID</t>
        </is>
      </c>
      <c r="B214" s="296">
        <f>+B182+1</f>
        <v/>
      </c>
      <c r="C214" s="297" t="inlineStr">
        <is>
          <t>OFF</t>
        </is>
      </c>
      <c r="D214" s="297" t="inlineStr">
        <is>
          <t>OFF</t>
        </is>
      </c>
      <c r="E214" s="298">
        <f>WEEKNUM(Planning2[[#This Row],[Date]],21)</f>
        <v/>
      </c>
      <c r="F214" s="299">
        <f>VLOOKUP(A214,Annuaire_roster!B:C,2,0)</f>
        <v/>
      </c>
      <c r="G214" s="293" t="n"/>
      <c r="H214" s="293" t="n"/>
    </row>
    <row r="215" hidden="1" ht="15" customHeight="1" s="231">
      <c r="A215" s="296" t="inlineStr">
        <is>
          <t>NUNEZ LUCIEN BERNARD</t>
        </is>
      </c>
      <c r="B215" s="296">
        <f>+B183+1</f>
        <v/>
      </c>
      <c r="C215" s="297" t="n">
        <v>0.2916666666666667</v>
      </c>
      <c r="D215" s="297" t="n">
        <v>0.7083333333333334</v>
      </c>
      <c r="E215" s="298">
        <f>WEEKNUM(Planning2[[#This Row],[Date]],21)</f>
        <v/>
      </c>
      <c r="F215" s="299">
        <f>VLOOKUP(A215,Annuaire_roster!B:C,2,0)</f>
        <v/>
      </c>
      <c r="G215" s="293" t="n"/>
      <c r="H215" s="293" t="n"/>
    </row>
    <row r="216" hidden="1" ht="15" customHeight="1" s="231">
      <c r="A216" s="296" t="inlineStr">
        <is>
          <t xml:space="preserve">LALOUN MANAL </t>
        </is>
      </c>
      <c r="B216" s="296">
        <f>+B184+1</f>
        <v/>
      </c>
      <c r="C216" s="297" t="inlineStr">
        <is>
          <t>OFF</t>
        </is>
      </c>
      <c r="D216" s="297" t="inlineStr">
        <is>
          <t>OFF</t>
        </is>
      </c>
      <c r="E216" s="298">
        <f>WEEKNUM(Planning2[[#This Row],[Date]],21)</f>
        <v/>
      </c>
      <c r="F216" s="299">
        <f>VLOOKUP(A216,Annuaire_roster!B:C,2,0)</f>
        <v/>
      </c>
      <c r="G216" s="293" t="n"/>
      <c r="H216" s="293" t="n"/>
    </row>
    <row r="217" hidden="1" ht="15" customHeight="1" s="231">
      <c r="A217" s="296" t="inlineStr">
        <is>
          <t>SIDIBE MOUSKEBA DALAFINA</t>
        </is>
      </c>
      <c r="B217" s="296">
        <f>+B185+1</f>
        <v/>
      </c>
      <c r="C217" s="297" t="n">
        <v>0.2916666666666667</v>
      </c>
      <c r="D217" s="297" t="n">
        <v>0.6666666666666666</v>
      </c>
      <c r="E217" s="298">
        <f>WEEKNUM(Planning2[[#This Row],[Date]],21)</f>
        <v/>
      </c>
      <c r="F217" s="299">
        <f>VLOOKUP(A217,Annuaire_roster!B:C,2,0)</f>
        <v/>
      </c>
      <c r="G217" s="293" t="n"/>
      <c r="H217" s="293" t="n"/>
    </row>
    <row r="218" hidden="1" ht="15" customHeight="1" s="231">
      <c r="A218" s="296" t="inlineStr">
        <is>
          <t>BOULHROUD SALMA</t>
        </is>
      </c>
      <c r="B218" s="296">
        <f>+B186+1</f>
        <v/>
      </c>
      <c r="C218" s="297" t="inlineStr">
        <is>
          <t>OFF</t>
        </is>
      </c>
      <c r="D218" s="297" t="inlineStr">
        <is>
          <t>OFF</t>
        </is>
      </c>
      <c r="E218" s="298">
        <f>WEEKNUM(Planning2[[#This Row],[Date]],21)</f>
        <v/>
      </c>
      <c r="F218" s="299">
        <f>VLOOKUP(A218,Annuaire_roster!B:C,2,0)</f>
        <v/>
      </c>
      <c r="G218" s="293" t="n"/>
      <c r="H218" s="293" t="n"/>
    </row>
    <row r="219" hidden="1" ht="15" customHeight="1" s="231">
      <c r="A219" s="296" t="inlineStr">
        <is>
          <t>BOURABAA HASSAN</t>
        </is>
      </c>
      <c r="B219" s="296">
        <f>+B187+1</f>
        <v/>
      </c>
      <c r="C219" s="297" t="inlineStr">
        <is>
          <t>OFF</t>
        </is>
      </c>
      <c r="D219" s="297" t="inlineStr">
        <is>
          <t>OFF</t>
        </is>
      </c>
      <c r="E219" s="298">
        <f>WEEKNUM(Planning2[[#This Row],[Date]],21)</f>
        <v/>
      </c>
      <c r="F219" s="299">
        <f>VLOOKUP(A219,Annuaire_roster!B:C,2,0)</f>
        <v/>
      </c>
      <c r="G219" s="293" t="n"/>
      <c r="H219" s="293" t="n"/>
    </row>
    <row r="220" hidden="1" ht="15" customHeight="1" s="231">
      <c r="A220" s="296" t="inlineStr">
        <is>
          <t>SECK DIARRA</t>
        </is>
      </c>
      <c r="B220" s="296">
        <f>+B188+1</f>
        <v/>
      </c>
      <c r="C220" s="297" t="n">
        <v>0.2916666666666667</v>
      </c>
      <c r="D220" s="297" t="n">
        <v>0.7083333333333334</v>
      </c>
      <c r="E220" s="298">
        <f>WEEKNUM(Planning2[[#This Row],[Date]],21)</f>
        <v/>
      </c>
      <c r="F220" s="299">
        <f>VLOOKUP(A220,Annuaire_roster!B:C,2,0)</f>
        <v/>
      </c>
      <c r="G220" s="293" t="n"/>
      <c r="H220" s="293" t="n"/>
    </row>
    <row r="221" hidden="1" ht="15" customHeight="1" s="231">
      <c r="A221" s="296" t="inlineStr">
        <is>
          <t>AINELKITANE ZINEB</t>
        </is>
      </c>
      <c r="B221" s="296">
        <f>+B189+1</f>
        <v/>
      </c>
      <c r="C221" s="297" t="n">
        <v>0.4583333333333333</v>
      </c>
      <c r="D221" s="297" t="n">
        <v>0.8333333333333334</v>
      </c>
      <c r="E221" s="298">
        <f>WEEKNUM(Planning2[[#This Row],[Date]],21)</f>
        <v/>
      </c>
      <c r="F221" s="299">
        <f>VLOOKUP(A221,Annuaire_roster!B:C,2,0)</f>
        <v/>
      </c>
      <c r="G221" s="293" t="n"/>
      <c r="H221" s="293" t="n"/>
    </row>
    <row r="222" hidden="1" ht="15" customHeight="1" s="231">
      <c r="A222" s="296" t="inlineStr">
        <is>
          <t>BENSAR ANAS</t>
        </is>
      </c>
      <c r="B222" s="296">
        <f>+B190+1</f>
        <v/>
      </c>
      <c r="C222" s="297" t="inlineStr">
        <is>
          <t>OFF</t>
        </is>
      </c>
      <c r="D222" s="297" t="inlineStr">
        <is>
          <t>OFF</t>
        </is>
      </c>
      <c r="E222" s="298">
        <f>WEEKNUM(Planning2[[#This Row],[Date]],21)</f>
        <v/>
      </c>
      <c r="F222" s="299">
        <f>VLOOKUP(A222,Annuaire_roster!B:C,2,0)</f>
        <v/>
      </c>
      <c r="G222" s="293" t="n"/>
      <c r="H222" s="293" t="n"/>
    </row>
    <row r="223" hidden="1" ht="15" customHeight="1" s="231">
      <c r="A223" s="296" t="inlineStr">
        <is>
          <t>NEMMAOUI MOUNIRA</t>
        </is>
      </c>
      <c r="B223" s="296">
        <f>+B191+1</f>
        <v/>
      </c>
      <c r="C223" s="297" t="inlineStr">
        <is>
          <t>OFF</t>
        </is>
      </c>
      <c r="D223" s="297" t="inlineStr">
        <is>
          <t>OFF</t>
        </is>
      </c>
      <c r="E223" s="298">
        <f>WEEKNUM(Planning2[[#This Row],[Date]],21)</f>
        <v/>
      </c>
      <c r="F223" s="299">
        <f>VLOOKUP(A223,Annuaire_roster!B:C,2,0)</f>
        <v/>
      </c>
      <c r="G223" s="293" t="n"/>
      <c r="H223" s="293" t="n"/>
    </row>
    <row r="224" hidden="1" ht="15" customHeight="1" s="231">
      <c r="A224" s="296" t="inlineStr">
        <is>
          <t>QARBOUI Aymane</t>
        </is>
      </c>
      <c r="B224" s="296">
        <f>+B192+1</f>
        <v/>
      </c>
      <c r="C224" s="297" t="inlineStr">
        <is>
          <t>OFF</t>
        </is>
      </c>
      <c r="D224" s="297" t="inlineStr">
        <is>
          <t>OFF</t>
        </is>
      </c>
      <c r="E224" s="298">
        <f>WEEKNUM(Planning2[[#This Row],[Date]],21)</f>
        <v/>
      </c>
      <c r="F224" s="299">
        <f>VLOOKUP(A224,Annuaire_roster!B:C,2,0)</f>
        <v/>
      </c>
      <c r="G224" s="293" t="n"/>
      <c r="H224" s="293" t="n"/>
    </row>
    <row r="225" hidden="1" ht="15" customHeight="1" s="231">
      <c r="A225" s="305" t="inlineStr">
        <is>
          <t>SOUOUD ZAKARIA</t>
        </is>
      </c>
      <c r="B225" s="296">
        <f>+B193+1</f>
        <v/>
      </c>
      <c r="C225" s="297" t="inlineStr">
        <is>
          <t>OFF</t>
        </is>
      </c>
      <c r="D225" s="297" t="inlineStr">
        <is>
          <t>OFF</t>
        </is>
      </c>
      <c r="E225" s="298">
        <f>WEEKNUM(Planning2[[#This Row],[Date]],21)</f>
        <v/>
      </c>
      <c r="F225" s="299">
        <f>VLOOKUP(A225,Annuaire_roster!B:C,2,0)</f>
        <v/>
      </c>
      <c r="G225" s="293" t="n"/>
      <c r="H225" s="293" t="n"/>
    </row>
  </sheetData>
  <mergeCells count="2">
    <mergeCell ref="K2:K3"/>
    <mergeCell ref="K6:K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1">
    <outlinePr summaryBelow="1" summaryRight="1"/>
    <pageSetUpPr fitToPage="0"/>
  </sheetPr>
  <dimension ref="A1:M105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pane xSplit="0" ySplit="1" topLeftCell="A26" activePane="bottomLeft" state="frozen"/>
      <selection pane="topLeft" activeCell="A1" activeCellId="0" sqref="A1"/>
      <selection pane="bottomLeft" activeCell="A92" activeCellId="0" sqref="A92"/>
    </sheetView>
  </sheetViews>
  <sheetFormatPr baseColWidth="8" defaultColWidth="11.42578125" defaultRowHeight="15" zeroHeight="0" outlineLevelRow="0"/>
  <cols>
    <col width="10.42" customWidth="1" style="216" min="1" max="1"/>
    <col width="37.42" customWidth="1" style="308" min="2" max="2"/>
    <col width="23.29" customWidth="1" style="216" min="3" max="3"/>
    <col width="23.29" customWidth="1" style="309" min="4" max="4"/>
    <col width="28.42" customWidth="1" style="216" min="5" max="5"/>
    <col width="10.42" customWidth="1" style="216" min="6" max="7"/>
    <col width="17.42" customWidth="1" style="310" min="8" max="8"/>
    <col width="18.42" customWidth="1" style="310" min="9" max="9"/>
    <col width="41.57" customWidth="1" style="216" min="10" max="10"/>
  </cols>
  <sheetData>
    <row r="1" ht="15" customHeight="1" s="231">
      <c r="A1" s="311" t="inlineStr">
        <is>
          <t>Matricule</t>
        </is>
      </c>
      <c r="B1" s="312" t="inlineStr">
        <is>
          <t>Nom Prénom</t>
        </is>
      </c>
      <c r="C1" s="311" t="inlineStr">
        <is>
          <t>Segment</t>
        </is>
      </c>
      <c r="D1" s="311" t="inlineStr">
        <is>
          <t>Business</t>
        </is>
      </c>
      <c r="E1" s="311" t="inlineStr">
        <is>
          <t>Team</t>
        </is>
      </c>
      <c r="F1" s="311" t="inlineStr">
        <is>
          <t>Matricule</t>
        </is>
      </c>
      <c r="G1" s="313" t="inlineStr">
        <is>
          <t>Statut</t>
        </is>
      </c>
      <c r="H1" s="314" t="inlineStr">
        <is>
          <t>Date embauche</t>
        </is>
      </c>
      <c r="I1" s="315" t="inlineStr">
        <is>
          <t>Date sortie</t>
        </is>
      </c>
    </row>
    <row r="2" ht="15" customHeight="1" s="231">
      <c r="A2" s="316" t="n">
        <v>364</v>
      </c>
      <c r="B2" s="317" t="inlineStr">
        <is>
          <t>EL-AOUAQUI BOUCHRA</t>
        </is>
      </c>
      <c r="C2" s="266" t="inlineStr">
        <is>
          <t>Google Leads</t>
        </is>
      </c>
      <c r="D2" s="266" t="inlineStr">
        <is>
          <t>Google Leads</t>
        </is>
      </c>
      <c r="E2" s="318" t="inlineStr">
        <is>
          <t>OUAQERROUCH Nour-El Houda</t>
        </is>
      </c>
      <c r="F2" s="316" t="n">
        <v>364</v>
      </c>
      <c r="G2" s="319" t="inlineStr">
        <is>
          <t>Forfaitaire</t>
        </is>
      </c>
      <c r="H2" s="320" t="n"/>
      <c r="I2" s="308" t="n"/>
    </row>
    <row r="3" ht="15" customHeight="1" s="231">
      <c r="A3" s="316" t="n">
        <v>555</v>
      </c>
      <c r="B3" s="317" t="inlineStr">
        <is>
          <t>COUNDOUL Birane</t>
        </is>
      </c>
      <c r="C3" s="266" t="inlineStr">
        <is>
          <t>Google Leads</t>
        </is>
      </c>
      <c r="D3" s="266" t="inlineStr">
        <is>
          <t>Google Leads</t>
        </is>
      </c>
      <c r="E3" s="318" t="inlineStr">
        <is>
          <t>OUAQERROUCH Nour-El Houda</t>
        </is>
      </c>
      <c r="F3" s="316" t="n">
        <v>555</v>
      </c>
      <c r="G3" s="319" t="inlineStr">
        <is>
          <t>Forfaitaire</t>
        </is>
      </c>
      <c r="H3" s="320" t="n"/>
      <c r="I3" s="308" t="n"/>
    </row>
    <row r="4" ht="15" customHeight="1" s="231">
      <c r="A4" s="316" t="n">
        <v>973</v>
      </c>
      <c r="B4" s="317" t="inlineStr">
        <is>
          <t>BOUMEZGANE Soukaina</t>
        </is>
      </c>
      <c r="C4" s="266" t="inlineStr">
        <is>
          <t>Google Leads</t>
        </is>
      </c>
      <c r="D4" s="266" t="inlineStr">
        <is>
          <t>Google Leads</t>
        </is>
      </c>
      <c r="E4" s="321" t="inlineStr">
        <is>
          <t>OUAQERROUCH Nour-El Houda</t>
        </is>
      </c>
      <c r="F4" s="316" t="n">
        <v>973</v>
      </c>
      <c r="G4" s="319" t="inlineStr">
        <is>
          <t>Forfaitaire</t>
        </is>
      </c>
      <c r="H4" s="320" t="n"/>
      <c r="I4" s="308" t="n"/>
    </row>
    <row r="5" ht="15" customHeight="1" s="231">
      <c r="A5" s="316" t="n">
        <v>952</v>
      </c>
      <c r="B5" s="317" t="inlineStr">
        <is>
          <t>EL HARROUCHI Chaimae</t>
        </is>
      </c>
      <c r="C5" s="266" t="inlineStr">
        <is>
          <t>Google Leads</t>
        </is>
      </c>
      <c r="D5" s="266" t="inlineStr">
        <is>
          <t>Google Leads</t>
        </is>
      </c>
      <c r="E5" s="318" t="inlineStr">
        <is>
          <t>OUAQERROUCH Nour-El Houda</t>
        </is>
      </c>
      <c r="F5" s="316" t="n">
        <v>952</v>
      </c>
      <c r="G5" s="319" t="inlineStr">
        <is>
          <t>Forfaitaire</t>
        </is>
      </c>
      <c r="H5" s="320" t="n"/>
      <c r="I5" s="308" t="n"/>
    </row>
    <row r="6" ht="15" customHeight="1" s="231">
      <c r="A6" s="316" t="n">
        <v>1009</v>
      </c>
      <c r="B6" s="317" t="inlineStr">
        <is>
          <t>ZITOUNI LAMYA</t>
        </is>
      </c>
      <c r="C6" s="266" t="inlineStr">
        <is>
          <t>Google Leads</t>
        </is>
      </c>
      <c r="D6" s="266" t="inlineStr">
        <is>
          <t>Google Leads</t>
        </is>
      </c>
      <c r="E6" s="318" t="inlineStr">
        <is>
          <t>OUAQERROUCH Nour-El Houda</t>
        </is>
      </c>
      <c r="F6" s="316" t="n">
        <v>1009</v>
      </c>
      <c r="G6" s="319" t="inlineStr">
        <is>
          <t>Forfaitaire</t>
        </is>
      </c>
      <c r="H6" s="320" t="n"/>
      <c r="I6" s="308" t="n"/>
    </row>
    <row r="7" ht="15" customHeight="1" s="231">
      <c r="A7" s="316" t="n">
        <v>1007</v>
      </c>
      <c r="B7" s="317" t="inlineStr">
        <is>
          <t>GUEYE MOUHAMED</t>
        </is>
      </c>
      <c r="C7" s="266" t="inlineStr">
        <is>
          <t>Google Leads</t>
        </is>
      </c>
      <c r="D7" s="266" t="inlineStr">
        <is>
          <t>Google Leads</t>
        </is>
      </c>
      <c r="E7" s="318" t="inlineStr">
        <is>
          <t>OUAQERROUCH Nour-El Houda</t>
        </is>
      </c>
      <c r="F7" s="316" t="n">
        <v>1007</v>
      </c>
      <c r="G7" s="319" t="inlineStr">
        <is>
          <t>Forfaitaire</t>
        </is>
      </c>
      <c r="H7" s="320" t="n"/>
      <c r="I7" s="308" t="n"/>
    </row>
    <row r="8" ht="15" customHeight="1" s="231">
      <c r="A8" s="316" t="n">
        <v>366</v>
      </c>
      <c r="B8" s="317" t="inlineStr">
        <is>
          <t>HAOUACH Ikram</t>
        </is>
      </c>
      <c r="C8" s="266" t="inlineStr">
        <is>
          <t>Google Leads</t>
        </is>
      </c>
      <c r="D8" s="266" t="inlineStr">
        <is>
          <t>Google Leads</t>
        </is>
      </c>
      <c r="E8" s="318" t="inlineStr">
        <is>
          <t>OUAQERROUCH Nour-El Houda</t>
        </is>
      </c>
      <c r="F8" s="316" t="n">
        <v>366</v>
      </c>
      <c r="G8" s="319" t="inlineStr">
        <is>
          <t>Forfaitaire</t>
        </is>
      </c>
      <c r="H8" s="320" t="n"/>
      <c r="I8" s="308" t="n"/>
    </row>
    <row r="9" ht="15" customHeight="1" s="231">
      <c r="A9" s="316" t="n">
        <v>894</v>
      </c>
      <c r="B9" s="317" t="inlineStr">
        <is>
          <t>IHASSANE Ikram</t>
        </is>
      </c>
      <c r="C9" s="266" t="inlineStr">
        <is>
          <t>Google Leads</t>
        </is>
      </c>
      <c r="D9" s="266" t="inlineStr">
        <is>
          <t>Google Leads</t>
        </is>
      </c>
      <c r="E9" s="318" t="inlineStr">
        <is>
          <t>OUAQERROUCH Nour-El Houda</t>
        </is>
      </c>
      <c r="F9" s="316" t="n">
        <v>894</v>
      </c>
      <c r="G9" s="319" t="inlineStr">
        <is>
          <t>Forfaitaire</t>
        </is>
      </c>
      <c r="H9" s="320" t="n"/>
      <c r="I9" s="308" t="n"/>
    </row>
    <row r="10" ht="15" customHeight="1" s="231">
      <c r="A10" s="316" t="n">
        <v>742</v>
      </c>
      <c r="B10" s="317" t="inlineStr">
        <is>
          <t>ZAKI Omar</t>
        </is>
      </c>
      <c r="C10" s="266" t="inlineStr">
        <is>
          <t>Google Leads</t>
        </is>
      </c>
      <c r="D10" s="266" t="inlineStr">
        <is>
          <t>Google Leads</t>
        </is>
      </c>
      <c r="E10" s="318" t="inlineStr">
        <is>
          <t>OUAQERROUCH Nour-El Houda</t>
        </is>
      </c>
      <c r="F10" s="316" t="n">
        <v>742</v>
      </c>
      <c r="G10" s="319" t="inlineStr">
        <is>
          <t>Forfaitaire</t>
        </is>
      </c>
      <c r="H10" s="320" t="n"/>
      <c r="I10" s="308" t="n"/>
      <c r="M10" s="322" t="n"/>
    </row>
    <row r="11" ht="15" customHeight="1" s="231">
      <c r="A11" s="316" t="n">
        <v>397</v>
      </c>
      <c r="B11" s="317" t="inlineStr">
        <is>
          <t xml:space="preserve">DERKAOUI AMAL </t>
        </is>
      </c>
      <c r="C11" s="266" t="inlineStr">
        <is>
          <t>Google Leads</t>
        </is>
      </c>
      <c r="D11" s="266" t="inlineStr">
        <is>
          <t>Google Leads</t>
        </is>
      </c>
      <c r="E11" s="321" t="inlineStr">
        <is>
          <t>OUAQERROUCH Nour-El Houda</t>
        </is>
      </c>
      <c r="F11" s="316" t="n">
        <v>397</v>
      </c>
      <c r="G11" s="319" t="inlineStr">
        <is>
          <t>Forfaitaire</t>
        </is>
      </c>
      <c r="H11" s="320" t="n"/>
      <c r="I11" s="308" t="n"/>
      <c r="M11" s="322" t="n"/>
    </row>
    <row r="12" ht="15" customHeight="1" s="231">
      <c r="A12" s="316" t="n">
        <v>1141</v>
      </c>
      <c r="B12" s="317" t="inlineStr">
        <is>
          <t>BOUABDILLAH ZAKARIA</t>
        </is>
      </c>
      <c r="C12" s="266" t="inlineStr">
        <is>
          <t>Google Leads</t>
        </is>
      </c>
      <c r="D12" s="266" t="inlineStr">
        <is>
          <t>Google Leads</t>
        </is>
      </c>
      <c r="E12" s="321" t="inlineStr">
        <is>
          <t>OUAQERROUCH Nour-El Houda</t>
        </is>
      </c>
      <c r="F12" s="316" t="n">
        <v>1141</v>
      </c>
      <c r="G12" s="319" t="inlineStr">
        <is>
          <t>Forfaitaire</t>
        </is>
      </c>
      <c r="H12" s="320" t="n"/>
      <c r="I12" s="308" t="n"/>
      <c r="M12" s="322" t="n"/>
    </row>
    <row r="13" ht="15" customHeight="1" s="231">
      <c r="A13" s="316" t="n">
        <v>1167</v>
      </c>
      <c r="B13" s="317" t="inlineStr">
        <is>
          <t>ZIOUI DOUNIA</t>
        </is>
      </c>
      <c r="C13" s="266" t="inlineStr">
        <is>
          <t>Google Leads</t>
        </is>
      </c>
      <c r="D13" s="266" t="inlineStr">
        <is>
          <t>Google Leads</t>
        </is>
      </c>
      <c r="E13" s="321" t="inlineStr">
        <is>
          <t>OUAQERROUCH Nour-El Houda</t>
        </is>
      </c>
      <c r="F13" s="316" t="n">
        <v>1167</v>
      </c>
      <c r="G13" s="319" t="inlineStr">
        <is>
          <t>Forfaitaire</t>
        </is>
      </c>
      <c r="H13" s="320" t="n"/>
      <c r="I13" s="308" t="n"/>
      <c r="M13" s="322" t="n"/>
    </row>
    <row r="14" ht="15" customHeight="1" s="231">
      <c r="A14" s="316" t="n">
        <v>1161</v>
      </c>
      <c r="B14" s="317" t="inlineStr">
        <is>
          <t>LIMANE HIBA</t>
        </is>
      </c>
      <c r="C14" s="266" t="inlineStr">
        <is>
          <t>Google Leads</t>
        </is>
      </c>
      <c r="D14" s="266" t="inlineStr">
        <is>
          <t>Google Leads</t>
        </is>
      </c>
      <c r="E14" s="321" t="inlineStr">
        <is>
          <t>OUAQERROUCH Nour-El Houda</t>
        </is>
      </c>
      <c r="F14" s="316" t="n">
        <v>1161</v>
      </c>
      <c r="G14" s="319" t="inlineStr">
        <is>
          <t>Forfaitaire</t>
        </is>
      </c>
      <c r="H14" s="320" t="n"/>
      <c r="I14" s="308" t="n"/>
      <c r="M14" s="322" t="n"/>
    </row>
    <row r="15" ht="15" customHeight="1" s="231">
      <c r="A15" s="316" t="n">
        <v>1165</v>
      </c>
      <c r="B15" s="323" t="inlineStr">
        <is>
          <t>MELLAHI YOUSSEF</t>
        </is>
      </c>
      <c r="C15" s="266" t="inlineStr">
        <is>
          <t>Google Leads</t>
        </is>
      </c>
      <c r="D15" s="266" t="inlineStr">
        <is>
          <t>Google Leads</t>
        </is>
      </c>
      <c r="E15" s="321" t="inlineStr">
        <is>
          <t>OUAQERROUCH Nour-El Houda</t>
        </is>
      </c>
      <c r="F15" s="316" t="n">
        <v>1165</v>
      </c>
      <c r="G15" s="319" t="inlineStr">
        <is>
          <t>Forfaitaire</t>
        </is>
      </c>
      <c r="H15" s="320" t="n"/>
      <c r="I15" s="308" t="n"/>
      <c r="M15" s="322" t="n"/>
    </row>
    <row r="16" ht="15" customHeight="1" s="231">
      <c r="A16" s="316" t="n">
        <v>1274</v>
      </c>
      <c r="B16" s="323" t="inlineStr">
        <is>
          <t>AIT ADDI KHADIJA</t>
        </is>
      </c>
      <c r="C16" s="266" t="inlineStr">
        <is>
          <t>Google Leads</t>
        </is>
      </c>
      <c r="D16" s="266" t="inlineStr">
        <is>
          <t>Google Leads</t>
        </is>
      </c>
      <c r="E16" s="318" t="inlineStr">
        <is>
          <t>OUAQERROUCH Nour-El Houda</t>
        </is>
      </c>
      <c r="F16" s="316" t="n">
        <v>1274</v>
      </c>
      <c r="G16" s="319" t="inlineStr">
        <is>
          <t>Forfaitaire</t>
        </is>
      </c>
      <c r="H16" s="320" t="n"/>
      <c r="I16" s="308" t="n"/>
    </row>
    <row r="17" ht="15" customHeight="1" s="231">
      <c r="A17" s="316" t="n">
        <v>1309</v>
      </c>
      <c r="B17" s="323" t="inlineStr">
        <is>
          <t>SAADA LINA</t>
        </is>
      </c>
      <c r="C17" s="266" t="inlineStr">
        <is>
          <t>Google Leads</t>
        </is>
      </c>
      <c r="D17" s="266" t="inlineStr">
        <is>
          <t>Google Leads</t>
        </is>
      </c>
      <c r="E17" s="318" t="inlineStr">
        <is>
          <t>OUAQERROUCH Nour-El Houda</t>
        </is>
      </c>
      <c r="F17" s="316" t="n">
        <v>1309</v>
      </c>
      <c r="G17" s="319" t="inlineStr">
        <is>
          <t>Forfaitaire</t>
        </is>
      </c>
      <c r="H17" s="320" t="n"/>
      <c r="I17" s="308" t="n"/>
    </row>
    <row r="18" ht="15" customHeight="1" s="231">
      <c r="A18" s="316" t="n">
        <v>1169</v>
      </c>
      <c r="B18" s="323" t="inlineStr">
        <is>
          <t>TRENNOU HATIM</t>
        </is>
      </c>
      <c r="C18" s="266" t="inlineStr">
        <is>
          <t>Google Leads</t>
        </is>
      </c>
      <c r="D18" s="266" t="inlineStr">
        <is>
          <t>Google Leads</t>
        </is>
      </c>
      <c r="E18" s="321" t="inlineStr">
        <is>
          <t>OUAQERROUCH Nour-El Houda</t>
        </is>
      </c>
      <c r="F18" s="316" t="n"/>
      <c r="G18" s="319" t="inlineStr">
        <is>
          <t>Forfaitaire</t>
        </is>
      </c>
      <c r="H18" s="320" t="n"/>
      <c r="I18" s="308" t="n"/>
    </row>
    <row r="19" ht="15" customHeight="1" s="231">
      <c r="A19" s="316" t="n">
        <v>1283</v>
      </c>
      <c r="B19" s="317" t="inlineStr">
        <is>
          <t>LAKHAL MEHDI</t>
        </is>
      </c>
      <c r="C19" s="266" t="inlineStr">
        <is>
          <t>Google Leads</t>
        </is>
      </c>
      <c r="D19" s="266" t="inlineStr">
        <is>
          <t>Google Leads</t>
        </is>
      </c>
      <c r="E19" s="318" t="inlineStr">
        <is>
          <t>OUAQERROUCH Nour-El Houda</t>
        </is>
      </c>
      <c r="F19" s="316" t="n">
        <v>1283</v>
      </c>
      <c r="G19" s="319" t="inlineStr">
        <is>
          <t>Forfaitaire</t>
        </is>
      </c>
      <c r="H19" s="320" t="n"/>
      <c r="I19" s="308" t="n"/>
    </row>
    <row r="20" ht="15" customHeight="1" s="231">
      <c r="A20" s="316" t="n">
        <v>1008</v>
      </c>
      <c r="B20" s="324" t="inlineStr">
        <is>
          <t>RACHAD NAWAR</t>
        </is>
      </c>
      <c r="C20" s="266" t="inlineStr">
        <is>
          <t>Google Leads</t>
        </is>
      </c>
      <c r="D20" s="266" t="inlineStr">
        <is>
          <t>Google Leads</t>
        </is>
      </c>
      <c r="E20" s="325" t="inlineStr">
        <is>
          <t>CHOUIFI Mustapha</t>
        </is>
      </c>
      <c r="F20" s="316" t="n">
        <v>1008</v>
      </c>
      <c r="G20" s="319" t="inlineStr">
        <is>
          <t>Forfaitaire</t>
        </is>
      </c>
      <c r="H20" s="320" t="n"/>
      <c r="I20" s="308" t="n"/>
    </row>
    <row r="21" ht="15" customHeight="1" s="231">
      <c r="A21" s="316" t="n">
        <v>633</v>
      </c>
      <c r="B21" s="324" t="inlineStr">
        <is>
          <t>DIOP Abdou</t>
        </is>
      </c>
      <c r="C21" s="266" t="inlineStr">
        <is>
          <t>Google Leads</t>
        </is>
      </c>
      <c r="D21" s="266" t="inlineStr">
        <is>
          <t>Google Leads</t>
        </is>
      </c>
      <c r="E21" s="325" t="inlineStr">
        <is>
          <t>CHOUIFI Mustapha</t>
        </is>
      </c>
      <c r="F21" s="316" t="n">
        <v>633</v>
      </c>
      <c r="G21" s="319" t="inlineStr">
        <is>
          <t>Forfaitaire</t>
        </is>
      </c>
      <c r="H21" s="320" t="n"/>
      <c r="I21" s="320" t="n"/>
    </row>
    <row r="22" ht="15" customHeight="1" s="231">
      <c r="A22" s="316" t="n">
        <v>949</v>
      </c>
      <c r="B22" s="324" t="inlineStr">
        <is>
          <t>LAFDIL Nada</t>
        </is>
      </c>
      <c r="C22" s="266" t="inlineStr">
        <is>
          <t>Google Leads</t>
        </is>
      </c>
      <c r="D22" s="266" t="inlineStr">
        <is>
          <t>Google Leads</t>
        </is>
      </c>
      <c r="E22" s="325" t="inlineStr">
        <is>
          <t>CHOUIFI Mustapha</t>
        </is>
      </c>
      <c r="F22" s="316" t="n">
        <v>949</v>
      </c>
      <c r="G22" s="319" t="inlineStr">
        <is>
          <t>Forfaitaire</t>
        </is>
      </c>
      <c r="H22" s="320" t="n"/>
      <c r="I22" s="320" t="n"/>
    </row>
    <row r="23" ht="15" customHeight="1" s="231">
      <c r="A23" s="316" t="n">
        <v>971</v>
      </c>
      <c r="B23" s="324" t="inlineStr">
        <is>
          <t>EL HOUSSAINI HOUDA</t>
        </is>
      </c>
      <c r="C23" s="266" t="inlineStr">
        <is>
          <t>Google Leads</t>
        </is>
      </c>
      <c r="D23" s="266" t="inlineStr">
        <is>
          <t>Google Leads</t>
        </is>
      </c>
      <c r="E23" s="325" t="inlineStr">
        <is>
          <t>CHOUIFI Mustapha</t>
        </is>
      </c>
      <c r="F23" s="316" t="n">
        <v>971</v>
      </c>
      <c r="G23" s="319" t="inlineStr">
        <is>
          <t>Forfaitaire</t>
        </is>
      </c>
      <c r="H23" s="320" t="n"/>
      <c r="I23" s="320" t="n"/>
    </row>
    <row r="24" ht="15" customHeight="1" s="231">
      <c r="A24" s="316" t="n">
        <v>669</v>
      </c>
      <c r="B24" s="324" t="inlineStr">
        <is>
          <t>NIANG Ndeye Absa</t>
        </is>
      </c>
      <c r="C24" s="266" t="inlineStr">
        <is>
          <t>Google Leads</t>
        </is>
      </c>
      <c r="D24" s="266" t="inlineStr">
        <is>
          <t>Google Leads</t>
        </is>
      </c>
      <c r="E24" s="325" t="inlineStr">
        <is>
          <t>CHOUIFI Mustapha</t>
        </is>
      </c>
      <c r="F24" s="316" t="n">
        <v>669</v>
      </c>
      <c r="G24" s="319" t="inlineStr">
        <is>
          <t>Forfaitaire</t>
        </is>
      </c>
      <c r="H24" s="320" t="n"/>
      <c r="I24" s="308" t="n"/>
    </row>
    <row r="25" ht="15" customHeight="1" s="231">
      <c r="A25" s="316" t="n">
        <v>1125</v>
      </c>
      <c r="B25" s="324" t="inlineStr">
        <is>
          <t>BOUAZZA YASSINE</t>
        </is>
      </c>
      <c r="C25" s="266" t="inlineStr">
        <is>
          <t>Google Leads</t>
        </is>
      </c>
      <c r="D25" s="266" t="inlineStr">
        <is>
          <t>Google Leads</t>
        </is>
      </c>
      <c r="E25" s="325" t="inlineStr">
        <is>
          <t>CHOUIFI Mustapha</t>
        </is>
      </c>
      <c r="F25" s="316" t="n">
        <v>1125</v>
      </c>
      <c r="G25" s="319" t="inlineStr">
        <is>
          <t>Forfaitaire</t>
        </is>
      </c>
      <c r="H25" s="320" t="n"/>
      <c r="I25" s="320" t="n"/>
    </row>
    <row r="26" ht="15" customHeight="1" s="231">
      <c r="A26" s="316" t="n">
        <v>1131</v>
      </c>
      <c r="B26" s="324" t="inlineStr">
        <is>
          <t>GUEYE GORA</t>
        </is>
      </c>
      <c r="C26" s="266" t="inlineStr">
        <is>
          <t>Google Leads</t>
        </is>
      </c>
      <c r="D26" s="266" t="inlineStr">
        <is>
          <t>Google Leads</t>
        </is>
      </c>
      <c r="E26" s="325" t="inlineStr">
        <is>
          <t>CHOUIFI Mustapha</t>
        </is>
      </c>
      <c r="F26" s="316" t="n">
        <v>1131</v>
      </c>
      <c r="G26" s="319" t="inlineStr">
        <is>
          <t>Forfaitaire</t>
        </is>
      </c>
      <c r="H26" s="320" t="n"/>
      <c r="I26" s="320" t="n"/>
    </row>
    <row r="27" ht="15" customHeight="1" s="231">
      <c r="A27" s="316" t="n">
        <v>1145</v>
      </c>
      <c r="B27" s="324" t="inlineStr">
        <is>
          <t>DIOUF OUSSMANE</t>
        </is>
      </c>
      <c r="C27" s="266" t="inlineStr">
        <is>
          <t>Google Leads</t>
        </is>
      </c>
      <c r="D27" s="266" t="inlineStr">
        <is>
          <t>Google Leads</t>
        </is>
      </c>
      <c r="E27" s="326" t="inlineStr">
        <is>
          <t>CHOUIFI Mustapha</t>
        </is>
      </c>
      <c r="F27" s="316" t="n">
        <v>1145</v>
      </c>
      <c r="G27" s="319" t="inlineStr">
        <is>
          <t>Forfaitaire</t>
        </is>
      </c>
      <c r="H27" s="320" t="n"/>
      <c r="I27" s="308" t="n"/>
    </row>
    <row r="28" ht="15" customHeight="1" s="231">
      <c r="A28" s="316" t="n">
        <v>1148</v>
      </c>
      <c r="B28" s="324" t="inlineStr">
        <is>
          <t>EL IDRISSI ELHASSANI MAHA</t>
        </is>
      </c>
      <c r="C28" s="266" t="inlineStr">
        <is>
          <t>Google Leads</t>
        </is>
      </c>
      <c r="D28" s="266" t="inlineStr">
        <is>
          <t>Google Leads</t>
        </is>
      </c>
      <c r="E28" s="325" t="inlineStr">
        <is>
          <t>CHOUIFI Mustapha</t>
        </is>
      </c>
      <c r="F28" s="316" t="n">
        <v>1148</v>
      </c>
      <c r="G28" s="319" t="inlineStr">
        <is>
          <t>Forfaitaire</t>
        </is>
      </c>
      <c r="H28" s="320" t="n"/>
      <c r="I28" s="308" t="n"/>
    </row>
    <row r="29" ht="15" customHeight="1" s="231">
      <c r="A29" s="316" t="n">
        <v>1152</v>
      </c>
      <c r="B29" s="324" t="inlineStr">
        <is>
          <t>GOMIS AMINATA AGNES</t>
        </is>
      </c>
      <c r="C29" s="266" t="inlineStr">
        <is>
          <t>Google Leads</t>
        </is>
      </c>
      <c r="D29" s="266" t="inlineStr">
        <is>
          <t>Google Leads</t>
        </is>
      </c>
      <c r="E29" s="325" t="inlineStr">
        <is>
          <t>CHOUIFI Mustapha</t>
        </is>
      </c>
      <c r="F29" s="316" t="n">
        <v>1152</v>
      </c>
      <c r="G29" s="319" t="inlineStr">
        <is>
          <t>Forfaitaire</t>
        </is>
      </c>
      <c r="H29" s="320" t="n"/>
      <c r="I29" s="308" t="n"/>
    </row>
    <row r="30" ht="15" customHeight="1" s="231">
      <c r="A30" s="316" t="n">
        <v>1132</v>
      </c>
      <c r="B30" s="324" t="inlineStr">
        <is>
          <t>AIT LARBI HIND</t>
        </is>
      </c>
      <c r="C30" s="266" t="inlineStr">
        <is>
          <t>Google Leads</t>
        </is>
      </c>
      <c r="D30" s="266" t="inlineStr">
        <is>
          <t>Google Leads</t>
        </is>
      </c>
      <c r="E30" s="325" t="inlineStr">
        <is>
          <t>CHOUIFI Mustapha</t>
        </is>
      </c>
      <c r="F30" s="316" t="n">
        <v>1132</v>
      </c>
      <c r="G30" s="319" t="inlineStr">
        <is>
          <t>Forfaitaire</t>
        </is>
      </c>
      <c r="H30" s="320" t="n"/>
      <c r="I30" s="308" t="n"/>
    </row>
    <row r="31" ht="15" customHeight="1" s="231">
      <c r="A31" s="319" t="n">
        <v>1170</v>
      </c>
      <c r="B31" s="324" t="inlineStr">
        <is>
          <t>TOURE ABIBOU</t>
        </is>
      </c>
      <c r="C31" s="266" t="inlineStr">
        <is>
          <t>Google Leads</t>
        </is>
      </c>
      <c r="D31" s="266" t="inlineStr">
        <is>
          <t>Google Leads</t>
        </is>
      </c>
      <c r="E31" s="326" t="inlineStr">
        <is>
          <t>CHOUIFI Mustapha</t>
        </is>
      </c>
      <c r="F31" s="319" t="n">
        <v>1170</v>
      </c>
      <c r="G31" s="319" t="inlineStr">
        <is>
          <t>Forfaitaire</t>
        </is>
      </c>
      <c r="H31" s="320" t="n"/>
      <c r="I31" s="308" t="n"/>
    </row>
    <row r="32" ht="15" customHeight="1" s="231">
      <c r="A32" s="316" t="n">
        <v>1154</v>
      </c>
      <c r="B32" s="327" t="inlineStr">
        <is>
          <t>KANTAOUI SALMA</t>
        </is>
      </c>
      <c r="C32" s="266" t="inlineStr">
        <is>
          <t>Google Leads</t>
        </is>
      </c>
      <c r="D32" s="266" t="inlineStr">
        <is>
          <t>Google Leads</t>
        </is>
      </c>
      <c r="E32" s="325" t="inlineStr">
        <is>
          <t>CHOUIFI Mustapha</t>
        </is>
      </c>
      <c r="F32" s="316" t="n">
        <v>1154</v>
      </c>
      <c r="G32" s="319" t="inlineStr">
        <is>
          <t>Forfaitaire</t>
        </is>
      </c>
      <c r="H32" s="320" t="n"/>
      <c r="I32" s="308" t="n"/>
    </row>
    <row r="33" ht="15" customHeight="1" s="231">
      <c r="A33" s="319" t="n">
        <v>1146</v>
      </c>
      <c r="B33" s="324" t="inlineStr">
        <is>
          <t>EL GUARJAOUI HIBA</t>
        </is>
      </c>
      <c r="C33" s="266" t="inlineStr">
        <is>
          <t>Google Leads</t>
        </is>
      </c>
      <c r="D33" s="266" t="inlineStr">
        <is>
          <t>Google Leads</t>
        </is>
      </c>
      <c r="E33" s="325" t="inlineStr">
        <is>
          <t>CHOUIFI Mustapha</t>
        </is>
      </c>
      <c r="F33" s="319" t="n">
        <v>1146</v>
      </c>
      <c r="G33" s="319" t="inlineStr">
        <is>
          <t>Forfaitaire</t>
        </is>
      </c>
      <c r="H33" s="320" t="n"/>
      <c r="I33" s="308" t="n"/>
    </row>
    <row r="34" ht="15" customHeight="1" s="231">
      <c r="A34" s="316" t="n">
        <v>1189</v>
      </c>
      <c r="B34" s="324" t="inlineStr">
        <is>
          <t>IKRADINE RIME</t>
        </is>
      </c>
      <c r="C34" s="266" t="inlineStr">
        <is>
          <t>Google Leads</t>
        </is>
      </c>
      <c r="D34" s="266" t="inlineStr">
        <is>
          <t>Google Leads</t>
        </is>
      </c>
      <c r="E34" s="325" t="inlineStr">
        <is>
          <t>CHOUIFI Mustapha</t>
        </is>
      </c>
      <c r="F34" s="316" t="n">
        <v>1189</v>
      </c>
      <c r="G34" s="319" t="inlineStr">
        <is>
          <t>Forfaitaire</t>
        </is>
      </c>
      <c r="H34" s="320" t="n"/>
      <c r="I34" s="308" t="n"/>
    </row>
    <row r="35" ht="15" customHeight="1" s="231">
      <c r="A35" s="316" t="n"/>
      <c r="B35" s="328" t="inlineStr">
        <is>
          <t>TADLAOUI ZAKARIA</t>
        </is>
      </c>
      <c r="C35" s="266" t="inlineStr">
        <is>
          <t>Google Leads</t>
        </is>
      </c>
      <c r="D35" s="266" t="inlineStr">
        <is>
          <t>Google Leads</t>
        </is>
      </c>
      <c r="E35" s="325" t="inlineStr">
        <is>
          <t>CHOUIFI Mustapha</t>
        </is>
      </c>
      <c r="F35" s="316" t="n"/>
      <c r="G35" s="319" t="inlineStr">
        <is>
          <t>Forfaitaire</t>
        </is>
      </c>
      <c r="H35" s="320" t="n"/>
      <c r="I35" s="308" t="n"/>
    </row>
    <row r="36" ht="15" customHeight="1" s="231">
      <c r="A36" s="316" t="n">
        <v>1174</v>
      </c>
      <c r="B36" s="324" t="inlineStr">
        <is>
          <t>RHEMARI REDA</t>
        </is>
      </c>
      <c r="C36" s="266" t="inlineStr">
        <is>
          <t>Google Leads</t>
        </is>
      </c>
      <c r="D36" s="266" t="inlineStr">
        <is>
          <t>Google Leads</t>
        </is>
      </c>
      <c r="E36" s="325" t="inlineStr">
        <is>
          <t>CHOUIFI Mustapha</t>
        </is>
      </c>
      <c r="F36" s="316" t="n"/>
      <c r="G36" s="319" t="inlineStr">
        <is>
          <t>Forfaitaire</t>
        </is>
      </c>
      <c r="H36" s="320" t="n"/>
      <c r="I36" s="320" t="n"/>
    </row>
    <row r="37" ht="15" customHeight="1" s="231">
      <c r="A37" s="316" t="n">
        <v>895</v>
      </c>
      <c r="B37" s="324" t="inlineStr">
        <is>
          <t>NDIAYE ADJI MARIE CISSE</t>
        </is>
      </c>
      <c r="C37" s="266" t="inlineStr">
        <is>
          <t>Google Leads</t>
        </is>
      </c>
      <c r="D37" s="266" t="inlineStr">
        <is>
          <t>Google Leads</t>
        </is>
      </c>
      <c r="E37" s="325" t="inlineStr">
        <is>
          <t>CHOUIFI Mustapha</t>
        </is>
      </c>
      <c r="F37" s="316" t="n">
        <v>895</v>
      </c>
      <c r="G37" s="319" t="inlineStr">
        <is>
          <t>Forfaitaire</t>
        </is>
      </c>
      <c r="H37" s="320" t="n"/>
      <c r="I37" s="320" t="n"/>
    </row>
    <row r="38" ht="15" customHeight="1" s="231">
      <c r="A38" s="316" t="n">
        <v>1192</v>
      </c>
      <c r="B38" s="324" t="inlineStr">
        <is>
          <t xml:space="preserve">EL HOUJJAJI Soufiane </t>
        </is>
      </c>
      <c r="C38" s="266" t="inlineStr">
        <is>
          <t>Google Leads</t>
        </is>
      </c>
      <c r="D38" s="266" t="inlineStr">
        <is>
          <t>Google Leads</t>
        </is>
      </c>
      <c r="E38" s="325" t="inlineStr">
        <is>
          <t>CHOUIFI Mustapha</t>
        </is>
      </c>
      <c r="F38" s="316" t="n"/>
      <c r="G38" s="319" t="inlineStr">
        <is>
          <t>Forfaitaire</t>
        </is>
      </c>
      <c r="H38" s="320" t="n"/>
      <c r="I38" s="308" t="n"/>
    </row>
    <row r="39" hidden="1" ht="15" customHeight="1" s="231">
      <c r="A39" s="316" t="n">
        <v>86</v>
      </c>
      <c r="B39" s="329" t="inlineStr">
        <is>
          <t>SIMOUR Khalil</t>
        </is>
      </c>
      <c r="C39" s="266" t="inlineStr">
        <is>
          <t>AFEDIM</t>
        </is>
      </c>
      <c r="D39" s="266" t="inlineStr">
        <is>
          <t>AFEDIM</t>
        </is>
      </c>
      <c r="E39" s="330" t="inlineStr">
        <is>
          <t>HMIDOUCH Fouad</t>
        </is>
      </c>
      <c r="F39" s="316" t="n">
        <v>86</v>
      </c>
      <c r="G39" s="319" t="inlineStr">
        <is>
          <t>Forfaitaire</t>
        </is>
      </c>
      <c r="H39" s="320" t="n"/>
      <c r="I39" s="308" t="n"/>
    </row>
    <row r="40" hidden="1" ht="15" customHeight="1" s="231">
      <c r="A40" s="316" t="n">
        <v>777</v>
      </c>
      <c r="B40" s="329" t="inlineStr">
        <is>
          <t>RADGUI Sara</t>
        </is>
      </c>
      <c r="C40" s="266" t="inlineStr">
        <is>
          <t>AFEDIM</t>
        </is>
      </c>
      <c r="D40" s="266" t="inlineStr">
        <is>
          <t>AFEDIM</t>
        </is>
      </c>
      <c r="E40" s="330" t="inlineStr">
        <is>
          <t>HMIDOUCH Fouad</t>
        </is>
      </c>
      <c r="F40" s="316" t="n">
        <v>777</v>
      </c>
      <c r="G40" s="319" t="inlineStr">
        <is>
          <t>Forfaitaire</t>
        </is>
      </c>
      <c r="H40" s="320" t="n"/>
      <c r="I40" s="308" t="n"/>
    </row>
    <row r="41" hidden="1" ht="15" customHeight="1" s="231">
      <c r="A41" s="316" t="n">
        <v>1006</v>
      </c>
      <c r="B41" s="331" t="inlineStr">
        <is>
          <t>BENHAMMOU ALAE-EDDINE</t>
        </is>
      </c>
      <c r="C41" s="266" t="inlineStr">
        <is>
          <t>AFEDIM</t>
        </is>
      </c>
      <c r="D41" s="266" t="inlineStr">
        <is>
          <t>AFEDIM</t>
        </is>
      </c>
      <c r="E41" s="330" t="inlineStr">
        <is>
          <t>HMIDOUCH Fouad</t>
        </is>
      </c>
      <c r="F41" s="316" t="n">
        <v>1006</v>
      </c>
      <c r="G41" s="319" t="inlineStr">
        <is>
          <t>Forfaitaire</t>
        </is>
      </c>
      <c r="H41" s="320" t="n"/>
      <c r="I41" s="308" t="n"/>
    </row>
    <row r="42" hidden="1" ht="15" customHeight="1" s="231">
      <c r="A42" s="316" t="n">
        <v>1183</v>
      </c>
      <c r="B42" s="329" t="inlineStr">
        <is>
          <t>EL MASSAOUDI Houssam</t>
        </is>
      </c>
      <c r="C42" s="266" t="inlineStr">
        <is>
          <t>AFEDIM</t>
        </is>
      </c>
      <c r="D42" s="266" t="inlineStr">
        <is>
          <t>AFEDIM</t>
        </is>
      </c>
      <c r="E42" s="330" t="inlineStr">
        <is>
          <t>HMIDOUCH Fouad</t>
        </is>
      </c>
      <c r="F42" s="316" t="n">
        <v>1183</v>
      </c>
      <c r="G42" s="319" t="inlineStr">
        <is>
          <t>Forfaitaire</t>
        </is>
      </c>
      <c r="H42" s="320" t="n"/>
      <c r="I42" s="308" t="n"/>
    </row>
    <row r="43" hidden="1" ht="15" customHeight="1" s="231">
      <c r="A43" s="316" t="n">
        <v>1180</v>
      </c>
      <c r="B43" s="329" t="inlineStr">
        <is>
          <t>MEZIAN ABIR</t>
        </is>
      </c>
      <c r="C43" s="266" t="inlineStr">
        <is>
          <t>AFEDIM</t>
        </is>
      </c>
      <c r="D43" s="266" t="inlineStr">
        <is>
          <t>AFEDIM</t>
        </is>
      </c>
      <c r="E43" s="332" t="inlineStr">
        <is>
          <t>HMIDOUCH Fouad</t>
        </is>
      </c>
      <c r="F43" s="316" t="n">
        <v>1180</v>
      </c>
      <c r="G43" s="319" t="inlineStr">
        <is>
          <t>Forfaitaire</t>
        </is>
      </c>
      <c r="H43" s="320" t="n"/>
      <c r="I43" s="308" t="n"/>
    </row>
    <row r="44" hidden="1" ht="15" customHeight="1" s="231">
      <c r="A44" s="316" t="n">
        <v>620</v>
      </c>
      <c r="B44" s="333" t="inlineStr">
        <is>
          <t>BARA HAJAR</t>
        </is>
      </c>
      <c r="C44" s="266" t="inlineStr">
        <is>
          <t>DAC Crédit</t>
        </is>
      </c>
      <c r="D44" s="266" t="inlineStr">
        <is>
          <t>DAC Crédit</t>
        </is>
      </c>
      <c r="E44" s="334" t="inlineStr">
        <is>
          <t>HMIDOUCH Fouad</t>
        </is>
      </c>
      <c r="F44" s="316" t="n">
        <v>620</v>
      </c>
      <c r="G44" s="319" t="inlineStr">
        <is>
          <t>Forfaitaire</t>
        </is>
      </c>
      <c r="H44" s="320" t="n"/>
      <c r="I44" s="308" t="n"/>
    </row>
    <row r="45" hidden="1" ht="15" customHeight="1" s="231">
      <c r="A45" s="316" t="n">
        <v>1283</v>
      </c>
      <c r="B45" s="333" t="inlineStr">
        <is>
          <t>MBENE GUEYE</t>
        </is>
      </c>
      <c r="C45" s="308" t="inlineStr">
        <is>
          <t>DAC Crédit</t>
        </is>
      </c>
      <c r="D45" s="266" t="inlineStr">
        <is>
          <t>DAC Crédit</t>
        </is>
      </c>
      <c r="E45" s="334" t="inlineStr">
        <is>
          <t>HMIDOUCH Fouad</t>
        </is>
      </c>
      <c r="F45" s="316" t="n">
        <v>1283</v>
      </c>
      <c r="G45" s="319" t="inlineStr">
        <is>
          <t>Forfaitaire</t>
        </is>
      </c>
      <c r="H45" s="320" t="n"/>
      <c r="I45" s="308" t="n"/>
    </row>
    <row r="46" hidden="1" ht="15" customHeight="1" s="231">
      <c r="A46" s="316" t="n">
        <v>1252</v>
      </c>
      <c r="B46" s="333" t="inlineStr">
        <is>
          <t>DAMI OUMAIMA</t>
        </is>
      </c>
      <c r="C46" s="266" t="inlineStr">
        <is>
          <t>DAC Crédit</t>
        </is>
      </c>
      <c r="D46" s="266" t="inlineStr">
        <is>
          <t>DAC Crédit</t>
        </is>
      </c>
      <c r="E46" s="335" t="inlineStr">
        <is>
          <t>HMIDOUCH Fouad</t>
        </is>
      </c>
      <c r="F46" s="316" t="n">
        <v>1252</v>
      </c>
      <c r="G46" s="319" t="inlineStr">
        <is>
          <t>Forfaitaire</t>
        </is>
      </c>
      <c r="H46" s="320" t="n"/>
      <c r="I46" s="308" t="n"/>
    </row>
    <row r="47" hidden="1" ht="15" customHeight="1" s="231">
      <c r="A47" s="316" t="n">
        <v>1149</v>
      </c>
      <c r="B47" s="333" t="inlineStr">
        <is>
          <t>EL MOUBARIK Oumnia</t>
        </is>
      </c>
      <c r="C47" s="266" t="inlineStr">
        <is>
          <t>DAC Crédit</t>
        </is>
      </c>
      <c r="D47" s="266" t="inlineStr">
        <is>
          <t>DAC Crédit</t>
        </is>
      </c>
      <c r="E47" s="334" t="inlineStr">
        <is>
          <t>HMIDOUCH Fouad</t>
        </is>
      </c>
      <c r="F47" s="316" t="n">
        <v>1149</v>
      </c>
      <c r="G47" s="319" t="inlineStr">
        <is>
          <t>Forfaitaire</t>
        </is>
      </c>
      <c r="H47" s="320" t="n"/>
      <c r="I47" s="308" t="n"/>
    </row>
    <row r="48" ht="15" customHeight="1" s="231">
      <c r="A48" s="316" t="n">
        <v>1155</v>
      </c>
      <c r="B48" s="333" t="inlineStr">
        <is>
          <t>KBIRI AKRAM</t>
        </is>
      </c>
      <c r="C48" s="266" t="inlineStr">
        <is>
          <t>Google Leads</t>
        </is>
      </c>
      <c r="D48" s="266" t="inlineStr">
        <is>
          <t>Google Leads</t>
        </is>
      </c>
      <c r="E48" s="318" t="inlineStr">
        <is>
          <t>OUAQERROUCH Nour-El Houda</t>
        </is>
      </c>
      <c r="F48" s="316" t="n"/>
      <c r="G48" s="319" t="inlineStr">
        <is>
          <t>Forfaitaire</t>
        </is>
      </c>
      <c r="H48" s="320" t="n"/>
      <c r="I48" s="308" t="n"/>
    </row>
    <row r="49" hidden="1" ht="15" customHeight="1" s="231">
      <c r="A49" s="316" t="n">
        <v>1187</v>
      </c>
      <c r="B49" s="333" t="inlineStr">
        <is>
          <t>TAOUIL AYA</t>
        </is>
      </c>
      <c r="C49" s="304" t="inlineStr">
        <is>
          <t>DAC Crédit</t>
        </is>
      </c>
      <c r="D49" s="266" t="inlineStr">
        <is>
          <t>DAC Crédit</t>
        </is>
      </c>
      <c r="E49" s="334" t="inlineStr">
        <is>
          <t>HMIDOUCH Fouad</t>
        </is>
      </c>
      <c r="F49" s="316" t="n">
        <v>1187</v>
      </c>
      <c r="G49" s="319" t="inlineStr">
        <is>
          <t>Forfaitaire</t>
        </is>
      </c>
      <c r="H49" s="320" t="n"/>
      <c r="I49" s="308" t="n"/>
    </row>
    <row r="50" hidden="1" ht="15" customHeight="1" s="231">
      <c r="A50" s="316" t="n">
        <v>1012</v>
      </c>
      <c r="B50" s="336" t="inlineStr">
        <is>
          <t>ABDELAOUI KHADIJA</t>
        </is>
      </c>
      <c r="C50" s="266" t="inlineStr">
        <is>
          <t>TLV</t>
        </is>
      </c>
      <c r="D50" s="266" t="inlineStr">
        <is>
          <t>TLV</t>
        </is>
      </c>
      <c r="E50" s="337" t="inlineStr">
        <is>
          <t>EL JAOUHARI Ussama</t>
        </is>
      </c>
      <c r="F50" s="316" t="n">
        <v>1012</v>
      </c>
      <c r="G50" s="319" t="inlineStr">
        <is>
          <t>Forfaitaire</t>
        </is>
      </c>
      <c r="H50" s="320" t="n"/>
      <c r="I50" s="308" t="n"/>
    </row>
    <row r="51" hidden="1" ht="15" customHeight="1" s="231">
      <c r="A51" s="316" t="n">
        <v>987</v>
      </c>
      <c r="B51" s="336" t="inlineStr">
        <is>
          <t>SYLLA Sokhna Safietou</t>
        </is>
      </c>
      <c r="C51" s="266" t="inlineStr">
        <is>
          <t>TLV</t>
        </is>
      </c>
      <c r="D51" s="266" t="inlineStr">
        <is>
          <t>TLV</t>
        </is>
      </c>
      <c r="E51" s="337" t="inlineStr">
        <is>
          <t>EL JAOUHARI Ussama</t>
        </is>
      </c>
      <c r="F51" s="316" t="n">
        <v>987</v>
      </c>
      <c r="G51" s="319" t="inlineStr">
        <is>
          <t>Forfaitaire</t>
        </is>
      </c>
      <c r="H51" s="320" t="n"/>
      <c r="I51" s="308" t="n"/>
    </row>
    <row r="52" hidden="1" ht="15" customHeight="1" s="231">
      <c r="A52" s="316" t="n">
        <v>983</v>
      </c>
      <c r="B52" s="336" t="inlineStr">
        <is>
          <t>DIOP MAMADOU MOUSTAPHA DOKY</t>
        </is>
      </c>
      <c r="C52" s="266" t="inlineStr">
        <is>
          <t>TLV</t>
        </is>
      </c>
      <c r="D52" s="266" t="inlineStr">
        <is>
          <t>TLV</t>
        </is>
      </c>
      <c r="E52" s="338" t="inlineStr">
        <is>
          <t>EL JAOUHARI Ussama</t>
        </is>
      </c>
      <c r="F52" s="316" t="n">
        <v>983</v>
      </c>
      <c r="G52" s="319" t="inlineStr">
        <is>
          <t>Forfaitaire</t>
        </is>
      </c>
      <c r="H52" s="320" t="n"/>
      <c r="I52" s="320" t="n"/>
    </row>
    <row r="53" hidden="1" ht="15" customHeight="1" s="231">
      <c r="A53" s="316" t="n">
        <v>1025</v>
      </c>
      <c r="B53" s="336" t="inlineStr">
        <is>
          <t xml:space="preserve">AZIANE YASSINE </t>
        </is>
      </c>
      <c r="C53" s="266" t="inlineStr">
        <is>
          <t>TLV</t>
        </is>
      </c>
      <c r="D53" s="266" t="inlineStr">
        <is>
          <t>TLV</t>
        </is>
      </c>
      <c r="E53" s="337" t="inlineStr">
        <is>
          <t>EL JAOUHARI Ussama</t>
        </is>
      </c>
      <c r="F53" s="316" t="n">
        <v>1025</v>
      </c>
      <c r="G53" s="319" t="inlineStr">
        <is>
          <t>Forfaitaire</t>
        </is>
      </c>
      <c r="H53" s="320" t="n"/>
      <c r="I53" s="308" t="n"/>
    </row>
    <row r="54" hidden="1" ht="15" customHeight="1" s="231">
      <c r="A54" s="316" t="n">
        <v>1070</v>
      </c>
      <c r="B54" s="339" t="inlineStr">
        <is>
          <t>IGEDDI Meryeme</t>
        </is>
      </c>
      <c r="C54" s="266" t="inlineStr">
        <is>
          <t>GLF</t>
        </is>
      </c>
      <c r="D54" s="266" t="inlineStr">
        <is>
          <t>GLF</t>
        </is>
      </c>
      <c r="E54" s="340" t="inlineStr">
        <is>
          <t>EL JAOUHARI Ussama</t>
        </is>
      </c>
      <c r="F54" s="316" t="n">
        <v>1070</v>
      </c>
      <c r="G54" s="319" t="inlineStr">
        <is>
          <t>Forfaitaire</t>
        </is>
      </c>
      <c r="H54" s="320" t="n"/>
      <c r="I54" s="308" t="n"/>
    </row>
    <row r="55" hidden="1" ht="15" customHeight="1" s="231">
      <c r="A55" s="316" t="n">
        <v>1195</v>
      </c>
      <c r="B55" s="339" t="inlineStr">
        <is>
          <t>ABOURI Fatima</t>
        </is>
      </c>
      <c r="C55" s="266" t="inlineStr">
        <is>
          <t>GLF</t>
        </is>
      </c>
      <c r="D55" s="266" t="inlineStr">
        <is>
          <t>GLF</t>
        </is>
      </c>
      <c r="E55" s="340" t="inlineStr">
        <is>
          <t>EL JAOUHARI Ussama</t>
        </is>
      </c>
      <c r="F55" s="316" t="n">
        <v>1195</v>
      </c>
      <c r="G55" s="319" t="inlineStr">
        <is>
          <t>Forfaitaire</t>
        </is>
      </c>
      <c r="H55" s="320" t="n"/>
      <c r="I55" s="308" t="n"/>
    </row>
    <row r="56" hidden="1" ht="15" customHeight="1" s="231">
      <c r="A56" s="316" t="n">
        <v>1197</v>
      </c>
      <c r="B56" s="339" t="inlineStr">
        <is>
          <t>SANE MOHAMMED LAMINE</t>
        </is>
      </c>
      <c r="C56" s="266" t="inlineStr">
        <is>
          <t>GLF</t>
        </is>
      </c>
      <c r="D56" s="266" t="inlineStr">
        <is>
          <t>GLF</t>
        </is>
      </c>
      <c r="E56" s="340" t="inlineStr">
        <is>
          <t>EL JAOUHARI Ussama</t>
        </is>
      </c>
      <c r="F56" s="316" t="n">
        <v>1197</v>
      </c>
      <c r="G56" s="319" t="inlineStr">
        <is>
          <t>Forfaitaire</t>
        </is>
      </c>
      <c r="H56" s="320" t="n"/>
      <c r="I56" s="308" t="n"/>
    </row>
    <row r="57" hidden="1" ht="15" customHeight="1" s="231">
      <c r="A57" s="316" t="n">
        <v>1202</v>
      </c>
      <c r="B57" s="339" t="inlineStr">
        <is>
          <t>KANDI FATIMA ZOHRA</t>
        </is>
      </c>
      <c r="C57" s="266" t="inlineStr">
        <is>
          <t>GLF</t>
        </is>
      </c>
      <c r="D57" s="266" t="inlineStr">
        <is>
          <t>GLF</t>
        </is>
      </c>
      <c r="E57" s="340" t="inlineStr">
        <is>
          <t>EL JAOUHARI Ussama</t>
        </is>
      </c>
      <c r="F57" s="316" t="n">
        <v>1202</v>
      </c>
      <c r="G57" s="319" t="inlineStr">
        <is>
          <t>Forfaitaire</t>
        </is>
      </c>
      <c r="H57" s="320" t="n"/>
      <c r="I57" s="308" t="n"/>
    </row>
    <row r="58" hidden="1" ht="15" customHeight="1" s="231">
      <c r="A58" s="316" t="n">
        <v>1201</v>
      </c>
      <c r="B58" s="341" t="inlineStr">
        <is>
          <t xml:space="preserve">EL KAOUTAR FATIMA ZAHRA </t>
        </is>
      </c>
      <c r="C58" s="266" t="inlineStr">
        <is>
          <t>GLF</t>
        </is>
      </c>
      <c r="D58" s="266" t="inlineStr">
        <is>
          <t>GLF</t>
        </is>
      </c>
      <c r="E58" s="340" t="inlineStr">
        <is>
          <t>EL JAOUHARI Ussama</t>
        </is>
      </c>
      <c r="F58" s="316" t="n">
        <v>1201</v>
      </c>
      <c r="G58" s="319" t="inlineStr">
        <is>
          <t>Forfaitaire</t>
        </is>
      </c>
      <c r="H58" s="320" t="n"/>
      <c r="I58" s="308" t="n"/>
    </row>
    <row r="59" hidden="1" ht="15" customHeight="1" s="231">
      <c r="A59" s="316" t="n">
        <v>1130</v>
      </c>
      <c r="B59" s="341" t="inlineStr">
        <is>
          <t xml:space="preserve">BOUAFIA ABDELLATIF </t>
        </is>
      </c>
      <c r="C59" s="308" t="inlineStr">
        <is>
          <t>GLF</t>
        </is>
      </c>
      <c r="D59" s="266" t="inlineStr">
        <is>
          <t>GLF</t>
        </is>
      </c>
      <c r="E59" s="340" t="inlineStr">
        <is>
          <t>EL JAOUHARI Ussama</t>
        </is>
      </c>
      <c r="F59" s="316" t="n">
        <v>1130</v>
      </c>
      <c r="G59" s="319" t="inlineStr">
        <is>
          <t>Forfaitaire</t>
        </is>
      </c>
      <c r="H59" s="320" t="n"/>
      <c r="I59" s="308" t="n"/>
    </row>
    <row r="60" hidden="1" ht="15" customHeight="1" s="231">
      <c r="A60" s="316" t="n">
        <v>1227</v>
      </c>
      <c r="B60" s="339" t="inlineStr">
        <is>
          <t>EL BADAOUI CHAIMAA</t>
        </is>
      </c>
      <c r="C60" s="308" t="inlineStr">
        <is>
          <t>GLF</t>
        </is>
      </c>
      <c r="D60" s="266" t="inlineStr">
        <is>
          <t>GLF</t>
        </is>
      </c>
      <c r="E60" s="340" t="inlineStr">
        <is>
          <t>EL JAOUHARI Ussama</t>
        </is>
      </c>
      <c r="F60" s="316" t="n">
        <v>1227</v>
      </c>
      <c r="G60" s="319" t="inlineStr">
        <is>
          <t>Forfaitaire</t>
        </is>
      </c>
      <c r="H60" s="320" t="n"/>
      <c r="I60" s="308" t="n"/>
    </row>
    <row r="61" hidden="1" ht="15" customHeight="1" s="231">
      <c r="A61" s="316" t="n">
        <v>1177</v>
      </c>
      <c r="B61" s="339" t="inlineStr">
        <is>
          <t>NDIAYE SEYNABOU</t>
        </is>
      </c>
      <c r="C61" s="266" t="inlineStr">
        <is>
          <t>GLF</t>
        </is>
      </c>
      <c r="D61" s="266" t="inlineStr">
        <is>
          <t>GLF</t>
        </is>
      </c>
      <c r="E61" s="340" t="inlineStr">
        <is>
          <t>EL JAOUHARI Ussama</t>
        </is>
      </c>
      <c r="F61" s="316" t="n">
        <v>1177</v>
      </c>
      <c r="G61" s="319" t="inlineStr">
        <is>
          <t>Forfaitaire</t>
        </is>
      </c>
      <c r="H61" s="320" t="n"/>
      <c r="I61" s="308" t="n"/>
    </row>
    <row r="62" hidden="1" ht="15" customHeight="1" s="231">
      <c r="A62" s="316" t="n">
        <v>1085</v>
      </c>
      <c r="B62" s="339" t="inlineStr">
        <is>
          <t xml:space="preserve">RHOUDANE Othmane </t>
        </is>
      </c>
      <c r="C62" s="266" t="inlineStr">
        <is>
          <t>GLF</t>
        </is>
      </c>
      <c r="D62" s="266" t="inlineStr">
        <is>
          <t>GLF</t>
        </is>
      </c>
      <c r="E62" s="342" t="inlineStr">
        <is>
          <t>EL JAOUHARI Ussama</t>
        </is>
      </c>
      <c r="F62" s="316" t="n">
        <v>1085</v>
      </c>
      <c r="G62" s="319" t="inlineStr">
        <is>
          <t>Forfaitaire</t>
        </is>
      </c>
      <c r="H62" s="320" t="n"/>
      <c r="I62" s="320" t="n"/>
    </row>
    <row r="63" hidden="1" ht="15" customHeight="1" s="231">
      <c r="A63" s="316" t="n">
        <v>1249</v>
      </c>
      <c r="B63" s="339" t="inlineStr">
        <is>
          <t>KASMI SARA</t>
        </is>
      </c>
      <c r="C63" s="266" t="inlineStr">
        <is>
          <t>GLF</t>
        </is>
      </c>
      <c r="D63" s="266" t="inlineStr">
        <is>
          <t>GLF</t>
        </is>
      </c>
      <c r="E63" s="340" t="inlineStr">
        <is>
          <t>EL JAOUHARI Ussama</t>
        </is>
      </c>
      <c r="F63" s="316" t="n">
        <v>1249</v>
      </c>
      <c r="G63" s="319" t="inlineStr">
        <is>
          <t>Forfaitaire</t>
        </is>
      </c>
      <c r="H63" s="320" t="n"/>
      <c r="I63" s="308" t="n"/>
    </row>
    <row r="64" hidden="1" ht="15" customHeight="1" s="231">
      <c r="A64" s="316" t="n">
        <v>1245</v>
      </c>
      <c r="B64" s="339" t="inlineStr">
        <is>
          <t>M'BARKI IMANE</t>
        </is>
      </c>
      <c r="C64" s="266" t="inlineStr">
        <is>
          <t>GLF</t>
        </is>
      </c>
      <c r="D64" s="266" t="inlineStr">
        <is>
          <t>GLF</t>
        </is>
      </c>
      <c r="E64" s="340" t="inlineStr">
        <is>
          <t>EL JAOUHARI Ussama</t>
        </is>
      </c>
      <c r="F64" s="316" t="n">
        <v>1245</v>
      </c>
      <c r="G64" s="319" t="inlineStr">
        <is>
          <t>Forfaitaire</t>
        </is>
      </c>
      <c r="H64" s="320" t="n"/>
      <c r="I64" s="308" t="n"/>
    </row>
    <row r="65" hidden="1" ht="15" customHeight="1" s="231">
      <c r="A65" s="316" t="n">
        <v>1248</v>
      </c>
      <c r="B65" s="339" t="inlineStr">
        <is>
          <t>SEMBENE PAPALATY</t>
        </is>
      </c>
      <c r="C65" s="266" t="inlineStr">
        <is>
          <t>GLF</t>
        </is>
      </c>
      <c r="D65" s="266" t="inlineStr">
        <is>
          <t>GLF</t>
        </is>
      </c>
      <c r="E65" s="340" t="inlineStr">
        <is>
          <t>EL JAOUHARI Ussama</t>
        </is>
      </c>
      <c r="F65" s="316" t="n">
        <v>1248</v>
      </c>
      <c r="G65" s="319" t="inlineStr">
        <is>
          <t>Forfaitaire</t>
        </is>
      </c>
      <c r="H65" s="320" t="n"/>
      <c r="I65" s="308" t="n"/>
    </row>
    <row r="66" hidden="1" ht="15" customHeight="1" s="231">
      <c r="A66" s="316" t="n">
        <v>1244</v>
      </c>
      <c r="B66" s="339" t="inlineStr">
        <is>
          <t>HABBOUB KARIM</t>
        </is>
      </c>
      <c r="C66" s="266" t="inlineStr">
        <is>
          <t>GLF</t>
        </is>
      </c>
      <c r="D66" s="266" t="inlineStr">
        <is>
          <t>GLF</t>
        </is>
      </c>
      <c r="E66" s="340" t="inlineStr">
        <is>
          <t>EL JAOUHARI Ussama</t>
        </is>
      </c>
      <c r="F66" s="316" t="n">
        <v>1244</v>
      </c>
      <c r="G66" s="319" t="inlineStr">
        <is>
          <t>Forfaitaire</t>
        </is>
      </c>
      <c r="H66" s="320" t="n"/>
      <c r="I66" s="308" t="n"/>
    </row>
    <row r="67" hidden="1" ht="15" customHeight="1" s="231">
      <c r="A67" s="316" t="n">
        <v>948</v>
      </c>
      <c r="B67" s="343" t="inlineStr">
        <is>
          <t>IDELHAJ Meryem</t>
        </is>
      </c>
      <c r="C67" s="266" t="inlineStr">
        <is>
          <t>CM Leasing</t>
        </is>
      </c>
      <c r="D67" s="266" t="inlineStr">
        <is>
          <t>CM Leasing</t>
        </is>
      </c>
      <c r="E67" s="344" t="inlineStr">
        <is>
          <t>OUBRAHIM Mohammed</t>
        </is>
      </c>
      <c r="F67" s="316" t="n">
        <v>948</v>
      </c>
      <c r="G67" s="319" t="inlineStr">
        <is>
          <t>Forfaitaire</t>
        </is>
      </c>
      <c r="H67" s="320" t="n"/>
      <c r="I67" s="308" t="n"/>
    </row>
    <row r="68" hidden="1" ht="15" customHeight="1" s="231">
      <c r="A68" s="316" t="n">
        <v>1013</v>
      </c>
      <c r="B68" s="343" t="inlineStr">
        <is>
          <t>EL BAHLOULY DOHA</t>
        </is>
      </c>
      <c r="C68" s="266" t="inlineStr">
        <is>
          <t>CM Leasing</t>
        </is>
      </c>
      <c r="D68" s="266" t="inlineStr">
        <is>
          <t>CM Leasing</t>
        </is>
      </c>
      <c r="E68" s="344" t="inlineStr">
        <is>
          <t>OUBRAHIM Mohammed</t>
        </is>
      </c>
      <c r="F68" s="316" t="n">
        <v>1013</v>
      </c>
      <c r="G68" s="319" t="inlineStr">
        <is>
          <t>Forfaitaire</t>
        </is>
      </c>
      <c r="H68" s="320" t="n"/>
      <c r="I68" s="308" t="n"/>
    </row>
    <row r="69" hidden="1" ht="15" customHeight="1" s="231">
      <c r="A69" s="316" t="n">
        <v>1011</v>
      </c>
      <c r="B69" s="343" t="inlineStr">
        <is>
          <t>LEHMOUCH NOUHAILA</t>
        </is>
      </c>
      <c r="C69" s="266" t="inlineStr">
        <is>
          <t>CM Leasing</t>
        </is>
      </c>
      <c r="D69" s="266" t="inlineStr">
        <is>
          <t>CM Leasing</t>
        </is>
      </c>
      <c r="E69" s="344" t="inlineStr">
        <is>
          <t>OUBRAHIM Mohammed</t>
        </is>
      </c>
      <c r="F69" s="316" t="n">
        <v>1011</v>
      </c>
      <c r="G69" s="319" t="inlineStr">
        <is>
          <t>Forfaitaire</t>
        </is>
      </c>
      <c r="H69" s="320" t="n"/>
      <c r="I69" s="308" t="n"/>
    </row>
    <row r="70" hidden="1" ht="15" customHeight="1" s="231">
      <c r="A70" s="316" t="n">
        <v>1068</v>
      </c>
      <c r="B70" s="343" t="inlineStr">
        <is>
          <t>NOUIBI  Chaimae</t>
        </is>
      </c>
      <c r="C70" s="266" t="inlineStr">
        <is>
          <t>CM Leasing</t>
        </is>
      </c>
      <c r="D70" s="266" t="inlineStr">
        <is>
          <t>CM Leasing</t>
        </is>
      </c>
      <c r="E70" s="344" t="inlineStr">
        <is>
          <t>OUBRAHIM Mohammed</t>
        </is>
      </c>
      <c r="F70" s="316" t="n">
        <v>1068</v>
      </c>
      <c r="G70" s="319" t="inlineStr">
        <is>
          <t>Forfaitaire</t>
        </is>
      </c>
      <c r="H70" s="320" t="n"/>
      <c r="I70" s="308" t="n"/>
    </row>
    <row r="71" hidden="1" ht="15" customHeight="1" s="231">
      <c r="A71" s="316" t="n">
        <v>1066</v>
      </c>
      <c r="B71" s="343" t="inlineStr">
        <is>
          <t>AIT RABIAA  Nouhaila</t>
        </is>
      </c>
      <c r="C71" s="308" t="inlineStr">
        <is>
          <t>CM Leasing</t>
        </is>
      </c>
      <c r="D71" s="266" t="inlineStr">
        <is>
          <t>CM Leasing</t>
        </is>
      </c>
      <c r="E71" s="344" t="inlineStr">
        <is>
          <t>OUBRAHIM Mohammed</t>
        </is>
      </c>
      <c r="F71" s="316" t="n">
        <v>1066</v>
      </c>
      <c r="G71" s="319" t="inlineStr">
        <is>
          <t>Forfaitaire</t>
        </is>
      </c>
      <c r="H71" s="320" t="n"/>
      <c r="I71" s="308" t="n"/>
    </row>
    <row r="72" hidden="1" ht="15" customHeight="1" s="231">
      <c r="A72" s="316" t="n">
        <v>1004</v>
      </c>
      <c r="B72" s="343" t="inlineStr">
        <is>
          <t xml:space="preserve">EL MAHJOUBI ABDESATAR </t>
        </is>
      </c>
      <c r="C72" s="308" t="inlineStr">
        <is>
          <t>CM Leasing</t>
        </is>
      </c>
      <c r="D72" s="266" t="inlineStr">
        <is>
          <t>CM Leasing</t>
        </is>
      </c>
      <c r="E72" s="344" t="inlineStr">
        <is>
          <t>OUBRAHIM Mohammed</t>
        </is>
      </c>
      <c r="F72" s="316" t="n">
        <v>1004</v>
      </c>
      <c r="G72" s="319" t="inlineStr">
        <is>
          <t>Forfaitaire</t>
        </is>
      </c>
      <c r="H72" s="320" t="n"/>
      <c r="I72" s="308" t="n"/>
    </row>
    <row r="73" hidden="1" ht="15" customHeight="1" s="231">
      <c r="A73" s="316" t="n">
        <v>1184</v>
      </c>
      <c r="B73" s="343" t="inlineStr">
        <is>
          <t>SOUFIANE LEILA</t>
        </is>
      </c>
      <c r="C73" s="308" t="inlineStr">
        <is>
          <t>CM Leasing</t>
        </is>
      </c>
      <c r="D73" s="266" t="inlineStr">
        <is>
          <t>CM Leasing</t>
        </is>
      </c>
      <c r="E73" s="344" t="inlineStr">
        <is>
          <t>OUBRAHIM Mohammed</t>
        </is>
      </c>
      <c r="F73" s="316" t="n">
        <v>1184</v>
      </c>
      <c r="G73" s="319" t="inlineStr">
        <is>
          <t>Forfaitaire</t>
        </is>
      </c>
      <c r="H73" s="320" t="n"/>
      <c r="I73" s="308" t="n"/>
    </row>
    <row r="74" hidden="1" ht="15" customHeight="1" s="231">
      <c r="A74" s="316" t="n">
        <v>1151</v>
      </c>
      <c r="B74" s="343" t="inlineStr">
        <is>
          <t>ESSABERY ISMAIL</t>
        </is>
      </c>
      <c r="C74" s="266" t="inlineStr">
        <is>
          <t>CM Leasing</t>
        </is>
      </c>
      <c r="D74" s="266" t="inlineStr">
        <is>
          <t>CM Leasing</t>
        </is>
      </c>
      <c r="E74" s="344" t="inlineStr">
        <is>
          <t>OUBRAHIM Mohammed</t>
        </is>
      </c>
      <c r="F74" s="316" t="n">
        <v>1151</v>
      </c>
      <c r="G74" s="319" t="inlineStr">
        <is>
          <t>Forfaitaire</t>
        </is>
      </c>
      <c r="H74" s="320" t="n"/>
      <c r="I74" s="308" t="n"/>
    </row>
    <row r="75" hidden="1" ht="15" customHeight="1" s="231">
      <c r="A75" s="316" t="n">
        <v>1301</v>
      </c>
      <c r="B75" s="343" t="inlineStr">
        <is>
          <t>JALAL NABILA</t>
        </is>
      </c>
      <c r="C75" s="308" t="inlineStr">
        <is>
          <t>CM Leasing</t>
        </is>
      </c>
      <c r="D75" s="266" t="inlineStr">
        <is>
          <t>CM Leasing</t>
        </is>
      </c>
      <c r="E75" s="344" t="inlineStr">
        <is>
          <t>OUBRAHIM Mohammed</t>
        </is>
      </c>
      <c r="F75" s="316" t="n">
        <v>1301</v>
      </c>
      <c r="G75" s="319" t="inlineStr">
        <is>
          <t>Forfaitaire</t>
        </is>
      </c>
      <c r="H75" s="320" t="n"/>
      <c r="I75" s="308" t="n"/>
    </row>
    <row r="76" hidden="1" ht="15" customHeight="1" s="231">
      <c r="A76" s="316" t="n">
        <v>1300</v>
      </c>
      <c r="B76" s="343" t="inlineStr">
        <is>
          <t>AKHSASS MAJDA</t>
        </is>
      </c>
      <c r="C76" s="308" t="inlineStr">
        <is>
          <t>CM Leasing</t>
        </is>
      </c>
      <c r="D76" s="266" t="inlineStr">
        <is>
          <t>CM Leasing</t>
        </is>
      </c>
      <c r="E76" s="344" t="inlineStr">
        <is>
          <t>OUBRAHIM Mohammed</t>
        </is>
      </c>
      <c r="F76" s="316" t="n">
        <v>1300</v>
      </c>
      <c r="G76" s="319" t="inlineStr">
        <is>
          <t>Forfaitaire</t>
        </is>
      </c>
      <c r="H76" s="320" t="n"/>
      <c r="I76" s="308" t="n"/>
    </row>
    <row r="77" hidden="1" ht="15" customHeight="1" s="231">
      <c r="A77" s="319" t="n">
        <v>1262</v>
      </c>
      <c r="B77" s="345" t="inlineStr">
        <is>
          <t>BENCHRIF Hafssa BENCHRHF</t>
        </is>
      </c>
      <c r="C77" s="292" t="inlineStr">
        <is>
          <t>Accessibilité</t>
        </is>
      </c>
      <c r="D77" s="266" t="inlineStr">
        <is>
          <t>Accessibilité</t>
        </is>
      </c>
      <c r="E77" s="346" t="inlineStr">
        <is>
          <t>OUBRAHIM Mohammed</t>
        </is>
      </c>
      <c r="F77" s="319" t="n">
        <v>1262</v>
      </c>
      <c r="G77" s="319" t="inlineStr">
        <is>
          <t>Forfaitaire</t>
        </is>
      </c>
      <c r="H77" s="320" t="n"/>
      <c r="I77" s="308" t="n"/>
    </row>
    <row r="78" hidden="1" ht="15" customHeight="1" s="231">
      <c r="A78" s="319" t="n">
        <v>1317</v>
      </c>
      <c r="B78" s="345" t="inlineStr">
        <is>
          <t>HAMDANI Mohamed HAMDANMO</t>
        </is>
      </c>
      <c r="C78" s="292" t="inlineStr">
        <is>
          <t>Accessibilité</t>
        </is>
      </c>
      <c r="D78" s="266" t="inlineStr">
        <is>
          <t>Accessibilité</t>
        </is>
      </c>
      <c r="E78" s="346" t="inlineStr">
        <is>
          <t>OUBRAHIM Mohammed</t>
        </is>
      </c>
      <c r="F78" s="319" t="n">
        <v>1317</v>
      </c>
      <c r="G78" s="319" t="inlineStr">
        <is>
          <t>Forfaitaire</t>
        </is>
      </c>
      <c r="H78" s="320" t="n"/>
      <c r="I78" s="308" t="n"/>
    </row>
    <row r="79" hidden="1" ht="15" customHeight="1" s="231">
      <c r="A79" s="319" t="n">
        <v>1278</v>
      </c>
      <c r="B79" s="347" t="inlineStr">
        <is>
          <t>LISSAOUI Hiba LISSAOHI</t>
        </is>
      </c>
      <c r="C79" s="292" t="inlineStr">
        <is>
          <t>Accessibilité</t>
        </is>
      </c>
      <c r="D79" s="266" t="inlineStr">
        <is>
          <t>Accessibilité</t>
        </is>
      </c>
      <c r="E79" s="346" t="inlineStr">
        <is>
          <t>OUBRAHIM Mohammed</t>
        </is>
      </c>
      <c r="F79" s="319" t="n">
        <v>1278</v>
      </c>
      <c r="G79" s="319" t="inlineStr">
        <is>
          <t>Forfaitaire</t>
        </is>
      </c>
      <c r="H79" s="320" t="n"/>
      <c r="I79" s="308" t="n"/>
    </row>
    <row r="80" hidden="1" ht="15" customHeight="1" s="231">
      <c r="A80" s="319" t="n">
        <v>1265</v>
      </c>
      <c r="B80" s="345" t="inlineStr">
        <is>
          <t>RMAIDI Imad RMAIDIIM</t>
        </is>
      </c>
      <c r="C80" s="292" t="inlineStr">
        <is>
          <t>Accessibilité</t>
        </is>
      </c>
      <c r="D80" s="266" t="inlineStr">
        <is>
          <t>Accessibilité</t>
        </is>
      </c>
      <c r="E80" s="346" t="inlineStr">
        <is>
          <t>OUBRAHIM Mohammed</t>
        </is>
      </c>
      <c r="F80" s="319" t="n">
        <v>1265</v>
      </c>
      <c r="G80" s="319" t="inlineStr">
        <is>
          <t>Forfaitaire</t>
        </is>
      </c>
      <c r="H80" s="320" t="n"/>
      <c r="I80" s="308" t="n"/>
    </row>
    <row r="81" ht="15" customHeight="1" s="231">
      <c r="A81" s="319" t="n"/>
      <c r="B81" s="309" t="inlineStr">
        <is>
          <t xml:space="preserve">EL HOUJJAJI Soufiane </t>
        </is>
      </c>
      <c r="C81" s="292" t="inlineStr">
        <is>
          <t>Google Leads</t>
        </is>
      </c>
      <c r="D81" s="292" t="inlineStr">
        <is>
          <t>Google Leads</t>
        </is>
      </c>
      <c r="E81" s="346" t="n"/>
      <c r="F81" s="319" t="n"/>
      <c r="G81" s="319" t="n"/>
      <c r="H81" s="320" t="n"/>
      <c r="I81" s="308" t="n"/>
    </row>
    <row r="82" ht="15" customHeight="1" s="231">
      <c r="A82" s="319" t="n"/>
      <c r="B82" s="309" t="inlineStr">
        <is>
          <t>AZHARI ABDELHAMID</t>
        </is>
      </c>
      <c r="C82" s="292" t="inlineStr">
        <is>
          <t>Google Leads</t>
        </is>
      </c>
      <c r="D82" s="292" t="inlineStr">
        <is>
          <t>Google Leads</t>
        </is>
      </c>
      <c r="E82" s="346" t="n"/>
      <c r="F82" s="319" t="n"/>
      <c r="G82" s="319" t="n"/>
      <c r="H82" s="320" t="n"/>
      <c r="I82" s="308" t="n"/>
    </row>
    <row r="83" ht="15" customHeight="1" s="231">
      <c r="A83" s="319" t="n"/>
      <c r="B83" s="309" t="inlineStr">
        <is>
          <t>NUNEZ LUCIEN BERNARD</t>
        </is>
      </c>
      <c r="C83" s="292" t="inlineStr">
        <is>
          <t>Google Leads</t>
        </is>
      </c>
      <c r="D83" s="292" t="inlineStr">
        <is>
          <t>Google Leads</t>
        </is>
      </c>
      <c r="E83" s="346" t="n"/>
      <c r="F83" s="319" t="n"/>
      <c r="G83" s="319" t="n"/>
      <c r="H83" s="320" t="n"/>
      <c r="I83" s="308" t="n"/>
    </row>
    <row r="84" ht="15" customHeight="1" s="231">
      <c r="A84" s="319" t="n"/>
      <c r="B84" s="309" t="inlineStr">
        <is>
          <t xml:space="preserve">LALOUN MANAL </t>
        </is>
      </c>
      <c r="C84" s="292" t="inlineStr">
        <is>
          <t>Google Leads</t>
        </is>
      </c>
      <c r="D84" s="292" t="inlineStr">
        <is>
          <t>Google Leads</t>
        </is>
      </c>
      <c r="E84" s="346" t="n"/>
      <c r="F84" s="319" t="n"/>
      <c r="G84" s="319" t="n"/>
      <c r="H84" s="320" t="n"/>
      <c r="I84" s="308" t="n"/>
    </row>
    <row r="85" ht="15" customHeight="1" s="231">
      <c r="A85" s="319" t="n"/>
      <c r="B85" s="309" t="inlineStr">
        <is>
          <t>MRANI REDA</t>
        </is>
      </c>
      <c r="C85" s="292" t="inlineStr">
        <is>
          <t>Google Leads</t>
        </is>
      </c>
      <c r="D85" s="292" t="inlineStr">
        <is>
          <t>Google Leads</t>
        </is>
      </c>
      <c r="E85" s="346" t="n"/>
      <c r="F85" s="319" t="n"/>
      <c r="G85" s="319" t="n"/>
      <c r="H85" s="320" t="n"/>
      <c r="I85" s="308" t="n"/>
    </row>
    <row r="86" ht="15" customHeight="1" s="231">
      <c r="A86" s="319" t="n"/>
      <c r="B86" s="309" t="inlineStr">
        <is>
          <t>DIATTA AISSATOU</t>
        </is>
      </c>
      <c r="C86" s="292" t="inlineStr">
        <is>
          <t>Google Leads</t>
        </is>
      </c>
      <c r="D86" s="292" t="inlineStr">
        <is>
          <t>Google Leads</t>
        </is>
      </c>
      <c r="E86" s="346" t="n"/>
      <c r="F86" s="319" t="n"/>
      <c r="G86" s="319" t="n"/>
      <c r="H86" s="320" t="n"/>
      <c r="I86" s="308" t="n"/>
    </row>
    <row r="87" ht="15" customHeight="1" s="231">
      <c r="A87" s="319" t="n"/>
      <c r="B87" s="309" t="inlineStr">
        <is>
          <t>SIDIBE MOUSKEBA DALAFINA</t>
        </is>
      </c>
      <c r="C87" s="292" t="inlineStr">
        <is>
          <t>Google Leads</t>
        </is>
      </c>
      <c r="D87" s="292" t="inlineStr">
        <is>
          <t>Google Leads</t>
        </is>
      </c>
      <c r="E87" s="346" t="n"/>
      <c r="F87" s="319" t="n"/>
      <c r="G87" s="319" t="n"/>
      <c r="H87" s="320" t="n"/>
      <c r="I87" s="308" t="n"/>
    </row>
    <row r="88" ht="15" customHeight="1" s="231">
      <c r="A88" s="319" t="n"/>
      <c r="B88" s="309" t="inlineStr">
        <is>
          <t>BOULHROUD SALMA</t>
        </is>
      </c>
      <c r="C88" s="292" t="inlineStr">
        <is>
          <t>Google Leads</t>
        </is>
      </c>
      <c r="D88" s="292" t="inlineStr">
        <is>
          <t>Google Leads</t>
        </is>
      </c>
      <c r="E88" s="346" t="n"/>
      <c r="F88" s="319" t="n"/>
      <c r="G88" s="319" t="n"/>
      <c r="H88" s="320" t="n"/>
      <c r="I88" s="308" t="n"/>
    </row>
    <row r="89" ht="15" customHeight="1" s="231">
      <c r="A89" s="319" t="n"/>
      <c r="B89" s="309" t="inlineStr">
        <is>
          <t>ALAMI SOUMAYYA</t>
        </is>
      </c>
      <c r="C89" s="292" t="inlineStr">
        <is>
          <t>Google Leads</t>
        </is>
      </c>
      <c r="D89" s="292" t="inlineStr">
        <is>
          <t>Google Leads</t>
        </is>
      </c>
      <c r="E89" s="346" t="n"/>
      <c r="F89" s="319" t="n"/>
      <c r="G89" s="319" t="n"/>
      <c r="H89" s="320" t="n"/>
      <c r="I89" s="308" t="n"/>
    </row>
    <row r="90" ht="15" customHeight="1" s="231">
      <c r="A90" s="319" t="n"/>
      <c r="B90" s="309" t="inlineStr">
        <is>
          <t>BOURABAA HASSAN</t>
        </is>
      </c>
      <c r="C90" s="292" t="inlineStr">
        <is>
          <t>Google Leads</t>
        </is>
      </c>
      <c r="D90" s="292" t="inlineStr">
        <is>
          <t>Google Leads</t>
        </is>
      </c>
      <c r="E90" s="346" t="n"/>
      <c r="F90" s="319" t="n"/>
      <c r="G90" s="319" t="n"/>
      <c r="H90" s="320" t="n"/>
      <c r="I90" s="308" t="n"/>
    </row>
    <row r="91" ht="15" customHeight="1" s="231">
      <c r="A91" s="319" t="n"/>
      <c r="B91" s="309" t="inlineStr">
        <is>
          <t>SOUOUD ZAKARIA</t>
        </is>
      </c>
      <c r="C91" s="292" t="inlineStr">
        <is>
          <t>Google Leads</t>
        </is>
      </c>
      <c r="D91" s="292" t="inlineStr">
        <is>
          <t>Google Leads</t>
        </is>
      </c>
      <c r="E91" s="346" t="n"/>
      <c r="F91" s="319" t="n"/>
      <c r="G91" s="319" t="n"/>
      <c r="H91" s="320" t="n"/>
      <c r="I91" s="308" t="n"/>
    </row>
    <row r="92" ht="15" customHeight="1" s="231">
      <c r="A92" s="319" t="n"/>
      <c r="B92" s="309" t="n"/>
      <c r="C92" s="292" t="n"/>
      <c r="D92" s="292" t="n"/>
      <c r="E92" s="346" t="n"/>
      <c r="F92" s="319" t="n"/>
      <c r="G92" s="319" t="n"/>
      <c r="H92" s="320" t="n"/>
      <c r="I92" s="308" t="n"/>
    </row>
    <row r="93" ht="15" customHeight="1" s="231">
      <c r="A93" s="319" t="n">
        <v>214</v>
      </c>
      <c r="B93" s="308" t="inlineStr">
        <is>
          <t>EL JAOUHARI Ussama</t>
        </is>
      </c>
      <c r="C93" s="292" t="inlineStr">
        <is>
          <t>Assistant de production</t>
        </is>
      </c>
      <c r="D93" s="266" t="inlineStr">
        <is>
          <t>Assistant de production</t>
        </is>
      </c>
      <c r="E93" s="346" t="n"/>
      <c r="F93" s="319" t="n">
        <v>214</v>
      </c>
      <c r="G93" s="319" t="n"/>
      <c r="H93" s="320" t="n"/>
      <c r="I93" s="308" t="n"/>
    </row>
    <row r="94" ht="15" customHeight="1" s="231">
      <c r="A94" s="319" t="n">
        <v>369</v>
      </c>
      <c r="B94" s="308" t="inlineStr">
        <is>
          <t>ARBOUBBA Oumaima</t>
        </is>
      </c>
      <c r="C94" s="309" t="inlineStr">
        <is>
          <t>GF</t>
        </is>
      </c>
      <c r="D94" s="309" t="inlineStr">
        <is>
          <t>GF</t>
        </is>
      </c>
      <c r="E94" s="216" t="inlineStr">
        <is>
          <t>FARKACH Hicham</t>
        </is>
      </c>
      <c r="F94" s="319" t="n">
        <v>369</v>
      </c>
    </row>
    <row r="95" ht="15" customHeight="1" s="231">
      <c r="A95" s="319" t="n">
        <v>355</v>
      </c>
      <c r="B95" s="308" t="inlineStr">
        <is>
          <t>OUBRAHIM Mohammed</t>
        </is>
      </c>
      <c r="C95" s="309" t="inlineStr">
        <is>
          <t>manager</t>
        </is>
      </c>
      <c r="D95" s="309" t="inlineStr">
        <is>
          <t>manager</t>
        </is>
      </c>
      <c r="E95" s="216" t="inlineStr">
        <is>
          <t>FARKACH Hicham</t>
        </is>
      </c>
      <c r="F95" s="319" t="n">
        <v>355</v>
      </c>
    </row>
    <row r="96" ht="15" customHeight="1" s="231">
      <c r="A96" s="319" t="n">
        <v>164</v>
      </c>
      <c r="B96" s="308" t="inlineStr">
        <is>
          <t>HMIDOUCH Fouad</t>
        </is>
      </c>
      <c r="C96" s="309" t="inlineStr">
        <is>
          <t>manager</t>
        </is>
      </c>
      <c r="D96" s="309" t="inlineStr">
        <is>
          <t>manager</t>
        </is>
      </c>
      <c r="E96" s="216" t="inlineStr">
        <is>
          <t>FARKACH Hicham</t>
        </is>
      </c>
      <c r="F96" s="319" t="n">
        <v>164</v>
      </c>
    </row>
    <row r="97" ht="15" customHeight="1" s="231">
      <c r="A97" s="319" t="n">
        <v>157</v>
      </c>
      <c r="B97" s="308" t="inlineStr">
        <is>
          <t>OUAQERROUCH Nour El Houda</t>
        </is>
      </c>
      <c r="C97" s="309" t="inlineStr">
        <is>
          <t>manager</t>
        </is>
      </c>
      <c r="D97" s="309" t="inlineStr">
        <is>
          <t>manager</t>
        </is>
      </c>
      <c r="E97" s="216" t="inlineStr">
        <is>
          <t>FARKACH Hicham</t>
        </is>
      </c>
      <c r="F97" s="319" t="n">
        <v>157</v>
      </c>
    </row>
    <row r="98" ht="15" customHeight="1" s="231">
      <c r="A98" s="319" t="n">
        <v>1194</v>
      </c>
      <c r="B98" s="308" t="inlineStr">
        <is>
          <t xml:space="preserve">CHOUIFI Mustapha </t>
        </is>
      </c>
      <c r="C98" s="309" t="inlineStr">
        <is>
          <t>manager</t>
        </is>
      </c>
      <c r="D98" s="309" t="inlineStr">
        <is>
          <t>manager</t>
        </is>
      </c>
      <c r="E98" s="216" t="inlineStr">
        <is>
          <t>FARKACH Hicham</t>
        </is>
      </c>
      <c r="F98" s="319" t="n">
        <v>1194</v>
      </c>
    </row>
    <row r="100" ht="15" customHeight="1" s="231">
      <c r="B100" s="233" t="inlineStr">
        <is>
          <t>SECK DIARRA</t>
        </is>
      </c>
      <c r="C100" s="292" t="inlineStr">
        <is>
          <t>Google Leads</t>
        </is>
      </c>
      <c r="D100" s="292" t="inlineStr">
        <is>
          <t>Google Leads</t>
        </is>
      </c>
    </row>
    <row r="101" ht="15" customHeight="1" s="231">
      <c r="B101" s="233" t="inlineStr">
        <is>
          <t>AINELKITANE ZINEB</t>
        </is>
      </c>
      <c r="C101" s="292" t="inlineStr">
        <is>
          <t>Google Leads</t>
        </is>
      </c>
      <c r="D101" s="292" t="inlineStr">
        <is>
          <t>Google Leads</t>
        </is>
      </c>
    </row>
    <row r="102" ht="15" customHeight="1" s="231">
      <c r="B102" s="233" t="inlineStr">
        <is>
          <t>ELBOUTI AYOUB</t>
        </is>
      </c>
      <c r="C102" s="292" t="inlineStr">
        <is>
          <t>Google Leads</t>
        </is>
      </c>
      <c r="D102" s="292" t="inlineStr">
        <is>
          <t>Google Leads</t>
        </is>
      </c>
    </row>
    <row r="103" ht="15" customHeight="1" s="231">
      <c r="B103" s="233" t="inlineStr">
        <is>
          <t>BENSAR ANAS</t>
        </is>
      </c>
      <c r="C103" s="292" t="inlineStr">
        <is>
          <t>Google Leads</t>
        </is>
      </c>
      <c r="D103" s="292" t="inlineStr">
        <is>
          <t>Google Leads</t>
        </is>
      </c>
    </row>
    <row r="104" ht="15" customHeight="1" s="231">
      <c r="B104" s="233" t="inlineStr">
        <is>
          <t>NEMMAOUI MOUNIRA</t>
        </is>
      </c>
      <c r="C104" s="292" t="inlineStr">
        <is>
          <t>Google Leads</t>
        </is>
      </c>
      <c r="D104" s="292" t="inlineStr">
        <is>
          <t>Google Leads</t>
        </is>
      </c>
    </row>
    <row r="105" ht="15" customHeight="1" s="231">
      <c r="B105" s="233" t="inlineStr">
        <is>
          <t>QARBOUI Aymane</t>
        </is>
      </c>
      <c r="C105" s="292" t="inlineStr">
        <is>
          <t>Google Leads</t>
        </is>
      </c>
      <c r="D105" s="292" t="inlineStr">
        <is>
          <t>Google Leads</t>
        </is>
      </c>
    </row>
    <row r="630" ht="16.5" customHeight="1" s="231"/>
    <row r="1006" ht="14.25" customHeight="1" s="231"/>
  </sheetData>
  <autoFilter ref="A1:I90">
    <filterColumn colId="2" hiddenButton="0" showButton="1">
      <filters>
        <filter val="Google Leads"/>
      </filters>
    </filterColumn>
  </autoFilter>
  <conditionalFormatting sqref="B105">
    <cfRule type="cellIs" rank="0" priority="2" equalAverage="0" operator="equal" aboveAverage="0" dxfId="12" text="" percent="0" bottom="0">
      <formula>"OFF"</formula>
    </cfRule>
  </conditionalFormatting>
  <conditionalFormatting sqref="B100:B104">
    <cfRule type="cellIs" rank="0" priority="3" equalAverage="0" operator="equal" aboveAverage="0" dxfId="12" text="" percent="0" bottom="0">
      <formula>"OFF"</formula>
    </cfRule>
  </conditionalFormatting>
  <conditionalFormatting sqref="B26">
    <cfRule type="duplicateValues" rank="0" priority="4" equalAverage="0" aboveAverage="0" dxfId="57" text="" percent="0" bottom="0"/>
    <cfRule type="duplicateValues" rank="0" priority="5" equalAverage="0" aboveAverage="0" dxfId="57" text="" percent="0" bottom="0"/>
  </conditionalFormatting>
  <conditionalFormatting sqref="B11">
    <cfRule type="duplicateValues" rank="0" priority="6" equalAverage="0" aboveAverage="0" dxfId="57" text="" percent="0" bottom="0"/>
    <cfRule type="duplicateValues" rank="0" priority="7" equalAverage="0" aboveAverage="0" dxfId="57" text="" percent="0" bottom="0"/>
  </conditionalFormatting>
  <conditionalFormatting sqref="B2">
    <cfRule type="duplicateValues" rank="0" priority="8" equalAverage="0" aboveAverage="0" dxfId="57" text="" percent="0" bottom="0"/>
    <cfRule type="duplicateValues" rank="0" priority="49" equalAverage="0" aboveAverage="0" dxfId="57" text="" percent="0" bottom="0"/>
    <cfRule type="duplicateValues" rank="0" priority="50" equalAverage="0" aboveAverage="0" dxfId="57" text="" percent="0" bottom="0"/>
  </conditionalFormatting>
  <conditionalFormatting sqref="B16">
    <cfRule type="duplicateValues" rank="0" priority="9" equalAverage="0" aboveAverage="0" dxfId="57" text="" percent="0" bottom="0"/>
    <cfRule type="duplicateValues" rank="0" priority="10" equalAverage="0" aboveAverage="0" dxfId="57" text="" percent="0" bottom="0"/>
  </conditionalFormatting>
  <conditionalFormatting sqref="B59">
    <cfRule type="duplicateValues" rank="0" priority="11" equalAverage="0" aboveAverage="0" dxfId="57" text="" percent="0" bottom="0"/>
    <cfRule type="duplicateValues" rank="0" priority="12" equalAverage="0" aboveAverage="0" dxfId="57" text="" percent="0" bottom="0"/>
  </conditionalFormatting>
  <conditionalFormatting sqref="B57">
    <cfRule type="duplicateValues" rank="0" priority="13" equalAverage="0" aboveAverage="0" dxfId="57" text="" percent="0" bottom="0"/>
    <cfRule type="duplicateValues" rank="0" priority="14" equalAverage="0" aboveAverage="0" dxfId="57" text="" percent="0" bottom="0"/>
  </conditionalFormatting>
  <conditionalFormatting sqref="B58">
    <cfRule type="duplicateValues" rank="0" priority="15" equalAverage="0" aboveAverage="0" dxfId="57" text="" percent="0" bottom="0"/>
    <cfRule type="duplicateValues" rank="0" priority="16" equalAverage="0" aboveAverage="0" dxfId="57" text="" percent="0" bottom="0"/>
  </conditionalFormatting>
  <conditionalFormatting sqref="B37">
    <cfRule type="duplicateValues" rank="0" priority="17" equalAverage="0" aboveAverage="0" dxfId="57" text="" percent="0" bottom="0"/>
    <cfRule type="duplicateValues" rank="0" priority="18" equalAverage="0" aboveAverage="0" dxfId="57" text="" percent="0" bottom="0"/>
  </conditionalFormatting>
  <conditionalFormatting sqref="B18">
    <cfRule type="duplicateValues" rank="0" priority="19" equalAverage="0" aboveAverage="0" dxfId="57" text="" percent="0" bottom="0"/>
    <cfRule type="duplicateValues" rank="0" priority="20" equalAverage="0" aboveAverage="0" dxfId="57" text="" percent="0" bottom="0"/>
  </conditionalFormatting>
  <conditionalFormatting sqref="B35">
    <cfRule type="duplicateValues" rank="0" priority="21" equalAverage="0" aboveAverage="0" dxfId="57" text="" percent="0" bottom="0"/>
    <cfRule type="duplicateValues" rank="0" priority="22" equalAverage="0" aboveAverage="0" dxfId="57" text="" percent="0" bottom="0"/>
  </conditionalFormatting>
  <conditionalFormatting sqref="B36">
    <cfRule type="duplicateValues" rank="0" priority="23" equalAverage="0" aboveAverage="0" dxfId="57" text="" percent="0" bottom="0"/>
    <cfRule type="duplicateValues" rank="0" priority="24" equalAverage="0" aboveAverage="0" dxfId="57" text="" percent="0" bottom="0"/>
  </conditionalFormatting>
  <conditionalFormatting sqref="B20">
    <cfRule type="duplicateValues" rank="0" priority="25" equalAverage="0" aboveAverage="0" dxfId="57" text="" percent="0" bottom="0"/>
    <cfRule type="duplicateValues" rank="0" priority="26" equalAverage="0" aboveAverage="0" dxfId="57" text="" percent="0" bottom="0"/>
  </conditionalFormatting>
  <conditionalFormatting sqref="B38">
    <cfRule type="duplicateValues" rank="0" priority="27" equalAverage="0" aboveAverage="0" dxfId="57" text="" percent="0" bottom="0"/>
    <cfRule type="duplicateValues" rank="0" priority="28" equalAverage="0" aboveAverage="0" dxfId="57" text="" percent="0" bottom="0"/>
  </conditionalFormatting>
  <conditionalFormatting sqref="B53">
    <cfRule type="duplicateValues" rank="0" priority="29" equalAverage="0" aboveAverage="0" dxfId="57" text="" percent="0" bottom="0"/>
    <cfRule type="duplicateValues" rank="0" priority="30" equalAverage="0" aboveAverage="0" dxfId="57" text="" percent="0" bottom="0"/>
  </conditionalFormatting>
  <conditionalFormatting sqref="B50">
    <cfRule type="duplicateValues" rank="0" priority="31" equalAverage="0" aboveAverage="0" dxfId="57" text="" percent="0" bottom="0"/>
    <cfRule type="duplicateValues" rank="0" priority="32" equalAverage="0" aboveAverage="0" dxfId="57" text="" percent="0" bottom="0"/>
  </conditionalFormatting>
  <conditionalFormatting sqref="B7">
    <cfRule type="duplicateValues" rank="0" priority="33" equalAverage="0" aboveAverage="0" dxfId="57" text="" percent="0" bottom="0"/>
    <cfRule type="duplicateValues" rank="0" priority="34" equalAverage="0" aboveAverage="0" dxfId="57" text="" percent="0" bottom="0"/>
  </conditionalFormatting>
  <conditionalFormatting sqref="B41">
    <cfRule type="cellIs" rank="0" priority="35" equalAverage="0" operator="equal" aboveAverage="0" dxfId="12" text="" percent="0" bottom="0">
      <formula>"OFF"</formula>
    </cfRule>
  </conditionalFormatting>
  <conditionalFormatting sqref="F94:F98">
    <cfRule type="duplicateValues" rank="0" priority="36" equalAverage="0" aboveAverage="0" dxfId="57" text="" percent="0" bottom="0"/>
    <cfRule type="duplicateValues" rank="0" priority="37" equalAverage="0" aboveAverage="0" dxfId="57" text="" percent="0" bottom="0"/>
  </conditionalFormatting>
  <conditionalFormatting sqref="A94:A98">
    <cfRule type="duplicateValues" rank="0" priority="38" equalAverage="0" aboveAverage="0" dxfId="57" text="" percent="0" bottom="0"/>
    <cfRule type="duplicateValues" rank="0" priority="39" equalAverage="0" aboveAverage="0" dxfId="57" text="" percent="0" bottom="0"/>
  </conditionalFormatting>
  <conditionalFormatting sqref="B93">
    <cfRule type="duplicateValues" rank="0" priority="40" equalAverage="0" aboveAverage="0" dxfId="57" text="" percent="0" bottom="0"/>
  </conditionalFormatting>
  <conditionalFormatting sqref="F3:F8 F10:F15 F17:F21 F23:F28 F30:F35 F37">
    <cfRule type="duplicateValues" rank="0" priority="41" equalAverage="0" aboveAverage="0" dxfId="57" text="" percent="0" bottom="0"/>
  </conditionalFormatting>
  <conditionalFormatting sqref="F1">
    <cfRule type="duplicateValues" rank="0" priority="42" equalAverage="0" aboveAverage="0" dxfId="57" text="" percent="0" bottom="0"/>
    <cfRule type="duplicateValues" rank="0" priority="43" equalAverage="0" aboveAverage="0" dxfId="57" text="" percent="0" bottom="0"/>
    <cfRule type="duplicateValues" rank="0" priority="44" equalAverage="0" aboveAverage="0" dxfId="57" text="" percent="0" bottom="0"/>
    <cfRule type="duplicateValues" rank="0" priority="45" equalAverage="0" aboveAverage="0" dxfId="57" text="" percent="0" bottom="0"/>
  </conditionalFormatting>
  <conditionalFormatting sqref="M10:M15">
    <cfRule type="cellIs" rank="0" priority="46" equalAverage="0" operator="equal" aboveAverage="0" dxfId="12" text="" percent="0" bottom="0">
      <formula>"OFF"</formula>
    </cfRule>
  </conditionalFormatting>
  <conditionalFormatting sqref="B24">
    <cfRule type="duplicateValues" rank="0" priority="47" equalAverage="0" aboveAverage="0" dxfId="57" text="" percent="0" bottom="0"/>
  </conditionalFormatting>
  <conditionalFormatting sqref="E54">
    <cfRule type="duplicateValues" rank="0" priority="48" equalAverage="0" aboveAverage="0" dxfId="57" text="" percent="0" bottom="0"/>
  </conditionalFormatting>
  <conditionalFormatting sqref="B2 B9 B22 B29">
    <cfRule type="duplicateValues" rank="0" priority="51" equalAverage="0" aboveAverage="0" dxfId="57" text="" percent="0" bottom="0"/>
  </conditionalFormatting>
  <conditionalFormatting sqref="B3:B6 B8 B10 B12:B15 B17 B19 B21 B23 B25 B27:B28 B30:B34">
    <cfRule type="duplicateValues" rank="0" priority="52" equalAverage="0" aboveAverage="0" dxfId="57" text="" percent="0" bottom="0"/>
  </conditionalFormatting>
  <conditionalFormatting sqref="A3:A8 A10:A15 A17:A21 A23:A28 A30:A35 A37">
    <cfRule type="duplicateValues" rank="0" priority="53" equalAverage="0" aboveAverage="0" dxfId="57" text="" percent="0" bottom="0"/>
  </conditionalFormatting>
  <conditionalFormatting sqref="B2:B6 B8:B10 B12:B15 B17 B19 B21:B23 B25 B27:B34">
    <cfRule type="duplicateValues" rank="0" priority="54" equalAverage="0" aboveAverage="0" dxfId="57" text="" percent="0" bottom="0"/>
  </conditionalFormatting>
  <conditionalFormatting sqref="B1">
    <cfRule type="duplicateValues" rank="0" priority="55" equalAverage="0" aboveAverage="0" dxfId="57" text="" percent="0" bottom="0"/>
    <cfRule type="duplicateValues" rank="0" priority="56" equalAverage="0" aboveAverage="0" dxfId="57" text="" percent="0" bottom="0"/>
  </conditionalFormatting>
  <conditionalFormatting sqref="A1">
    <cfRule type="duplicateValues" rank="0" priority="57" equalAverage="0" aboveAverage="0" dxfId="57" text="" percent="0" bottom="0"/>
    <cfRule type="duplicateValues" rank="0" priority="58" equalAverage="0" aboveAverage="0" dxfId="57" text="" percent="0" bottom="0"/>
    <cfRule type="duplicateValues" rank="0" priority="59" equalAverage="0" aboveAverage="0" dxfId="57" text="" percent="0" bottom="0"/>
    <cfRule type="duplicateValues" rank="0" priority="60" equalAverage="0" aboveAverage="0" dxfId="57" text="" percent="0" bottom="0"/>
  </conditionalFormatting>
  <conditionalFormatting sqref="B94:B99 B106:B1048576">
    <cfRule type="duplicateValues" rank="0" priority="61" equalAverage="0" aboveAverage="0" dxfId="57" text="" percent="0" bottom="0"/>
  </conditionalFormatting>
  <conditionalFormatting sqref="A2:A37">
    <cfRule type="duplicateValues" rank="0" priority="62" equalAverage="0" aboveAverage="0" dxfId="57" text="" percent="0" bottom="0"/>
  </conditionalFormatting>
  <conditionalFormatting sqref="F2:F37">
    <cfRule type="duplicateValues" rank="0" priority="63" equalAverage="0" aboveAverage="0" dxfId="57" text="" percent="0" bottom="0"/>
  </conditionalFormatting>
  <conditionalFormatting sqref="A39:A93">
    <cfRule type="duplicateValues" rank="0" priority="64" equalAverage="0" aboveAverage="0" dxfId="57" text="" percent="0" bottom="0"/>
  </conditionalFormatting>
  <conditionalFormatting sqref="A38:A93">
    <cfRule type="duplicateValues" rank="0" priority="65" equalAverage="0" aboveAverage="0" dxfId="57" text="" percent="0" bottom="0"/>
  </conditionalFormatting>
  <conditionalFormatting sqref="B39:B40 B42:B49 B51:B52 B54:B56 B60:B92">
    <cfRule type="duplicateValues" rank="0" priority="66" equalAverage="0" aboveAverage="0" dxfId="57" text="" percent="0" bottom="0"/>
  </conditionalFormatting>
  <conditionalFormatting sqref="B39:B40">
    <cfRule type="duplicateValues" rank="0" priority="67" equalAverage="0" aboveAverage="0" dxfId="57" text="" percent="0" bottom="0"/>
  </conditionalFormatting>
  <conditionalFormatting sqref="F39:F93">
    <cfRule type="duplicateValues" rank="0" priority="68" equalAverage="0" aboveAverage="0" dxfId="57" text="" percent="0" bottom="0"/>
  </conditionalFormatting>
  <conditionalFormatting sqref="F38:F93">
    <cfRule type="duplicateValues" rank="0" priority="69" equalAverage="0" aboveAverage="0" dxfId="57" text="" percent="0" bottom="0"/>
  </conditionalFormatting>
  <dataValidations count="2">
    <dataValidation sqref="C6:D6 C41:D41 D45 D64:D67 D69 D71:D75 D77 D79:D80 D93" showDropDown="0" showInputMessage="1" showErrorMessage="1" allowBlank="1" type="list" errorStyle="stop" operator="between">
      <formula1>"Credit Mutuel,FLOA,COFIDIS"</formula1>
      <formula2>0</formula2>
    </dataValidation>
    <dataValidation sqref="G2:G93" showDropDown="0" showInputMessage="1" showErrorMessage="1" allowBlank="1" type="list" errorStyle="stop" operator="between">
      <formula1>"FT,PT,Mission,Forfaitaire,Sortie"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G1:Q1038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I36" activeCellId="0" sqref="I36"/>
    </sheetView>
  </sheetViews>
  <sheetFormatPr baseColWidth="8" defaultColWidth="10.6796875" defaultRowHeight="15" zeroHeight="0" outlineLevelRow="0"/>
  <cols>
    <col width="10.57" customWidth="1" style="216" min="1" max="3"/>
    <col width="9.57" customWidth="1" style="216" min="4" max="4"/>
    <col width="3.42" customWidth="1" style="216" min="5" max="6"/>
    <col width="32.42" customWidth="1" style="216" min="7" max="7"/>
    <col width="9.57" customWidth="1" style="216" min="8" max="8"/>
    <col width="20.14" customWidth="1" style="216" min="9" max="9"/>
    <col width="10.57" customWidth="1" style="266" min="10" max="10"/>
    <col width="10.57" customWidth="1" style="216" min="11" max="13"/>
    <col width="33.42" customWidth="1" style="216" min="14" max="14"/>
    <col width="11.57" customWidth="1" style="216" min="15" max="15"/>
    <col width="21.29" customWidth="1" style="216" min="16" max="16"/>
    <col width="76.42" customWidth="1" style="216" min="17" max="17"/>
    <col width="37.42" customWidth="1" style="216" min="18" max="18"/>
  </cols>
  <sheetData>
    <row r="1" ht="15" customHeight="1" s="231">
      <c r="G1" s="216" t="inlineStr">
        <is>
          <t>Statut</t>
        </is>
      </c>
      <c r="H1" s="216" t="inlineStr">
        <is>
          <t>(Tous)</t>
        </is>
      </c>
      <c r="J1" s="216" t="n"/>
    </row>
    <row r="2" ht="15" customHeight="1" s="231">
      <c r="G2" s="266" t="inlineStr">
        <is>
          <t>Team</t>
        </is>
      </c>
      <c r="H2" s="216" t="inlineStr">
        <is>
          <t>(Tous)</t>
        </is>
      </c>
    </row>
    <row r="4" ht="15" customHeight="1" s="231">
      <c r="G4" s="266" t="inlineStr">
        <is>
          <t>Nom De l'agent</t>
        </is>
      </c>
      <c r="H4" s="216" t="inlineStr">
        <is>
          <t>Date</t>
        </is>
      </c>
      <c r="I4" s="216" t="inlineStr">
        <is>
          <t>Somme de Théorique</t>
        </is>
      </c>
    </row>
    <row r="5" ht="15" customHeight="1" s="231">
      <c r="G5" s="216" t="inlineStr">
        <is>
          <t>AZHARI ABDELHAMID</t>
        </is>
      </c>
      <c r="I5" s="348" t="n">
        <v>1.833333333333333</v>
      </c>
      <c r="N5" s="266" t="inlineStr">
        <is>
          <t>Nom De l'agent</t>
        </is>
      </c>
      <c r="O5" s="266" t="inlineStr">
        <is>
          <t>Date</t>
        </is>
      </c>
      <c r="P5" s="266" t="inlineStr">
        <is>
          <t>Somme de Théorique</t>
        </is>
      </c>
      <c r="Q5" s="266" t="inlineStr">
        <is>
          <t>Commentaire</t>
        </is>
      </c>
    </row>
    <row r="6" ht="15" customHeight="1" s="231">
      <c r="G6" s="216" t="inlineStr">
        <is>
          <t>AINELKITANE ZINEB</t>
        </is>
      </c>
      <c r="I6" s="348" t="n">
        <v>1.833333333333333</v>
      </c>
      <c r="O6" s="266" t="n"/>
      <c r="P6" s="290" t="n"/>
    </row>
    <row r="7" ht="15" customHeight="1" s="231">
      <c r="G7" s="216" t="inlineStr">
        <is>
          <t>BOURABAA HASSAN</t>
        </is>
      </c>
      <c r="I7" s="348" t="n">
        <v>1.833333333333333</v>
      </c>
      <c r="P7" s="290" t="n"/>
    </row>
    <row r="8" ht="15" customHeight="1" s="231">
      <c r="G8" s="216" t="inlineStr">
        <is>
          <t>IHASSANE Ikram</t>
        </is>
      </c>
      <c r="I8" s="348" t="n">
        <v>1.833333333333333</v>
      </c>
      <c r="P8" s="290" t="n"/>
    </row>
    <row r="9" ht="15" customHeight="1" s="231">
      <c r="G9" s="216" t="inlineStr">
        <is>
          <t>QARBOUI Aymane</t>
        </is>
      </c>
      <c r="I9" s="348" t="n">
        <v>1.833333333333333</v>
      </c>
      <c r="P9" s="290" t="n"/>
    </row>
    <row r="10" ht="15" customHeight="1" s="231">
      <c r="G10" s="216" t="inlineStr">
        <is>
          <t>ZAKI OMAR</t>
        </is>
      </c>
      <c r="I10" s="348" t="n">
        <v>1.833333333333333</v>
      </c>
      <c r="P10" s="290" t="n"/>
    </row>
    <row r="11" ht="15" customHeight="1" s="231">
      <c r="G11" s="216" t="inlineStr">
        <is>
          <t>SIDIBE MOUSKEBA DALAFINA</t>
        </is>
      </c>
      <c r="I11" s="348" t="n">
        <v>1.833333333333333</v>
      </c>
      <c r="O11" s="266" t="n"/>
      <c r="P11" s="290" t="n"/>
    </row>
    <row r="12" ht="15" customHeight="1" s="231">
      <c r="G12" s="216" t="inlineStr">
        <is>
          <t>EL HOUSSAINI HOUDA</t>
        </is>
      </c>
      <c r="I12" s="348" t="n">
        <v>1.833333333333333</v>
      </c>
      <c r="O12" s="266" t="n"/>
      <c r="P12" s="290" t="n"/>
    </row>
    <row r="13" ht="15" customHeight="1" s="231">
      <c r="G13" s="216" t="inlineStr">
        <is>
          <t xml:space="preserve">DERKAOUI AMAL </t>
        </is>
      </c>
      <c r="I13" s="348" t="n">
        <v>1.833333333333333</v>
      </c>
      <c r="O13" s="266" t="n"/>
      <c r="P13" s="290" t="n"/>
    </row>
    <row r="14" ht="15" customHeight="1" s="231">
      <c r="G14" s="216" t="inlineStr">
        <is>
          <t>EL HARROUCHI CHAIMAE</t>
        </is>
      </c>
      <c r="I14" s="348" t="n">
        <v>1.833333333333333</v>
      </c>
      <c r="P14" s="348" t="n"/>
    </row>
    <row r="15" ht="15" customHeight="1" s="231">
      <c r="G15" s="216" t="inlineStr">
        <is>
          <t>BENSAR ANAS</t>
        </is>
      </c>
      <c r="I15" s="348" t="n">
        <v>1.833333333333333</v>
      </c>
      <c r="P15" s="348" t="n"/>
    </row>
    <row r="16" ht="15" customHeight="1" s="231">
      <c r="G16" s="216" t="inlineStr">
        <is>
          <t>LAFDIL NADA</t>
        </is>
      </c>
      <c r="I16" s="348" t="n">
        <v>1.833333333333333</v>
      </c>
      <c r="P16" s="348" t="n"/>
    </row>
    <row r="17" ht="15" customHeight="1" s="231">
      <c r="G17" s="216" t="inlineStr">
        <is>
          <t>NUNEZ LUCIEN BERNARD</t>
        </is>
      </c>
      <c r="I17" s="348" t="n">
        <v>1.833333333333333</v>
      </c>
    </row>
    <row r="18" ht="15" customHeight="1" s="231">
      <c r="G18" s="216" t="inlineStr">
        <is>
          <t>ZITOUNI LAMYA</t>
        </is>
      </c>
      <c r="I18" s="348" t="n">
        <v>1.833333333333333</v>
      </c>
    </row>
    <row r="19" ht="15" customHeight="1" s="231">
      <c r="G19" s="216" t="inlineStr">
        <is>
          <t xml:space="preserve">LALOUN MANAL </t>
        </is>
      </c>
      <c r="I19" s="348" t="n">
        <v>1.833333333333333</v>
      </c>
    </row>
    <row r="20" ht="15" customHeight="1" s="231">
      <c r="G20" s="216" t="inlineStr">
        <is>
          <t>GUEYE MOUHAMED</t>
        </is>
      </c>
      <c r="I20" s="348" t="n">
        <v>1.833333333333333</v>
      </c>
    </row>
    <row r="21" ht="15" customHeight="1" s="231">
      <c r="G21" s="216" t="inlineStr">
        <is>
          <t>BOULHROUD SALMA</t>
        </is>
      </c>
      <c r="I21" s="348" t="n">
        <v>1.833333333333333</v>
      </c>
    </row>
    <row r="22" ht="15" customHeight="1" s="231">
      <c r="G22" s="216" t="inlineStr">
        <is>
          <t>RACHAD NAWAR</t>
        </is>
      </c>
      <c r="I22" s="348" t="n">
        <v>1.833333333333333</v>
      </c>
    </row>
    <row r="23" ht="15" customHeight="1" s="231">
      <c r="G23" s="216" t="inlineStr">
        <is>
          <t>EL-AOUAQUI BOUCHRA</t>
        </is>
      </c>
      <c r="I23" s="348" t="n">
        <v>1.833333333333333</v>
      </c>
    </row>
    <row r="24" ht="15" customHeight="1" s="231">
      <c r="G24" s="216" t="inlineStr">
        <is>
          <t>DIOUF OUSSMANE</t>
        </is>
      </c>
      <c r="I24" s="348" t="n">
        <v>1.833333333333333</v>
      </c>
    </row>
    <row r="25" ht="15" customHeight="1" s="231">
      <c r="G25" s="216" t="inlineStr">
        <is>
          <t>SECK DIARRA</t>
        </is>
      </c>
      <c r="I25" s="348" t="n">
        <v>1.833333333333333</v>
      </c>
    </row>
    <row r="26" ht="15" customHeight="1" s="231">
      <c r="G26" s="216" t="inlineStr">
        <is>
          <t>AIT LARBI HIND</t>
        </is>
      </c>
      <c r="I26" s="348" t="n">
        <v>1.833333333333333</v>
      </c>
    </row>
    <row r="27" ht="15" customHeight="1" s="231">
      <c r="G27" s="216" t="inlineStr">
        <is>
          <t>ELBOUTI AYOUB</t>
        </is>
      </c>
      <c r="I27" s="348" t="n">
        <v>1.833333333333333</v>
      </c>
    </row>
    <row r="28" ht="15" customHeight="1" s="231">
      <c r="G28" s="216" t="inlineStr">
        <is>
          <t>AIT ADDI KHADIJA</t>
        </is>
      </c>
      <c r="I28" s="348" t="n">
        <v>1.833333333333333</v>
      </c>
    </row>
    <row r="29" ht="15" customHeight="1" s="231">
      <c r="G29" s="216" t="inlineStr">
        <is>
          <t>NEMMAOUI MOUNIRA</t>
        </is>
      </c>
      <c r="I29" s="348" t="n">
        <v>1.833333333333333</v>
      </c>
    </row>
    <row r="30" ht="15" customHeight="1" s="231">
      <c r="G30" s="216" t="inlineStr">
        <is>
          <t>MELLAHI YOUSSEF</t>
        </is>
      </c>
      <c r="I30" s="348" t="n">
        <v>1.833333333333333</v>
      </c>
    </row>
    <row r="31" ht="15" customHeight="1" s="231">
      <c r="G31" s="216" t="inlineStr">
        <is>
          <t>SOUOUD ZAKARIA</t>
        </is>
      </c>
      <c r="I31" s="348" t="n">
        <v>1.833333333333333</v>
      </c>
    </row>
    <row r="32" ht="15" customHeight="1" s="231">
      <c r="G32" s="216" t="inlineStr">
        <is>
          <t>NIANG NDEYE ABSA</t>
        </is>
      </c>
      <c r="I32" s="348" t="n">
        <v>1.833333333333333</v>
      </c>
    </row>
    <row r="33" ht="15" customHeight="1" s="231">
      <c r="G33" s="216" t="inlineStr">
        <is>
          <t xml:space="preserve">EL HOUJJAJI Soufiane </t>
        </is>
      </c>
      <c r="I33" s="348" t="n">
        <v>1.833333333333333</v>
      </c>
    </row>
    <row r="34" ht="15" customHeight="1" s="231">
      <c r="G34" s="216" t="inlineStr">
        <is>
          <t>GUEYE GORA</t>
        </is>
      </c>
      <c r="I34" s="348" t="n">
        <v>1.666666666666667</v>
      </c>
    </row>
    <row r="35" ht="15" customHeight="1" s="231">
      <c r="G35" s="216" t="inlineStr">
        <is>
          <t>TOURE ABIBOU</t>
        </is>
      </c>
      <c r="I35" s="348" t="n">
        <v>1.666666666666667</v>
      </c>
    </row>
    <row r="36" ht="15" customHeight="1" s="231">
      <c r="G36" s="216" t="inlineStr">
        <is>
          <t>KANTAOUI SALMA</t>
        </is>
      </c>
      <c r="I36" s="348" t="n">
        <v>1.541666666666667</v>
      </c>
    </row>
    <row r="37" ht="15" customHeight="1" s="231">
      <c r="G37" s="216" t="inlineStr">
        <is>
          <t>ZIOUI DOUNIA</t>
        </is>
      </c>
      <c r="I37" s="348" t="n">
        <v>1.25</v>
      </c>
    </row>
    <row r="38" ht="15" customHeight="1" s="231">
      <c r="G38" s="216" t="inlineStr">
        <is>
          <t>Total général</t>
        </is>
      </c>
      <c r="I38" s="348" t="n">
        <v>59.29166666666666</v>
      </c>
    </row>
    <row r="136" ht="15" customHeight="1" s="231">
      <c r="J136" s="216" t="n"/>
    </row>
    <row r="137" ht="15" customHeight="1" s="231">
      <c r="J137" s="216" t="n"/>
    </row>
    <row r="138" ht="15" customHeight="1" s="231">
      <c r="J138" s="216" t="n"/>
    </row>
    <row r="139" ht="15" customHeight="1" s="231">
      <c r="J139" s="216" t="n"/>
    </row>
    <row r="140" ht="15" customHeight="1" s="231">
      <c r="J140" s="216" t="n"/>
    </row>
    <row r="141" ht="15" customHeight="1" s="231">
      <c r="J141" s="216" t="n"/>
    </row>
    <row r="142" ht="15" customHeight="1" s="231">
      <c r="J142" s="216" t="n"/>
    </row>
    <row r="143" ht="15" customHeight="1" s="231">
      <c r="J143" s="216" t="n"/>
    </row>
    <row r="144" ht="15" customHeight="1" s="231">
      <c r="J144" s="216" t="n"/>
    </row>
    <row r="145" ht="15" customHeight="1" s="231">
      <c r="J145" s="216" t="n"/>
    </row>
    <row r="146" ht="15" customHeight="1" s="231">
      <c r="J146" s="216" t="n"/>
    </row>
    <row r="147" ht="15" customHeight="1" s="231">
      <c r="J147" s="216" t="n"/>
    </row>
    <row r="148" ht="15" customHeight="1" s="231">
      <c r="J148" s="216" t="n"/>
    </row>
    <row r="149" ht="15" customHeight="1" s="231">
      <c r="J149" s="216" t="n"/>
    </row>
    <row r="150" ht="15" customHeight="1" s="231">
      <c r="J150" s="216" t="n"/>
    </row>
    <row r="151" ht="15" customHeight="1" s="231">
      <c r="J151" s="216" t="n"/>
    </row>
    <row r="152" ht="15" customHeight="1" s="231">
      <c r="J152" s="216" t="n"/>
    </row>
    <row r="153" ht="15" customHeight="1" s="231">
      <c r="J153" s="216" t="n"/>
    </row>
    <row r="154" ht="15" customHeight="1" s="231">
      <c r="J154" s="216" t="n"/>
    </row>
    <row r="155" ht="15" customHeight="1" s="231">
      <c r="J155" s="216" t="n"/>
    </row>
    <row r="156" ht="15" customHeight="1" s="231">
      <c r="J156" s="216" t="n"/>
    </row>
    <row r="157" ht="15" customHeight="1" s="231">
      <c r="J157" s="216" t="n"/>
    </row>
    <row r="158" ht="15" customHeight="1" s="231">
      <c r="J158" s="216" t="n"/>
    </row>
    <row r="159" ht="15" customHeight="1" s="231">
      <c r="J159" s="216" t="n"/>
    </row>
    <row r="160" ht="15" customHeight="1" s="231">
      <c r="J160" s="216" t="n"/>
    </row>
    <row r="161" ht="15" customHeight="1" s="231">
      <c r="J161" s="216" t="n"/>
    </row>
    <row r="162" ht="15" customHeight="1" s="231">
      <c r="J162" s="216" t="n"/>
    </row>
    <row r="163" ht="15" customHeight="1" s="231">
      <c r="J163" s="216" t="n"/>
    </row>
    <row r="164" ht="15" customHeight="1" s="231">
      <c r="J164" s="216" t="n"/>
    </row>
    <row r="165" ht="15" customHeight="1" s="231">
      <c r="J165" s="216" t="n"/>
    </row>
    <row r="166" ht="15" customHeight="1" s="231">
      <c r="J166" s="216" t="n"/>
    </row>
    <row r="167" ht="15" customHeight="1" s="231">
      <c r="J167" s="216" t="n"/>
    </row>
    <row r="168" ht="15" customHeight="1" s="231">
      <c r="J168" s="216" t="n"/>
    </row>
    <row r="169" ht="15" customHeight="1" s="231">
      <c r="J169" s="216" t="n"/>
    </row>
    <row r="170" ht="15" customHeight="1" s="231">
      <c r="J170" s="216" t="n"/>
    </row>
    <row r="171" ht="15" customHeight="1" s="231">
      <c r="J171" s="216" t="n"/>
    </row>
    <row r="172" ht="15" customHeight="1" s="231">
      <c r="J172" s="216" t="n"/>
    </row>
    <row r="173" ht="15" customHeight="1" s="231">
      <c r="J173" s="216" t="n"/>
    </row>
    <row r="174" ht="15" customHeight="1" s="231">
      <c r="J174" s="216" t="n"/>
    </row>
    <row r="175" ht="15" customHeight="1" s="231">
      <c r="J175" s="216" t="n"/>
    </row>
    <row r="176" ht="15" customHeight="1" s="231">
      <c r="J176" s="216" t="n"/>
    </row>
    <row r="177" ht="15" customHeight="1" s="231">
      <c r="J177" s="216" t="n"/>
    </row>
    <row r="178" ht="15" customHeight="1" s="231">
      <c r="J178" s="216" t="n"/>
    </row>
    <row r="179" ht="15" customHeight="1" s="231">
      <c r="J179" s="216" t="n"/>
    </row>
    <row r="180" ht="15" customHeight="1" s="231">
      <c r="J180" s="216" t="n"/>
    </row>
    <row r="181" ht="15" customHeight="1" s="231">
      <c r="J181" s="216" t="n"/>
    </row>
    <row r="182" ht="15" customHeight="1" s="231">
      <c r="J182" s="216" t="n"/>
    </row>
    <row r="183" ht="15" customHeight="1" s="231">
      <c r="J183" s="216" t="n"/>
    </row>
    <row r="184" ht="15" customHeight="1" s="231">
      <c r="J184" s="216" t="n"/>
    </row>
    <row r="185" ht="15" customHeight="1" s="231">
      <c r="J185" s="216" t="n"/>
    </row>
    <row r="186" ht="15" customHeight="1" s="231">
      <c r="J186" s="216" t="n"/>
    </row>
    <row r="187" ht="15" customHeight="1" s="231">
      <c r="J187" s="216" t="n"/>
    </row>
    <row r="188" ht="15" customHeight="1" s="231">
      <c r="J188" s="216" t="n"/>
    </row>
    <row r="189" ht="15" customHeight="1" s="231">
      <c r="J189" s="216" t="n"/>
    </row>
    <row r="190" ht="15" customHeight="1" s="231">
      <c r="J190" s="216" t="n"/>
    </row>
    <row r="191" ht="15" customHeight="1" s="231">
      <c r="J191" s="216" t="n"/>
    </row>
    <row r="192" ht="15" customHeight="1" s="231">
      <c r="J192" s="216" t="n"/>
    </row>
    <row r="193" ht="15" customHeight="1" s="231">
      <c r="J193" s="216" t="n"/>
    </row>
    <row r="194" ht="15" customHeight="1" s="231">
      <c r="J194" s="216" t="n"/>
    </row>
    <row r="195" ht="15" customHeight="1" s="231">
      <c r="J195" s="216" t="n"/>
    </row>
    <row r="196" ht="15" customHeight="1" s="231">
      <c r="J196" s="216" t="n"/>
    </row>
    <row r="197" ht="15" customHeight="1" s="231">
      <c r="J197" s="216" t="n"/>
    </row>
    <row r="198" ht="15" customHeight="1" s="231">
      <c r="J198" s="216" t="n"/>
    </row>
    <row r="199" ht="15" customHeight="1" s="231">
      <c r="J199" s="216" t="n"/>
    </row>
    <row r="200" ht="15" customHeight="1" s="231">
      <c r="J200" s="216" t="n"/>
    </row>
    <row r="201" ht="15" customHeight="1" s="231">
      <c r="J201" s="216" t="n"/>
    </row>
    <row r="202" ht="15" customHeight="1" s="231">
      <c r="J202" s="216" t="n"/>
    </row>
    <row r="203" ht="15" customHeight="1" s="231">
      <c r="J203" s="216" t="n"/>
    </row>
    <row r="204" ht="15" customHeight="1" s="231">
      <c r="J204" s="216" t="n"/>
    </row>
    <row r="205" ht="15" customHeight="1" s="231">
      <c r="J205" s="216" t="n"/>
    </row>
    <row r="206" ht="15" customHeight="1" s="231">
      <c r="J206" s="216" t="n"/>
    </row>
    <row r="207" ht="15" customHeight="1" s="231">
      <c r="J207" s="216" t="n"/>
    </row>
    <row r="208" ht="15" customHeight="1" s="231">
      <c r="J208" s="216" t="n"/>
    </row>
    <row r="209" ht="15" customHeight="1" s="231">
      <c r="J209" s="216" t="n"/>
    </row>
    <row r="210" ht="15" customHeight="1" s="231">
      <c r="J210" s="216" t="n"/>
    </row>
    <row r="211" ht="15" customHeight="1" s="231">
      <c r="J211" s="216" t="n"/>
    </row>
    <row r="212" ht="15" customHeight="1" s="231">
      <c r="J212" s="216" t="n"/>
    </row>
    <row r="213" ht="15" customHeight="1" s="231">
      <c r="J213" s="216" t="n"/>
    </row>
    <row r="214" ht="15" customHeight="1" s="231">
      <c r="J214" s="216" t="n"/>
    </row>
    <row r="215" ht="15" customHeight="1" s="231">
      <c r="J215" s="216" t="n"/>
    </row>
    <row r="216" ht="15" customHeight="1" s="231">
      <c r="J216" s="216" t="n"/>
    </row>
    <row r="217" ht="15" customHeight="1" s="231">
      <c r="J217" s="216" t="n"/>
    </row>
    <row r="218" ht="15" customHeight="1" s="231">
      <c r="J218" s="216" t="n"/>
    </row>
    <row r="219" ht="15" customHeight="1" s="231">
      <c r="J219" s="216" t="n"/>
    </row>
    <row r="220" ht="15" customHeight="1" s="231">
      <c r="J220" s="216" t="n"/>
    </row>
    <row r="221" ht="15" customHeight="1" s="231">
      <c r="J221" s="216" t="n"/>
    </row>
    <row r="222" ht="15" customHeight="1" s="231">
      <c r="J222" s="216" t="n"/>
    </row>
    <row r="223" ht="15" customHeight="1" s="231">
      <c r="J223" s="216" t="n"/>
    </row>
    <row r="224" ht="15" customHeight="1" s="231">
      <c r="J224" s="216" t="n"/>
    </row>
    <row r="225" ht="15" customHeight="1" s="231">
      <c r="J225" s="216" t="n"/>
    </row>
    <row r="226" ht="15" customHeight="1" s="231">
      <c r="J226" s="216" t="n"/>
    </row>
    <row r="227" ht="15" customHeight="1" s="231">
      <c r="J227" s="216" t="n"/>
    </row>
    <row r="228" ht="15" customHeight="1" s="231">
      <c r="J228" s="216" t="n"/>
    </row>
    <row r="229" ht="15" customHeight="1" s="231">
      <c r="J229" s="216" t="n"/>
    </row>
    <row r="230" ht="15" customHeight="1" s="231">
      <c r="J230" s="216" t="n"/>
    </row>
    <row r="231" ht="15" customHeight="1" s="231">
      <c r="J231" s="216" t="n"/>
    </row>
    <row r="232" ht="15" customHeight="1" s="231">
      <c r="J232" s="216" t="n"/>
    </row>
    <row r="233" ht="15" customHeight="1" s="231">
      <c r="J233" s="216" t="n"/>
    </row>
    <row r="234" ht="15" customHeight="1" s="231">
      <c r="J234" s="216" t="n"/>
    </row>
    <row r="235" ht="15" customHeight="1" s="231">
      <c r="J235" s="216" t="n"/>
    </row>
    <row r="236" ht="15" customHeight="1" s="231">
      <c r="J236" s="216" t="n"/>
    </row>
    <row r="237" ht="15" customHeight="1" s="231">
      <c r="J237" s="216" t="n"/>
    </row>
    <row r="238" ht="15" customHeight="1" s="231">
      <c r="J238" s="216" t="n"/>
    </row>
    <row r="239" ht="15" customHeight="1" s="231">
      <c r="J239" s="216" t="n"/>
    </row>
    <row r="240" ht="15" customHeight="1" s="231">
      <c r="J240" s="216" t="n"/>
    </row>
    <row r="241" ht="15" customHeight="1" s="231">
      <c r="J241" s="216" t="n"/>
    </row>
    <row r="242" ht="15" customHeight="1" s="231">
      <c r="J242" s="216" t="n"/>
    </row>
    <row r="243" ht="15" customHeight="1" s="231">
      <c r="J243" s="216" t="n"/>
    </row>
    <row r="244" ht="15" customHeight="1" s="231">
      <c r="J244" s="216" t="n"/>
    </row>
    <row r="245" ht="15" customHeight="1" s="231">
      <c r="J245" s="216" t="n"/>
    </row>
    <row r="246" ht="15" customHeight="1" s="231">
      <c r="J246" s="216" t="n"/>
    </row>
    <row r="247" ht="15" customHeight="1" s="231">
      <c r="J247" s="216" t="n"/>
    </row>
    <row r="248" ht="15" customHeight="1" s="231">
      <c r="J248" s="216" t="n"/>
    </row>
    <row r="249" ht="15" customHeight="1" s="231">
      <c r="J249" s="216" t="n"/>
    </row>
    <row r="250" ht="15" customHeight="1" s="231">
      <c r="J250" s="216" t="n"/>
    </row>
    <row r="251" ht="15" customHeight="1" s="231">
      <c r="J251" s="216" t="n"/>
    </row>
    <row r="252" ht="15" customHeight="1" s="231">
      <c r="J252" s="216" t="n"/>
    </row>
    <row r="253" ht="15" customHeight="1" s="231">
      <c r="J253" s="216" t="n"/>
    </row>
    <row r="254" ht="15" customHeight="1" s="231">
      <c r="J254" s="216" t="n"/>
    </row>
    <row r="255" ht="15" customHeight="1" s="231">
      <c r="J255" s="216" t="n"/>
    </row>
    <row r="256" ht="15" customHeight="1" s="231">
      <c r="J256" s="216" t="n"/>
    </row>
    <row r="257" ht="15" customHeight="1" s="231">
      <c r="J257" s="216" t="n"/>
    </row>
    <row r="258" ht="15" customHeight="1" s="231">
      <c r="J258" s="216" t="n"/>
    </row>
    <row r="259" ht="15" customHeight="1" s="231">
      <c r="J259" s="216" t="n"/>
    </row>
    <row r="260" ht="15" customHeight="1" s="231">
      <c r="J260" s="216" t="n"/>
    </row>
    <row r="261" ht="15" customHeight="1" s="231">
      <c r="J261" s="216" t="n"/>
    </row>
    <row r="262" ht="15" customHeight="1" s="231">
      <c r="J262" s="216" t="n"/>
    </row>
    <row r="263" ht="15" customHeight="1" s="231">
      <c r="J263" s="216" t="n"/>
    </row>
    <row r="264" ht="15" customHeight="1" s="231">
      <c r="J264" s="216" t="n"/>
    </row>
    <row r="265" ht="15" customHeight="1" s="231">
      <c r="J265" s="216" t="n"/>
    </row>
    <row r="266" ht="15" customHeight="1" s="231">
      <c r="J266" s="216" t="n"/>
    </row>
    <row r="267" ht="15" customHeight="1" s="231">
      <c r="J267" s="216" t="n"/>
    </row>
    <row r="268" ht="15" customHeight="1" s="231">
      <c r="J268" s="216" t="n"/>
    </row>
    <row r="269" ht="15" customHeight="1" s="231">
      <c r="J269" s="216" t="n"/>
    </row>
    <row r="270" ht="15" customHeight="1" s="231">
      <c r="J270" s="216" t="n"/>
    </row>
    <row r="271" ht="15" customHeight="1" s="231">
      <c r="J271" s="216" t="n"/>
    </row>
    <row r="272" ht="15" customHeight="1" s="231">
      <c r="J272" s="216" t="n"/>
    </row>
    <row r="273" ht="15" customHeight="1" s="231">
      <c r="J273" s="216" t="n"/>
    </row>
    <row r="274" ht="15" customHeight="1" s="231">
      <c r="J274" s="216" t="n"/>
    </row>
    <row r="275" ht="15" customHeight="1" s="231">
      <c r="J275" s="216" t="n"/>
    </row>
    <row r="276" ht="15" customHeight="1" s="231">
      <c r="J276" s="216" t="n"/>
    </row>
    <row r="277" ht="15" customHeight="1" s="231">
      <c r="J277" s="216" t="n"/>
    </row>
    <row r="278" ht="15" customHeight="1" s="231">
      <c r="J278" s="216" t="n"/>
    </row>
    <row r="279" ht="15" customHeight="1" s="231">
      <c r="J279" s="216" t="n"/>
    </row>
    <row r="280" ht="15" customHeight="1" s="231">
      <c r="J280" s="216" t="n"/>
    </row>
    <row r="281" ht="15" customHeight="1" s="231">
      <c r="J281" s="216" t="n"/>
    </row>
    <row r="282" ht="15" customHeight="1" s="231">
      <c r="J282" s="216" t="n"/>
    </row>
    <row r="283" ht="15" customHeight="1" s="231">
      <c r="J283" s="216" t="n"/>
    </row>
    <row r="284" ht="15" customHeight="1" s="231">
      <c r="J284" s="216" t="n"/>
    </row>
    <row r="285" ht="15" customHeight="1" s="231">
      <c r="J285" s="216" t="n"/>
    </row>
    <row r="286" ht="15" customHeight="1" s="231">
      <c r="J286" s="216" t="n"/>
    </row>
    <row r="287" ht="15" customHeight="1" s="231">
      <c r="J287" s="216" t="n"/>
    </row>
    <row r="288" ht="15" customHeight="1" s="231">
      <c r="J288" s="216" t="n"/>
    </row>
    <row r="289" ht="15" customHeight="1" s="231">
      <c r="J289" s="216" t="n"/>
    </row>
    <row r="290" ht="15" customHeight="1" s="231">
      <c r="J290" s="216" t="n"/>
    </row>
    <row r="291" ht="15" customHeight="1" s="231">
      <c r="J291" s="216" t="n"/>
    </row>
    <row r="292" ht="15" customHeight="1" s="231">
      <c r="J292" s="216" t="n"/>
    </row>
    <row r="293" ht="15" customHeight="1" s="231">
      <c r="J293" s="216" t="n"/>
    </row>
    <row r="294" ht="15" customHeight="1" s="231">
      <c r="J294" s="216" t="n"/>
    </row>
    <row r="295" ht="15" customHeight="1" s="231">
      <c r="J295" s="216" t="n"/>
    </row>
    <row r="296" ht="15" customHeight="1" s="231">
      <c r="J296" s="216" t="n"/>
    </row>
    <row r="297" ht="15" customHeight="1" s="231">
      <c r="J297" s="216" t="n"/>
    </row>
    <row r="298" ht="15" customHeight="1" s="231">
      <c r="J298" s="216" t="n"/>
    </row>
    <row r="299" ht="15" customHeight="1" s="231">
      <c r="J299" s="216" t="n"/>
    </row>
    <row r="300" ht="15" customHeight="1" s="231">
      <c r="J300" s="216" t="n"/>
    </row>
    <row r="301" ht="15" customHeight="1" s="231">
      <c r="J301" s="216" t="n"/>
    </row>
    <row r="302" ht="15" customHeight="1" s="231">
      <c r="J302" s="216" t="n"/>
    </row>
    <row r="303" ht="15" customHeight="1" s="231">
      <c r="J303" s="216" t="n"/>
    </row>
    <row r="304" ht="15" customHeight="1" s="231">
      <c r="J304" s="216" t="n"/>
    </row>
    <row r="305" ht="15" customHeight="1" s="231">
      <c r="J305" s="216" t="n"/>
    </row>
    <row r="306" ht="15" customHeight="1" s="231">
      <c r="J306" s="216" t="n"/>
    </row>
    <row r="307" ht="15" customHeight="1" s="231">
      <c r="J307" s="216" t="n"/>
    </row>
    <row r="308" ht="15" customHeight="1" s="231">
      <c r="J308" s="216" t="n"/>
    </row>
    <row r="309" ht="15" customHeight="1" s="231">
      <c r="J309" s="216" t="n"/>
    </row>
    <row r="310" ht="15" customHeight="1" s="231">
      <c r="J310" s="216" t="n"/>
    </row>
    <row r="311" ht="15" customHeight="1" s="231">
      <c r="J311" s="216" t="n"/>
    </row>
    <row r="312" ht="15" customHeight="1" s="231">
      <c r="J312" s="216" t="n"/>
    </row>
    <row r="313" ht="15" customHeight="1" s="231">
      <c r="J313" s="216" t="n"/>
    </row>
    <row r="314" ht="15" customHeight="1" s="231">
      <c r="J314" s="216" t="n"/>
    </row>
    <row r="315" ht="15" customHeight="1" s="231">
      <c r="J315" s="216" t="n"/>
    </row>
    <row r="316" ht="15" customHeight="1" s="231">
      <c r="J316" s="216" t="n"/>
    </row>
    <row r="317" ht="15" customHeight="1" s="231">
      <c r="J317" s="216" t="n"/>
    </row>
    <row r="318" ht="15" customHeight="1" s="231">
      <c r="J318" s="216" t="n"/>
    </row>
    <row r="319" ht="15" customHeight="1" s="231">
      <c r="J319" s="216" t="n"/>
    </row>
    <row r="320" ht="15" customHeight="1" s="231">
      <c r="J320" s="216" t="n"/>
    </row>
    <row r="321" ht="15" customHeight="1" s="231">
      <c r="J321" s="216" t="n"/>
    </row>
    <row r="322" ht="15" customHeight="1" s="231">
      <c r="J322" s="216" t="n"/>
    </row>
    <row r="323" ht="15" customHeight="1" s="231">
      <c r="J323" s="216" t="n"/>
    </row>
    <row r="324" ht="15" customHeight="1" s="231">
      <c r="J324" s="216" t="n"/>
    </row>
    <row r="325" ht="15" customHeight="1" s="231">
      <c r="J325" s="216" t="n"/>
    </row>
    <row r="326" ht="15" customHeight="1" s="231">
      <c r="J326" s="216" t="n"/>
    </row>
    <row r="327" ht="15" customHeight="1" s="231">
      <c r="J327" s="216" t="n"/>
    </row>
    <row r="328" ht="15" customHeight="1" s="231">
      <c r="J328" s="216" t="n"/>
    </row>
    <row r="329" ht="15" customHeight="1" s="231">
      <c r="J329" s="216" t="n"/>
    </row>
    <row r="330" ht="15" customHeight="1" s="231">
      <c r="J330" s="216" t="n"/>
    </row>
    <row r="331" ht="15" customHeight="1" s="231">
      <c r="J331" s="216" t="n"/>
    </row>
    <row r="332" ht="15" customHeight="1" s="231">
      <c r="J332" s="216" t="n"/>
    </row>
    <row r="333" ht="15" customHeight="1" s="231">
      <c r="J333" s="216" t="n"/>
    </row>
    <row r="334" ht="15" customHeight="1" s="231">
      <c r="J334" s="216" t="n"/>
    </row>
    <row r="335" ht="15" customHeight="1" s="231">
      <c r="J335" s="216" t="n"/>
    </row>
    <row r="336" ht="15" customHeight="1" s="231">
      <c r="J336" s="216" t="n"/>
    </row>
    <row r="337" ht="15" customHeight="1" s="231">
      <c r="J337" s="216" t="n"/>
    </row>
    <row r="338" ht="15" customHeight="1" s="231">
      <c r="J338" s="216" t="n"/>
    </row>
    <row r="339" ht="15" customHeight="1" s="231">
      <c r="J339" s="216" t="n"/>
    </row>
    <row r="340" ht="15" customHeight="1" s="231">
      <c r="J340" s="216" t="n"/>
    </row>
    <row r="341" ht="15" customHeight="1" s="231">
      <c r="J341" s="216" t="n"/>
    </row>
    <row r="342" ht="15" customHeight="1" s="231">
      <c r="J342" s="216" t="n"/>
    </row>
    <row r="343" ht="15" customHeight="1" s="231">
      <c r="J343" s="216" t="n"/>
    </row>
    <row r="344" ht="15" customHeight="1" s="231">
      <c r="J344" s="216" t="n"/>
    </row>
    <row r="345" ht="15" customHeight="1" s="231">
      <c r="J345" s="216" t="n"/>
    </row>
    <row r="346" ht="15" customHeight="1" s="231">
      <c r="J346" s="216" t="n"/>
    </row>
    <row r="347" ht="15" customHeight="1" s="231">
      <c r="J347" s="216" t="n"/>
    </row>
    <row r="348" ht="15" customHeight="1" s="231">
      <c r="J348" s="216" t="n"/>
    </row>
    <row r="349" ht="15" customHeight="1" s="231">
      <c r="J349" s="216" t="n"/>
    </row>
    <row r="350" ht="15" customHeight="1" s="231">
      <c r="J350" s="216" t="n"/>
    </row>
    <row r="351" ht="15" customHeight="1" s="231">
      <c r="J351" s="216" t="n"/>
    </row>
    <row r="352" ht="15" customHeight="1" s="231">
      <c r="J352" s="216" t="n"/>
    </row>
    <row r="353" ht="15" customHeight="1" s="231">
      <c r="J353" s="216" t="n"/>
    </row>
    <row r="354" ht="15" customHeight="1" s="231">
      <c r="J354" s="216" t="n"/>
    </row>
    <row r="355" ht="15" customHeight="1" s="231">
      <c r="J355" s="216" t="n"/>
    </row>
    <row r="356" ht="15" customHeight="1" s="231">
      <c r="J356" s="216" t="n"/>
    </row>
    <row r="357" ht="15" customHeight="1" s="231">
      <c r="J357" s="216" t="n"/>
    </row>
    <row r="358" ht="15" customHeight="1" s="231">
      <c r="J358" s="216" t="n"/>
    </row>
    <row r="359" ht="15" customHeight="1" s="231">
      <c r="J359" s="216" t="n"/>
    </row>
    <row r="360" ht="15" customHeight="1" s="231">
      <c r="J360" s="216" t="n"/>
    </row>
    <row r="361" ht="15" customHeight="1" s="231">
      <c r="J361" s="216" t="n"/>
    </row>
    <row r="362" ht="15" customHeight="1" s="231">
      <c r="J362" s="216" t="n"/>
    </row>
    <row r="363" ht="15" customHeight="1" s="231">
      <c r="J363" s="216" t="n"/>
    </row>
    <row r="364" ht="15" customHeight="1" s="231">
      <c r="J364" s="216" t="n"/>
    </row>
    <row r="365" ht="15" customHeight="1" s="231">
      <c r="J365" s="216" t="n"/>
    </row>
    <row r="366" ht="15" customHeight="1" s="231">
      <c r="J366" s="216" t="n"/>
    </row>
    <row r="367" ht="15" customHeight="1" s="231">
      <c r="J367" s="216" t="n"/>
    </row>
    <row r="368" ht="15" customHeight="1" s="231">
      <c r="J368" s="216" t="n"/>
    </row>
    <row r="369" ht="15" customHeight="1" s="231">
      <c r="J369" s="216" t="n"/>
    </row>
    <row r="370" ht="15" customHeight="1" s="231">
      <c r="J370" s="216" t="n"/>
    </row>
    <row r="371" ht="15" customHeight="1" s="231">
      <c r="J371" s="216" t="n"/>
    </row>
    <row r="372" ht="15" customHeight="1" s="231">
      <c r="J372" s="216" t="n"/>
    </row>
    <row r="373" ht="15" customHeight="1" s="231">
      <c r="J373" s="216" t="n"/>
    </row>
    <row r="374" ht="15" customHeight="1" s="231">
      <c r="J374" s="216" t="n"/>
    </row>
    <row r="375" ht="15" customHeight="1" s="231">
      <c r="J375" s="216" t="n"/>
    </row>
    <row r="376" ht="15" customHeight="1" s="231">
      <c r="J376" s="216" t="n"/>
    </row>
    <row r="377" ht="15" customHeight="1" s="231">
      <c r="J377" s="216" t="n"/>
    </row>
    <row r="378" ht="15" customHeight="1" s="231">
      <c r="J378" s="216" t="n"/>
    </row>
    <row r="379" ht="15" customHeight="1" s="231">
      <c r="J379" s="216" t="n"/>
    </row>
    <row r="380" ht="15" customHeight="1" s="231">
      <c r="J380" s="216" t="n"/>
    </row>
    <row r="381" ht="15" customHeight="1" s="231">
      <c r="J381" s="216" t="n"/>
    </row>
    <row r="382" ht="15" customHeight="1" s="231">
      <c r="J382" s="216" t="n"/>
    </row>
    <row r="383" ht="15" customHeight="1" s="231">
      <c r="J383" s="216" t="n"/>
    </row>
    <row r="384" ht="15" customHeight="1" s="231">
      <c r="J384" s="216" t="n"/>
    </row>
    <row r="385" ht="15" customHeight="1" s="231">
      <c r="J385" s="216" t="n"/>
    </row>
    <row r="386" ht="15" customHeight="1" s="231">
      <c r="J386" s="216" t="n"/>
    </row>
    <row r="387" ht="15" customHeight="1" s="231">
      <c r="J387" s="216" t="n"/>
    </row>
    <row r="388" ht="15" customHeight="1" s="231">
      <c r="J388" s="216" t="n"/>
    </row>
    <row r="389" ht="15" customHeight="1" s="231">
      <c r="J389" s="216" t="n"/>
    </row>
    <row r="390" ht="15" customHeight="1" s="231">
      <c r="J390" s="216" t="n"/>
    </row>
    <row r="391" ht="15" customHeight="1" s="231">
      <c r="J391" s="216" t="n"/>
    </row>
    <row r="392" ht="15" customHeight="1" s="231">
      <c r="J392" s="216" t="n"/>
    </row>
    <row r="393" ht="15" customHeight="1" s="231">
      <c r="J393" s="216" t="n"/>
    </row>
    <row r="394" ht="15" customHeight="1" s="231">
      <c r="J394" s="216" t="n"/>
    </row>
    <row r="395" ht="15" customHeight="1" s="231">
      <c r="J395" s="216" t="n"/>
    </row>
    <row r="396" ht="15" customHeight="1" s="231">
      <c r="J396" s="216" t="n"/>
    </row>
    <row r="397" ht="15" customHeight="1" s="231">
      <c r="J397" s="216" t="n"/>
    </row>
    <row r="398" ht="15" customHeight="1" s="231">
      <c r="J398" s="216" t="n"/>
    </row>
    <row r="399" ht="15" customHeight="1" s="231">
      <c r="J399" s="216" t="n"/>
    </row>
    <row r="400" ht="15" customHeight="1" s="231">
      <c r="J400" s="216" t="n"/>
    </row>
    <row r="401" ht="15" customHeight="1" s="231">
      <c r="J401" s="216" t="n"/>
    </row>
    <row r="402" ht="15" customHeight="1" s="231">
      <c r="J402" s="216" t="n"/>
    </row>
    <row r="403" ht="15" customHeight="1" s="231">
      <c r="J403" s="216" t="n"/>
    </row>
    <row r="404" ht="15" customHeight="1" s="231">
      <c r="J404" s="216" t="n"/>
    </row>
    <row r="405" ht="15" customHeight="1" s="231">
      <c r="J405" s="216" t="n"/>
    </row>
    <row r="406" ht="15" customHeight="1" s="231">
      <c r="J406" s="216" t="n"/>
    </row>
    <row r="407" ht="15" customHeight="1" s="231">
      <c r="J407" s="216" t="n"/>
    </row>
    <row r="408" ht="15" customHeight="1" s="231">
      <c r="J408" s="216" t="n"/>
    </row>
    <row r="409" ht="15" customHeight="1" s="231">
      <c r="J409" s="216" t="n"/>
    </row>
    <row r="410" ht="15" customHeight="1" s="231">
      <c r="J410" s="216" t="n"/>
    </row>
    <row r="411" ht="15" customHeight="1" s="231">
      <c r="J411" s="216" t="n"/>
    </row>
    <row r="412" ht="15" customHeight="1" s="231">
      <c r="J412" s="216" t="n"/>
    </row>
    <row r="413" ht="15" customHeight="1" s="231">
      <c r="J413" s="216" t="n"/>
    </row>
    <row r="414" ht="15" customHeight="1" s="231">
      <c r="J414" s="216" t="n"/>
    </row>
    <row r="415" ht="15" customHeight="1" s="231">
      <c r="J415" s="216" t="n"/>
    </row>
    <row r="416" ht="15" customHeight="1" s="231">
      <c r="J416" s="216" t="n"/>
    </row>
    <row r="417" ht="15" customHeight="1" s="231">
      <c r="J417" s="216" t="n"/>
    </row>
    <row r="418" ht="15" customHeight="1" s="231">
      <c r="J418" s="216" t="n"/>
    </row>
    <row r="419" ht="15" customHeight="1" s="231">
      <c r="J419" s="216" t="n"/>
    </row>
    <row r="420" ht="15" customHeight="1" s="231">
      <c r="J420" s="216" t="n"/>
    </row>
    <row r="421" ht="15" customHeight="1" s="231">
      <c r="J421" s="216" t="n"/>
    </row>
    <row r="422" ht="15" customHeight="1" s="231">
      <c r="J422" s="216" t="n"/>
    </row>
    <row r="423" ht="15" customHeight="1" s="231">
      <c r="J423" s="216" t="n"/>
    </row>
    <row r="424" ht="15" customHeight="1" s="231">
      <c r="J424" s="216" t="n"/>
    </row>
    <row r="425" ht="15" customHeight="1" s="231">
      <c r="J425" s="216" t="n"/>
    </row>
    <row r="426" ht="15" customHeight="1" s="231">
      <c r="J426" s="216" t="n"/>
    </row>
    <row r="427" ht="15" customHeight="1" s="231">
      <c r="J427" s="216" t="n"/>
    </row>
    <row r="428" ht="15" customHeight="1" s="231">
      <c r="J428" s="216" t="n"/>
    </row>
    <row r="429" ht="15" customHeight="1" s="231">
      <c r="J429" s="216" t="n"/>
    </row>
    <row r="430" ht="15" customHeight="1" s="231">
      <c r="J430" s="216" t="n"/>
    </row>
    <row r="431" ht="15" customHeight="1" s="231">
      <c r="J431" s="216" t="n"/>
    </row>
    <row r="432" ht="15" customHeight="1" s="231">
      <c r="J432" s="216" t="n"/>
    </row>
    <row r="433" ht="15" customHeight="1" s="231">
      <c r="J433" s="216" t="n"/>
    </row>
    <row r="434" ht="15" customHeight="1" s="231">
      <c r="J434" s="216" t="n"/>
    </row>
    <row r="435" ht="15" customHeight="1" s="231">
      <c r="J435" s="216" t="n"/>
    </row>
    <row r="436" ht="15" customHeight="1" s="231">
      <c r="J436" s="216" t="n"/>
    </row>
    <row r="437" ht="15" customHeight="1" s="231">
      <c r="J437" s="216" t="n"/>
    </row>
    <row r="438" ht="15" customHeight="1" s="231">
      <c r="J438" s="216" t="n"/>
    </row>
    <row r="439" ht="15" customHeight="1" s="231">
      <c r="J439" s="216" t="n"/>
    </row>
    <row r="440" ht="15" customHeight="1" s="231">
      <c r="J440" s="216" t="n"/>
    </row>
    <row r="441" ht="15" customHeight="1" s="231">
      <c r="J441" s="216" t="n"/>
    </row>
    <row r="442" ht="15" customHeight="1" s="231">
      <c r="J442" s="216" t="n"/>
    </row>
    <row r="443" ht="15" customHeight="1" s="231">
      <c r="J443" s="216" t="n"/>
    </row>
    <row r="444" ht="15" customHeight="1" s="231">
      <c r="J444" s="216" t="n"/>
    </row>
    <row r="445" ht="15" customHeight="1" s="231">
      <c r="J445" s="216" t="n"/>
    </row>
    <row r="446" ht="15" customHeight="1" s="231">
      <c r="J446" s="216" t="n"/>
    </row>
    <row r="447" ht="15" customHeight="1" s="231">
      <c r="J447" s="216" t="n"/>
    </row>
    <row r="448" ht="15" customHeight="1" s="231">
      <c r="J448" s="216" t="n"/>
    </row>
    <row r="449" ht="15" customHeight="1" s="231">
      <c r="J449" s="216" t="n"/>
    </row>
    <row r="450" ht="15" customHeight="1" s="231">
      <c r="J450" s="216" t="n"/>
    </row>
    <row r="451" ht="15" customHeight="1" s="231">
      <c r="J451" s="216" t="n"/>
    </row>
    <row r="452" ht="15" customHeight="1" s="231">
      <c r="J452" s="216" t="n"/>
    </row>
    <row r="453" ht="15" customHeight="1" s="231">
      <c r="J453" s="216" t="n"/>
    </row>
    <row r="454" ht="15" customHeight="1" s="231">
      <c r="J454" s="216" t="n"/>
    </row>
    <row r="455" ht="15" customHeight="1" s="231">
      <c r="J455" s="216" t="n"/>
    </row>
    <row r="456" ht="15" customHeight="1" s="231">
      <c r="J456" s="216" t="n"/>
    </row>
    <row r="457" ht="15" customHeight="1" s="231">
      <c r="J457" s="216" t="n"/>
    </row>
    <row r="458" ht="15" customHeight="1" s="231">
      <c r="J458" s="216" t="n"/>
    </row>
    <row r="459" ht="15" customHeight="1" s="231">
      <c r="J459" s="216" t="n"/>
    </row>
    <row r="460" ht="15" customHeight="1" s="231">
      <c r="J460" s="216" t="n"/>
    </row>
    <row r="461" ht="15" customHeight="1" s="231">
      <c r="J461" s="216" t="n"/>
    </row>
    <row r="462" ht="15" customHeight="1" s="231">
      <c r="J462" s="216" t="n"/>
    </row>
    <row r="463" ht="15" customHeight="1" s="231">
      <c r="J463" s="216" t="n"/>
    </row>
    <row r="464" ht="15" customHeight="1" s="231">
      <c r="J464" s="216" t="n"/>
    </row>
    <row r="465" ht="15" customHeight="1" s="231">
      <c r="J465" s="216" t="n"/>
    </row>
    <row r="466" ht="15" customHeight="1" s="231">
      <c r="J466" s="216" t="n"/>
    </row>
    <row r="467" ht="15" customHeight="1" s="231">
      <c r="J467" s="216" t="n"/>
    </row>
    <row r="468" ht="15" customHeight="1" s="231">
      <c r="J468" s="216" t="n"/>
    </row>
    <row r="469" ht="15" customHeight="1" s="231">
      <c r="J469" s="216" t="n"/>
    </row>
    <row r="470" ht="15" customHeight="1" s="231">
      <c r="J470" s="216" t="n"/>
    </row>
    <row r="471" ht="15" customHeight="1" s="231">
      <c r="J471" s="216" t="n"/>
    </row>
    <row r="472" ht="15" customHeight="1" s="231">
      <c r="J472" s="216" t="n"/>
    </row>
    <row r="473" ht="15" customHeight="1" s="231">
      <c r="J473" s="216" t="n"/>
    </row>
    <row r="474" ht="15" customHeight="1" s="231">
      <c r="J474" s="216" t="n"/>
    </row>
    <row r="475" ht="15" customHeight="1" s="231">
      <c r="J475" s="216" t="n"/>
    </row>
    <row r="476" ht="15" customHeight="1" s="231">
      <c r="J476" s="216" t="n"/>
    </row>
    <row r="477" ht="15" customHeight="1" s="231">
      <c r="J477" s="216" t="n"/>
    </row>
    <row r="478" ht="15" customHeight="1" s="231">
      <c r="J478" s="216" t="n"/>
    </row>
    <row r="479" ht="15" customHeight="1" s="231">
      <c r="J479" s="216" t="n"/>
    </row>
    <row r="480" ht="15" customHeight="1" s="231">
      <c r="J480" s="216" t="n"/>
    </row>
    <row r="481" ht="15" customHeight="1" s="231">
      <c r="J481" s="216" t="n"/>
    </row>
    <row r="482" ht="15" customHeight="1" s="231">
      <c r="J482" s="216" t="n"/>
    </row>
    <row r="483" ht="15" customHeight="1" s="231">
      <c r="J483" s="216" t="n"/>
    </row>
    <row r="484" ht="15" customHeight="1" s="231">
      <c r="J484" s="216" t="n"/>
    </row>
    <row r="485" ht="15" customHeight="1" s="231">
      <c r="J485" s="216" t="n"/>
    </row>
    <row r="486" ht="15" customHeight="1" s="231">
      <c r="J486" s="216" t="n"/>
    </row>
    <row r="487" ht="15" customHeight="1" s="231">
      <c r="J487" s="216" t="n"/>
    </row>
    <row r="488" ht="15" customHeight="1" s="231">
      <c r="J488" s="216" t="n"/>
    </row>
    <row r="489" ht="15" customHeight="1" s="231">
      <c r="J489" s="216" t="n"/>
    </row>
    <row r="490" ht="15" customHeight="1" s="231">
      <c r="J490" s="216" t="n"/>
    </row>
    <row r="491" ht="15" customHeight="1" s="231">
      <c r="J491" s="216" t="n"/>
    </row>
    <row r="492" ht="15" customHeight="1" s="231">
      <c r="J492" s="216" t="n"/>
    </row>
    <row r="493" ht="15" customHeight="1" s="231">
      <c r="J493" s="216" t="n"/>
    </row>
    <row r="494" ht="15" customHeight="1" s="231">
      <c r="J494" s="216" t="n"/>
    </row>
    <row r="495" ht="15" customHeight="1" s="231">
      <c r="J495" s="216" t="n"/>
    </row>
    <row r="496" ht="15" customHeight="1" s="231">
      <c r="J496" s="216" t="n"/>
    </row>
    <row r="497" ht="15" customHeight="1" s="231">
      <c r="J497" s="216" t="n"/>
    </row>
    <row r="498" ht="15" customHeight="1" s="231">
      <c r="J498" s="216" t="n"/>
    </row>
    <row r="499" ht="15" customHeight="1" s="231">
      <c r="J499" s="216" t="n"/>
    </row>
    <row r="500" ht="15" customHeight="1" s="231">
      <c r="J500" s="216" t="n"/>
    </row>
    <row r="501" ht="15" customHeight="1" s="231">
      <c r="J501" s="216" t="n"/>
    </row>
    <row r="502" ht="15" customHeight="1" s="231">
      <c r="J502" s="216" t="n"/>
    </row>
    <row r="503" ht="15" customHeight="1" s="231">
      <c r="J503" s="216" t="n"/>
    </row>
    <row r="504" ht="15" customHeight="1" s="231">
      <c r="J504" s="216" t="n"/>
    </row>
    <row r="505" ht="15" customHeight="1" s="231">
      <c r="J505" s="216" t="n"/>
    </row>
    <row r="506" ht="15" customHeight="1" s="231">
      <c r="J506" s="216" t="n"/>
    </row>
    <row r="507" ht="15" customHeight="1" s="231">
      <c r="J507" s="216" t="n"/>
    </row>
    <row r="508" ht="15" customHeight="1" s="231">
      <c r="J508" s="216" t="n"/>
    </row>
    <row r="509" ht="15" customHeight="1" s="231">
      <c r="J509" s="216" t="n"/>
    </row>
    <row r="510" ht="15" customHeight="1" s="231">
      <c r="J510" s="216" t="n"/>
    </row>
    <row r="511" ht="15" customHeight="1" s="231">
      <c r="J511" s="216" t="n"/>
    </row>
    <row r="512" ht="15" customHeight="1" s="231">
      <c r="J512" s="216" t="n"/>
    </row>
    <row r="513" ht="15" customHeight="1" s="231">
      <c r="J513" s="216" t="n"/>
    </row>
    <row r="514" ht="15" customHeight="1" s="231">
      <c r="J514" s="216" t="n"/>
    </row>
    <row r="515" ht="15" customHeight="1" s="231">
      <c r="J515" s="216" t="n"/>
    </row>
    <row r="516" ht="15" customHeight="1" s="231">
      <c r="J516" s="216" t="n"/>
    </row>
    <row r="517" ht="15" customHeight="1" s="231">
      <c r="J517" s="216" t="n"/>
    </row>
    <row r="518" ht="15" customHeight="1" s="231">
      <c r="J518" s="216" t="n"/>
    </row>
    <row r="519" ht="15" customHeight="1" s="231">
      <c r="J519" s="216" t="n"/>
    </row>
    <row r="520" ht="15" customHeight="1" s="231">
      <c r="J520" s="216" t="n"/>
    </row>
    <row r="521" ht="15" customHeight="1" s="231">
      <c r="J521" s="216" t="n"/>
    </row>
    <row r="522" ht="15" customHeight="1" s="231">
      <c r="J522" s="216" t="n"/>
    </row>
    <row r="523" ht="15" customHeight="1" s="231">
      <c r="J523" s="216" t="n"/>
    </row>
    <row r="524" ht="15" customHeight="1" s="231">
      <c r="J524" s="216" t="n"/>
    </row>
    <row r="525" ht="15" customHeight="1" s="231">
      <c r="J525" s="216" t="n"/>
    </row>
    <row r="526" ht="15" customHeight="1" s="231">
      <c r="J526" s="216" t="n"/>
    </row>
    <row r="527" ht="15" customHeight="1" s="231">
      <c r="J527" s="216" t="n"/>
    </row>
    <row r="528" ht="15" customHeight="1" s="231">
      <c r="J528" s="216" t="n"/>
    </row>
    <row r="529" ht="15" customHeight="1" s="231">
      <c r="J529" s="216" t="n"/>
    </row>
    <row r="530" ht="15" customHeight="1" s="231">
      <c r="J530" s="216" t="n"/>
    </row>
    <row r="531" ht="15" customHeight="1" s="231">
      <c r="J531" s="216" t="n"/>
    </row>
    <row r="532" ht="15" customHeight="1" s="231">
      <c r="J532" s="216" t="n"/>
    </row>
    <row r="533" ht="15" customHeight="1" s="231">
      <c r="J533" s="216" t="n"/>
    </row>
    <row r="534" ht="15" customHeight="1" s="231">
      <c r="J534" s="216" t="n"/>
    </row>
    <row r="535" ht="15" customHeight="1" s="231">
      <c r="J535" s="216" t="n"/>
    </row>
    <row r="536" ht="15" customHeight="1" s="231">
      <c r="J536" s="216" t="n"/>
    </row>
    <row r="537" ht="15" customHeight="1" s="231">
      <c r="J537" s="216" t="n"/>
    </row>
    <row r="538" ht="15" customHeight="1" s="231">
      <c r="J538" s="216" t="n"/>
    </row>
    <row r="539" ht="15" customHeight="1" s="231">
      <c r="J539" s="216" t="n"/>
    </row>
    <row r="540" ht="15" customHeight="1" s="231">
      <c r="J540" s="216" t="n"/>
    </row>
    <row r="541" ht="15" customHeight="1" s="231">
      <c r="J541" s="216" t="n"/>
    </row>
    <row r="542" ht="15" customHeight="1" s="231">
      <c r="J542" s="216" t="n"/>
    </row>
    <row r="543" ht="15" customHeight="1" s="231">
      <c r="J543" s="216" t="n"/>
    </row>
    <row r="544" ht="15" customHeight="1" s="231">
      <c r="J544" s="216" t="n"/>
    </row>
    <row r="545" ht="15" customHeight="1" s="231">
      <c r="J545" s="216" t="n"/>
    </row>
    <row r="546" ht="15" customHeight="1" s="231">
      <c r="J546" s="216" t="n"/>
    </row>
    <row r="547" ht="15" customHeight="1" s="231">
      <c r="J547" s="216" t="n"/>
    </row>
    <row r="548" ht="15" customHeight="1" s="231">
      <c r="J548" s="216" t="n"/>
    </row>
    <row r="549" ht="15" customHeight="1" s="231">
      <c r="J549" s="216" t="n"/>
    </row>
    <row r="550" ht="15" customHeight="1" s="231">
      <c r="J550" s="216" t="n"/>
    </row>
    <row r="551" ht="15" customHeight="1" s="231">
      <c r="J551" s="216" t="n"/>
    </row>
    <row r="552" ht="15" customHeight="1" s="231">
      <c r="J552" s="216" t="n"/>
    </row>
    <row r="553" ht="15" customHeight="1" s="231">
      <c r="J553" s="216" t="n"/>
    </row>
    <row r="554" ht="15" customHeight="1" s="231">
      <c r="J554" s="216" t="n"/>
    </row>
    <row r="555" ht="15" customHeight="1" s="231">
      <c r="J555" s="216" t="n"/>
    </row>
    <row r="556" ht="15" customHeight="1" s="231">
      <c r="J556" s="216" t="n"/>
    </row>
    <row r="557" ht="15" customHeight="1" s="231">
      <c r="J557" s="216" t="n"/>
    </row>
    <row r="558" ht="15" customHeight="1" s="231">
      <c r="J558" s="216" t="n"/>
    </row>
    <row r="559" ht="15" customHeight="1" s="231">
      <c r="J559" s="216" t="n"/>
    </row>
    <row r="560" ht="15" customHeight="1" s="231">
      <c r="J560" s="216" t="n"/>
    </row>
    <row r="561" ht="15" customHeight="1" s="231">
      <c r="J561" s="216" t="n"/>
    </row>
    <row r="562" ht="15" customHeight="1" s="231">
      <c r="J562" s="216" t="n"/>
    </row>
    <row r="563" ht="15" customHeight="1" s="231">
      <c r="J563" s="216" t="n"/>
    </row>
    <row r="564" ht="15" customHeight="1" s="231">
      <c r="J564" s="216" t="n"/>
    </row>
    <row r="565" ht="15" customHeight="1" s="231">
      <c r="J565" s="216" t="n"/>
    </row>
    <row r="566" ht="15" customHeight="1" s="231">
      <c r="J566" s="216" t="n"/>
    </row>
    <row r="567" ht="15" customHeight="1" s="231">
      <c r="J567" s="216" t="n"/>
    </row>
    <row r="568" ht="15" customHeight="1" s="231">
      <c r="J568" s="216" t="n"/>
    </row>
    <row r="569" ht="15" customHeight="1" s="231">
      <c r="J569" s="216" t="n"/>
    </row>
    <row r="570" ht="15" customHeight="1" s="231">
      <c r="J570" s="216" t="n"/>
    </row>
    <row r="571" ht="15" customHeight="1" s="231">
      <c r="J571" s="216" t="n"/>
    </row>
    <row r="572" ht="15" customHeight="1" s="231">
      <c r="J572" s="216" t="n"/>
    </row>
    <row r="573" ht="15" customHeight="1" s="231">
      <c r="J573" s="216" t="n"/>
    </row>
    <row r="574" ht="15" customHeight="1" s="231">
      <c r="J574" s="216" t="n"/>
    </row>
    <row r="575" ht="15" customHeight="1" s="231">
      <c r="J575" s="216" t="n"/>
    </row>
    <row r="576" ht="15" customHeight="1" s="231">
      <c r="J576" s="216" t="n"/>
    </row>
    <row r="577" ht="15" customHeight="1" s="231">
      <c r="J577" s="216" t="n"/>
    </row>
    <row r="578" ht="15" customHeight="1" s="231">
      <c r="J578" s="216" t="n"/>
    </row>
    <row r="579" ht="15" customHeight="1" s="231">
      <c r="J579" s="216" t="n"/>
    </row>
    <row r="580" ht="15" customHeight="1" s="231">
      <c r="J580" s="216" t="n"/>
    </row>
    <row r="581" ht="15" customHeight="1" s="231">
      <c r="J581" s="216" t="n"/>
    </row>
    <row r="582" ht="15" customHeight="1" s="231">
      <c r="J582" s="216" t="n"/>
    </row>
    <row r="583" ht="15" customHeight="1" s="231">
      <c r="J583" s="216" t="n"/>
    </row>
    <row r="584" ht="15" customHeight="1" s="231">
      <c r="J584" s="216" t="n"/>
    </row>
    <row r="585" ht="15" customHeight="1" s="231">
      <c r="J585" s="216" t="n"/>
    </row>
    <row r="586" ht="15" customHeight="1" s="231">
      <c r="J586" s="216" t="n"/>
    </row>
    <row r="587" ht="15" customHeight="1" s="231">
      <c r="J587" s="216" t="n"/>
    </row>
    <row r="588" ht="15" customHeight="1" s="231">
      <c r="J588" s="216" t="n"/>
    </row>
    <row r="589" ht="15" customHeight="1" s="231">
      <c r="J589" s="216" t="n"/>
    </row>
    <row r="590" ht="15" customHeight="1" s="231">
      <c r="J590" s="216" t="n"/>
    </row>
    <row r="591" ht="15" customHeight="1" s="231">
      <c r="J591" s="216" t="n"/>
    </row>
    <row r="592" ht="15" customHeight="1" s="231">
      <c r="J592" s="216" t="n"/>
    </row>
    <row r="593" ht="15" customHeight="1" s="231">
      <c r="J593" s="216" t="n"/>
    </row>
    <row r="594" ht="15" customHeight="1" s="231">
      <c r="J594" s="216" t="n"/>
    </row>
    <row r="595" ht="15" customHeight="1" s="231">
      <c r="J595" s="216" t="n"/>
    </row>
    <row r="596" ht="15" customHeight="1" s="231">
      <c r="J596" s="216" t="n"/>
    </row>
    <row r="597" ht="15" customHeight="1" s="231">
      <c r="J597" s="216" t="n"/>
    </row>
    <row r="598" ht="15" customHeight="1" s="231">
      <c r="J598" s="216" t="n"/>
    </row>
    <row r="599" ht="15" customHeight="1" s="231">
      <c r="J599" s="216" t="n"/>
    </row>
    <row r="600" ht="15" customHeight="1" s="231">
      <c r="J600" s="216" t="n"/>
    </row>
    <row r="601" ht="15" customHeight="1" s="231">
      <c r="J601" s="216" t="n"/>
    </row>
    <row r="602" ht="15" customHeight="1" s="231">
      <c r="J602" s="216" t="n"/>
    </row>
    <row r="603" ht="15" customHeight="1" s="231">
      <c r="J603" s="216" t="n"/>
    </row>
    <row r="604" ht="15" customHeight="1" s="231">
      <c r="J604" s="216" t="n"/>
    </row>
    <row r="605" ht="15" customHeight="1" s="231">
      <c r="J605" s="216" t="n"/>
    </row>
    <row r="606" ht="15" customHeight="1" s="231">
      <c r="J606" s="216" t="n"/>
    </row>
    <row r="607" ht="15" customHeight="1" s="231">
      <c r="J607" s="216" t="n"/>
    </row>
    <row r="608" ht="15" customHeight="1" s="231">
      <c r="J608" s="216" t="n"/>
    </row>
    <row r="609" ht="15" customHeight="1" s="231">
      <c r="J609" s="216" t="n"/>
    </row>
    <row r="610" ht="15" customHeight="1" s="231">
      <c r="J610" s="216" t="n"/>
    </row>
    <row r="611" ht="15" customHeight="1" s="231">
      <c r="J611" s="216" t="n"/>
    </row>
    <row r="612" ht="15" customHeight="1" s="231">
      <c r="J612" s="216" t="n"/>
    </row>
    <row r="613" ht="15" customHeight="1" s="231">
      <c r="J613" s="216" t="n"/>
    </row>
    <row r="614" ht="15" customHeight="1" s="231">
      <c r="J614" s="216" t="n"/>
    </row>
    <row r="615" ht="15" customHeight="1" s="231">
      <c r="J615" s="216" t="n"/>
    </row>
    <row r="616" ht="15" customHeight="1" s="231">
      <c r="J616" s="216" t="n"/>
    </row>
    <row r="617" ht="15" customHeight="1" s="231">
      <c r="J617" s="216" t="n"/>
    </row>
    <row r="618" ht="15" customHeight="1" s="231">
      <c r="J618" s="216" t="n"/>
    </row>
    <row r="619" ht="15" customHeight="1" s="231">
      <c r="J619" s="216" t="n"/>
    </row>
    <row r="620" ht="15" customHeight="1" s="231">
      <c r="J620" s="216" t="n"/>
    </row>
    <row r="621" ht="15" customHeight="1" s="231">
      <c r="J621" s="216" t="n"/>
    </row>
    <row r="622" ht="15" customHeight="1" s="231">
      <c r="J622" s="216" t="n"/>
    </row>
    <row r="623" ht="15" customHeight="1" s="231">
      <c r="J623" s="216" t="n"/>
    </row>
    <row r="624" ht="15" customHeight="1" s="231">
      <c r="J624" s="216" t="n"/>
    </row>
    <row r="625" ht="15" customHeight="1" s="231">
      <c r="J625" s="216" t="n"/>
    </row>
    <row r="626" ht="15" customHeight="1" s="231">
      <c r="J626" s="216" t="n"/>
    </row>
    <row r="627" ht="15" customHeight="1" s="231">
      <c r="J627" s="216" t="n"/>
    </row>
    <row r="628" ht="15" customHeight="1" s="231">
      <c r="J628" s="216" t="n"/>
    </row>
    <row r="629" ht="15" customHeight="1" s="231">
      <c r="J629" s="216" t="n"/>
    </row>
    <row r="630" ht="15" customHeight="1" s="231">
      <c r="J630" s="216" t="n"/>
    </row>
    <row r="631" ht="15" customHeight="1" s="231">
      <c r="J631" s="216" t="n"/>
    </row>
    <row r="632" ht="15" customHeight="1" s="231">
      <c r="J632" s="216" t="n"/>
    </row>
    <row r="633" ht="15" customHeight="1" s="231">
      <c r="J633" s="216" t="n"/>
    </row>
    <row r="634" ht="15" customHeight="1" s="231">
      <c r="J634" s="216" t="n"/>
    </row>
    <row r="635" ht="15" customHeight="1" s="231">
      <c r="J635" s="216" t="n"/>
    </row>
    <row r="636" ht="15" customHeight="1" s="231">
      <c r="J636" s="216" t="n"/>
    </row>
    <row r="637" ht="15" customHeight="1" s="231">
      <c r="J637" s="216" t="n"/>
    </row>
    <row r="638" ht="15" customHeight="1" s="231">
      <c r="J638" s="216" t="n"/>
    </row>
    <row r="639" ht="15" customHeight="1" s="231">
      <c r="J639" s="216" t="n"/>
    </row>
    <row r="640" ht="15" customHeight="1" s="231">
      <c r="J640" s="216" t="n"/>
    </row>
    <row r="641" ht="15" customHeight="1" s="231">
      <c r="J641" s="216" t="n"/>
    </row>
    <row r="642" ht="15" customHeight="1" s="231">
      <c r="J642" s="216" t="n"/>
    </row>
    <row r="643" ht="15" customHeight="1" s="231">
      <c r="J643" s="216" t="n"/>
    </row>
    <row r="644" ht="15" customHeight="1" s="231">
      <c r="J644" s="216" t="n"/>
    </row>
    <row r="645" ht="15" customHeight="1" s="231">
      <c r="J645" s="216" t="n"/>
    </row>
    <row r="646" ht="15" customHeight="1" s="231">
      <c r="J646" s="216" t="n"/>
    </row>
    <row r="647" ht="15" customHeight="1" s="231">
      <c r="J647" s="216" t="n"/>
    </row>
    <row r="648" ht="15" customHeight="1" s="231">
      <c r="J648" s="216" t="n"/>
    </row>
    <row r="649" ht="15" customHeight="1" s="231">
      <c r="J649" s="216" t="n"/>
    </row>
    <row r="650" ht="15" customHeight="1" s="231">
      <c r="J650" s="216" t="n"/>
    </row>
    <row r="651" ht="15" customHeight="1" s="231">
      <c r="J651" s="216" t="n"/>
    </row>
    <row r="652" ht="15" customHeight="1" s="231">
      <c r="J652" s="216" t="n"/>
    </row>
    <row r="653" ht="15" customHeight="1" s="231">
      <c r="J653" s="216" t="n"/>
    </row>
    <row r="654" ht="15" customHeight="1" s="231">
      <c r="J654" s="216" t="n"/>
    </row>
    <row r="655" ht="15" customHeight="1" s="231">
      <c r="J655" s="216" t="n"/>
    </row>
    <row r="656" ht="15" customHeight="1" s="231">
      <c r="J656" s="216" t="n"/>
    </row>
    <row r="657" ht="15" customHeight="1" s="231">
      <c r="J657" s="216" t="n"/>
    </row>
    <row r="658" ht="15" customHeight="1" s="231">
      <c r="J658" s="216" t="n"/>
    </row>
    <row r="659" ht="15" customHeight="1" s="231">
      <c r="J659" s="216" t="n"/>
    </row>
    <row r="660" ht="15" customHeight="1" s="231">
      <c r="J660" s="216" t="n"/>
    </row>
    <row r="661" ht="15" customHeight="1" s="231">
      <c r="J661" s="216" t="n"/>
    </row>
    <row r="662" ht="15" customHeight="1" s="231">
      <c r="J662" s="216" t="n"/>
    </row>
    <row r="663" ht="15" customHeight="1" s="231">
      <c r="J663" s="216" t="n"/>
    </row>
    <row r="664" ht="15" customHeight="1" s="231">
      <c r="J664" s="216" t="n"/>
    </row>
    <row r="665" ht="15" customHeight="1" s="231">
      <c r="J665" s="216" t="n"/>
    </row>
    <row r="666" ht="15" customHeight="1" s="231">
      <c r="J666" s="216" t="n"/>
    </row>
    <row r="667" ht="15" customHeight="1" s="231">
      <c r="J667" s="216" t="n"/>
    </row>
    <row r="668" ht="15" customHeight="1" s="231">
      <c r="J668" s="216" t="n"/>
    </row>
    <row r="669" ht="15" customHeight="1" s="231">
      <c r="J669" s="216" t="n"/>
    </row>
    <row r="670" ht="15" customHeight="1" s="231">
      <c r="J670" s="216" t="n"/>
    </row>
    <row r="671" ht="15" customHeight="1" s="231">
      <c r="J671" s="216" t="n"/>
    </row>
    <row r="672" ht="15" customHeight="1" s="231">
      <c r="J672" s="216" t="n"/>
    </row>
    <row r="673" ht="15" customHeight="1" s="231">
      <c r="J673" s="216" t="n"/>
    </row>
    <row r="674" ht="15" customHeight="1" s="231">
      <c r="J674" s="216" t="n"/>
    </row>
    <row r="675" ht="15" customHeight="1" s="231">
      <c r="J675" s="216" t="n"/>
    </row>
    <row r="676" ht="15" customHeight="1" s="231">
      <c r="J676" s="216" t="n"/>
    </row>
    <row r="677" ht="15" customHeight="1" s="231">
      <c r="J677" s="216" t="n"/>
    </row>
    <row r="678" ht="15" customHeight="1" s="231">
      <c r="J678" s="216" t="n"/>
    </row>
    <row r="679" ht="15" customHeight="1" s="231">
      <c r="J679" s="216" t="n"/>
    </row>
    <row r="680" ht="15" customHeight="1" s="231">
      <c r="J680" s="216" t="n"/>
    </row>
    <row r="681" ht="15" customHeight="1" s="231">
      <c r="J681" s="216" t="n"/>
    </row>
    <row r="682" ht="15" customHeight="1" s="231">
      <c r="J682" s="216" t="n"/>
    </row>
    <row r="683" ht="15" customHeight="1" s="231">
      <c r="J683" s="216" t="n"/>
    </row>
    <row r="684" ht="15" customHeight="1" s="231">
      <c r="J684" s="216" t="n"/>
    </row>
    <row r="685" ht="15" customHeight="1" s="231">
      <c r="J685" s="216" t="n"/>
    </row>
    <row r="686" ht="15" customHeight="1" s="231">
      <c r="J686" s="216" t="n"/>
    </row>
    <row r="687" ht="15" customHeight="1" s="231">
      <c r="J687" s="216" t="n"/>
    </row>
    <row r="688" ht="15" customHeight="1" s="231">
      <c r="J688" s="216" t="n"/>
    </row>
    <row r="689" ht="15" customHeight="1" s="231">
      <c r="J689" s="216" t="n"/>
    </row>
    <row r="690" ht="15" customHeight="1" s="231">
      <c r="J690" s="216" t="n"/>
    </row>
    <row r="691" ht="15" customHeight="1" s="231">
      <c r="J691" s="216" t="n"/>
    </row>
    <row r="692" ht="15" customHeight="1" s="231">
      <c r="J692" s="216" t="n"/>
    </row>
    <row r="693" ht="15" customHeight="1" s="231">
      <c r="J693" s="216" t="n"/>
    </row>
    <row r="694" ht="15" customHeight="1" s="231">
      <c r="J694" s="216" t="n"/>
    </row>
    <row r="695" ht="15" customHeight="1" s="231">
      <c r="J695" s="216" t="n"/>
    </row>
    <row r="696" ht="15" customHeight="1" s="231">
      <c r="J696" s="216" t="n"/>
    </row>
    <row r="697" ht="15" customHeight="1" s="231">
      <c r="J697" s="216" t="n"/>
    </row>
    <row r="698" ht="15" customHeight="1" s="231">
      <c r="J698" s="216" t="n"/>
    </row>
    <row r="699" ht="15" customHeight="1" s="231">
      <c r="J699" s="216" t="n"/>
    </row>
    <row r="700" ht="15" customHeight="1" s="231">
      <c r="J700" s="216" t="n"/>
    </row>
    <row r="701" ht="15" customHeight="1" s="231">
      <c r="J701" s="216" t="n"/>
    </row>
    <row r="702" ht="15" customHeight="1" s="231">
      <c r="J702" s="216" t="n"/>
    </row>
    <row r="703" ht="15" customHeight="1" s="231">
      <c r="J703" s="216" t="n"/>
    </row>
    <row r="704" ht="15" customHeight="1" s="231">
      <c r="J704" s="216" t="n"/>
    </row>
    <row r="705" ht="15" customHeight="1" s="231">
      <c r="J705" s="216" t="n"/>
    </row>
    <row r="706" ht="15" customHeight="1" s="231">
      <c r="J706" s="216" t="n"/>
    </row>
    <row r="707" ht="15" customHeight="1" s="231">
      <c r="J707" s="216" t="n"/>
    </row>
    <row r="708" ht="15" customHeight="1" s="231">
      <c r="J708" s="216" t="n"/>
    </row>
    <row r="709" ht="15" customHeight="1" s="231">
      <c r="J709" s="216" t="n"/>
    </row>
    <row r="710" ht="15" customHeight="1" s="231">
      <c r="J710" s="216" t="n"/>
    </row>
    <row r="711" ht="15" customHeight="1" s="231">
      <c r="J711" s="216" t="n"/>
    </row>
    <row r="712" ht="15" customHeight="1" s="231">
      <c r="J712" s="216" t="n"/>
    </row>
    <row r="713" ht="15" customHeight="1" s="231">
      <c r="J713" s="216" t="n"/>
    </row>
    <row r="714" ht="15" customHeight="1" s="231">
      <c r="J714" s="216" t="n"/>
    </row>
    <row r="715" ht="15" customHeight="1" s="231">
      <c r="J715" s="216" t="n"/>
    </row>
    <row r="716" ht="15" customHeight="1" s="231">
      <c r="J716" s="216" t="n"/>
    </row>
    <row r="717" ht="15" customHeight="1" s="231">
      <c r="J717" s="216" t="n"/>
    </row>
    <row r="718" ht="15" customHeight="1" s="231">
      <c r="J718" s="216" t="n"/>
    </row>
    <row r="719" ht="15" customHeight="1" s="231">
      <c r="J719" s="216" t="n"/>
    </row>
    <row r="720" ht="15" customHeight="1" s="231">
      <c r="J720" s="216" t="n"/>
    </row>
    <row r="721" ht="15" customHeight="1" s="231">
      <c r="J721" s="216" t="n"/>
    </row>
    <row r="722" ht="15" customHeight="1" s="231">
      <c r="J722" s="216" t="n"/>
    </row>
    <row r="723" ht="15" customHeight="1" s="231">
      <c r="J723" s="216" t="n"/>
    </row>
    <row r="724" ht="15" customHeight="1" s="231">
      <c r="J724" s="216" t="n"/>
    </row>
    <row r="725" ht="15" customHeight="1" s="231">
      <c r="J725" s="216" t="n"/>
    </row>
    <row r="726" ht="15" customHeight="1" s="231">
      <c r="J726" s="216" t="n"/>
    </row>
    <row r="727" ht="15" customHeight="1" s="231">
      <c r="J727" s="216" t="n"/>
    </row>
    <row r="728" ht="15" customHeight="1" s="231">
      <c r="J728" s="216" t="n"/>
    </row>
    <row r="729" ht="15" customHeight="1" s="231">
      <c r="J729" s="216" t="n"/>
    </row>
    <row r="730" ht="15" customHeight="1" s="231">
      <c r="J730" s="216" t="n"/>
    </row>
    <row r="731" ht="15" customHeight="1" s="231">
      <c r="J731" s="216" t="n"/>
    </row>
    <row r="732" ht="15" customHeight="1" s="231">
      <c r="J732" s="216" t="n"/>
    </row>
    <row r="733" ht="15" customHeight="1" s="231">
      <c r="J733" s="216" t="n"/>
    </row>
    <row r="734" ht="15" customHeight="1" s="231">
      <c r="J734" s="216" t="n"/>
    </row>
    <row r="735" ht="15" customHeight="1" s="231">
      <c r="J735" s="216" t="n"/>
    </row>
    <row r="736" ht="15" customHeight="1" s="231">
      <c r="J736" s="216" t="n"/>
    </row>
    <row r="737" ht="15" customHeight="1" s="231">
      <c r="J737" s="216" t="n"/>
    </row>
    <row r="738" ht="15" customHeight="1" s="231">
      <c r="J738" s="216" t="n"/>
    </row>
    <row r="739" ht="15" customHeight="1" s="231">
      <c r="J739" s="216" t="n"/>
    </row>
    <row r="740" ht="15" customHeight="1" s="231">
      <c r="J740" s="216" t="n"/>
    </row>
    <row r="741" ht="15" customHeight="1" s="231">
      <c r="J741" s="216" t="n"/>
    </row>
    <row r="742" ht="15" customHeight="1" s="231">
      <c r="J742" s="216" t="n"/>
    </row>
    <row r="743" ht="15" customHeight="1" s="231">
      <c r="J743" s="216" t="n"/>
    </row>
    <row r="744" ht="15" customHeight="1" s="231">
      <c r="J744" s="216" t="n"/>
    </row>
    <row r="745" ht="15" customHeight="1" s="231">
      <c r="J745" s="216" t="n"/>
    </row>
    <row r="746" ht="15" customHeight="1" s="231">
      <c r="J746" s="216" t="n"/>
    </row>
    <row r="747" ht="15" customHeight="1" s="231">
      <c r="J747" s="216" t="n"/>
    </row>
    <row r="748" ht="15" customHeight="1" s="231">
      <c r="J748" s="216" t="n"/>
    </row>
    <row r="749" ht="15" customHeight="1" s="231">
      <c r="J749" s="216" t="n"/>
    </row>
    <row r="750" ht="15" customHeight="1" s="231">
      <c r="J750" s="216" t="n"/>
    </row>
    <row r="751" ht="15" customHeight="1" s="231">
      <c r="J751" s="216" t="n"/>
    </row>
    <row r="752" ht="15" customHeight="1" s="231">
      <c r="J752" s="216" t="n"/>
    </row>
    <row r="753" ht="15" customHeight="1" s="231">
      <c r="J753" s="216" t="n"/>
    </row>
    <row r="754" ht="15" customHeight="1" s="231">
      <c r="J754" s="216" t="n"/>
    </row>
    <row r="755" ht="15" customHeight="1" s="231">
      <c r="J755" s="216" t="n"/>
    </row>
    <row r="756" ht="15" customHeight="1" s="231">
      <c r="J756" s="216" t="n"/>
    </row>
    <row r="757" ht="15" customHeight="1" s="231">
      <c r="J757" s="216" t="n"/>
    </row>
    <row r="758" ht="15" customHeight="1" s="231">
      <c r="J758" s="216" t="n"/>
    </row>
    <row r="759" ht="15" customHeight="1" s="231">
      <c r="J759" s="216" t="n"/>
    </row>
    <row r="760" ht="15" customHeight="1" s="231">
      <c r="J760" s="216" t="n"/>
    </row>
    <row r="761" ht="15" customHeight="1" s="231">
      <c r="J761" s="216" t="n"/>
    </row>
    <row r="762" ht="15" customHeight="1" s="231">
      <c r="J762" s="216" t="n"/>
    </row>
    <row r="763" ht="15" customHeight="1" s="231">
      <c r="J763" s="216" t="n"/>
    </row>
    <row r="764" ht="15" customHeight="1" s="231">
      <c r="J764" s="216" t="n"/>
    </row>
    <row r="765" ht="15" customHeight="1" s="231">
      <c r="J765" s="216" t="n"/>
    </row>
    <row r="766" ht="15" customHeight="1" s="231">
      <c r="J766" s="216" t="n"/>
    </row>
    <row r="767" ht="15" customHeight="1" s="231">
      <c r="J767" s="216" t="n"/>
    </row>
    <row r="768" ht="15" customHeight="1" s="231">
      <c r="J768" s="216" t="n"/>
    </row>
    <row r="769" ht="15" customHeight="1" s="231">
      <c r="J769" s="216" t="n"/>
    </row>
    <row r="770" ht="15" customHeight="1" s="231">
      <c r="J770" s="216" t="n"/>
    </row>
    <row r="771" ht="15" customHeight="1" s="231">
      <c r="J771" s="216" t="n"/>
    </row>
    <row r="772" ht="15" customHeight="1" s="231">
      <c r="J772" s="216" t="n"/>
    </row>
    <row r="773" ht="15" customHeight="1" s="231">
      <c r="J773" s="216" t="n"/>
    </row>
    <row r="774" ht="15" customHeight="1" s="231">
      <c r="J774" s="216" t="n"/>
    </row>
    <row r="775" ht="15" customHeight="1" s="231">
      <c r="J775" s="216" t="n"/>
    </row>
    <row r="776" ht="15" customHeight="1" s="231">
      <c r="J776" s="216" t="n"/>
    </row>
    <row r="777" ht="15" customHeight="1" s="231">
      <c r="J777" s="216" t="n"/>
    </row>
    <row r="778" ht="15" customHeight="1" s="231">
      <c r="J778" s="216" t="n"/>
    </row>
    <row r="779" ht="15" customHeight="1" s="231">
      <c r="J779" s="216" t="n"/>
    </row>
    <row r="780" ht="15" customHeight="1" s="231">
      <c r="J780" s="216" t="n"/>
    </row>
    <row r="781" ht="15" customHeight="1" s="231">
      <c r="J781" s="216" t="n"/>
    </row>
    <row r="782" ht="15" customHeight="1" s="231">
      <c r="J782" s="216" t="n"/>
    </row>
    <row r="783" ht="15" customHeight="1" s="231">
      <c r="J783" s="216" t="n"/>
    </row>
    <row r="784" ht="15" customHeight="1" s="231">
      <c r="J784" s="216" t="n"/>
    </row>
    <row r="785" ht="15" customHeight="1" s="231">
      <c r="J785" s="216" t="n"/>
    </row>
    <row r="786" ht="15" customHeight="1" s="231">
      <c r="J786" s="216" t="n"/>
    </row>
    <row r="787" ht="15" customHeight="1" s="231">
      <c r="J787" s="216" t="n"/>
    </row>
    <row r="788" ht="15" customHeight="1" s="231">
      <c r="J788" s="216" t="n"/>
    </row>
    <row r="789" ht="15" customHeight="1" s="231">
      <c r="J789" s="216" t="n"/>
    </row>
    <row r="790" ht="15" customHeight="1" s="231">
      <c r="J790" s="216" t="n"/>
    </row>
    <row r="791" ht="15" customHeight="1" s="231">
      <c r="J791" s="216" t="n"/>
    </row>
    <row r="792" ht="15" customHeight="1" s="231">
      <c r="J792" s="216" t="n"/>
    </row>
    <row r="793" ht="15" customHeight="1" s="231">
      <c r="J793" s="216" t="n"/>
    </row>
    <row r="794" ht="15" customHeight="1" s="231">
      <c r="J794" s="216" t="n"/>
    </row>
    <row r="795" ht="15" customHeight="1" s="231">
      <c r="J795" s="216" t="n"/>
    </row>
    <row r="796" ht="15" customHeight="1" s="231">
      <c r="J796" s="216" t="n"/>
    </row>
    <row r="797" ht="15" customHeight="1" s="231">
      <c r="J797" s="216" t="n"/>
    </row>
    <row r="798" ht="15" customHeight="1" s="231">
      <c r="J798" s="216" t="n"/>
    </row>
    <row r="799" ht="15" customHeight="1" s="231">
      <c r="J799" s="216" t="n"/>
    </row>
    <row r="800" ht="15" customHeight="1" s="231">
      <c r="J800" s="216" t="n"/>
    </row>
    <row r="801" ht="15" customHeight="1" s="231">
      <c r="J801" s="216" t="n"/>
    </row>
    <row r="802" ht="15" customHeight="1" s="231">
      <c r="J802" s="216" t="n"/>
    </row>
    <row r="803" ht="15" customHeight="1" s="231">
      <c r="J803" s="216" t="n"/>
    </row>
    <row r="804" ht="15" customHeight="1" s="231">
      <c r="J804" s="216" t="n"/>
    </row>
    <row r="805" ht="15" customHeight="1" s="231">
      <c r="J805" s="216" t="n"/>
    </row>
    <row r="806" ht="15" customHeight="1" s="231">
      <c r="J806" s="216" t="n"/>
    </row>
    <row r="807" ht="15" customHeight="1" s="231">
      <c r="J807" s="216" t="n"/>
    </row>
    <row r="808" ht="15" customHeight="1" s="231">
      <c r="J808" s="216" t="n"/>
    </row>
    <row r="809" ht="15" customHeight="1" s="231">
      <c r="J809" s="216" t="n"/>
    </row>
    <row r="810" ht="15" customHeight="1" s="231">
      <c r="J810" s="216" t="n"/>
    </row>
    <row r="811" ht="15" customHeight="1" s="231">
      <c r="J811" s="216" t="n"/>
    </row>
    <row r="812" ht="15" customHeight="1" s="231">
      <c r="J812" s="216" t="n"/>
    </row>
    <row r="813" ht="15" customHeight="1" s="231">
      <c r="J813" s="216" t="n"/>
    </row>
    <row r="814" ht="15" customHeight="1" s="231">
      <c r="J814" s="216" t="n"/>
    </row>
    <row r="815" ht="15" customHeight="1" s="231">
      <c r="J815" s="216" t="n"/>
    </row>
    <row r="816" ht="15" customHeight="1" s="231">
      <c r="J816" s="216" t="n"/>
    </row>
    <row r="817" ht="15" customHeight="1" s="231">
      <c r="J817" s="216" t="n"/>
    </row>
    <row r="818" ht="15" customHeight="1" s="231">
      <c r="J818" s="216" t="n"/>
    </row>
    <row r="819" ht="15" customHeight="1" s="231">
      <c r="J819" s="216" t="n"/>
    </row>
    <row r="820" ht="15" customHeight="1" s="231">
      <c r="J820" s="216" t="n"/>
    </row>
    <row r="821" ht="15" customHeight="1" s="231">
      <c r="J821" s="216" t="n"/>
    </row>
    <row r="822" ht="15" customHeight="1" s="231">
      <c r="J822" s="216" t="n"/>
    </row>
    <row r="823" ht="15" customHeight="1" s="231">
      <c r="J823" s="216" t="n"/>
    </row>
    <row r="824" ht="15" customHeight="1" s="231">
      <c r="J824" s="216" t="n"/>
    </row>
    <row r="825" ht="15" customHeight="1" s="231">
      <c r="J825" s="216" t="n"/>
    </row>
    <row r="826" ht="15" customHeight="1" s="231">
      <c r="J826" s="216" t="n"/>
    </row>
    <row r="827" ht="15" customHeight="1" s="231">
      <c r="J827" s="216" t="n"/>
    </row>
    <row r="828" ht="15" customHeight="1" s="231">
      <c r="J828" s="216" t="n"/>
    </row>
    <row r="829" ht="15" customHeight="1" s="231">
      <c r="J829" s="216" t="n"/>
    </row>
    <row r="830" ht="15" customHeight="1" s="231">
      <c r="J830" s="216" t="n"/>
    </row>
    <row r="831" ht="15" customHeight="1" s="231">
      <c r="J831" s="216" t="n"/>
    </row>
    <row r="832" ht="15" customHeight="1" s="231">
      <c r="J832" s="216" t="n"/>
    </row>
    <row r="833" ht="15" customHeight="1" s="231">
      <c r="J833" s="216" t="n"/>
    </row>
    <row r="834" ht="15" customHeight="1" s="231">
      <c r="J834" s="216" t="n"/>
    </row>
    <row r="835" ht="15" customHeight="1" s="231">
      <c r="J835" s="216" t="n"/>
    </row>
    <row r="836" ht="15" customHeight="1" s="231">
      <c r="J836" s="216" t="n"/>
    </row>
    <row r="837" ht="15" customHeight="1" s="231">
      <c r="J837" s="216" t="n"/>
    </row>
    <row r="838" ht="15" customHeight="1" s="231">
      <c r="J838" s="216" t="n"/>
    </row>
    <row r="839" ht="15" customHeight="1" s="231">
      <c r="J839" s="216" t="n"/>
    </row>
    <row r="840" ht="15" customHeight="1" s="231">
      <c r="J840" s="216" t="n"/>
    </row>
    <row r="841" ht="15" customHeight="1" s="231">
      <c r="J841" s="216" t="n"/>
    </row>
    <row r="842" ht="15" customHeight="1" s="231">
      <c r="J842" s="216" t="n"/>
    </row>
    <row r="843" ht="15" customHeight="1" s="231">
      <c r="J843" s="216" t="n"/>
    </row>
    <row r="844" ht="15" customHeight="1" s="231">
      <c r="J844" s="216" t="n"/>
    </row>
    <row r="845" ht="15" customHeight="1" s="231">
      <c r="J845" s="216" t="n"/>
    </row>
    <row r="846" ht="15" customHeight="1" s="231">
      <c r="J846" s="216" t="n"/>
    </row>
    <row r="847" ht="15" customHeight="1" s="231">
      <c r="J847" s="216" t="n"/>
    </row>
    <row r="848" ht="15" customHeight="1" s="231">
      <c r="J848" s="216" t="n"/>
    </row>
    <row r="849" ht="15" customHeight="1" s="231">
      <c r="J849" s="216" t="n"/>
    </row>
    <row r="850" ht="15" customHeight="1" s="231">
      <c r="J850" s="216" t="n"/>
    </row>
    <row r="851" ht="15" customHeight="1" s="231">
      <c r="J851" s="216" t="n"/>
    </row>
    <row r="852" ht="15" customHeight="1" s="231">
      <c r="J852" s="216" t="n"/>
    </row>
    <row r="853" ht="15" customHeight="1" s="231">
      <c r="J853" s="216" t="n"/>
    </row>
    <row r="854" ht="15" customHeight="1" s="231">
      <c r="J854" s="216" t="n"/>
    </row>
    <row r="855" ht="15" customHeight="1" s="231">
      <c r="J855" s="216" t="n"/>
    </row>
    <row r="856" ht="15" customHeight="1" s="231">
      <c r="J856" s="216" t="n"/>
    </row>
    <row r="857" ht="15" customHeight="1" s="231">
      <c r="J857" s="216" t="n"/>
    </row>
    <row r="858" ht="15" customHeight="1" s="231">
      <c r="J858" s="216" t="n"/>
    </row>
    <row r="859" ht="15" customHeight="1" s="231">
      <c r="J859" s="216" t="n"/>
    </row>
    <row r="860" ht="15" customHeight="1" s="231">
      <c r="J860" s="216" t="n"/>
    </row>
    <row r="861" ht="15" customHeight="1" s="231">
      <c r="J861" s="216" t="n"/>
    </row>
    <row r="862" ht="15" customHeight="1" s="231">
      <c r="J862" s="216" t="n"/>
    </row>
    <row r="863" ht="15" customHeight="1" s="231">
      <c r="J863" s="216" t="n"/>
    </row>
    <row r="864" ht="15" customHeight="1" s="231">
      <c r="J864" s="216" t="n"/>
    </row>
    <row r="865" ht="15" customHeight="1" s="231">
      <c r="J865" s="216" t="n"/>
    </row>
    <row r="866" ht="15" customHeight="1" s="231">
      <c r="J866" s="216" t="n"/>
    </row>
    <row r="867" ht="15" customHeight="1" s="231">
      <c r="J867" s="216" t="n"/>
    </row>
    <row r="868" ht="15" customHeight="1" s="231">
      <c r="J868" s="216" t="n"/>
    </row>
    <row r="869" ht="15" customHeight="1" s="231">
      <c r="J869" s="216" t="n"/>
    </row>
    <row r="870" ht="15" customHeight="1" s="231">
      <c r="J870" s="216" t="n"/>
    </row>
    <row r="871" ht="15" customHeight="1" s="231">
      <c r="J871" s="216" t="n"/>
    </row>
    <row r="872" ht="15" customHeight="1" s="231">
      <c r="J872" s="216" t="n"/>
    </row>
    <row r="873" ht="15" customHeight="1" s="231">
      <c r="J873" s="216" t="n"/>
    </row>
    <row r="874" ht="15" customHeight="1" s="231">
      <c r="J874" s="216" t="n"/>
    </row>
    <row r="875" ht="15" customHeight="1" s="231">
      <c r="J875" s="216" t="n"/>
    </row>
    <row r="876" ht="15" customHeight="1" s="231">
      <c r="J876" s="216" t="n"/>
    </row>
    <row r="877" ht="15" customHeight="1" s="231">
      <c r="J877" s="216" t="n"/>
    </row>
    <row r="878" ht="15" customHeight="1" s="231">
      <c r="J878" s="216" t="n"/>
    </row>
    <row r="879" ht="15" customHeight="1" s="231">
      <c r="J879" s="216" t="n"/>
    </row>
    <row r="880" ht="15" customHeight="1" s="231">
      <c r="J880" s="216" t="n"/>
    </row>
    <row r="881" ht="15" customHeight="1" s="231">
      <c r="J881" s="216" t="n"/>
    </row>
    <row r="882" ht="15" customHeight="1" s="231">
      <c r="J882" s="216" t="n"/>
    </row>
    <row r="883" ht="15" customHeight="1" s="231">
      <c r="J883" s="216" t="n"/>
    </row>
    <row r="884" ht="15" customHeight="1" s="231">
      <c r="J884" s="216" t="n"/>
    </row>
    <row r="885" ht="15" customHeight="1" s="231">
      <c r="J885" s="216" t="n"/>
    </row>
    <row r="886" ht="15" customHeight="1" s="231">
      <c r="J886" s="216" t="n"/>
    </row>
    <row r="887" ht="15" customHeight="1" s="231">
      <c r="J887" s="216" t="n"/>
    </row>
    <row r="888" ht="15" customHeight="1" s="231">
      <c r="J888" s="216" t="n"/>
    </row>
    <row r="889" ht="15" customHeight="1" s="231">
      <c r="J889" s="216" t="n"/>
    </row>
    <row r="890" ht="15" customHeight="1" s="231">
      <c r="J890" s="216" t="n"/>
    </row>
    <row r="891" ht="15" customHeight="1" s="231">
      <c r="J891" s="216" t="n"/>
    </row>
    <row r="892" ht="15" customHeight="1" s="231">
      <c r="J892" s="216" t="n"/>
    </row>
    <row r="893" ht="15" customHeight="1" s="231">
      <c r="J893" s="216" t="n"/>
    </row>
    <row r="894" ht="15" customHeight="1" s="231">
      <c r="J894" s="216" t="n"/>
    </row>
    <row r="895" ht="15" customHeight="1" s="231">
      <c r="J895" s="216" t="n"/>
    </row>
    <row r="896" ht="15" customHeight="1" s="231">
      <c r="J896" s="216" t="n"/>
    </row>
    <row r="897" ht="15" customHeight="1" s="231">
      <c r="J897" s="216" t="n"/>
    </row>
    <row r="898" ht="15" customHeight="1" s="231">
      <c r="J898" s="216" t="n"/>
    </row>
    <row r="899" ht="15" customHeight="1" s="231">
      <c r="J899" s="216" t="n"/>
    </row>
    <row r="900" ht="15" customHeight="1" s="231">
      <c r="J900" s="216" t="n"/>
    </row>
    <row r="901" ht="15" customHeight="1" s="231">
      <c r="J901" s="216" t="n"/>
    </row>
    <row r="902" ht="15" customHeight="1" s="231">
      <c r="J902" s="216" t="n"/>
    </row>
    <row r="903" ht="15" customHeight="1" s="231">
      <c r="J903" s="216" t="n"/>
    </row>
    <row r="904" ht="15" customHeight="1" s="231">
      <c r="J904" s="216" t="n"/>
    </row>
    <row r="905" ht="15" customHeight="1" s="231">
      <c r="J905" s="216" t="n"/>
    </row>
    <row r="906" ht="15" customHeight="1" s="231">
      <c r="J906" s="216" t="n"/>
    </row>
    <row r="907" ht="15" customHeight="1" s="231">
      <c r="J907" s="216" t="n"/>
    </row>
    <row r="908" ht="15" customHeight="1" s="231">
      <c r="J908" s="216" t="n"/>
    </row>
    <row r="909" ht="15" customHeight="1" s="231">
      <c r="J909" s="216" t="n"/>
    </row>
    <row r="910" ht="15" customHeight="1" s="231">
      <c r="J910" s="216" t="n"/>
    </row>
    <row r="911" ht="15" customHeight="1" s="231">
      <c r="J911" s="216" t="n"/>
    </row>
    <row r="912" ht="15" customHeight="1" s="231">
      <c r="J912" s="216" t="n"/>
    </row>
    <row r="913" ht="15" customHeight="1" s="231">
      <c r="J913" s="216" t="n"/>
    </row>
    <row r="914" ht="15" customHeight="1" s="231">
      <c r="J914" s="216" t="n"/>
    </row>
    <row r="915" ht="15" customHeight="1" s="231">
      <c r="J915" s="216" t="n"/>
    </row>
    <row r="916" ht="15" customHeight="1" s="231">
      <c r="J916" s="216" t="n"/>
    </row>
    <row r="917" ht="15" customHeight="1" s="231">
      <c r="J917" s="216" t="n"/>
    </row>
    <row r="918" ht="15" customHeight="1" s="231">
      <c r="J918" s="216" t="n"/>
    </row>
    <row r="919" ht="15" customHeight="1" s="231">
      <c r="J919" s="216" t="n"/>
    </row>
    <row r="920" ht="15" customHeight="1" s="231">
      <c r="J920" s="216" t="n"/>
    </row>
    <row r="921" ht="15" customHeight="1" s="231">
      <c r="J921" s="216" t="n"/>
    </row>
    <row r="922" ht="15" customHeight="1" s="231">
      <c r="J922" s="216" t="n"/>
    </row>
    <row r="923" ht="15" customHeight="1" s="231">
      <c r="J923" s="216" t="n"/>
    </row>
    <row r="924" ht="15" customHeight="1" s="231">
      <c r="J924" s="216" t="n"/>
    </row>
    <row r="925" ht="15" customHeight="1" s="231">
      <c r="J925" s="216" t="n"/>
    </row>
    <row r="926" ht="15" customHeight="1" s="231">
      <c r="J926" s="216" t="n"/>
    </row>
    <row r="927" ht="15" customHeight="1" s="231">
      <c r="J927" s="216" t="n"/>
    </row>
    <row r="928" ht="15" customHeight="1" s="231">
      <c r="J928" s="216" t="n"/>
    </row>
    <row r="929" ht="15" customHeight="1" s="231">
      <c r="J929" s="216" t="n"/>
    </row>
    <row r="930" ht="15" customHeight="1" s="231">
      <c r="J930" s="216" t="n"/>
    </row>
    <row r="931" ht="15" customHeight="1" s="231">
      <c r="J931" s="216" t="n"/>
    </row>
    <row r="932" ht="15" customHeight="1" s="231">
      <c r="J932" s="216" t="n"/>
    </row>
    <row r="933" ht="15" customHeight="1" s="231">
      <c r="J933" s="216" t="n"/>
    </row>
    <row r="934" ht="15" customHeight="1" s="231">
      <c r="J934" s="216" t="n"/>
    </row>
    <row r="935" ht="15" customHeight="1" s="231">
      <c r="J935" s="216" t="n"/>
    </row>
    <row r="936" ht="15" customHeight="1" s="231">
      <c r="J936" s="216" t="n"/>
    </row>
    <row r="937" ht="15" customHeight="1" s="231">
      <c r="J937" s="216" t="n"/>
    </row>
    <row r="938" ht="15" customHeight="1" s="231">
      <c r="J938" s="216" t="n"/>
    </row>
    <row r="939" ht="15" customHeight="1" s="231">
      <c r="J939" s="216" t="n"/>
    </row>
    <row r="940" ht="15" customHeight="1" s="231">
      <c r="J940" s="216" t="n"/>
    </row>
    <row r="941" ht="15" customHeight="1" s="231">
      <c r="J941" s="216" t="n"/>
    </row>
    <row r="942" ht="15" customHeight="1" s="231">
      <c r="J942" s="216" t="n"/>
    </row>
    <row r="943" ht="15" customHeight="1" s="231">
      <c r="J943" s="216" t="n"/>
    </row>
    <row r="944" ht="15" customHeight="1" s="231">
      <c r="J944" s="216" t="n"/>
    </row>
    <row r="945" ht="15" customHeight="1" s="231">
      <c r="J945" s="216" t="n"/>
    </row>
    <row r="946" ht="15" customHeight="1" s="231">
      <c r="J946" s="216" t="n"/>
    </row>
    <row r="947" ht="15" customHeight="1" s="231">
      <c r="J947" s="216" t="n"/>
    </row>
    <row r="948" ht="15" customHeight="1" s="231">
      <c r="J948" s="216" t="n"/>
    </row>
    <row r="949" ht="15" customHeight="1" s="231">
      <c r="J949" s="216" t="n"/>
    </row>
    <row r="950" ht="15" customHeight="1" s="231">
      <c r="J950" s="216" t="n"/>
    </row>
    <row r="951" ht="15" customHeight="1" s="231">
      <c r="J951" s="216" t="n"/>
    </row>
    <row r="952" ht="15" customHeight="1" s="231">
      <c r="J952" s="216" t="n"/>
    </row>
    <row r="953" ht="15" customHeight="1" s="231">
      <c r="J953" s="216" t="n"/>
    </row>
    <row r="954" ht="15" customHeight="1" s="231">
      <c r="J954" s="216" t="n"/>
    </row>
    <row r="955" ht="15" customHeight="1" s="231">
      <c r="J955" s="216" t="n"/>
    </row>
    <row r="956" ht="15" customHeight="1" s="231">
      <c r="J956" s="216" t="n"/>
    </row>
    <row r="957" ht="15" customHeight="1" s="231">
      <c r="J957" s="216" t="n"/>
    </row>
    <row r="958" ht="15" customHeight="1" s="231">
      <c r="J958" s="216" t="n"/>
    </row>
    <row r="959" ht="15" customHeight="1" s="231">
      <c r="J959" s="216" t="n"/>
    </row>
    <row r="960" ht="15" customHeight="1" s="231">
      <c r="J960" s="216" t="n"/>
    </row>
    <row r="961" ht="15" customHeight="1" s="231">
      <c r="J961" s="216" t="n"/>
    </row>
    <row r="962" ht="15" customHeight="1" s="231">
      <c r="J962" s="216" t="n"/>
    </row>
    <row r="963" ht="15" customHeight="1" s="231">
      <c r="J963" s="216" t="n"/>
    </row>
    <row r="964" ht="15" customHeight="1" s="231">
      <c r="J964" s="216" t="n"/>
    </row>
    <row r="965" ht="15" customHeight="1" s="231">
      <c r="J965" s="216" t="n"/>
    </row>
    <row r="966" ht="15" customHeight="1" s="231">
      <c r="J966" s="216" t="n"/>
    </row>
    <row r="967" ht="15" customHeight="1" s="231">
      <c r="J967" s="216" t="n"/>
    </row>
    <row r="968" ht="15" customHeight="1" s="231">
      <c r="J968" s="216" t="n"/>
    </row>
    <row r="969" ht="15" customHeight="1" s="231">
      <c r="J969" s="216" t="n"/>
    </row>
    <row r="970" ht="15" customHeight="1" s="231">
      <c r="J970" s="216" t="n"/>
    </row>
    <row r="971" ht="15" customHeight="1" s="231">
      <c r="J971" s="216" t="n"/>
    </row>
    <row r="972" ht="15" customHeight="1" s="231">
      <c r="J972" s="216" t="n"/>
    </row>
    <row r="973" ht="15" customHeight="1" s="231">
      <c r="J973" s="216" t="n"/>
    </row>
    <row r="974" ht="15" customHeight="1" s="231">
      <c r="J974" s="216" t="n"/>
    </row>
    <row r="975" ht="15" customHeight="1" s="231">
      <c r="J975" s="216" t="n"/>
    </row>
    <row r="976" ht="15" customHeight="1" s="231">
      <c r="J976" s="216" t="n"/>
    </row>
    <row r="977" ht="15" customHeight="1" s="231">
      <c r="J977" s="216" t="n"/>
    </row>
    <row r="978" ht="15" customHeight="1" s="231">
      <c r="J978" s="216" t="n"/>
    </row>
    <row r="979" ht="15" customHeight="1" s="231">
      <c r="J979" s="216" t="n"/>
    </row>
    <row r="980" ht="15" customHeight="1" s="231">
      <c r="J980" s="216" t="n"/>
    </row>
    <row r="981" ht="15" customHeight="1" s="231">
      <c r="J981" s="216" t="n"/>
    </row>
    <row r="982" ht="15" customHeight="1" s="231">
      <c r="J982" s="216" t="n"/>
    </row>
    <row r="983" ht="15" customHeight="1" s="231">
      <c r="J983" s="216" t="n"/>
    </row>
    <row r="984" ht="15" customHeight="1" s="231">
      <c r="J984" s="216" t="n"/>
    </row>
    <row r="985" ht="15" customHeight="1" s="231">
      <c r="J985" s="216" t="n"/>
    </row>
    <row r="986" ht="15" customHeight="1" s="231">
      <c r="J986" s="216" t="n"/>
    </row>
    <row r="987" ht="15" customHeight="1" s="231">
      <c r="J987" s="216" t="n"/>
    </row>
    <row r="988" ht="15" customHeight="1" s="231">
      <c r="J988" s="216" t="n"/>
    </row>
    <row r="989" ht="15" customHeight="1" s="231">
      <c r="J989" s="216" t="n"/>
    </row>
    <row r="990" ht="15" customHeight="1" s="231">
      <c r="J990" s="216" t="n"/>
    </row>
    <row r="991" ht="15" customHeight="1" s="231">
      <c r="J991" s="216" t="n"/>
    </row>
    <row r="992" ht="15" customHeight="1" s="231">
      <c r="J992" s="216" t="n"/>
    </row>
    <row r="993" ht="15" customHeight="1" s="231">
      <c r="J993" s="216" t="n"/>
    </row>
    <row r="994" ht="15" customHeight="1" s="231">
      <c r="J994" s="216" t="n"/>
    </row>
    <row r="995" ht="15" customHeight="1" s="231">
      <c r="J995" s="216" t="n"/>
    </row>
    <row r="996" ht="15" customHeight="1" s="231">
      <c r="J996" s="216" t="n"/>
    </row>
    <row r="997" ht="15" customHeight="1" s="231">
      <c r="J997" s="216" t="n"/>
    </row>
    <row r="998" ht="15" customHeight="1" s="231">
      <c r="J998" s="216" t="n"/>
    </row>
    <row r="999" ht="15" customHeight="1" s="231">
      <c r="J999" s="216" t="n"/>
    </row>
    <row r="1000" ht="15" customHeight="1" s="231">
      <c r="J1000" s="216" t="n"/>
    </row>
    <row r="1001" ht="15" customHeight="1" s="231">
      <c r="J1001" s="216" t="n"/>
    </row>
    <row r="1002" ht="15" customHeight="1" s="231">
      <c r="J1002" s="216" t="n"/>
    </row>
    <row r="1003" ht="15" customHeight="1" s="231">
      <c r="J1003" s="216" t="n"/>
    </row>
    <row r="1004" ht="15" customHeight="1" s="231">
      <c r="J1004" s="216" t="n"/>
    </row>
    <row r="1005" ht="15" customHeight="1" s="231">
      <c r="J1005" s="216" t="n"/>
    </row>
    <row r="1006" ht="15" customHeight="1" s="231">
      <c r="J1006" s="216" t="n"/>
    </row>
    <row r="1007" ht="15" customHeight="1" s="231">
      <c r="J1007" s="216" t="n"/>
    </row>
    <row r="1008" ht="15" customHeight="1" s="231">
      <c r="J1008" s="216" t="n"/>
    </row>
    <row r="1009" ht="15" customHeight="1" s="231">
      <c r="J1009" s="216" t="n"/>
    </row>
    <row r="1010" ht="15" customHeight="1" s="231">
      <c r="J1010" s="216" t="n"/>
    </row>
    <row r="1011" ht="15" customHeight="1" s="231">
      <c r="J1011" s="216" t="n"/>
    </row>
    <row r="1012" ht="15" customHeight="1" s="231">
      <c r="J1012" s="216" t="n"/>
    </row>
    <row r="1013" ht="15" customHeight="1" s="231">
      <c r="J1013" s="216" t="n"/>
    </row>
    <row r="1014" ht="15" customHeight="1" s="231">
      <c r="J1014" s="216" t="n"/>
    </row>
    <row r="1015" ht="15" customHeight="1" s="231">
      <c r="J1015" s="216" t="n"/>
    </row>
    <row r="1016" ht="15" customHeight="1" s="231">
      <c r="J1016" s="216" t="n"/>
    </row>
    <row r="1017" ht="15" customHeight="1" s="231">
      <c r="J1017" s="216" t="n"/>
    </row>
    <row r="1018" ht="15" customHeight="1" s="231">
      <c r="J1018" s="216" t="n"/>
    </row>
    <row r="1019" ht="15" customHeight="1" s="231">
      <c r="J1019" s="216" t="n"/>
    </row>
    <row r="1020" ht="15" customHeight="1" s="231">
      <c r="J1020" s="216" t="n"/>
    </row>
    <row r="1021" ht="15" customHeight="1" s="231">
      <c r="J1021" s="216" t="n"/>
    </row>
    <row r="1022" ht="15" customHeight="1" s="231">
      <c r="J1022" s="216" t="n"/>
    </row>
    <row r="1023" ht="15" customHeight="1" s="231">
      <c r="J1023" s="216" t="n"/>
    </row>
    <row r="1024" ht="15" customHeight="1" s="231">
      <c r="J1024" s="216" t="n"/>
    </row>
    <row r="1025" ht="15" customHeight="1" s="231">
      <c r="J1025" s="216" t="n"/>
    </row>
    <row r="1026" ht="15" customHeight="1" s="231">
      <c r="J1026" s="216" t="n"/>
    </row>
    <row r="1027" ht="15" customHeight="1" s="231">
      <c r="J1027" s="216" t="n"/>
    </row>
    <row r="1028" ht="15" customHeight="1" s="231">
      <c r="J1028" s="216" t="n"/>
    </row>
    <row r="1029" ht="15" customHeight="1" s="231">
      <c r="J1029" s="216" t="n"/>
    </row>
    <row r="1030" ht="15" customHeight="1" s="231">
      <c r="J1030" s="216" t="n"/>
    </row>
    <row r="1031" ht="15" customHeight="1" s="231">
      <c r="J1031" s="216" t="n"/>
    </row>
    <row r="1032" ht="15" customHeight="1" s="231">
      <c r="J1032" s="216" t="n"/>
    </row>
    <row r="1033" ht="15" customHeight="1" s="231">
      <c r="J1033" s="216" t="n"/>
    </row>
    <row r="1034" ht="15" customHeight="1" s="231">
      <c r="J1034" s="216" t="n"/>
    </row>
    <row r="1035" ht="15" customHeight="1" s="231">
      <c r="J1035" s="216" t="n"/>
    </row>
    <row r="1036" ht="15" customHeight="1" s="231">
      <c r="J1036" s="216" t="n"/>
    </row>
    <row r="1037" ht="15" customHeight="1" s="231">
      <c r="J1037" s="216" t="n"/>
    </row>
    <row r="1038" ht="15" customHeight="1" s="231">
      <c r="J1038" s="216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G1:DF1040"/>
  <sheetViews>
    <sheetView showFormulas="0" showGridLines="0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P43" activeCellId="0" sqref="P43"/>
    </sheetView>
  </sheetViews>
  <sheetFormatPr baseColWidth="8" defaultColWidth="10.5703125" defaultRowHeight="15" zeroHeight="0" outlineLevelRow="0"/>
  <cols>
    <col width="4.57" customWidth="1" style="216" min="4" max="4"/>
    <col width="3.42" customWidth="1" style="216" min="5" max="6"/>
    <col width="28.71" customWidth="1" style="216" min="7" max="7"/>
    <col width="11.57" customWidth="1" style="216" min="8" max="9"/>
    <col width="11.57" customWidth="1" style="266" min="10" max="10"/>
    <col width="11.57" customWidth="1" style="216" min="11" max="14"/>
    <col width="12.86" customWidth="1" style="349" min="15" max="15"/>
    <col width="12.71" customWidth="1" style="216" min="16" max="17"/>
    <col width="11.57" customWidth="1" style="216" min="18" max="20"/>
    <col width="11.57" customWidth="1" style="350" min="21" max="21"/>
    <col width="11.57" customWidth="1" style="216" min="22" max="22"/>
    <col width="12.71" customWidth="1" style="216" min="23" max="23"/>
    <col width="11.57" customWidth="1" style="216" min="24" max="28"/>
    <col width="12.71" customWidth="1" style="216" min="29" max="29"/>
    <col width="11.57" customWidth="1" style="216" min="30" max="37"/>
    <col width="12.71" customWidth="1" style="216" min="38" max="38"/>
    <col width="11.57" customWidth="1" style="216" min="39" max="97"/>
    <col width="11.57" customWidth="1" style="351" min="98" max="98"/>
    <col width="11.57" customWidth="1" style="216" min="99" max="129"/>
    <col width="12.71" customWidth="1" style="216" min="130" max="130"/>
    <col width="11.57" customWidth="1" style="216" min="131" max="160"/>
    <col width="12.57" customWidth="1" style="216" min="161" max="161"/>
    <col width="11.57" customWidth="1" style="216" min="162" max="340"/>
    <col width="12.57" customWidth="1" style="216" min="341" max="341"/>
    <col width="10.42" customWidth="1" style="216" min="342" max="342"/>
    <col width="13.57" customWidth="1" style="216" min="343" max="343"/>
    <col width="10.42" customWidth="1" style="216" min="344" max="344"/>
    <col width="13.57" customWidth="1" style="216" min="345" max="345"/>
    <col width="10.42" customWidth="1" style="216" min="346" max="346"/>
    <col width="13.57" customWidth="1" style="216" min="347" max="347"/>
    <col width="10.42" customWidth="1" style="216" min="348" max="348"/>
    <col width="13.57" customWidth="1" style="216" min="349" max="349"/>
    <col width="10.42" customWidth="1" style="216" min="350" max="350"/>
    <col width="13.57" customWidth="1" style="216" min="351" max="351"/>
    <col width="10.42" customWidth="1" style="216" min="352" max="352"/>
    <col width="13.57" customWidth="1" style="216" min="353" max="353"/>
    <col width="10.42" customWidth="1" style="216" min="354" max="354"/>
    <col width="13.57" customWidth="1" style="216" min="355" max="355"/>
    <col width="10.42" customWidth="1" style="216" min="356" max="356"/>
    <col width="13.57" customWidth="1" style="216" min="357" max="357"/>
    <col width="10.42" customWidth="1" style="216" min="358" max="358"/>
    <col width="13.57" customWidth="1" style="216" min="359" max="359"/>
    <col width="10.42" customWidth="1" style="216" min="360" max="360"/>
    <col width="13.57" customWidth="1" style="216" min="361" max="361"/>
    <col width="10.42" customWidth="1" style="216" min="362" max="362"/>
    <col width="13.57" customWidth="1" style="216" min="363" max="363"/>
    <col width="10.42" customWidth="1" style="216" min="364" max="364"/>
    <col width="13.57" customWidth="1" style="216" min="365" max="365"/>
    <col width="10.42" customWidth="1" style="216" min="366" max="366"/>
    <col width="13.57" customWidth="1" style="216" min="367" max="367"/>
    <col width="10.42" customWidth="1" style="216" min="368" max="368"/>
    <col width="13.57" customWidth="1" style="216" min="369" max="369"/>
    <col width="10.42" customWidth="1" style="216" min="370" max="370"/>
    <col width="13.57" customWidth="1" style="216" min="371" max="371"/>
    <col width="10.42" customWidth="1" style="216" min="372" max="372"/>
    <col width="13.57" customWidth="1" style="216" min="373" max="373"/>
    <col width="8.57" customWidth="1" style="216" min="374" max="421"/>
    <col width="13.57" customWidth="1" style="216" min="424" max="424"/>
    <col width="17.42" customWidth="1" style="216" min="425" max="425"/>
    <col width="12.42" customWidth="1" style="216" min="426" max="426"/>
    <col width="16.43" customWidth="1" style="216" min="427" max="427"/>
  </cols>
  <sheetData>
    <row r="1" ht="15" customHeight="1" s="231">
      <c r="I1" s="350" t="n">
        <v>43910</v>
      </c>
      <c r="J1" s="350" t="n">
        <v>44007</v>
      </c>
      <c r="CP1" s="350" t="n"/>
      <c r="CQ1" s="350" t="n"/>
    </row>
    <row r="2" ht="15" customHeight="1" s="231">
      <c r="G2" s="216" t="inlineStr">
        <is>
          <t>Statut</t>
        </is>
      </c>
      <c r="H2" s="216" t="inlineStr">
        <is>
          <t>(Tous)</t>
        </is>
      </c>
      <c r="DF2" s="351" t="n"/>
    </row>
    <row r="3" ht="15" customHeight="1" s="231">
      <c r="G3" s="216" t="inlineStr">
        <is>
          <t>Hr début shift Planifiée</t>
        </is>
      </c>
      <c r="H3" s="216" t="inlineStr">
        <is>
          <t>(Tous)</t>
        </is>
      </c>
      <c r="J3" s="216" t="n"/>
      <c r="DF3" s="352" t="n"/>
    </row>
    <row r="4" ht="15" customHeight="1" s="231">
      <c r="J4" s="216" t="n"/>
      <c r="DF4" s="352" t="n"/>
    </row>
    <row r="5" ht="15" customHeight="1" s="231">
      <c r="G5" s="216" t="inlineStr">
        <is>
          <t>Nombre de Segment</t>
        </is>
      </c>
      <c r="H5" s="216" t="inlineStr">
        <is>
          <t>Date</t>
        </is>
      </c>
    </row>
    <row r="6" ht="15" customHeight="1" s="231">
      <c r="G6" s="266" t="inlineStr">
        <is>
          <t>Nom De l'agent</t>
        </is>
      </c>
      <c r="H6" s="350" t="n">
        <v>44726</v>
      </c>
      <c r="I6" s="350" t="n">
        <v>44727</v>
      </c>
      <c r="J6" s="350" t="n">
        <v>44728</v>
      </c>
      <c r="K6" s="350" t="n">
        <v>44729</v>
      </c>
      <c r="L6" s="350" t="n">
        <v>44730</v>
      </c>
      <c r="M6" s="350" t="n">
        <v>44731</v>
      </c>
      <c r="N6" s="350" t="n">
        <v>44732</v>
      </c>
      <c r="O6" s="216" t="inlineStr">
        <is>
          <t>Total général</t>
        </is>
      </c>
    </row>
    <row r="7" ht="15" customHeight="1" s="231">
      <c r="G7" s="216" t="inlineStr">
        <is>
          <t>NIANG NDEYE ABSA</t>
        </is>
      </c>
      <c r="H7" s="353" t="n">
        <v>1</v>
      </c>
      <c r="I7" s="353" t="n">
        <v>1</v>
      </c>
      <c r="J7" s="353" t="n">
        <v>1</v>
      </c>
      <c r="K7" s="353" t="n">
        <v>1</v>
      </c>
      <c r="L7" s="353" t="n">
        <v>1</v>
      </c>
      <c r="M7" s="353" t="n">
        <v>1</v>
      </c>
      <c r="N7" s="353" t="n">
        <v>1</v>
      </c>
      <c r="O7" s="353" t="n">
        <v>7</v>
      </c>
    </row>
    <row r="8" ht="15" customHeight="1" s="231">
      <c r="G8" s="216" t="inlineStr">
        <is>
          <t>IHASSANE Ikram</t>
        </is>
      </c>
      <c r="H8" s="353" t="n">
        <v>1</v>
      </c>
      <c r="I8" s="353" t="n">
        <v>1</v>
      </c>
      <c r="J8" s="353" t="n">
        <v>1</v>
      </c>
      <c r="K8" s="353" t="n">
        <v>1</v>
      </c>
      <c r="L8" s="353" t="n">
        <v>1</v>
      </c>
      <c r="M8" s="353" t="n">
        <v>1</v>
      </c>
      <c r="N8" s="353" t="n">
        <v>1</v>
      </c>
      <c r="O8" s="353" t="n">
        <v>7</v>
      </c>
    </row>
    <row r="9" ht="15" customHeight="1" s="231">
      <c r="G9" s="216" t="inlineStr">
        <is>
          <t>ZAKI OMAR</t>
        </is>
      </c>
      <c r="H9" s="353" t="n">
        <v>1</v>
      </c>
      <c r="I9" s="353" t="n">
        <v>1</v>
      </c>
      <c r="J9" s="353" t="n">
        <v>1</v>
      </c>
      <c r="K9" s="353" t="n">
        <v>1</v>
      </c>
      <c r="L9" s="353" t="n">
        <v>1</v>
      </c>
      <c r="M9" s="353" t="n">
        <v>1</v>
      </c>
      <c r="N9" s="353" t="n">
        <v>1</v>
      </c>
      <c r="O9" s="353" t="n">
        <v>7</v>
      </c>
    </row>
    <row r="10" ht="15" customHeight="1" s="231">
      <c r="G10" s="216" t="inlineStr">
        <is>
          <t>EL HOUSSAINI HOUDA</t>
        </is>
      </c>
      <c r="H10" s="353" t="n">
        <v>1</v>
      </c>
      <c r="I10" s="353" t="n">
        <v>1</v>
      </c>
      <c r="J10" s="353" t="n">
        <v>1</v>
      </c>
      <c r="K10" s="353" t="n">
        <v>1</v>
      </c>
      <c r="L10" s="353" t="n">
        <v>1</v>
      </c>
      <c r="M10" s="353" t="n">
        <v>1</v>
      </c>
      <c r="N10" s="353" t="n">
        <v>1</v>
      </c>
      <c r="O10" s="353" t="n">
        <v>7</v>
      </c>
    </row>
    <row r="11" ht="15" customHeight="1" s="231">
      <c r="G11" s="216" t="inlineStr">
        <is>
          <t>EL HARROUCHI CHAIMAE</t>
        </is>
      </c>
      <c r="H11" s="353" t="n">
        <v>1</v>
      </c>
      <c r="I11" s="353" t="n">
        <v>1</v>
      </c>
      <c r="J11" s="353" t="n">
        <v>1</v>
      </c>
      <c r="K11" s="353" t="n">
        <v>1</v>
      </c>
      <c r="L11" s="353" t="n">
        <v>1</v>
      </c>
      <c r="M11" s="353" t="n">
        <v>1</v>
      </c>
      <c r="N11" s="353" t="n">
        <v>1</v>
      </c>
      <c r="O11" s="353" t="n">
        <v>7</v>
      </c>
    </row>
    <row r="12" ht="15" customHeight="1" s="231">
      <c r="G12" s="216" t="inlineStr">
        <is>
          <t>LAFDIL NADA</t>
        </is>
      </c>
      <c r="H12" s="353" t="n">
        <v>1</v>
      </c>
      <c r="I12" s="353" t="n">
        <v>1</v>
      </c>
      <c r="J12" s="353" t="n">
        <v>1</v>
      </c>
      <c r="K12" s="353" t="n">
        <v>1</v>
      </c>
      <c r="L12" s="353" t="n">
        <v>1</v>
      </c>
      <c r="M12" s="353" t="n">
        <v>1</v>
      </c>
      <c r="N12" s="353" t="n">
        <v>1</v>
      </c>
      <c r="O12" s="353" t="n">
        <v>7</v>
      </c>
    </row>
    <row r="13" ht="15.75" customHeight="1" s="231">
      <c r="G13" s="216" t="inlineStr">
        <is>
          <t>ZITOUNI LAMYA</t>
        </is>
      </c>
      <c r="H13" s="353" t="n">
        <v>1</v>
      </c>
      <c r="I13" s="353" t="n">
        <v>1</v>
      </c>
      <c r="J13" s="353" t="n">
        <v>1</v>
      </c>
      <c r="K13" s="353" t="n">
        <v>1</v>
      </c>
      <c r="L13" s="353" t="n">
        <v>1</v>
      </c>
      <c r="M13" s="353" t="n">
        <v>1</v>
      </c>
      <c r="N13" s="353" t="n">
        <v>1</v>
      </c>
      <c r="O13" s="353" t="n">
        <v>7</v>
      </c>
    </row>
    <row r="14" ht="15" customHeight="1" s="231">
      <c r="G14" s="216" t="inlineStr">
        <is>
          <t>GUEYE MOUHAMED</t>
        </is>
      </c>
      <c r="H14" s="353" t="n">
        <v>1</v>
      </c>
      <c r="I14" s="353" t="n">
        <v>1</v>
      </c>
      <c r="J14" s="353" t="n">
        <v>1</v>
      </c>
      <c r="K14" s="353" t="n">
        <v>1</v>
      </c>
      <c r="L14" s="353" t="n">
        <v>1</v>
      </c>
      <c r="M14" s="353" t="n">
        <v>1</v>
      </c>
      <c r="N14" s="353" t="n">
        <v>1</v>
      </c>
      <c r="O14" s="353" t="n">
        <v>7</v>
      </c>
    </row>
    <row r="15" ht="15" customHeight="1" s="231">
      <c r="G15" s="216" t="inlineStr">
        <is>
          <t>RACHAD NAWAR</t>
        </is>
      </c>
      <c r="H15" s="353" t="n">
        <v>1</v>
      </c>
      <c r="I15" s="353" t="n">
        <v>1</v>
      </c>
      <c r="J15" s="353" t="n">
        <v>1</v>
      </c>
      <c r="K15" s="353" t="n">
        <v>1</v>
      </c>
      <c r="L15" s="353" t="n">
        <v>1</v>
      </c>
      <c r="M15" s="353" t="n">
        <v>1</v>
      </c>
      <c r="N15" s="353" t="n">
        <v>1</v>
      </c>
      <c r="O15" s="353" t="n">
        <v>7</v>
      </c>
    </row>
    <row r="16" ht="15" customHeight="1" s="231">
      <c r="G16" s="216" t="inlineStr">
        <is>
          <t>DIOUF OUSSMANE</t>
        </is>
      </c>
      <c r="H16" s="353" t="n">
        <v>1</v>
      </c>
      <c r="I16" s="353" t="n">
        <v>1</v>
      </c>
      <c r="J16" s="353" t="n">
        <v>1</v>
      </c>
      <c r="K16" s="353" t="n">
        <v>1</v>
      </c>
      <c r="L16" s="353" t="n">
        <v>1</v>
      </c>
      <c r="M16" s="353" t="n">
        <v>1</v>
      </c>
      <c r="N16" s="353" t="n">
        <v>1</v>
      </c>
      <c r="O16" s="353" t="n">
        <v>7</v>
      </c>
    </row>
    <row r="17" ht="15" customHeight="1" s="231">
      <c r="G17" s="216" t="inlineStr">
        <is>
          <t>AIT LARBI HIND</t>
        </is>
      </c>
      <c r="H17" s="353" t="n">
        <v>1</v>
      </c>
      <c r="I17" s="353" t="n">
        <v>1</v>
      </c>
      <c r="J17" s="353" t="n">
        <v>1</v>
      </c>
      <c r="K17" s="353" t="n">
        <v>1</v>
      </c>
      <c r="L17" s="353" t="n">
        <v>1</v>
      </c>
      <c r="M17" s="353" t="n">
        <v>1</v>
      </c>
      <c r="N17" s="353" t="n">
        <v>1</v>
      </c>
      <c r="O17" s="353" t="n">
        <v>7</v>
      </c>
    </row>
    <row r="18" ht="15" customHeight="1" s="231">
      <c r="G18" s="216" t="inlineStr">
        <is>
          <t>TOURE ABIBOU</t>
        </is>
      </c>
      <c r="H18" s="353" t="n">
        <v>1</v>
      </c>
      <c r="I18" s="353" t="n">
        <v>1</v>
      </c>
      <c r="J18" s="353" t="n">
        <v>1</v>
      </c>
      <c r="K18" s="353" t="n">
        <v>1</v>
      </c>
      <c r="L18" s="353" t="n">
        <v>1</v>
      </c>
      <c r="M18" s="353" t="n">
        <v>1</v>
      </c>
      <c r="N18" s="353" t="n">
        <v>1</v>
      </c>
      <c r="O18" s="353" t="n">
        <v>7</v>
      </c>
    </row>
    <row r="19" ht="15" customHeight="1" s="231">
      <c r="G19" s="216" t="inlineStr">
        <is>
          <t>KANTAOUI SALMA</t>
        </is>
      </c>
      <c r="H19" s="353" t="n">
        <v>1</v>
      </c>
      <c r="I19" s="353" t="n">
        <v>1</v>
      </c>
      <c r="J19" s="353" t="n">
        <v>1</v>
      </c>
      <c r="K19" s="353" t="n">
        <v>1</v>
      </c>
      <c r="L19" s="353" t="n">
        <v>1</v>
      </c>
      <c r="M19" s="353" t="n">
        <v>1</v>
      </c>
      <c r="N19" s="353" t="n">
        <v>1</v>
      </c>
      <c r="O19" s="353" t="n">
        <v>7</v>
      </c>
    </row>
    <row r="20" ht="15" customHeight="1" s="231">
      <c r="G20" s="216" t="inlineStr">
        <is>
          <t>ZIOUI DOUNIA</t>
        </is>
      </c>
      <c r="H20" s="353" t="n">
        <v>1</v>
      </c>
      <c r="I20" s="353" t="n">
        <v>1</v>
      </c>
      <c r="J20" s="353" t="n">
        <v>1</v>
      </c>
      <c r="K20" s="353" t="n">
        <v>1</v>
      </c>
      <c r="L20" s="353" t="n">
        <v>1</v>
      </c>
      <c r="M20" s="353" t="n">
        <v>1</v>
      </c>
      <c r="N20" s="353" t="n">
        <v>1</v>
      </c>
      <c r="O20" s="353" t="n">
        <v>7</v>
      </c>
    </row>
    <row r="21" ht="15" customHeight="1" s="231">
      <c r="G21" s="216" t="inlineStr">
        <is>
          <t>AIT ADDI KHADIJA</t>
        </is>
      </c>
      <c r="H21" s="353" t="n">
        <v>1</v>
      </c>
      <c r="I21" s="353" t="n">
        <v>1</v>
      </c>
      <c r="J21" s="353" t="n">
        <v>1</v>
      </c>
      <c r="K21" s="353" t="n">
        <v>1</v>
      </c>
      <c r="L21" s="353" t="n">
        <v>1</v>
      </c>
      <c r="M21" s="353" t="n">
        <v>1</v>
      </c>
      <c r="N21" s="353" t="n">
        <v>1</v>
      </c>
      <c r="O21" s="353" t="n">
        <v>7</v>
      </c>
    </row>
    <row r="22" ht="15" customHeight="1" s="231">
      <c r="G22" s="216" t="inlineStr">
        <is>
          <t>MELLAHI YOUSSEF</t>
        </is>
      </c>
      <c r="H22" s="353" t="n">
        <v>1</v>
      </c>
      <c r="I22" s="353" t="n">
        <v>1</v>
      </c>
      <c r="J22" s="353" t="n">
        <v>1</v>
      </c>
      <c r="K22" s="353" t="n">
        <v>1</v>
      </c>
      <c r="L22" s="353" t="n">
        <v>1</v>
      </c>
      <c r="M22" s="353" t="n">
        <v>1</v>
      </c>
      <c r="N22" s="353" t="n">
        <v>1</v>
      </c>
      <c r="O22" s="353" t="n">
        <v>7</v>
      </c>
    </row>
    <row r="23" ht="15" customHeight="1" s="231">
      <c r="G23" s="216" t="inlineStr">
        <is>
          <t xml:space="preserve">EL HOUJJAJI Soufiane </t>
        </is>
      </c>
      <c r="H23" s="353" t="n">
        <v>1</v>
      </c>
      <c r="I23" s="353" t="n">
        <v>1</v>
      </c>
      <c r="J23" s="353" t="n">
        <v>1</v>
      </c>
      <c r="K23" s="353" t="n">
        <v>1</v>
      </c>
      <c r="L23" s="353" t="n">
        <v>1</v>
      </c>
      <c r="M23" s="353" t="n">
        <v>1</v>
      </c>
      <c r="N23" s="353" t="n">
        <v>1</v>
      </c>
      <c r="O23" s="353" t="n">
        <v>7</v>
      </c>
    </row>
    <row r="24" ht="15" customHeight="1" s="231">
      <c r="G24" s="216" t="inlineStr">
        <is>
          <t>NUNEZ LUCIEN BERNARD</t>
        </is>
      </c>
      <c r="H24" s="353" t="n">
        <v>1</v>
      </c>
      <c r="I24" s="353" t="n">
        <v>1</v>
      </c>
      <c r="J24" s="353" t="n">
        <v>1</v>
      </c>
      <c r="K24" s="353" t="n">
        <v>1</v>
      </c>
      <c r="L24" s="353" t="n">
        <v>1</v>
      </c>
      <c r="M24" s="353" t="n">
        <v>1</v>
      </c>
      <c r="N24" s="353" t="n">
        <v>1</v>
      </c>
      <c r="O24" s="353" t="n">
        <v>7</v>
      </c>
    </row>
    <row r="25" ht="15" customHeight="1" s="231">
      <c r="G25" s="216" t="inlineStr">
        <is>
          <t>AZHARI ABDELHAMID</t>
        </is>
      </c>
      <c r="H25" s="353" t="n">
        <v>1</v>
      </c>
      <c r="I25" s="353" t="n">
        <v>1</v>
      </c>
      <c r="J25" s="353" t="n">
        <v>1</v>
      </c>
      <c r="K25" s="353" t="n">
        <v>1</v>
      </c>
      <c r="L25" s="353" t="n">
        <v>1</v>
      </c>
      <c r="M25" s="353" t="n">
        <v>1</v>
      </c>
      <c r="N25" s="353" t="n">
        <v>1</v>
      </c>
      <c r="O25" s="353" t="n">
        <v>7</v>
      </c>
    </row>
    <row r="26" ht="15" customHeight="1" s="231">
      <c r="G26" s="216" t="inlineStr">
        <is>
          <t xml:space="preserve">LALOUN MANAL </t>
        </is>
      </c>
      <c r="H26" s="353" t="n">
        <v>1</v>
      </c>
      <c r="I26" s="353" t="n">
        <v>1</v>
      </c>
      <c r="J26" s="353" t="n">
        <v>1</v>
      </c>
      <c r="K26" s="353" t="n">
        <v>1</v>
      </c>
      <c r="L26" s="353" t="n">
        <v>1</v>
      </c>
      <c r="M26" s="353" t="n">
        <v>1</v>
      </c>
      <c r="N26" s="353" t="n">
        <v>1</v>
      </c>
      <c r="O26" s="353" t="n">
        <v>7</v>
      </c>
    </row>
    <row r="27" ht="15" customHeight="1" s="231">
      <c r="G27" s="216" t="inlineStr">
        <is>
          <t>SIDIBE MOUSKEBA DALAFINA</t>
        </is>
      </c>
      <c r="H27" s="353" t="n">
        <v>1</v>
      </c>
      <c r="I27" s="353" t="n">
        <v>1</v>
      </c>
      <c r="J27" s="353" t="n">
        <v>1</v>
      </c>
      <c r="K27" s="353" t="n">
        <v>1</v>
      </c>
      <c r="L27" s="353" t="n">
        <v>1</v>
      </c>
      <c r="M27" s="353" t="n">
        <v>1</v>
      </c>
      <c r="N27" s="353" t="n">
        <v>1</v>
      </c>
      <c r="O27" s="353" t="n">
        <v>7</v>
      </c>
    </row>
    <row r="28" ht="15" customHeight="1" s="231">
      <c r="G28" s="216" t="inlineStr">
        <is>
          <t>BOULHROUD SALMA</t>
        </is>
      </c>
      <c r="H28" s="353" t="n">
        <v>1</v>
      </c>
      <c r="I28" s="353" t="n">
        <v>1</v>
      </c>
      <c r="J28" s="353" t="n">
        <v>1</v>
      </c>
      <c r="K28" s="353" t="n">
        <v>1</v>
      </c>
      <c r="L28" s="353" t="n">
        <v>1</v>
      </c>
      <c r="M28" s="353" t="n">
        <v>1</v>
      </c>
      <c r="N28" s="353" t="n">
        <v>1</v>
      </c>
      <c r="O28" s="353" t="n">
        <v>7</v>
      </c>
    </row>
    <row r="29" ht="15" customHeight="1" s="231">
      <c r="G29" s="216" t="inlineStr">
        <is>
          <t>BOURABAA HASSAN</t>
        </is>
      </c>
      <c r="H29" s="353" t="n">
        <v>1</v>
      </c>
      <c r="I29" s="353" t="n">
        <v>1</v>
      </c>
      <c r="J29" s="353" t="n">
        <v>1</v>
      </c>
      <c r="K29" s="353" t="n">
        <v>1</v>
      </c>
      <c r="L29" s="353" t="n">
        <v>1</v>
      </c>
      <c r="M29" s="353" t="n">
        <v>1</v>
      </c>
      <c r="N29" s="353" t="n">
        <v>1</v>
      </c>
      <c r="O29" s="353" t="n">
        <v>7</v>
      </c>
      <c r="CT29" s="216" t="n"/>
    </row>
    <row r="30" ht="15" customHeight="1" s="231">
      <c r="G30" s="216" t="inlineStr">
        <is>
          <t>EL-AOUAQUI BOUCHRA</t>
        </is>
      </c>
      <c r="H30" s="353" t="n">
        <v>1</v>
      </c>
      <c r="I30" s="353" t="n">
        <v>1</v>
      </c>
      <c r="J30" s="353" t="n">
        <v>1</v>
      </c>
      <c r="K30" s="353" t="n">
        <v>1</v>
      </c>
      <c r="L30" s="353" t="n">
        <v>1</v>
      </c>
      <c r="M30" s="353" t="n">
        <v>1</v>
      </c>
      <c r="N30" s="353" t="n">
        <v>1</v>
      </c>
      <c r="O30" s="353" t="n">
        <v>7</v>
      </c>
      <c r="CT30" s="216" t="n"/>
    </row>
    <row r="31" ht="15" customHeight="1" s="231">
      <c r="G31" s="216" t="inlineStr">
        <is>
          <t>GUEYE GORA</t>
        </is>
      </c>
      <c r="H31" s="353" t="n">
        <v>1</v>
      </c>
      <c r="I31" s="353" t="n">
        <v>1</v>
      </c>
      <c r="J31" s="353" t="n">
        <v>1</v>
      </c>
      <c r="K31" s="353" t="n">
        <v>1</v>
      </c>
      <c r="L31" s="353" t="n">
        <v>1</v>
      </c>
      <c r="M31" s="353" t="n">
        <v>1</v>
      </c>
      <c r="N31" s="353" t="n">
        <v>1</v>
      </c>
      <c r="O31" s="353" t="n">
        <v>7</v>
      </c>
      <c r="CT31" s="216" t="n"/>
    </row>
    <row r="32" ht="15" customHeight="1" s="231">
      <c r="G32" s="216" t="inlineStr">
        <is>
          <t xml:space="preserve">DERKAOUI AMAL </t>
        </is>
      </c>
      <c r="H32" s="353" t="n">
        <v>1</v>
      </c>
      <c r="I32" s="353" t="n">
        <v>1</v>
      </c>
      <c r="J32" s="353" t="n">
        <v>1</v>
      </c>
      <c r="K32" s="353" t="n">
        <v>1</v>
      </c>
      <c r="L32" s="353" t="n">
        <v>1</v>
      </c>
      <c r="M32" s="353" t="n">
        <v>1</v>
      </c>
      <c r="N32" s="353" t="n">
        <v>1</v>
      </c>
      <c r="O32" s="353" t="n">
        <v>7</v>
      </c>
      <c r="CT32" s="216" t="n"/>
    </row>
    <row r="33" ht="15" customHeight="1" s="231">
      <c r="G33" s="216" t="inlineStr">
        <is>
          <t>SECK DIARRA</t>
        </is>
      </c>
      <c r="H33" s="353" t="n">
        <v>1</v>
      </c>
      <c r="I33" s="353" t="n">
        <v>1</v>
      </c>
      <c r="J33" s="353" t="n">
        <v>1</v>
      </c>
      <c r="K33" s="353" t="n">
        <v>1</v>
      </c>
      <c r="L33" s="353" t="n">
        <v>1</v>
      </c>
      <c r="M33" s="353" t="n">
        <v>1</v>
      </c>
      <c r="N33" s="353" t="n">
        <v>1</v>
      </c>
      <c r="O33" s="353" t="n">
        <v>7</v>
      </c>
      <c r="CT33" s="216" t="n"/>
    </row>
    <row r="34" ht="15" customHeight="1" s="231">
      <c r="G34" s="216" t="inlineStr">
        <is>
          <t>AINELKITANE ZINEB</t>
        </is>
      </c>
      <c r="H34" s="353" t="n">
        <v>1</v>
      </c>
      <c r="I34" s="353" t="n">
        <v>1</v>
      </c>
      <c r="J34" s="353" t="n">
        <v>1</v>
      </c>
      <c r="K34" s="353" t="n">
        <v>1</v>
      </c>
      <c r="L34" s="353" t="n">
        <v>1</v>
      </c>
      <c r="M34" s="353" t="n">
        <v>1</v>
      </c>
      <c r="N34" s="353" t="n">
        <v>1</v>
      </c>
      <c r="O34" s="353" t="n">
        <v>7</v>
      </c>
      <c r="CT34" s="216" t="n"/>
    </row>
    <row r="35" ht="15" customHeight="1" s="231">
      <c r="G35" s="216" t="inlineStr">
        <is>
          <t>ELBOUTI AYOUB</t>
        </is>
      </c>
      <c r="H35" s="353" t="n">
        <v>1</v>
      </c>
      <c r="I35" s="353" t="n">
        <v>1</v>
      </c>
      <c r="J35" s="353" t="n">
        <v>1</v>
      </c>
      <c r="K35" s="353" t="n">
        <v>1</v>
      </c>
      <c r="L35" s="353" t="n">
        <v>1</v>
      </c>
      <c r="M35" s="353" t="n">
        <v>1</v>
      </c>
      <c r="N35" s="353" t="n">
        <v>1</v>
      </c>
      <c r="O35" s="353" t="n">
        <v>7</v>
      </c>
      <c r="CT35" s="216" t="n"/>
    </row>
    <row r="36" ht="15" customHeight="1" s="231">
      <c r="G36" s="216" t="inlineStr">
        <is>
          <t>BENSAR ANAS</t>
        </is>
      </c>
      <c r="H36" s="353" t="n">
        <v>1</v>
      </c>
      <c r="I36" s="353" t="n">
        <v>1</v>
      </c>
      <c r="J36" s="353" t="n">
        <v>1</v>
      </c>
      <c r="K36" s="353" t="n">
        <v>1</v>
      </c>
      <c r="L36" s="353" t="n">
        <v>1</v>
      </c>
      <c r="M36" s="353" t="n">
        <v>1</v>
      </c>
      <c r="N36" s="353" t="n">
        <v>1</v>
      </c>
      <c r="O36" s="353" t="n">
        <v>7</v>
      </c>
      <c r="CT36" s="216" t="n"/>
    </row>
    <row r="37" ht="15" customHeight="1" s="231">
      <c r="G37" s="216" t="inlineStr">
        <is>
          <t>NEMMAOUI MOUNIRA</t>
        </is>
      </c>
      <c r="H37" s="353" t="n">
        <v>1</v>
      </c>
      <c r="I37" s="353" t="n">
        <v>1</v>
      </c>
      <c r="J37" s="353" t="n">
        <v>1</v>
      </c>
      <c r="K37" s="353" t="n">
        <v>1</v>
      </c>
      <c r="L37" s="353" t="n">
        <v>1</v>
      </c>
      <c r="M37" s="353" t="n">
        <v>1</v>
      </c>
      <c r="N37" s="353" t="n">
        <v>1</v>
      </c>
      <c r="O37" s="353" t="n">
        <v>7</v>
      </c>
      <c r="CT37" s="216" t="n"/>
    </row>
    <row r="38" ht="15" customHeight="1" s="231">
      <c r="G38" s="216" t="inlineStr">
        <is>
          <t>QARBOUI Aymane</t>
        </is>
      </c>
      <c r="H38" s="353" t="n">
        <v>1</v>
      </c>
      <c r="I38" s="353" t="n">
        <v>1</v>
      </c>
      <c r="J38" s="353" t="n">
        <v>1</v>
      </c>
      <c r="K38" s="353" t="n">
        <v>1</v>
      </c>
      <c r="L38" s="353" t="n">
        <v>1</v>
      </c>
      <c r="M38" s="353" t="n">
        <v>1</v>
      </c>
      <c r="N38" s="353" t="n">
        <v>1</v>
      </c>
      <c r="O38" s="353" t="n">
        <v>7</v>
      </c>
      <c r="CT38" s="216" t="n"/>
    </row>
    <row r="39" ht="15" customHeight="1" s="231">
      <c r="G39" s="216" t="inlineStr">
        <is>
          <t>SOUOUD ZAKARIA</t>
        </is>
      </c>
      <c r="H39" s="353" t="n">
        <v>1</v>
      </c>
      <c r="I39" s="353" t="n">
        <v>1</v>
      </c>
      <c r="J39" s="353" t="n">
        <v>1</v>
      </c>
      <c r="K39" s="353" t="n">
        <v>1</v>
      </c>
      <c r="L39" s="353" t="n">
        <v>1</v>
      </c>
      <c r="M39" s="353" t="n">
        <v>1</v>
      </c>
      <c r="N39" s="353" t="n">
        <v>1</v>
      </c>
      <c r="O39" s="353" t="n">
        <v>7</v>
      </c>
      <c r="CT39" s="216" t="n"/>
    </row>
    <row r="40" ht="15" customHeight="1" s="231">
      <c r="G40" s="216" t="inlineStr">
        <is>
          <t>Total général</t>
        </is>
      </c>
      <c r="H40" s="353" t="n">
        <v>33</v>
      </c>
      <c r="I40" s="353" t="n">
        <v>33</v>
      </c>
      <c r="J40" s="353" t="n">
        <v>33</v>
      </c>
      <c r="K40" s="353" t="n">
        <v>33</v>
      </c>
      <c r="L40" s="353" t="n">
        <v>33</v>
      </c>
      <c r="M40" s="353" t="n">
        <v>33</v>
      </c>
      <c r="N40" s="353" t="n">
        <v>33</v>
      </c>
      <c r="O40" s="353" t="n">
        <v>231</v>
      </c>
      <c r="CT40" s="216" t="n"/>
    </row>
    <row r="41" ht="15" customHeight="1" s="231">
      <c r="CT41" s="216" t="n"/>
    </row>
    <row r="42" ht="15" customHeight="1" s="231">
      <c r="CT42" s="216" t="n"/>
    </row>
    <row r="43" ht="15" customHeight="1" s="231">
      <c r="CT43" s="216" t="n"/>
    </row>
    <row r="44" ht="15" customHeight="1" s="231">
      <c r="CT44" s="216" t="n"/>
    </row>
    <row r="45" ht="15" customHeight="1" s="231">
      <c r="CT45" s="216" t="n"/>
    </row>
    <row r="46" ht="15" customHeight="1" s="231">
      <c r="CT46" s="216" t="n"/>
    </row>
    <row r="47" ht="15" customHeight="1" s="231">
      <c r="CT47" s="216" t="n"/>
    </row>
    <row r="48" ht="15" customHeight="1" s="231">
      <c r="CT48" s="216" t="n"/>
    </row>
    <row r="49" ht="15" customHeight="1" s="231">
      <c r="CT49" s="216" t="n"/>
    </row>
    <row r="50" ht="15" customHeight="1" s="231">
      <c r="CT50" s="216" t="n"/>
    </row>
    <row r="51" ht="15" customHeight="1" s="231">
      <c r="CT51" s="216" t="n"/>
    </row>
    <row r="52" ht="15" customHeight="1" s="231">
      <c r="CT52" s="216" t="n"/>
    </row>
    <row r="53" ht="15" customHeight="1" s="231">
      <c r="CT53" s="216" t="n"/>
    </row>
    <row r="54" ht="15" customHeight="1" s="231">
      <c r="CT54" s="216" t="n"/>
    </row>
    <row r="55" ht="15" customHeight="1" s="231">
      <c r="CT55" s="216" t="n"/>
    </row>
    <row r="56" ht="15" customHeight="1" s="231">
      <c r="CT56" s="216" t="n"/>
    </row>
    <row r="57" ht="15" customHeight="1" s="231">
      <c r="CT57" s="216" t="n"/>
    </row>
    <row r="58" ht="15" customHeight="1" s="231">
      <c r="CT58" s="216" t="n"/>
    </row>
    <row r="59" ht="15" customHeight="1" s="231">
      <c r="CT59" s="216" t="n"/>
    </row>
    <row r="60" ht="15" customHeight="1" s="231">
      <c r="CT60" s="216" t="n"/>
    </row>
    <row r="61" ht="15" customHeight="1" s="231">
      <c r="CT61" s="216" t="n"/>
    </row>
    <row r="62" ht="15" customHeight="1" s="231">
      <c r="CT62" s="216" t="n"/>
    </row>
    <row r="63" ht="15" customHeight="1" s="231">
      <c r="CT63" s="216" t="n"/>
    </row>
    <row r="64" ht="15" customHeight="1" s="231">
      <c r="CT64" s="216" t="n"/>
    </row>
    <row r="65" ht="15" customHeight="1" s="231">
      <c r="CT65" s="216" t="n"/>
    </row>
    <row r="66" ht="15" customHeight="1" s="231">
      <c r="CT66" s="216" t="n"/>
    </row>
    <row r="67" ht="15" customHeight="1" s="231">
      <c r="CT67" s="216" t="n"/>
    </row>
    <row r="68" ht="15" customHeight="1" s="231">
      <c r="CT68" s="216" t="n"/>
    </row>
    <row r="69" ht="15" customHeight="1" s="231">
      <c r="CT69" s="216" t="n"/>
    </row>
    <row r="70" ht="15" customHeight="1" s="231">
      <c r="CT70" s="216" t="n"/>
    </row>
    <row r="71" ht="15" customHeight="1" s="231">
      <c r="CT71" s="216" t="n"/>
    </row>
    <row r="72" ht="15" customHeight="1" s="231">
      <c r="CT72" s="216" t="n"/>
    </row>
    <row r="73" ht="15" customHeight="1" s="231">
      <c r="CT73" s="216" t="n"/>
    </row>
    <row r="74" ht="15" customHeight="1" s="231">
      <c r="CT74" s="216" t="n"/>
    </row>
    <row r="75" ht="15" customHeight="1" s="231">
      <c r="CT75" s="216" t="n"/>
    </row>
    <row r="76" ht="15" customHeight="1" s="231">
      <c r="CT76" s="216" t="n"/>
    </row>
    <row r="77" ht="15" customHeight="1" s="231">
      <c r="CT77" s="216" t="n"/>
    </row>
    <row r="78" ht="15" customHeight="1" s="231">
      <c r="CT78" s="216" t="n"/>
    </row>
    <row r="79" ht="15" customHeight="1" s="231">
      <c r="CT79" s="216" t="n"/>
    </row>
    <row r="80" ht="15" customHeight="1" s="231">
      <c r="CT80" s="216" t="n"/>
    </row>
    <row r="81" ht="15" customHeight="1" s="231">
      <c r="CT81" s="216" t="n"/>
    </row>
    <row r="82" ht="15" customHeight="1" s="231">
      <c r="CT82" s="216" t="n"/>
    </row>
    <row r="83" ht="15" customHeight="1" s="231">
      <c r="CT83" s="216" t="n"/>
    </row>
    <row r="84" ht="15" customHeight="1" s="231">
      <c r="J84" s="216" t="n"/>
      <c r="O84" s="216" t="n"/>
      <c r="U84" s="216" t="n"/>
      <c r="CT84" s="216" t="n"/>
    </row>
    <row r="85" ht="15" customHeight="1" s="231">
      <c r="J85" s="216" t="n"/>
      <c r="O85" s="216" t="n"/>
      <c r="U85" s="216" t="n"/>
      <c r="CT85" s="216" t="n"/>
    </row>
    <row r="86" ht="15" customHeight="1" s="231">
      <c r="J86" s="216" t="n"/>
      <c r="O86" s="216" t="n"/>
      <c r="U86" s="216" t="n"/>
      <c r="CT86" s="216" t="n"/>
    </row>
    <row r="87" ht="15" customHeight="1" s="231">
      <c r="J87" s="216" t="n"/>
      <c r="O87" s="216" t="n"/>
      <c r="U87" s="216" t="n"/>
      <c r="CT87" s="216" t="n"/>
    </row>
    <row r="88" ht="15" customHeight="1" s="231">
      <c r="J88" s="216" t="n"/>
      <c r="O88" s="216" t="n"/>
      <c r="U88" s="216" t="n"/>
      <c r="CT88" s="216" t="n"/>
    </row>
    <row r="89" ht="15" customHeight="1" s="231">
      <c r="J89" s="216" t="n"/>
      <c r="O89" s="216" t="n"/>
      <c r="U89" s="216" t="n"/>
      <c r="CT89" s="216" t="n"/>
    </row>
    <row r="90" ht="15" customHeight="1" s="231">
      <c r="J90" s="216" t="n"/>
      <c r="O90" s="216" t="n"/>
      <c r="U90" s="216" t="n"/>
      <c r="CT90" s="216" t="n"/>
    </row>
    <row r="91" ht="15" customHeight="1" s="231">
      <c r="J91" s="216" t="n"/>
      <c r="O91" s="216" t="n"/>
      <c r="U91" s="216" t="n"/>
      <c r="CT91" s="216" t="n"/>
    </row>
    <row r="92" ht="15" customHeight="1" s="231">
      <c r="J92" s="216" t="n"/>
      <c r="O92" s="216" t="n"/>
      <c r="U92" s="216" t="n"/>
      <c r="CT92" s="216" t="n"/>
    </row>
    <row r="93" ht="15" customHeight="1" s="231">
      <c r="J93" s="216" t="n"/>
      <c r="O93" s="216" t="n"/>
      <c r="U93" s="216" t="n"/>
      <c r="CT93" s="216" t="n"/>
    </row>
    <row r="94" ht="15" customHeight="1" s="231">
      <c r="J94" s="216" t="n"/>
      <c r="O94" s="216" t="n"/>
      <c r="U94" s="216" t="n"/>
      <c r="CT94" s="216" t="n"/>
    </row>
    <row r="95" ht="15" customHeight="1" s="231">
      <c r="J95" s="216" t="n"/>
      <c r="O95" s="216" t="n"/>
      <c r="U95" s="216" t="n"/>
      <c r="CT95" s="216" t="n"/>
    </row>
    <row r="96" ht="15" customHeight="1" s="231">
      <c r="J96" s="216" t="n"/>
      <c r="O96" s="216" t="n"/>
      <c r="U96" s="216" t="n"/>
      <c r="CT96" s="216" t="n"/>
    </row>
    <row r="97" ht="15" customHeight="1" s="231">
      <c r="J97" s="216" t="n"/>
      <c r="O97" s="216" t="n"/>
      <c r="U97" s="216" t="n"/>
      <c r="CT97" s="216" t="n"/>
    </row>
    <row r="98" ht="15" customHeight="1" s="231">
      <c r="J98" s="216" t="n"/>
      <c r="O98" s="216" t="n"/>
      <c r="U98" s="216" t="n"/>
      <c r="CT98" s="216" t="n"/>
    </row>
    <row r="99" ht="15" customHeight="1" s="231">
      <c r="J99" s="216" t="n"/>
      <c r="O99" s="216" t="n"/>
      <c r="U99" s="216" t="n"/>
      <c r="CT99" s="216" t="n"/>
    </row>
    <row r="100" ht="15" customHeight="1" s="231">
      <c r="J100" s="216" t="n"/>
      <c r="O100" s="216" t="n"/>
      <c r="U100" s="216" t="n"/>
      <c r="CT100" s="216" t="n"/>
    </row>
    <row r="101" ht="15" customHeight="1" s="231">
      <c r="J101" s="216" t="n"/>
      <c r="O101" s="216" t="n"/>
      <c r="U101" s="216" t="n"/>
      <c r="CT101" s="216" t="n"/>
    </row>
    <row r="102" ht="15" customHeight="1" s="231">
      <c r="J102" s="216" t="n"/>
      <c r="O102" s="216" t="n"/>
      <c r="U102" s="216" t="n"/>
      <c r="CT102" s="216" t="n"/>
    </row>
    <row r="103" ht="15" customHeight="1" s="231">
      <c r="J103" s="216" t="n"/>
      <c r="O103" s="216" t="n"/>
      <c r="U103" s="216" t="n"/>
      <c r="CT103" s="216" t="n"/>
    </row>
    <row r="104" ht="15" customHeight="1" s="231">
      <c r="J104" s="216" t="n"/>
      <c r="O104" s="216" t="n"/>
      <c r="U104" s="216" t="n"/>
      <c r="CT104" s="216" t="n"/>
    </row>
    <row r="105" ht="15" customHeight="1" s="231">
      <c r="J105" s="216" t="n"/>
      <c r="O105" s="216" t="n"/>
      <c r="U105" s="216" t="n"/>
      <c r="CT105" s="216" t="n"/>
    </row>
    <row r="106" ht="15" customHeight="1" s="231">
      <c r="J106" s="216" t="n"/>
      <c r="O106" s="216" t="n"/>
      <c r="U106" s="216" t="n"/>
      <c r="CT106" s="216" t="n"/>
    </row>
    <row r="107" ht="15" customHeight="1" s="231">
      <c r="J107" s="216" t="n"/>
      <c r="O107" s="216" t="n"/>
      <c r="U107" s="216" t="n"/>
      <c r="CT107" s="216" t="n"/>
    </row>
    <row r="108" ht="15" customHeight="1" s="231">
      <c r="J108" s="216" t="n"/>
      <c r="O108" s="216" t="n"/>
      <c r="U108" s="216" t="n"/>
      <c r="CT108" s="216" t="n"/>
    </row>
    <row r="109" ht="15" customHeight="1" s="231">
      <c r="J109" s="216" t="n"/>
      <c r="O109" s="216" t="n"/>
      <c r="U109" s="216" t="n"/>
      <c r="CT109" s="216" t="n"/>
    </row>
    <row r="110" ht="15" customHeight="1" s="231">
      <c r="J110" s="216" t="n"/>
      <c r="O110" s="216" t="n"/>
      <c r="U110" s="216" t="n"/>
      <c r="CT110" s="216" t="n"/>
    </row>
    <row r="111" ht="15" customHeight="1" s="231">
      <c r="J111" s="216" t="n"/>
      <c r="O111" s="216" t="n"/>
      <c r="U111" s="216" t="n"/>
      <c r="CT111" s="216" t="n"/>
    </row>
    <row r="112" ht="15" customHeight="1" s="231">
      <c r="J112" s="216" t="n"/>
      <c r="O112" s="216" t="n"/>
      <c r="U112" s="216" t="n"/>
      <c r="CT112" s="216" t="n"/>
    </row>
    <row r="113" ht="15" customHeight="1" s="231">
      <c r="J113" s="216" t="n"/>
      <c r="O113" s="216" t="n"/>
      <c r="U113" s="216" t="n"/>
      <c r="CT113" s="216" t="n"/>
    </row>
    <row r="114" ht="15" customHeight="1" s="231">
      <c r="J114" s="216" t="n"/>
      <c r="O114" s="216" t="n"/>
      <c r="U114" s="216" t="n"/>
      <c r="CT114" s="216" t="n"/>
    </row>
    <row r="115" ht="15" customHeight="1" s="231">
      <c r="J115" s="216" t="n"/>
      <c r="O115" s="216" t="n"/>
      <c r="U115" s="216" t="n"/>
      <c r="CT115" s="216" t="n"/>
    </row>
    <row r="116" ht="15" customHeight="1" s="231">
      <c r="J116" s="216" t="n"/>
      <c r="O116" s="216" t="n"/>
      <c r="U116" s="216" t="n"/>
      <c r="CT116" s="216" t="n"/>
    </row>
    <row r="117" ht="15" customHeight="1" s="231">
      <c r="J117" s="216" t="n"/>
      <c r="O117" s="216" t="n"/>
      <c r="U117" s="216" t="n"/>
      <c r="CT117" s="216" t="n"/>
    </row>
    <row r="118" ht="15" customHeight="1" s="231">
      <c r="J118" s="216" t="n"/>
      <c r="O118" s="216" t="n"/>
      <c r="U118" s="216" t="n"/>
      <c r="CT118" s="216" t="n"/>
    </row>
    <row r="119" ht="15" customHeight="1" s="231">
      <c r="J119" s="216" t="n"/>
      <c r="O119" s="216" t="n"/>
      <c r="U119" s="216" t="n"/>
      <c r="CT119" s="216" t="n"/>
    </row>
    <row r="120" ht="15" customHeight="1" s="231">
      <c r="J120" s="216" t="n"/>
      <c r="O120" s="216" t="n"/>
      <c r="U120" s="216" t="n"/>
      <c r="CT120" s="216" t="n"/>
    </row>
    <row r="121" ht="15" customHeight="1" s="231">
      <c r="J121" s="216" t="n"/>
      <c r="O121" s="216" t="n"/>
      <c r="U121" s="216" t="n"/>
      <c r="CT121" s="216" t="n"/>
    </row>
    <row r="122" ht="15" customHeight="1" s="231">
      <c r="J122" s="216" t="n"/>
      <c r="O122" s="216" t="n"/>
      <c r="U122" s="216" t="n"/>
      <c r="CT122" s="216" t="n"/>
    </row>
    <row r="123" ht="15" customHeight="1" s="231">
      <c r="J123" s="216" t="n"/>
      <c r="O123" s="216" t="n"/>
      <c r="U123" s="216" t="n"/>
      <c r="CT123" s="216" t="n"/>
    </row>
    <row r="124" ht="15" customHeight="1" s="231">
      <c r="J124" s="216" t="n"/>
      <c r="O124" s="216" t="n"/>
      <c r="U124" s="216" t="n"/>
      <c r="CT124" s="216" t="n"/>
    </row>
    <row r="125" ht="15" customHeight="1" s="231">
      <c r="J125" s="216" t="n"/>
      <c r="O125" s="216" t="n"/>
      <c r="U125" s="216" t="n"/>
      <c r="CT125" s="216" t="n"/>
    </row>
    <row r="126" ht="15" customHeight="1" s="231">
      <c r="J126" s="216" t="n"/>
      <c r="O126" s="216" t="n"/>
      <c r="U126" s="216" t="n"/>
      <c r="CT126" s="216" t="n"/>
    </row>
    <row r="127" ht="15" customHeight="1" s="231">
      <c r="J127" s="216" t="n"/>
      <c r="O127" s="216" t="n"/>
      <c r="U127" s="216" t="n"/>
      <c r="CT127" s="216" t="n"/>
    </row>
    <row r="128" ht="15" customHeight="1" s="231">
      <c r="J128" s="216" t="n"/>
      <c r="O128" s="216" t="n"/>
      <c r="U128" s="216" t="n"/>
      <c r="CT128" s="216" t="n"/>
    </row>
    <row r="129" ht="15" customHeight="1" s="231">
      <c r="J129" s="216" t="n"/>
      <c r="O129" s="216" t="n"/>
      <c r="U129" s="216" t="n"/>
      <c r="CT129" s="216" t="n"/>
    </row>
    <row r="130" ht="15" customHeight="1" s="231">
      <c r="J130" s="216" t="n"/>
      <c r="O130" s="216" t="n"/>
      <c r="U130" s="216" t="n"/>
      <c r="CT130" s="216" t="n"/>
    </row>
    <row r="131" ht="15" customHeight="1" s="231">
      <c r="J131" s="216" t="n"/>
      <c r="O131" s="216" t="n"/>
      <c r="U131" s="216" t="n"/>
      <c r="CT131" s="216" t="n"/>
    </row>
    <row r="132" ht="15" customHeight="1" s="231">
      <c r="J132" s="216" t="n"/>
      <c r="O132" s="216" t="n"/>
      <c r="U132" s="216" t="n"/>
      <c r="CT132" s="216" t="n"/>
    </row>
    <row r="133" ht="15" customHeight="1" s="231">
      <c r="J133" s="216" t="n"/>
      <c r="O133" s="216" t="n"/>
      <c r="U133" s="216" t="n"/>
      <c r="CT133" s="216" t="n"/>
    </row>
    <row r="134" ht="15" customHeight="1" s="231">
      <c r="J134" s="216" t="n"/>
      <c r="O134" s="216" t="n"/>
      <c r="U134" s="216" t="n"/>
      <c r="CT134" s="216" t="n"/>
    </row>
    <row r="135" ht="15" customHeight="1" s="231">
      <c r="J135" s="216" t="n"/>
      <c r="O135" s="216" t="n"/>
      <c r="U135" s="216" t="n"/>
      <c r="CT135" s="216" t="n"/>
    </row>
    <row r="136" ht="15" customHeight="1" s="231">
      <c r="J136" s="216" t="n"/>
      <c r="O136" s="216" t="n"/>
      <c r="U136" s="216" t="n"/>
      <c r="CT136" s="216" t="n"/>
    </row>
    <row r="137" ht="15" customHeight="1" s="231">
      <c r="J137" s="216" t="n"/>
      <c r="O137" s="216" t="n"/>
      <c r="U137" s="216" t="n"/>
      <c r="CT137" s="216" t="n"/>
    </row>
    <row r="138" ht="15" customHeight="1" s="231">
      <c r="J138" s="216" t="n"/>
      <c r="O138" s="216" t="n"/>
      <c r="U138" s="216" t="n"/>
      <c r="CT138" s="216" t="n"/>
    </row>
    <row r="139" ht="15" customHeight="1" s="231">
      <c r="J139" s="216" t="n"/>
      <c r="O139" s="216" t="n"/>
      <c r="U139" s="216" t="n"/>
      <c r="CT139" s="216" t="n"/>
    </row>
    <row r="140" ht="15" customHeight="1" s="231">
      <c r="J140" s="216" t="n"/>
      <c r="O140" s="216" t="n"/>
      <c r="U140" s="216" t="n"/>
      <c r="CT140" s="216" t="n"/>
    </row>
    <row r="141" ht="15" customHeight="1" s="231">
      <c r="J141" s="216" t="n"/>
      <c r="O141" s="216" t="n"/>
      <c r="U141" s="216" t="n"/>
      <c r="CT141" s="216" t="n"/>
    </row>
    <row r="142" ht="15" customHeight="1" s="231">
      <c r="J142" s="216" t="n"/>
      <c r="O142" s="216" t="n"/>
      <c r="U142" s="216" t="n"/>
      <c r="CT142" s="216" t="n"/>
    </row>
    <row r="143" ht="15" customHeight="1" s="231">
      <c r="J143" s="216" t="n"/>
      <c r="O143" s="216" t="n"/>
      <c r="U143" s="216" t="n"/>
      <c r="CT143" s="216" t="n"/>
    </row>
    <row r="144" ht="15" customHeight="1" s="231">
      <c r="J144" s="216" t="n"/>
      <c r="O144" s="216" t="n"/>
      <c r="U144" s="216" t="n"/>
      <c r="CT144" s="216" t="n"/>
    </row>
    <row r="145" ht="15" customHeight="1" s="231">
      <c r="J145" s="216" t="n"/>
      <c r="O145" s="216" t="n"/>
      <c r="U145" s="216" t="n"/>
      <c r="CT145" s="216" t="n"/>
    </row>
    <row r="146" ht="15" customHeight="1" s="231">
      <c r="J146" s="216" t="n"/>
      <c r="O146" s="216" t="n"/>
      <c r="U146" s="216" t="n"/>
      <c r="CT146" s="216" t="n"/>
    </row>
    <row r="147" ht="15" customHeight="1" s="231">
      <c r="J147" s="216" t="n"/>
      <c r="O147" s="216" t="n"/>
      <c r="U147" s="216" t="n"/>
      <c r="CT147" s="216" t="n"/>
    </row>
    <row r="148" ht="15" customHeight="1" s="231">
      <c r="J148" s="216" t="n"/>
      <c r="O148" s="216" t="n"/>
      <c r="U148" s="216" t="n"/>
      <c r="CT148" s="216" t="n"/>
    </row>
    <row r="149" ht="15" customHeight="1" s="231">
      <c r="J149" s="216" t="n"/>
      <c r="O149" s="216" t="n"/>
      <c r="U149" s="216" t="n"/>
      <c r="CT149" s="216" t="n"/>
    </row>
    <row r="150" ht="15" customHeight="1" s="231">
      <c r="J150" s="216" t="n"/>
      <c r="O150" s="216" t="n"/>
      <c r="U150" s="216" t="n"/>
      <c r="CT150" s="216" t="n"/>
    </row>
    <row r="151" ht="15" customHeight="1" s="231">
      <c r="J151" s="216" t="n"/>
      <c r="O151" s="216" t="n"/>
      <c r="U151" s="216" t="n"/>
      <c r="CT151" s="216" t="n"/>
    </row>
    <row r="152" ht="15" customHeight="1" s="231">
      <c r="J152" s="216" t="n"/>
      <c r="O152" s="216" t="n"/>
      <c r="U152" s="216" t="n"/>
      <c r="CT152" s="216" t="n"/>
    </row>
    <row r="153" ht="15" customHeight="1" s="231">
      <c r="J153" s="216" t="n"/>
      <c r="O153" s="216" t="n"/>
      <c r="U153" s="216" t="n"/>
      <c r="CT153" s="216" t="n"/>
    </row>
    <row r="154" ht="15" customHeight="1" s="231">
      <c r="J154" s="216" t="n"/>
      <c r="O154" s="216" t="n"/>
      <c r="U154" s="216" t="n"/>
      <c r="CT154" s="216" t="n"/>
    </row>
    <row r="155" ht="15" customHeight="1" s="231">
      <c r="J155" s="216" t="n"/>
      <c r="O155" s="216" t="n"/>
      <c r="U155" s="216" t="n"/>
      <c r="CT155" s="216" t="n"/>
    </row>
    <row r="156" ht="15" customHeight="1" s="231">
      <c r="J156" s="216" t="n"/>
      <c r="O156" s="216" t="n"/>
      <c r="U156" s="216" t="n"/>
      <c r="CT156" s="216" t="n"/>
    </row>
    <row r="157" ht="15" customHeight="1" s="231">
      <c r="J157" s="216" t="n"/>
      <c r="O157" s="216" t="n"/>
      <c r="U157" s="216" t="n"/>
      <c r="CT157" s="216" t="n"/>
    </row>
    <row r="158" ht="15" customHeight="1" s="231">
      <c r="J158" s="216" t="n"/>
      <c r="O158" s="216" t="n"/>
      <c r="U158" s="216" t="n"/>
      <c r="CT158" s="216" t="n"/>
    </row>
    <row r="159" ht="15" customHeight="1" s="231">
      <c r="J159" s="216" t="n"/>
      <c r="O159" s="216" t="n"/>
      <c r="U159" s="216" t="n"/>
      <c r="CT159" s="216" t="n"/>
    </row>
    <row r="160" ht="15" customHeight="1" s="231">
      <c r="J160" s="216" t="n"/>
      <c r="O160" s="216" t="n"/>
      <c r="U160" s="216" t="n"/>
      <c r="CT160" s="216" t="n"/>
    </row>
    <row r="161" ht="15" customHeight="1" s="231">
      <c r="J161" s="216" t="n"/>
      <c r="O161" s="216" t="n"/>
      <c r="U161" s="216" t="n"/>
      <c r="CT161" s="216" t="n"/>
    </row>
    <row r="162" ht="15" customHeight="1" s="231">
      <c r="J162" s="216" t="n"/>
      <c r="O162" s="216" t="n"/>
      <c r="U162" s="216" t="n"/>
      <c r="CT162" s="216" t="n"/>
    </row>
    <row r="163" ht="15" customHeight="1" s="231">
      <c r="J163" s="216" t="n"/>
      <c r="O163" s="216" t="n"/>
      <c r="U163" s="216" t="n"/>
      <c r="CT163" s="216" t="n"/>
    </row>
    <row r="164" ht="15" customHeight="1" s="231">
      <c r="J164" s="216" t="n"/>
      <c r="O164" s="216" t="n"/>
      <c r="U164" s="216" t="n"/>
      <c r="CT164" s="216" t="n"/>
    </row>
    <row r="165" ht="15" customHeight="1" s="231">
      <c r="J165" s="216" t="n"/>
      <c r="O165" s="216" t="n"/>
      <c r="U165" s="216" t="n"/>
      <c r="CT165" s="216" t="n"/>
    </row>
    <row r="166" ht="15" customHeight="1" s="231">
      <c r="J166" s="216" t="n"/>
      <c r="O166" s="216" t="n"/>
      <c r="U166" s="216" t="n"/>
      <c r="CT166" s="216" t="n"/>
    </row>
    <row r="167" ht="15" customHeight="1" s="231">
      <c r="J167" s="216" t="n"/>
      <c r="O167" s="216" t="n"/>
      <c r="U167" s="216" t="n"/>
      <c r="CT167" s="216" t="n"/>
    </row>
    <row r="168" ht="15" customHeight="1" s="231">
      <c r="J168" s="216" t="n"/>
      <c r="O168" s="216" t="n"/>
      <c r="U168" s="216" t="n"/>
    </row>
    <row r="169" ht="15" customHeight="1" s="231">
      <c r="J169" s="216" t="n"/>
      <c r="O169" s="216" t="n"/>
      <c r="U169" s="216" t="n"/>
    </row>
    <row r="170" ht="15" customHeight="1" s="231">
      <c r="J170" s="216" t="n"/>
      <c r="O170" s="216" t="n"/>
      <c r="U170" s="216" t="n"/>
    </row>
    <row r="171" ht="15" customHeight="1" s="231">
      <c r="J171" s="216" t="n"/>
      <c r="O171" s="216" t="n"/>
      <c r="U171" s="216" t="n"/>
    </row>
    <row r="172" ht="15" customHeight="1" s="231">
      <c r="J172" s="216" t="n"/>
      <c r="O172" s="216" t="n"/>
      <c r="U172" s="216" t="n"/>
    </row>
    <row r="173" ht="15" customHeight="1" s="231">
      <c r="J173" s="216" t="n"/>
      <c r="O173" s="216" t="n"/>
      <c r="U173" s="216" t="n"/>
    </row>
    <row r="174" ht="15" customHeight="1" s="231">
      <c r="J174" s="216" t="n"/>
      <c r="O174" s="216" t="n"/>
      <c r="U174" s="216" t="n"/>
    </row>
    <row r="175" ht="15" customHeight="1" s="231">
      <c r="J175" s="216" t="n"/>
      <c r="O175" s="216" t="n"/>
      <c r="U175" s="216" t="n"/>
    </row>
    <row r="176" ht="15" customHeight="1" s="231">
      <c r="J176" s="216" t="n"/>
      <c r="O176" s="216" t="n"/>
      <c r="U176" s="216" t="n"/>
    </row>
    <row r="177" ht="15" customHeight="1" s="231">
      <c r="J177" s="216" t="n"/>
      <c r="O177" s="216" t="n"/>
      <c r="U177" s="216" t="n"/>
    </row>
    <row r="178" ht="15" customHeight="1" s="231">
      <c r="J178" s="216" t="n"/>
      <c r="O178" s="216" t="n"/>
      <c r="U178" s="216" t="n"/>
    </row>
    <row r="179" ht="15" customHeight="1" s="231">
      <c r="J179" s="216" t="n"/>
      <c r="O179" s="216" t="n"/>
      <c r="U179" s="216" t="n"/>
    </row>
    <row r="180" ht="15" customHeight="1" s="231">
      <c r="J180" s="216" t="n"/>
      <c r="O180" s="216" t="n"/>
      <c r="U180" s="216" t="n"/>
    </row>
    <row r="181" ht="15" customHeight="1" s="231">
      <c r="J181" s="216" t="n"/>
      <c r="O181" s="216" t="n"/>
      <c r="U181" s="216" t="n"/>
    </row>
    <row r="182" ht="15" customHeight="1" s="231">
      <c r="J182" s="216" t="n"/>
      <c r="O182" s="216" t="n"/>
      <c r="U182" s="216" t="n"/>
    </row>
    <row r="183" ht="15" customHeight="1" s="231">
      <c r="J183" s="216" t="n"/>
      <c r="O183" s="216" t="n"/>
      <c r="U183" s="216" t="n"/>
    </row>
    <row r="184" ht="15" customHeight="1" s="231">
      <c r="J184" s="216" t="n"/>
      <c r="O184" s="216" t="n"/>
      <c r="U184" s="216" t="n"/>
    </row>
    <row r="185" ht="15" customHeight="1" s="231">
      <c r="J185" s="216" t="n"/>
      <c r="O185" s="216" t="n"/>
      <c r="U185" s="216" t="n"/>
    </row>
    <row r="186" ht="15" customHeight="1" s="231">
      <c r="J186" s="216" t="n"/>
      <c r="O186" s="216" t="n"/>
      <c r="U186" s="216" t="n"/>
    </row>
    <row r="187" ht="15" customHeight="1" s="231">
      <c r="J187" s="216" t="n"/>
      <c r="O187" s="216" t="n"/>
      <c r="U187" s="216" t="n"/>
    </row>
    <row r="188" ht="15" customHeight="1" s="231">
      <c r="J188" s="216" t="n"/>
      <c r="O188" s="216" t="n"/>
      <c r="U188" s="216" t="n"/>
    </row>
    <row r="189" ht="15" customHeight="1" s="231">
      <c r="J189" s="216" t="n"/>
    </row>
    <row r="190" ht="15" customHeight="1" s="231">
      <c r="J190" s="216" t="n"/>
    </row>
    <row r="191" ht="15" customHeight="1" s="231">
      <c r="J191" s="216" t="n"/>
    </row>
    <row r="192" ht="15" customHeight="1" s="231">
      <c r="J192" s="216" t="n"/>
    </row>
    <row r="193" ht="15" customHeight="1" s="231">
      <c r="J193" s="216" t="n"/>
    </row>
    <row r="194" ht="15" customHeight="1" s="231">
      <c r="J194" s="216" t="n"/>
    </row>
    <row r="195" ht="15" customHeight="1" s="231">
      <c r="J195" s="216" t="n"/>
    </row>
    <row r="196" ht="15" customHeight="1" s="231">
      <c r="J196" s="216" t="n"/>
    </row>
    <row r="197" ht="15" customHeight="1" s="231">
      <c r="J197" s="216" t="n"/>
    </row>
    <row r="198" ht="15" customHeight="1" s="231">
      <c r="J198" s="216" t="n"/>
    </row>
    <row r="199" ht="15" customHeight="1" s="231">
      <c r="J199" s="216" t="n"/>
    </row>
    <row r="200" ht="15" customHeight="1" s="231">
      <c r="J200" s="216" t="n"/>
    </row>
    <row r="201" ht="15" customHeight="1" s="231">
      <c r="J201" s="216" t="n"/>
    </row>
    <row r="202" ht="15" customHeight="1" s="231">
      <c r="J202" s="216" t="n"/>
    </row>
    <row r="203" ht="15" customHeight="1" s="231">
      <c r="J203" s="216" t="n"/>
    </row>
    <row r="204" ht="15" customHeight="1" s="231">
      <c r="J204" s="216" t="n"/>
    </row>
    <row r="205" ht="15" customHeight="1" s="231">
      <c r="J205" s="216" t="n"/>
    </row>
    <row r="206" ht="15" customHeight="1" s="231">
      <c r="J206" s="216" t="n"/>
    </row>
    <row r="207" ht="15" customHeight="1" s="231">
      <c r="J207" s="216" t="n"/>
    </row>
    <row r="208" ht="15" customHeight="1" s="231">
      <c r="J208" s="216" t="n"/>
    </row>
    <row r="209" ht="15" customHeight="1" s="231">
      <c r="J209" s="216" t="n"/>
    </row>
    <row r="210" ht="15" customHeight="1" s="231">
      <c r="J210" s="216" t="n"/>
    </row>
    <row r="211" ht="15" customHeight="1" s="231">
      <c r="J211" s="216" t="n"/>
    </row>
    <row r="212" ht="15" customHeight="1" s="231">
      <c r="J212" s="216" t="n"/>
    </row>
    <row r="213" ht="15" customHeight="1" s="231">
      <c r="J213" s="216" t="n"/>
    </row>
    <row r="214" ht="15" customHeight="1" s="231">
      <c r="J214" s="216" t="n"/>
    </row>
    <row r="215" ht="15" customHeight="1" s="231">
      <c r="J215" s="216" t="n"/>
    </row>
    <row r="216" ht="15" customHeight="1" s="231">
      <c r="J216" s="216" t="n"/>
    </row>
    <row r="217" ht="15" customHeight="1" s="231">
      <c r="J217" s="216" t="n"/>
    </row>
    <row r="218" ht="15" customHeight="1" s="231">
      <c r="J218" s="216" t="n"/>
    </row>
    <row r="219" ht="15" customHeight="1" s="231">
      <c r="J219" s="216" t="n"/>
    </row>
    <row r="220" ht="15" customHeight="1" s="231">
      <c r="J220" s="216" t="n"/>
    </row>
    <row r="221" ht="15" customHeight="1" s="231">
      <c r="J221" s="216" t="n"/>
    </row>
    <row r="222" ht="15" customHeight="1" s="231">
      <c r="J222" s="216" t="n"/>
    </row>
    <row r="223" ht="15" customHeight="1" s="231">
      <c r="J223" s="216" t="n"/>
    </row>
    <row r="224" ht="15" customHeight="1" s="231">
      <c r="J224" s="216" t="n"/>
    </row>
    <row r="225" ht="15" customHeight="1" s="231">
      <c r="J225" s="216" t="n"/>
    </row>
    <row r="226" ht="15" customHeight="1" s="231">
      <c r="J226" s="216" t="n"/>
    </row>
    <row r="227" ht="15" customHeight="1" s="231">
      <c r="J227" s="216" t="n"/>
    </row>
    <row r="228" ht="15" customHeight="1" s="231">
      <c r="J228" s="216" t="n"/>
    </row>
    <row r="229" ht="15" customHeight="1" s="231">
      <c r="J229" s="216" t="n"/>
    </row>
    <row r="230" ht="15" customHeight="1" s="231">
      <c r="J230" s="216" t="n"/>
    </row>
    <row r="231" ht="15" customHeight="1" s="231">
      <c r="J231" s="216" t="n"/>
    </row>
    <row r="232" ht="15" customHeight="1" s="231">
      <c r="J232" s="216" t="n"/>
    </row>
    <row r="233" ht="15" customHeight="1" s="231">
      <c r="J233" s="216" t="n"/>
    </row>
    <row r="234" ht="15" customHeight="1" s="231">
      <c r="J234" s="216" t="n"/>
    </row>
    <row r="235" ht="15" customHeight="1" s="231">
      <c r="J235" s="216" t="n"/>
    </row>
    <row r="236" ht="15" customHeight="1" s="231">
      <c r="J236" s="216" t="n"/>
    </row>
    <row r="237" ht="15" customHeight="1" s="231">
      <c r="J237" s="216" t="n"/>
    </row>
    <row r="238" ht="15" customHeight="1" s="231">
      <c r="J238" s="216" t="n"/>
    </row>
    <row r="239" ht="15" customHeight="1" s="231">
      <c r="J239" s="216" t="n"/>
    </row>
    <row r="240" ht="15" customHeight="1" s="231">
      <c r="J240" s="216" t="n"/>
    </row>
    <row r="241" ht="15" customHeight="1" s="231">
      <c r="J241" s="216" t="n"/>
    </row>
    <row r="242" ht="15" customHeight="1" s="231">
      <c r="J242" s="216" t="n"/>
    </row>
    <row r="243" ht="15" customHeight="1" s="231">
      <c r="J243" s="216" t="n"/>
    </row>
    <row r="244" ht="15" customHeight="1" s="231">
      <c r="J244" s="216" t="n"/>
    </row>
    <row r="245" ht="15" customHeight="1" s="231">
      <c r="J245" s="216" t="n"/>
    </row>
    <row r="246" ht="15" customHeight="1" s="231">
      <c r="J246" s="216" t="n"/>
    </row>
    <row r="247" ht="15" customHeight="1" s="231">
      <c r="J247" s="216" t="n"/>
    </row>
    <row r="248" ht="15" customHeight="1" s="231">
      <c r="J248" s="216" t="n"/>
    </row>
    <row r="249" ht="15" customHeight="1" s="231">
      <c r="J249" s="216" t="n"/>
    </row>
    <row r="250" ht="15" customHeight="1" s="231">
      <c r="J250" s="216" t="n"/>
    </row>
    <row r="251" ht="15" customHeight="1" s="231">
      <c r="J251" s="216" t="n"/>
    </row>
    <row r="252" ht="15" customHeight="1" s="231">
      <c r="J252" s="216" t="n"/>
    </row>
    <row r="253" ht="15" customHeight="1" s="231">
      <c r="J253" s="216" t="n"/>
    </row>
    <row r="254" ht="15" customHeight="1" s="231">
      <c r="J254" s="216" t="n"/>
    </row>
    <row r="255" ht="15" customHeight="1" s="231">
      <c r="J255" s="216" t="n"/>
    </row>
    <row r="256" ht="15" customHeight="1" s="231">
      <c r="J256" s="216" t="n"/>
    </row>
    <row r="257" ht="15" customHeight="1" s="231">
      <c r="J257" s="216" t="n"/>
    </row>
    <row r="258" ht="15" customHeight="1" s="231">
      <c r="J258" s="216" t="n"/>
    </row>
    <row r="259" ht="15" customHeight="1" s="231">
      <c r="J259" s="216" t="n"/>
    </row>
    <row r="260" ht="15" customHeight="1" s="231">
      <c r="J260" s="216" t="n"/>
    </row>
    <row r="261" ht="15" customHeight="1" s="231">
      <c r="J261" s="216" t="n"/>
    </row>
    <row r="262" ht="15" customHeight="1" s="231">
      <c r="J262" s="216" t="n"/>
    </row>
    <row r="263" ht="15" customHeight="1" s="231">
      <c r="J263" s="216" t="n"/>
    </row>
    <row r="264" ht="15" customHeight="1" s="231">
      <c r="J264" s="216" t="n"/>
    </row>
    <row r="265" ht="15" customHeight="1" s="231">
      <c r="J265" s="216" t="n"/>
    </row>
    <row r="266" ht="15" customHeight="1" s="231">
      <c r="J266" s="216" t="n"/>
    </row>
    <row r="267" ht="15" customHeight="1" s="231">
      <c r="J267" s="216" t="n"/>
    </row>
    <row r="268" ht="15" customHeight="1" s="231">
      <c r="J268" s="216" t="n"/>
    </row>
    <row r="269" ht="15" customHeight="1" s="231">
      <c r="J269" s="216" t="n"/>
    </row>
    <row r="270" ht="15" customHeight="1" s="231">
      <c r="J270" s="216" t="n"/>
    </row>
    <row r="271" ht="15" customHeight="1" s="231">
      <c r="J271" s="216" t="n"/>
    </row>
    <row r="272" ht="15" customHeight="1" s="231">
      <c r="J272" s="216" t="n"/>
    </row>
    <row r="273" ht="15" customHeight="1" s="231">
      <c r="J273" s="216" t="n"/>
    </row>
    <row r="274" ht="15" customHeight="1" s="231">
      <c r="J274" s="216" t="n"/>
    </row>
    <row r="275" ht="15" customHeight="1" s="231">
      <c r="J275" s="216" t="n"/>
    </row>
    <row r="276" ht="15" customHeight="1" s="231">
      <c r="J276" s="216" t="n"/>
    </row>
    <row r="277" ht="15" customHeight="1" s="231">
      <c r="J277" s="216" t="n"/>
    </row>
    <row r="278" ht="15" customHeight="1" s="231">
      <c r="J278" s="216" t="n"/>
    </row>
    <row r="279" ht="15" customHeight="1" s="231">
      <c r="J279" s="216" t="n"/>
    </row>
    <row r="280" ht="15" customHeight="1" s="231">
      <c r="J280" s="216" t="n"/>
    </row>
    <row r="281" ht="15" customHeight="1" s="231">
      <c r="J281" s="216" t="n"/>
    </row>
    <row r="282" ht="15" customHeight="1" s="231">
      <c r="J282" s="216" t="n"/>
    </row>
    <row r="283" ht="15" customHeight="1" s="231">
      <c r="J283" s="216" t="n"/>
    </row>
    <row r="284" ht="15" customHeight="1" s="231">
      <c r="J284" s="216" t="n"/>
    </row>
    <row r="285" ht="15" customHeight="1" s="231">
      <c r="J285" s="216" t="n"/>
    </row>
    <row r="286" ht="15" customHeight="1" s="231">
      <c r="J286" s="216" t="n"/>
    </row>
    <row r="287" ht="15" customHeight="1" s="231">
      <c r="J287" s="216" t="n"/>
    </row>
    <row r="288" ht="15" customHeight="1" s="231">
      <c r="J288" s="216" t="n"/>
    </row>
    <row r="289" ht="15" customHeight="1" s="231">
      <c r="J289" s="216" t="n"/>
    </row>
    <row r="290" ht="15" customHeight="1" s="231">
      <c r="J290" s="216" t="n"/>
    </row>
    <row r="291" ht="15" customHeight="1" s="231">
      <c r="J291" s="216" t="n"/>
    </row>
    <row r="292" ht="15" customHeight="1" s="231">
      <c r="J292" s="216" t="n"/>
    </row>
    <row r="293" ht="15" customHeight="1" s="231">
      <c r="J293" s="216" t="n"/>
    </row>
    <row r="294" ht="15" customHeight="1" s="231">
      <c r="J294" s="216" t="n"/>
    </row>
    <row r="295" ht="15" customHeight="1" s="231">
      <c r="J295" s="216" t="n"/>
    </row>
    <row r="296" ht="15" customHeight="1" s="231">
      <c r="J296" s="216" t="n"/>
    </row>
    <row r="297" ht="15" customHeight="1" s="231">
      <c r="J297" s="216" t="n"/>
    </row>
    <row r="298" ht="15" customHeight="1" s="231">
      <c r="J298" s="216" t="n"/>
    </row>
    <row r="299" ht="15" customHeight="1" s="231">
      <c r="J299" s="216" t="n"/>
    </row>
    <row r="300" ht="15" customHeight="1" s="231">
      <c r="J300" s="216" t="n"/>
    </row>
    <row r="301" ht="15" customHeight="1" s="231">
      <c r="J301" s="216" t="n"/>
    </row>
    <row r="302" ht="15" customHeight="1" s="231">
      <c r="J302" s="216" t="n"/>
    </row>
    <row r="303" ht="15" customHeight="1" s="231">
      <c r="J303" s="216" t="n"/>
    </row>
    <row r="304" ht="15" customHeight="1" s="231">
      <c r="J304" s="216" t="n"/>
    </row>
    <row r="305" ht="15" customHeight="1" s="231">
      <c r="J305" s="216" t="n"/>
    </row>
    <row r="306" ht="15" customHeight="1" s="231">
      <c r="J306" s="216" t="n"/>
    </row>
    <row r="307" ht="15" customHeight="1" s="231">
      <c r="J307" s="216" t="n"/>
    </row>
    <row r="308" ht="15" customHeight="1" s="231">
      <c r="J308" s="216" t="n"/>
    </row>
    <row r="309" ht="15" customHeight="1" s="231">
      <c r="J309" s="216" t="n"/>
    </row>
    <row r="310" ht="15" customHeight="1" s="231">
      <c r="J310" s="216" t="n"/>
    </row>
    <row r="311" ht="15" customHeight="1" s="231">
      <c r="J311" s="216" t="n"/>
    </row>
    <row r="312" ht="15" customHeight="1" s="231">
      <c r="J312" s="216" t="n"/>
    </row>
    <row r="313" ht="15" customHeight="1" s="231">
      <c r="J313" s="216" t="n"/>
    </row>
    <row r="314" ht="15" customHeight="1" s="231">
      <c r="J314" s="216" t="n"/>
    </row>
    <row r="315" ht="15" customHeight="1" s="231">
      <c r="J315" s="216" t="n"/>
    </row>
    <row r="316" ht="15" customHeight="1" s="231">
      <c r="J316" s="216" t="n"/>
    </row>
    <row r="317" ht="15" customHeight="1" s="231">
      <c r="J317" s="216" t="n"/>
    </row>
    <row r="318" ht="15" customHeight="1" s="231">
      <c r="J318" s="216" t="n"/>
    </row>
    <row r="319" ht="15" customHeight="1" s="231">
      <c r="J319" s="216" t="n"/>
    </row>
    <row r="320" ht="15" customHeight="1" s="231">
      <c r="J320" s="216" t="n"/>
    </row>
    <row r="321" ht="15" customHeight="1" s="231">
      <c r="J321" s="216" t="n"/>
    </row>
    <row r="322" ht="15" customHeight="1" s="231">
      <c r="J322" s="216" t="n"/>
    </row>
    <row r="323" ht="15" customHeight="1" s="231">
      <c r="J323" s="216" t="n"/>
    </row>
    <row r="324" ht="15" customHeight="1" s="231">
      <c r="J324" s="216" t="n"/>
    </row>
    <row r="325" ht="15" customHeight="1" s="231">
      <c r="J325" s="216" t="n"/>
    </row>
    <row r="326" ht="15" customHeight="1" s="231">
      <c r="J326" s="216" t="n"/>
    </row>
    <row r="327" ht="15" customHeight="1" s="231">
      <c r="J327" s="216" t="n"/>
    </row>
    <row r="328" ht="15" customHeight="1" s="231">
      <c r="J328" s="216" t="n"/>
    </row>
    <row r="329" ht="15" customHeight="1" s="231">
      <c r="J329" s="216" t="n"/>
    </row>
    <row r="330" ht="15" customHeight="1" s="231">
      <c r="J330" s="216" t="n"/>
    </row>
    <row r="331" ht="15" customHeight="1" s="231">
      <c r="J331" s="216" t="n"/>
    </row>
    <row r="332" ht="15" customHeight="1" s="231">
      <c r="J332" s="216" t="n"/>
    </row>
    <row r="333" ht="15" customHeight="1" s="231">
      <c r="J333" s="216" t="n"/>
    </row>
    <row r="334" ht="15" customHeight="1" s="231">
      <c r="J334" s="216" t="n"/>
    </row>
    <row r="335" ht="15" customHeight="1" s="231">
      <c r="J335" s="216" t="n"/>
    </row>
    <row r="336" ht="15" customHeight="1" s="231">
      <c r="J336" s="216" t="n"/>
    </row>
    <row r="337" ht="15" customHeight="1" s="231">
      <c r="J337" s="216" t="n"/>
    </row>
    <row r="338" ht="15" customHeight="1" s="231">
      <c r="J338" s="216" t="n"/>
    </row>
    <row r="339" ht="15" customHeight="1" s="231">
      <c r="J339" s="216" t="n"/>
    </row>
    <row r="340" ht="15" customHeight="1" s="231">
      <c r="J340" s="216" t="n"/>
    </row>
    <row r="341" ht="15" customHeight="1" s="231">
      <c r="J341" s="216" t="n"/>
    </row>
    <row r="342" ht="15" customHeight="1" s="231">
      <c r="J342" s="216" t="n"/>
    </row>
    <row r="343" ht="15" customHeight="1" s="231">
      <c r="J343" s="216" t="n"/>
    </row>
    <row r="344" ht="15" customHeight="1" s="231">
      <c r="J344" s="216" t="n"/>
    </row>
    <row r="345" ht="15" customHeight="1" s="231">
      <c r="J345" s="216" t="n"/>
    </row>
    <row r="346" ht="15" customHeight="1" s="231">
      <c r="J346" s="216" t="n"/>
    </row>
    <row r="347" ht="15" customHeight="1" s="231">
      <c r="J347" s="216" t="n"/>
    </row>
    <row r="348" ht="15" customHeight="1" s="231">
      <c r="J348" s="216" t="n"/>
    </row>
    <row r="349" ht="15" customHeight="1" s="231">
      <c r="J349" s="216" t="n"/>
    </row>
    <row r="350" ht="15" customHeight="1" s="231">
      <c r="J350" s="216" t="n"/>
    </row>
    <row r="351" ht="15" customHeight="1" s="231">
      <c r="J351" s="216" t="n"/>
    </row>
    <row r="352" ht="15" customHeight="1" s="231">
      <c r="J352" s="216" t="n"/>
    </row>
    <row r="353" ht="15" customHeight="1" s="231">
      <c r="J353" s="216" t="n"/>
    </row>
    <row r="354" ht="15" customHeight="1" s="231">
      <c r="J354" s="216" t="n"/>
    </row>
    <row r="355" ht="15" customHeight="1" s="231">
      <c r="J355" s="216" t="n"/>
    </row>
    <row r="356" ht="15" customHeight="1" s="231">
      <c r="J356" s="216" t="n"/>
    </row>
    <row r="357" ht="15" customHeight="1" s="231">
      <c r="J357" s="216" t="n"/>
    </row>
    <row r="358" ht="15" customHeight="1" s="231">
      <c r="J358" s="216" t="n"/>
    </row>
    <row r="359" ht="15" customHeight="1" s="231">
      <c r="J359" s="216" t="n"/>
    </row>
    <row r="360" ht="15" customHeight="1" s="231">
      <c r="J360" s="216" t="n"/>
    </row>
    <row r="361" ht="15" customHeight="1" s="231">
      <c r="J361" s="216" t="n"/>
    </row>
    <row r="362" ht="15" customHeight="1" s="231">
      <c r="J362" s="216" t="n"/>
    </row>
    <row r="363" ht="15" customHeight="1" s="231">
      <c r="J363" s="216" t="n"/>
    </row>
    <row r="364" ht="15" customHeight="1" s="231">
      <c r="J364" s="216" t="n"/>
    </row>
    <row r="365" ht="15" customHeight="1" s="231">
      <c r="J365" s="216" t="n"/>
    </row>
    <row r="366" ht="15" customHeight="1" s="231">
      <c r="J366" s="216" t="n"/>
    </row>
    <row r="367" ht="15" customHeight="1" s="231">
      <c r="J367" s="216" t="n"/>
    </row>
    <row r="368" ht="15" customHeight="1" s="231">
      <c r="J368" s="216" t="n"/>
    </row>
    <row r="369" ht="15" customHeight="1" s="231">
      <c r="J369" s="216" t="n"/>
    </row>
    <row r="370" ht="15" customHeight="1" s="231">
      <c r="J370" s="216" t="n"/>
    </row>
    <row r="371" ht="15" customHeight="1" s="231">
      <c r="J371" s="216" t="n"/>
    </row>
    <row r="372" ht="15" customHeight="1" s="231">
      <c r="J372" s="216" t="n"/>
    </row>
    <row r="373" ht="15" customHeight="1" s="231">
      <c r="J373" s="216" t="n"/>
    </row>
    <row r="374" ht="15" customHeight="1" s="231">
      <c r="J374" s="216" t="n"/>
    </row>
    <row r="375" ht="15" customHeight="1" s="231">
      <c r="J375" s="216" t="n"/>
    </row>
    <row r="376" ht="15" customHeight="1" s="231">
      <c r="J376" s="216" t="n"/>
    </row>
    <row r="377" ht="15" customHeight="1" s="231">
      <c r="J377" s="216" t="n"/>
    </row>
    <row r="378" ht="15" customHeight="1" s="231">
      <c r="J378" s="216" t="n"/>
    </row>
    <row r="379" ht="15" customHeight="1" s="231">
      <c r="J379" s="216" t="n"/>
    </row>
    <row r="380" ht="15" customHeight="1" s="231">
      <c r="J380" s="216" t="n"/>
    </row>
    <row r="381" ht="15" customHeight="1" s="231">
      <c r="J381" s="216" t="n"/>
    </row>
    <row r="382" ht="15" customHeight="1" s="231">
      <c r="J382" s="216" t="n"/>
    </row>
    <row r="383" ht="15" customHeight="1" s="231">
      <c r="J383" s="216" t="n"/>
    </row>
    <row r="384" ht="15" customHeight="1" s="231">
      <c r="J384" s="216" t="n"/>
    </row>
    <row r="385" ht="15" customHeight="1" s="231">
      <c r="J385" s="216" t="n"/>
    </row>
    <row r="386" ht="15" customHeight="1" s="231">
      <c r="J386" s="216" t="n"/>
    </row>
    <row r="387" ht="15" customHeight="1" s="231">
      <c r="J387" s="216" t="n"/>
    </row>
    <row r="388" ht="15" customHeight="1" s="231">
      <c r="J388" s="216" t="n"/>
    </row>
    <row r="389" ht="15" customHeight="1" s="231">
      <c r="J389" s="216" t="n"/>
    </row>
    <row r="390" ht="15" customHeight="1" s="231">
      <c r="J390" s="216" t="n"/>
    </row>
    <row r="391" ht="15" customHeight="1" s="231">
      <c r="J391" s="216" t="n"/>
    </row>
    <row r="392" ht="15" customHeight="1" s="231">
      <c r="J392" s="216" t="n"/>
    </row>
    <row r="393" ht="15" customHeight="1" s="231">
      <c r="J393" s="216" t="n"/>
    </row>
    <row r="394" ht="15" customHeight="1" s="231">
      <c r="J394" s="216" t="n"/>
    </row>
    <row r="395" ht="15" customHeight="1" s="231">
      <c r="J395" s="216" t="n"/>
    </row>
    <row r="396" ht="15" customHeight="1" s="231">
      <c r="J396" s="216" t="n"/>
    </row>
    <row r="397" ht="15" customHeight="1" s="231">
      <c r="J397" s="216" t="n"/>
    </row>
    <row r="398" ht="15" customHeight="1" s="231">
      <c r="J398" s="216" t="n"/>
    </row>
    <row r="399" ht="15" customHeight="1" s="231">
      <c r="J399" s="216" t="n"/>
    </row>
    <row r="400" ht="15" customHeight="1" s="231">
      <c r="J400" s="216" t="n"/>
    </row>
    <row r="401" ht="15" customHeight="1" s="231">
      <c r="J401" s="216" t="n"/>
    </row>
    <row r="402" ht="15" customHeight="1" s="231">
      <c r="J402" s="216" t="n"/>
    </row>
    <row r="403" ht="15" customHeight="1" s="231">
      <c r="J403" s="216" t="n"/>
    </row>
    <row r="404" ht="15" customHeight="1" s="231">
      <c r="J404" s="216" t="n"/>
    </row>
    <row r="405" ht="15" customHeight="1" s="231">
      <c r="J405" s="216" t="n"/>
    </row>
    <row r="406" ht="15" customHeight="1" s="231">
      <c r="J406" s="216" t="n"/>
    </row>
    <row r="407" ht="15" customHeight="1" s="231">
      <c r="J407" s="216" t="n"/>
    </row>
    <row r="408" ht="15" customHeight="1" s="231">
      <c r="J408" s="216" t="n"/>
    </row>
    <row r="409" ht="15" customHeight="1" s="231">
      <c r="J409" s="216" t="n"/>
    </row>
    <row r="410" ht="15" customHeight="1" s="231">
      <c r="J410" s="216" t="n"/>
    </row>
    <row r="411" ht="15" customHeight="1" s="231">
      <c r="J411" s="216" t="n"/>
    </row>
    <row r="412" ht="15" customHeight="1" s="231">
      <c r="J412" s="216" t="n"/>
    </row>
    <row r="413" ht="15" customHeight="1" s="231">
      <c r="J413" s="216" t="n"/>
    </row>
    <row r="414" ht="15" customHeight="1" s="231">
      <c r="J414" s="216" t="n"/>
    </row>
    <row r="415" ht="15" customHeight="1" s="231">
      <c r="J415" s="216" t="n"/>
    </row>
    <row r="416" ht="15" customHeight="1" s="231">
      <c r="J416" s="216" t="n"/>
    </row>
    <row r="417" ht="15" customHeight="1" s="231">
      <c r="J417" s="216" t="n"/>
    </row>
    <row r="418" ht="15" customHeight="1" s="231">
      <c r="J418" s="216" t="n"/>
    </row>
    <row r="419" ht="15" customHeight="1" s="231">
      <c r="J419" s="216" t="n"/>
    </row>
    <row r="420" ht="15" customHeight="1" s="231">
      <c r="J420" s="216" t="n"/>
    </row>
    <row r="421" ht="15" customHeight="1" s="231">
      <c r="J421" s="216" t="n"/>
    </row>
    <row r="422" ht="15" customHeight="1" s="231">
      <c r="J422" s="216" t="n"/>
    </row>
    <row r="423" ht="15" customHeight="1" s="231">
      <c r="J423" s="216" t="n"/>
    </row>
    <row r="424" ht="15" customHeight="1" s="231">
      <c r="J424" s="216" t="n"/>
    </row>
    <row r="425" ht="15" customHeight="1" s="231">
      <c r="J425" s="216" t="n"/>
    </row>
    <row r="426" ht="15" customHeight="1" s="231">
      <c r="J426" s="216" t="n"/>
    </row>
    <row r="427" ht="15" customHeight="1" s="231">
      <c r="J427" s="216" t="n"/>
    </row>
    <row r="428" ht="15" customHeight="1" s="231">
      <c r="J428" s="216" t="n"/>
    </row>
    <row r="429" ht="15" customHeight="1" s="231">
      <c r="J429" s="216" t="n"/>
    </row>
    <row r="430" ht="15" customHeight="1" s="231">
      <c r="J430" s="216" t="n"/>
    </row>
    <row r="431" ht="15" customHeight="1" s="231">
      <c r="J431" s="216" t="n"/>
    </row>
    <row r="432" ht="15" customHeight="1" s="231">
      <c r="J432" s="216" t="n"/>
    </row>
    <row r="433" ht="15" customHeight="1" s="231">
      <c r="J433" s="216" t="n"/>
    </row>
    <row r="434" ht="15" customHeight="1" s="231">
      <c r="J434" s="216" t="n"/>
    </row>
    <row r="435" ht="15" customHeight="1" s="231">
      <c r="J435" s="216" t="n"/>
    </row>
    <row r="436" ht="15" customHeight="1" s="231">
      <c r="J436" s="216" t="n"/>
    </row>
    <row r="437" ht="15" customHeight="1" s="231">
      <c r="J437" s="216" t="n"/>
    </row>
    <row r="438" ht="15" customHeight="1" s="231">
      <c r="J438" s="216" t="n"/>
    </row>
    <row r="439" ht="15" customHeight="1" s="231">
      <c r="J439" s="216" t="n"/>
    </row>
    <row r="440" ht="15" customHeight="1" s="231">
      <c r="J440" s="216" t="n"/>
    </row>
    <row r="441" ht="15" customHeight="1" s="231">
      <c r="J441" s="216" t="n"/>
    </row>
    <row r="442" ht="15" customHeight="1" s="231">
      <c r="J442" s="216" t="n"/>
    </row>
    <row r="443" ht="15" customHeight="1" s="231">
      <c r="J443" s="216" t="n"/>
    </row>
    <row r="444" ht="15" customHeight="1" s="231">
      <c r="J444" s="216" t="n"/>
    </row>
    <row r="445" ht="15" customHeight="1" s="231">
      <c r="J445" s="216" t="n"/>
    </row>
    <row r="446" ht="15" customHeight="1" s="231">
      <c r="J446" s="216" t="n"/>
    </row>
    <row r="447" ht="15" customHeight="1" s="231">
      <c r="J447" s="216" t="n"/>
    </row>
    <row r="448" ht="15" customHeight="1" s="231">
      <c r="J448" s="216" t="n"/>
    </row>
    <row r="449" ht="15" customHeight="1" s="231">
      <c r="J449" s="216" t="n"/>
    </row>
    <row r="450" ht="15" customHeight="1" s="231">
      <c r="J450" s="216" t="n"/>
    </row>
    <row r="451" ht="15" customHeight="1" s="231">
      <c r="J451" s="216" t="n"/>
    </row>
    <row r="452" ht="15" customHeight="1" s="231">
      <c r="J452" s="216" t="n"/>
    </row>
    <row r="453" ht="15" customHeight="1" s="231">
      <c r="J453" s="216" t="n"/>
    </row>
    <row r="454" ht="15" customHeight="1" s="231">
      <c r="J454" s="216" t="n"/>
    </row>
    <row r="455" ht="15" customHeight="1" s="231">
      <c r="J455" s="216" t="n"/>
    </row>
    <row r="456" ht="15" customHeight="1" s="231">
      <c r="J456" s="216" t="n"/>
    </row>
    <row r="457" ht="15" customHeight="1" s="231">
      <c r="J457" s="216" t="n"/>
    </row>
    <row r="458" ht="15" customHeight="1" s="231">
      <c r="J458" s="216" t="n"/>
    </row>
    <row r="459" ht="15" customHeight="1" s="231">
      <c r="J459" s="216" t="n"/>
    </row>
    <row r="460" ht="15" customHeight="1" s="231">
      <c r="J460" s="216" t="n"/>
    </row>
    <row r="461" ht="15" customHeight="1" s="231">
      <c r="J461" s="216" t="n"/>
    </row>
    <row r="462" ht="15" customHeight="1" s="231">
      <c r="J462" s="216" t="n"/>
    </row>
    <row r="463" ht="15" customHeight="1" s="231">
      <c r="J463" s="216" t="n"/>
    </row>
    <row r="464" ht="15" customHeight="1" s="231">
      <c r="J464" s="216" t="n"/>
    </row>
    <row r="465" ht="15" customHeight="1" s="231">
      <c r="J465" s="216" t="n"/>
    </row>
    <row r="466" ht="15" customHeight="1" s="231">
      <c r="J466" s="216" t="n"/>
    </row>
    <row r="467" ht="15" customHeight="1" s="231">
      <c r="J467" s="216" t="n"/>
    </row>
    <row r="468" ht="15" customHeight="1" s="231">
      <c r="J468" s="216" t="n"/>
    </row>
    <row r="469" ht="15" customHeight="1" s="231">
      <c r="J469" s="216" t="n"/>
    </row>
    <row r="470" ht="15" customHeight="1" s="231">
      <c r="J470" s="216" t="n"/>
    </row>
    <row r="471" ht="15" customHeight="1" s="231">
      <c r="J471" s="216" t="n"/>
    </row>
    <row r="472" ht="15" customHeight="1" s="231">
      <c r="J472" s="216" t="n"/>
    </row>
    <row r="473" ht="15" customHeight="1" s="231">
      <c r="J473" s="216" t="n"/>
    </row>
    <row r="474" ht="15" customHeight="1" s="231">
      <c r="J474" s="216" t="n"/>
    </row>
    <row r="475" ht="15" customHeight="1" s="231">
      <c r="J475" s="216" t="n"/>
    </row>
    <row r="476" ht="15" customHeight="1" s="231">
      <c r="J476" s="216" t="n"/>
    </row>
    <row r="477" ht="15" customHeight="1" s="231">
      <c r="J477" s="216" t="n"/>
    </row>
    <row r="478" ht="15" customHeight="1" s="231">
      <c r="J478" s="216" t="n"/>
    </row>
    <row r="479" ht="15" customHeight="1" s="231">
      <c r="J479" s="216" t="n"/>
    </row>
    <row r="480" ht="15" customHeight="1" s="231">
      <c r="J480" s="216" t="n"/>
    </row>
    <row r="481" ht="15" customHeight="1" s="231">
      <c r="J481" s="216" t="n"/>
    </row>
    <row r="482" ht="15" customHeight="1" s="231">
      <c r="J482" s="216" t="n"/>
    </row>
    <row r="483" ht="15" customHeight="1" s="231">
      <c r="J483" s="216" t="n"/>
    </row>
    <row r="484" ht="15" customHeight="1" s="231">
      <c r="J484" s="216" t="n"/>
    </row>
    <row r="485" ht="15" customHeight="1" s="231">
      <c r="J485" s="216" t="n"/>
    </row>
    <row r="486" ht="15" customHeight="1" s="231">
      <c r="J486" s="216" t="n"/>
    </row>
    <row r="487" ht="15" customHeight="1" s="231">
      <c r="J487" s="216" t="n"/>
    </row>
    <row r="488" ht="15" customHeight="1" s="231">
      <c r="J488" s="216" t="n"/>
    </row>
    <row r="489" ht="15" customHeight="1" s="231">
      <c r="J489" s="216" t="n"/>
    </row>
    <row r="490" ht="15" customHeight="1" s="231">
      <c r="J490" s="216" t="n"/>
    </row>
    <row r="491" ht="15" customHeight="1" s="231">
      <c r="J491" s="216" t="n"/>
    </row>
    <row r="492" ht="15" customHeight="1" s="231">
      <c r="J492" s="216" t="n"/>
    </row>
    <row r="493" ht="15" customHeight="1" s="231">
      <c r="J493" s="216" t="n"/>
    </row>
    <row r="494" ht="15" customHeight="1" s="231">
      <c r="J494" s="216" t="n"/>
    </row>
    <row r="495" ht="15" customHeight="1" s="231">
      <c r="J495" s="216" t="n"/>
    </row>
    <row r="496" ht="15" customHeight="1" s="231">
      <c r="J496" s="216" t="n"/>
    </row>
    <row r="497" ht="15" customHeight="1" s="231">
      <c r="J497" s="216" t="n"/>
    </row>
    <row r="498" ht="15" customHeight="1" s="231">
      <c r="J498" s="216" t="n"/>
    </row>
    <row r="499" ht="15" customHeight="1" s="231">
      <c r="J499" s="216" t="n"/>
    </row>
    <row r="500" ht="15" customHeight="1" s="231">
      <c r="J500" s="216" t="n"/>
    </row>
    <row r="501" ht="15" customHeight="1" s="231">
      <c r="J501" s="216" t="n"/>
    </row>
    <row r="502" ht="15" customHeight="1" s="231">
      <c r="J502" s="216" t="n"/>
    </row>
    <row r="503" ht="15" customHeight="1" s="231">
      <c r="J503" s="216" t="n"/>
    </row>
    <row r="504" ht="15" customHeight="1" s="231">
      <c r="J504" s="216" t="n"/>
    </row>
    <row r="505" ht="15" customHeight="1" s="231">
      <c r="J505" s="216" t="n"/>
    </row>
    <row r="506" ht="15" customHeight="1" s="231">
      <c r="J506" s="216" t="n"/>
    </row>
    <row r="507" ht="15" customHeight="1" s="231">
      <c r="J507" s="216" t="n"/>
    </row>
    <row r="508" ht="15" customHeight="1" s="231">
      <c r="J508" s="216" t="n"/>
    </row>
    <row r="509" ht="15" customHeight="1" s="231">
      <c r="J509" s="216" t="n"/>
    </row>
    <row r="510" ht="15" customHeight="1" s="231">
      <c r="J510" s="216" t="n"/>
    </row>
    <row r="511" ht="15" customHeight="1" s="231">
      <c r="J511" s="216" t="n"/>
    </row>
    <row r="512" ht="15" customHeight="1" s="231">
      <c r="J512" s="216" t="n"/>
    </row>
    <row r="513" ht="15" customHeight="1" s="231">
      <c r="J513" s="216" t="n"/>
    </row>
    <row r="514" ht="15" customHeight="1" s="231">
      <c r="J514" s="216" t="n"/>
    </row>
    <row r="515" ht="15" customHeight="1" s="231">
      <c r="J515" s="216" t="n"/>
    </row>
    <row r="516" ht="15" customHeight="1" s="231">
      <c r="J516" s="216" t="n"/>
    </row>
    <row r="517" ht="15" customHeight="1" s="231">
      <c r="J517" s="216" t="n"/>
    </row>
    <row r="518" ht="15" customHeight="1" s="231">
      <c r="J518" s="216" t="n"/>
    </row>
    <row r="519" ht="15" customHeight="1" s="231">
      <c r="J519" s="216" t="n"/>
    </row>
    <row r="520" ht="15" customHeight="1" s="231">
      <c r="J520" s="216" t="n"/>
    </row>
    <row r="521" ht="15" customHeight="1" s="231">
      <c r="J521" s="216" t="n"/>
    </row>
    <row r="522" ht="15" customHeight="1" s="231">
      <c r="J522" s="216" t="n"/>
    </row>
    <row r="523" ht="15" customHeight="1" s="231">
      <c r="J523" s="216" t="n"/>
    </row>
    <row r="524" ht="15" customHeight="1" s="231">
      <c r="J524" s="216" t="n"/>
    </row>
    <row r="525" ht="15" customHeight="1" s="231">
      <c r="J525" s="216" t="n"/>
    </row>
    <row r="526" ht="15" customHeight="1" s="231">
      <c r="J526" s="216" t="n"/>
    </row>
    <row r="527" ht="15" customHeight="1" s="231">
      <c r="J527" s="216" t="n"/>
    </row>
    <row r="528" ht="15" customHeight="1" s="231">
      <c r="J528" s="216" t="n"/>
    </row>
    <row r="529" ht="15" customHeight="1" s="231">
      <c r="J529" s="216" t="n"/>
    </row>
    <row r="530" ht="15" customHeight="1" s="231">
      <c r="J530" s="216" t="n"/>
    </row>
    <row r="531" ht="15" customHeight="1" s="231">
      <c r="J531" s="216" t="n"/>
    </row>
    <row r="532" ht="15" customHeight="1" s="231">
      <c r="J532" s="216" t="n"/>
    </row>
    <row r="533" ht="15" customHeight="1" s="231">
      <c r="J533" s="216" t="n"/>
    </row>
    <row r="534" ht="15" customHeight="1" s="231">
      <c r="J534" s="216" t="n"/>
    </row>
    <row r="535" ht="15" customHeight="1" s="231">
      <c r="J535" s="216" t="n"/>
    </row>
    <row r="536" ht="15" customHeight="1" s="231">
      <c r="J536" s="216" t="n"/>
    </row>
    <row r="537" ht="15" customHeight="1" s="231">
      <c r="J537" s="216" t="n"/>
    </row>
    <row r="538" ht="15" customHeight="1" s="231">
      <c r="J538" s="216" t="n"/>
    </row>
    <row r="539" ht="15" customHeight="1" s="231">
      <c r="J539" s="216" t="n"/>
    </row>
    <row r="540" ht="15" customHeight="1" s="231">
      <c r="J540" s="216" t="n"/>
    </row>
    <row r="541" ht="15" customHeight="1" s="231">
      <c r="J541" s="216" t="n"/>
    </row>
    <row r="542" ht="15" customHeight="1" s="231">
      <c r="J542" s="216" t="n"/>
    </row>
    <row r="543" ht="15" customHeight="1" s="231">
      <c r="J543" s="216" t="n"/>
    </row>
    <row r="544" ht="15" customHeight="1" s="231">
      <c r="J544" s="216" t="n"/>
    </row>
    <row r="545" ht="15" customHeight="1" s="231">
      <c r="J545" s="216" t="n"/>
    </row>
    <row r="546" ht="15" customHeight="1" s="231">
      <c r="J546" s="216" t="n"/>
    </row>
    <row r="547" ht="15" customHeight="1" s="231">
      <c r="J547" s="216" t="n"/>
    </row>
    <row r="548" ht="15" customHeight="1" s="231">
      <c r="J548" s="216" t="n"/>
    </row>
    <row r="549" ht="15" customHeight="1" s="231">
      <c r="J549" s="216" t="n"/>
    </row>
    <row r="550" ht="15" customHeight="1" s="231">
      <c r="J550" s="216" t="n"/>
    </row>
    <row r="551" ht="15" customHeight="1" s="231">
      <c r="J551" s="216" t="n"/>
    </row>
    <row r="552" ht="15" customHeight="1" s="231">
      <c r="J552" s="216" t="n"/>
    </row>
    <row r="553" ht="15" customHeight="1" s="231">
      <c r="J553" s="216" t="n"/>
    </row>
    <row r="554" ht="15" customHeight="1" s="231">
      <c r="J554" s="216" t="n"/>
    </row>
    <row r="555" ht="15" customHeight="1" s="231">
      <c r="J555" s="216" t="n"/>
    </row>
    <row r="556" ht="15" customHeight="1" s="231">
      <c r="J556" s="216" t="n"/>
    </row>
    <row r="557" ht="15" customHeight="1" s="231">
      <c r="J557" s="216" t="n"/>
    </row>
    <row r="558" ht="15" customHeight="1" s="231">
      <c r="J558" s="216" t="n"/>
    </row>
    <row r="559" ht="15" customHeight="1" s="231">
      <c r="J559" s="216" t="n"/>
    </row>
    <row r="560" ht="15" customHeight="1" s="231">
      <c r="J560" s="216" t="n"/>
    </row>
    <row r="561" ht="15" customHeight="1" s="231">
      <c r="J561" s="216" t="n"/>
    </row>
    <row r="562" ht="15" customHeight="1" s="231">
      <c r="J562" s="216" t="n"/>
    </row>
    <row r="563" ht="15" customHeight="1" s="231">
      <c r="J563" s="216" t="n"/>
    </row>
    <row r="564" ht="15" customHeight="1" s="231">
      <c r="J564" s="216" t="n"/>
    </row>
    <row r="565" ht="15" customHeight="1" s="231">
      <c r="J565" s="216" t="n"/>
    </row>
    <row r="566" ht="15" customHeight="1" s="231">
      <c r="J566" s="216" t="n"/>
    </row>
    <row r="567" ht="15" customHeight="1" s="231">
      <c r="J567" s="216" t="n"/>
    </row>
    <row r="568" ht="15" customHeight="1" s="231">
      <c r="J568" s="216" t="n"/>
    </row>
    <row r="569" ht="15" customHeight="1" s="231">
      <c r="J569" s="216" t="n"/>
    </row>
    <row r="570" ht="15" customHeight="1" s="231">
      <c r="J570" s="216" t="n"/>
    </row>
    <row r="571" ht="15" customHeight="1" s="231">
      <c r="J571" s="216" t="n"/>
    </row>
    <row r="572" ht="15" customHeight="1" s="231">
      <c r="J572" s="216" t="n"/>
    </row>
    <row r="573" ht="15" customHeight="1" s="231">
      <c r="J573" s="216" t="n"/>
    </row>
    <row r="574" ht="15" customHeight="1" s="231">
      <c r="J574" s="216" t="n"/>
    </row>
    <row r="575" ht="15" customHeight="1" s="231">
      <c r="J575" s="216" t="n"/>
    </row>
    <row r="576" ht="15" customHeight="1" s="231">
      <c r="J576" s="216" t="n"/>
    </row>
    <row r="577" ht="15" customHeight="1" s="231">
      <c r="J577" s="216" t="n"/>
    </row>
    <row r="578" ht="15" customHeight="1" s="231">
      <c r="J578" s="216" t="n"/>
    </row>
    <row r="579" ht="15" customHeight="1" s="231">
      <c r="J579" s="216" t="n"/>
    </row>
    <row r="580" ht="15" customHeight="1" s="231">
      <c r="J580" s="216" t="n"/>
    </row>
    <row r="581" ht="15" customHeight="1" s="231">
      <c r="J581" s="216" t="n"/>
    </row>
    <row r="582" ht="15" customHeight="1" s="231">
      <c r="J582" s="216" t="n"/>
    </row>
    <row r="583" ht="15" customHeight="1" s="231">
      <c r="J583" s="216" t="n"/>
    </row>
    <row r="584" ht="15" customHeight="1" s="231">
      <c r="J584" s="216" t="n"/>
    </row>
    <row r="585" ht="15" customHeight="1" s="231">
      <c r="J585" s="216" t="n"/>
    </row>
    <row r="586" ht="15" customHeight="1" s="231">
      <c r="J586" s="216" t="n"/>
    </row>
    <row r="587" ht="15" customHeight="1" s="231">
      <c r="J587" s="216" t="n"/>
    </row>
    <row r="588" ht="15" customHeight="1" s="231">
      <c r="J588" s="216" t="n"/>
    </row>
    <row r="589" ht="15" customHeight="1" s="231">
      <c r="J589" s="216" t="n"/>
    </row>
    <row r="590" ht="15" customHeight="1" s="231">
      <c r="J590" s="216" t="n"/>
    </row>
    <row r="591" ht="15" customHeight="1" s="231">
      <c r="J591" s="216" t="n"/>
    </row>
    <row r="592" ht="15" customHeight="1" s="231">
      <c r="J592" s="216" t="n"/>
    </row>
    <row r="593" ht="15" customHeight="1" s="231">
      <c r="J593" s="216" t="n"/>
    </row>
    <row r="594" ht="15" customHeight="1" s="231">
      <c r="J594" s="216" t="n"/>
    </row>
    <row r="595" ht="15" customHeight="1" s="231">
      <c r="J595" s="216" t="n"/>
    </row>
    <row r="596" ht="15" customHeight="1" s="231">
      <c r="J596" s="216" t="n"/>
    </row>
    <row r="597" ht="15" customHeight="1" s="231">
      <c r="J597" s="216" t="n"/>
    </row>
    <row r="598" ht="15" customHeight="1" s="231">
      <c r="J598" s="216" t="n"/>
    </row>
    <row r="599" ht="15" customHeight="1" s="231">
      <c r="J599" s="216" t="n"/>
    </row>
    <row r="600" ht="15" customHeight="1" s="231">
      <c r="J600" s="216" t="n"/>
    </row>
    <row r="601" ht="15" customHeight="1" s="231">
      <c r="J601" s="216" t="n"/>
    </row>
    <row r="602" ht="15" customHeight="1" s="231">
      <c r="J602" s="216" t="n"/>
    </row>
    <row r="603" ht="15" customHeight="1" s="231">
      <c r="J603" s="216" t="n"/>
    </row>
    <row r="604" ht="15" customHeight="1" s="231">
      <c r="J604" s="216" t="n"/>
    </row>
    <row r="605" ht="15" customHeight="1" s="231">
      <c r="J605" s="216" t="n"/>
    </row>
    <row r="606" ht="15" customHeight="1" s="231">
      <c r="J606" s="216" t="n"/>
    </row>
    <row r="607" ht="15" customHeight="1" s="231">
      <c r="J607" s="216" t="n"/>
    </row>
    <row r="608" ht="15" customHeight="1" s="231">
      <c r="J608" s="216" t="n"/>
    </row>
    <row r="609" ht="15" customHeight="1" s="231">
      <c r="J609" s="216" t="n"/>
    </row>
    <row r="610" ht="15" customHeight="1" s="231">
      <c r="J610" s="216" t="n"/>
    </row>
    <row r="611" ht="15" customHeight="1" s="231">
      <c r="J611" s="216" t="n"/>
    </row>
    <row r="612" ht="15" customHeight="1" s="231">
      <c r="J612" s="216" t="n"/>
    </row>
    <row r="613" ht="15" customHeight="1" s="231">
      <c r="J613" s="216" t="n"/>
    </row>
    <row r="614" ht="15" customHeight="1" s="231">
      <c r="J614" s="216" t="n"/>
    </row>
    <row r="615" ht="15" customHeight="1" s="231">
      <c r="J615" s="216" t="n"/>
    </row>
    <row r="616" ht="15" customHeight="1" s="231">
      <c r="J616" s="216" t="n"/>
    </row>
    <row r="617" ht="15" customHeight="1" s="231">
      <c r="J617" s="216" t="n"/>
    </row>
    <row r="618" ht="15" customHeight="1" s="231">
      <c r="J618" s="216" t="n"/>
    </row>
    <row r="619" ht="15" customHeight="1" s="231">
      <c r="J619" s="216" t="n"/>
    </row>
    <row r="620" ht="15" customHeight="1" s="231">
      <c r="J620" s="216" t="n"/>
    </row>
    <row r="621" ht="15" customHeight="1" s="231">
      <c r="J621" s="216" t="n"/>
    </row>
    <row r="622" ht="15" customHeight="1" s="231">
      <c r="J622" s="216" t="n"/>
    </row>
    <row r="623" ht="15" customHeight="1" s="231">
      <c r="J623" s="216" t="n"/>
    </row>
    <row r="624" ht="15" customHeight="1" s="231">
      <c r="J624" s="216" t="n"/>
    </row>
    <row r="625" ht="15" customHeight="1" s="231">
      <c r="J625" s="216" t="n"/>
    </row>
    <row r="626" ht="15" customHeight="1" s="231">
      <c r="J626" s="216" t="n"/>
    </row>
    <row r="627" ht="15" customHeight="1" s="231">
      <c r="J627" s="216" t="n"/>
    </row>
    <row r="628" ht="15" customHeight="1" s="231">
      <c r="J628" s="216" t="n"/>
    </row>
    <row r="629" ht="15" customHeight="1" s="231">
      <c r="J629" s="216" t="n"/>
    </row>
    <row r="630" ht="15" customHeight="1" s="231">
      <c r="J630" s="216" t="n"/>
    </row>
    <row r="631" ht="15" customHeight="1" s="231">
      <c r="J631" s="216" t="n"/>
    </row>
    <row r="632" ht="15" customHeight="1" s="231">
      <c r="J632" s="216" t="n"/>
    </row>
    <row r="633" ht="15" customHeight="1" s="231">
      <c r="J633" s="216" t="n"/>
    </row>
    <row r="634" ht="15" customHeight="1" s="231">
      <c r="J634" s="216" t="n"/>
    </row>
    <row r="635" ht="15" customHeight="1" s="231">
      <c r="J635" s="216" t="n"/>
    </row>
    <row r="636" ht="15" customHeight="1" s="231">
      <c r="J636" s="216" t="n"/>
    </row>
    <row r="637" ht="15" customHeight="1" s="231">
      <c r="J637" s="216" t="n"/>
    </row>
    <row r="638" ht="15" customHeight="1" s="231">
      <c r="J638" s="216" t="n"/>
    </row>
    <row r="639" ht="15" customHeight="1" s="231">
      <c r="J639" s="216" t="n"/>
    </row>
    <row r="640" ht="15" customHeight="1" s="231">
      <c r="J640" s="216" t="n"/>
    </row>
    <row r="641" ht="15" customHeight="1" s="231">
      <c r="J641" s="216" t="n"/>
    </row>
    <row r="642" ht="15" customHeight="1" s="231">
      <c r="J642" s="216" t="n"/>
    </row>
    <row r="643" ht="15" customHeight="1" s="231">
      <c r="J643" s="216" t="n"/>
    </row>
    <row r="644" ht="15" customHeight="1" s="231">
      <c r="J644" s="216" t="n"/>
    </row>
    <row r="645" ht="15" customHeight="1" s="231">
      <c r="J645" s="216" t="n"/>
    </row>
    <row r="646" ht="15" customHeight="1" s="231">
      <c r="J646" s="216" t="n"/>
    </row>
    <row r="647" ht="15" customHeight="1" s="231">
      <c r="J647" s="216" t="n"/>
    </row>
    <row r="648" ht="15" customHeight="1" s="231">
      <c r="J648" s="216" t="n"/>
    </row>
    <row r="649" ht="15" customHeight="1" s="231">
      <c r="J649" s="216" t="n"/>
    </row>
    <row r="650" ht="15" customHeight="1" s="231">
      <c r="J650" s="216" t="n"/>
    </row>
    <row r="651" ht="15" customHeight="1" s="231">
      <c r="J651" s="216" t="n"/>
    </row>
    <row r="652" ht="15" customHeight="1" s="231">
      <c r="J652" s="216" t="n"/>
    </row>
    <row r="653" ht="15" customHeight="1" s="231">
      <c r="J653" s="216" t="n"/>
    </row>
    <row r="654" ht="15" customHeight="1" s="231">
      <c r="J654" s="216" t="n"/>
    </row>
    <row r="655" ht="15" customHeight="1" s="231">
      <c r="J655" s="216" t="n"/>
    </row>
    <row r="656" ht="15" customHeight="1" s="231">
      <c r="J656" s="216" t="n"/>
    </row>
    <row r="657" ht="15" customHeight="1" s="231">
      <c r="J657" s="216" t="n"/>
    </row>
    <row r="658" ht="15" customHeight="1" s="231">
      <c r="J658" s="216" t="n"/>
    </row>
    <row r="659" ht="15" customHeight="1" s="231">
      <c r="J659" s="216" t="n"/>
    </row>
    <row r="660" ht="15" customHeight="1" s="231">
      <c r="J660" s="216" t="n"/>
    </row>
    <row r="661" ht="15" customHeight="1" s="231">
      <c r="J661" s="216" t="n"/>
    </row>
    <row r="662" ht="15" customHeight="1" s="231">
      <c r="J662" s="216" t="n"/>
    </row>
    <row r="663" ht="15" customHeight="1" s="231">
      <c r="J663" s="216" t="n"/>
    </row>
    <row r="664" ht="15" customHeight="1" s="231">
      <c r="J664" s="216" t="n"/>
    </row>
    <row r="665" ht="15" customHeight="1" s="231">
      <c r="J665" s="216" t="n"/>
    </row>
    <row r="666" ht="15" customHeight="1" s="231">
      <c r="J666" s="216" t="n"/>
    </row>
    <row r="667" ht="15" customHeight="1" s="231">
      <c r="J667" s="216" t="n"/>
    </row>
    <row r="668" ht="15" customHeight="1" s="231">
      <c r="J668" s="216" t="n"/>
    </row>
    <row r="669" ht="15" customHeight="1" s="231">
      <c r="J669" s="216" t="n"/>
    </row>
    <row r="670" ht="15" customHeight="1" s="231">
      <c r="J670" s="216" t="n"/>
    </row>
    <row r="671" ht="15" customHeight="1" s="231">
      <c r="J671" s="216" t="n"/>
    </row>
    <row r="672" ht="15" customHeight="1" s="231">
      <c r="J672" s="216" t="n"/>
    </row>
    <row r="673" ht="15" customHeight="1" s="231">
      <c r="J673" s="216" t="n"/>
    </row>
    <row r="674" ht="15" customHeight="1" s="231">
      <c r="J674" s="216" t="n"/>
    </row>
    <row r="675" ht="15" customHeight="1" s="231">
      <c r="J675" s="216" t="n"/>
    </row>
    <row r="676" ht="15" customHeight="1" s="231">
      <c r="J676" s="216" t="n"/>
    </row>
    <row r="677" ht="15" customHeight="1" s="231">
      <c r="J677" s="216" t="n"/>
    </row>
    <row r="678" ht="15" customHeight="1" s="231">
      <c r="J678" s="216" t="n"/>
    </row>
    <row r="679" ht="15" customHeight="1" s="231">
      <c r="J679" s="216" t="n"/>
    </row>
    <row r="680" ht="15" customHeight="1" s="231">
      <c r="J680" s="216" t="n"/>
    </row>
    <row r="681" ht="15" customHeight="1" s="231">
      <c r="J681" s="216" t="n"/>
    </row>
    <row r="682" ht="15" customHeight="1" s="231">
      <c r="J682" s="216" t="n"/>
    </row>
    <row r="683" ht="15" customHeight="1" s="231">
      <c r="J683" s="216" t="n"/>
    </row>
    <row r="684" ht="15" customHeight="1" s="231">
      <c r="J684" s="216" t="n"/>
    </row>
    <row r="685" ht="15" customHeight="1" s="231">
      <c r="J685" s="216" t="n"/>
    </row>
    <row r="686" ht="15" customHeight="1" s="231">
      <c r="J686" s="216" t="n"/>
    </row>
    <row r="687" ht="15" customHeight="1" s="231">
      <c r="J687" s="216" t="n"/>
    </row>
    <row r="688" ht="15" customHeight="1" s="231">
      <c r="J688" s="216" t="n"/>
    </row>
    <row r="689" ht="15" customHeight="1" s="231">
      <c r="J689" s="216" t="n"/>
    </row>
    <row r="690" ht="15" customHeight="1" s="231">
      <c r="J690" s="216" t="n"/>
    </row>
    <row r="691" ht="15" customHeight="1" s="231">
      <c r="J691" s="216" t="n"/>
    </row>
    <row r="692" ht="15" customHeight="1" s="231">
      <c r="J692" s="216" t="n"/>
    </row>
    <row r="693" ht="15" customHeight="1" s="231">
      <c r="J693" s="216" t="n"/>
    </row>
    <row r="694" ht="15" customHeight="1" s="231">
      <c r="J694" s="216" t="n"/>
    </row>
    <row r="695" ht="15" customHeight="1" s="231">
      <c r="J695" s="216" t="n"/>
    </row>
    <row r="696" ht="15" customHeight="1" s="231">
      <c r="J696" s="216" t="n"/>
    </row>
    <row r="697" ht="15" customHeight="1" s="231">
      <c r="J697" s="216" t="n"/>
    </row>
    <row r="698" ht="15" customHeight="1" s="231">
      <c r="J698" s="216" t="n"/>
    </row>
    <row r="699" ht="15" customHeight="1" s="231">
      <c r="J699" s="216" t="n"/>
    </row>
    <row r="700" ht="15" customHeight="1" s="231">
      <c r="J700" s="216" t="n"/>
    </row>
    <row r="701" ht="15" customHeight="1" s="231">
      <c r="J701" s="216" t="n"/>
    </row>
    <row r="702" ht="15" customHeight="1" s="231">
      <c r="J702" s="216" t="n"/>
    </row>
    <row r="703" ht="15" customHeight="1" s="231">
      <c r="J703" s="216" t="n"/>
    </row>
    <row r="704" ht="15" customHeight="1" s="231">
      <c r="J704" s="216" t="n"/>
    </row>
    <row r="705" ht="15" customHeight="1" s="231">
      <c r="J705" s="216" t="n"/>
    </row>
    <row r="706" ht="15" customHeight="1" s="231">
      <c r="J706" s="216" t="n"/>
    </row>
    <row r="707" ht="15" customHeight="1" s="231">
      <c r="J707" s="216" t="n"/>
    </row>
    <row r="708" ht="15" customHeight="1" s="231">
      <c r="J708" s="216" t="n"/>
    </row>
    <row r="709" ht="15" customHeight="1" s="231">
      <c r="J709" s="216" t="n"/>
    </row>
    <row r="710" ht="15" customHeight="1" s="231">
      <c r="J710" s="216" t="n"/>
    </row>
    <row r="711" ht="15" customHeight="1" s="231">
      <c r="J711" s="216" t="n"/>
    </row>
    <row r="712" ht="15" customHeight="1" s="231">
      <c r="J712" s="216" t="n"/>
    </row>
    <row r="713" ht="15" customHeight="1" s="231">
      <c r="J713" s="216" t="n"/>
    </row>
    <row r="714" ht="15" customHeight="1" s="231">
      <c r="J714" s="216" t="n"/>
    </row>
    <row r="715" ht="15" customHeight="1" s="231">
      <c r="J715" s="216" t="n"/>
    </row>
    <row r="716" ht="15" customHeight="1" s="231">
      <c r="J716" s="216" t="n"/>
    </row>
    <row r="717" ht="15" customHeight="1" s="231">
      <c r="J717" s="216" t="n"/>
    </row>
    <row r="718" ht="15" customHeight="1" s="231">
      <c r="J718" s="216" t="n"/>
    </row>
    <row r="719" ht="15" customHeight="1" s="231">
      <c r="J719" s="216" t="n"/>
    </row>
    <row r="720" ht="15" customHeight="1" s="231">
      <c r="J720" s="216" t="n"/>
    </row>
    <row r="721" ht="15" customHeight="1" s="231">
      <c r="J721" s="216" t="n"/>
    </row>
    <row r="722" ht="15" customHeight="1" s="231">
      <c r="J722" s="216" t="n"/>
    </row>
    <row r="723" ht="15" customHeight="1" s="231">
      <c r="J723" s="216" t="n"/>
    </row>
    <row r="724" ht="15" customHeight="1" s="231">
      <c r="J724" s="216" t="n"/>
    </row>
    <row r="725" ht="15" customHeight="1" s="231">
      <c r="J725" s="216" t="n"/>
    </row>
    <row r="726" ht="15" customHeight="1" s="231">
      <c r="J726" s="216" t="n"/>
    </row>
    <row r="727" ht="15" customHeight="1" s="231">
      <c r="J727" s="216" t="n"/>
    </row>
    <row r="728" ht="15" customHeight="1" s="231">
      <c r="J728" s="216" t="n"/>
    </row>
    <row r="729" ht="15" customHeight="1" s="231">
      <c r="J729" s="216" t="n"/>
    </row>
    <row r="730" ht="15" customHeight="1" s="231">
      <c r="J730" s="216" t="n"/>
    </row>
    <row r="731" ht="15" customHeight="1" s="231">
      <c r="J731" s="216" t="n"/>
    </row>
    <row r="732" ht="15" customHeight="1" s="231">
      <c r="J732" s="216" t="n"/>
    </row>
    <row r="733" ht="15" customHeight="1" s="231">
      <c r="J733" s="216" t="n"/>
    </row>
    <row r="734" ht="15" customHeight="1" s="231">
      <c r="J734" s="216" t="n"/>
    </row>
    <row r="735" ht="15" customHeight="1" s="231">
      <c r="J735" s="216" t="n"/>
    </row>
    <row r="736" ht="15" customHeight="1" s="231">
      <c r="J736" s="216" t="n"/>
    </row>
    <row r="737" ht="15" customHeight="1" s="231">
      <c r="J737" s="216" t="n"/>
    </row>
    <row r="738" ht="15" customHeight="1" s="231">
      <c r="J738" s="216" t="n"/>
    </row>
    <row r="739" ht="15" customHeight="1" s="231">
      <c r="J739" s="216" t="n"/>
    </row>
    <row r="740" ht="15" customHeight="1" s="231">
      <c r="J740" s="216" t="n"/>
    </row>
    <row r="741" ht="15" customHeight="1" s="231">
      <c r="J741" s="216" t="n"/>
    </row>
    <row r="742" ht="15" customHeight="1" s="231">
      <c r="J742" s="216" t="n"/>
    </row>
    <row r="743" ht="15" customHeight="1" s="231">
      <c r="J743" s="216" t="n"/>
    </row>
    <row r="744" ht="15" customHeight="1" s="231">
      <c r="J744" s="216" t="n"/>
    </row>
    <row r="745" ht="15" customHeight="1" s="231">
      <c r="J745" s="216" t="n"/>
    </row>
    <row r="746" ht="15" customHeight="1" s="231">
      <c r="J746" s="216" t="n"/>
    </row>
    <row r="747" ht="15" customHeight="1" s="231">
      <c r="J747" s="216" t="n"/>
    </row>
    <row r="748" ht="15" customHeight="1" s="231">
      <c r="J748" s="216" t="n"/>
    </row>
    <row r="749" ht="15" customHeight="1" s="231">
      <c r="J749" s="216" t="n"/>
    </row>
    <row r="750" ht="15" customHeight="1" s="231">
      <c r="J750" s="216" t="n"/>
    </row>
    <row r="751" ht="15" customHeight="1" s="231">
      <c r="J751" s="216" t="n"/>
    </row>
    <row r="752" ht="15" customHeight="1" s="231">
      <c r="J752" s="216" t="n"/>
    </row>
    <row r="753" ht="15" customHeight="1" s="231">
      <c r="J753" s="216" t="n"/>
    </row>
    <row r="754" ht="15" customHeight="1" s="231">
      <c r="J754" s="216" t="n"/>
    </row>
    <row r="755" ht="15" customHeight="1" s="231">
      <c r="J755" s="216" t="n"/>
    </row>
    <row r="756" ht="15" customHeight="1" s="231">
      <c r="J756" s="216" t="n"/>
    </row>
    <row r="757" ht="15" customHeight="1" s="231">
      <c r="J757" s="216" t="n"/>
    </row>
    <row r="758" ht="15" customHeight="1" s="231">
      <c r="J758" s="216" t="n"/>
    </row>
    <row r="759" ht="15" customHeight="1" s="231">
      <c r="J759" s="216" t="n"/>
    </row>
    <row r="760" ht="15" customHeight="1" s="231">
      <c r="J760" s="216" t="n"/>
    </row>
    <row r="761" ht="15" customHeight="1" s="231">
      <c r="J761" s="216" t="n"/>
    </row>
    <row r="762" ht="15" customHeight="1" s="231">
      <c r="J762" s="216" t="n"/>
    </row>
    <row r="763" ht="15" customHeight="1" s="231">
      <c r="J763" s="216" t="n"/>
    </row>
    <row r="764" ht="15" customHeight="1" s="231">
      <c r="J764" s="216" t="n"/>
    </row>
    <row r="765" ht="15" customHeight="1" s="231">
      <c r="J765" s="216" t="n"/>
    </row>
    <row r="766" ht="15" customHeight="1" s="231">
      <c r="J766" s="216" t="n"/>
    </row>
    <row r="767" ht="15" customHeight="1" s="231">
      <c r="J767" s="216" t="n"/>
    </row>
    <row r="768" ht="15" customHeight="1" s="231">
      <c r="J768" s="216" t="n"/>
    </row>
    <row r="769" ht="15" customHeight="1" s="231">
      <c r="J769" s="216" t="n"/>
    </row>
    <row r="770" ht="15" customHeight="1" s="231">
      <c r="J770" s="216" t="n"/>
    </row>
    <row r="771" ht="15" customHeight="1" s="231">
      <c r="J771" s="216" t="n"/>
    </row>
    <row r="772" ht="15" customHeight="1" s="231">
      <c r="J772" s="216" t="n"/>
    </row>
    <row r="773" ht="15" customHeight="1" s="231">
      <c r="J773" s="216" t="n"/>
    </row>
    <row r="774" ht="15" customHeight="1" s="231">
      <c r="J774" s="216" t="n"/>
    </row>
    <row r="775" ht="15" customHeight="1" s="231">
      <c r="J775" s="216" t="n"/>
    </row>
    <row r="776" ht="15" customHeight="1" s="231">
      <c r="J776" s="216" t="n"/>
    </row>
    <row r="777" ht="15" customHeight="1" s="231">
      <c r="J777" s="216" t="n"/>
    </row>
    <row r="778" ht="15" customHeight="1" s="231">
      <c r="J778" s="216" t="n"/>
    </row>
    <row r="779" ht="15" customHeight="1" s="231">
      <c r="J779" s="216" t="n"/>
    </row>
    <row r="780" ht="15" customHeight="1" s="231">
      <c r="J780" s="216" t="n"/>
    </row>
    <row r="781" ht="15" customHeight="1" s="231">
      <c r="J781" s="216" t="n"/>
    </row>
    <row r="782" ht="15" customHeight="1" s="231">
      <c r="J782" s="216" t="n"/>
    </row>
    <row r="783" ht="15" customHeight="1" s="231">
      <c r="J783" s="216" t="n"/>
    </row>
    <row r="784" ht="15" customHeight="1" s="231">
      <c r="J784" s="216" t="n"/>
    </row>
    <row r="785" ht="15" customHeight="1" s="231">
      <c r="J785" s="216" t="n"/>
    </row>
    <row r="786" ht="15" customHeight="1" s="231">
      <c r="J786" s="216" t="n"/>
    </row>
    <row r="787" ht="15" customHeight="1" s="231">
      <c r="J787" s="216" t="n"/>
    </row>
    <row r="788" ht="15" customHeight="1" s="231">
      <c r="J788" s="216" t="n"/>
    </row>
    <row r="789" ht="15" customHeight="1" s="231">
      <c r="J789" s="216" t="n"/>
    </row>
    <row r="790" ht="15" customHeight="1" s="231">
      <c r="J790" s="216" t="n"/>
    </row>
    <row r="791" ht="15" customHeight="1" s="231">
      <c r="J791" s="216" t="n"/>
    </row>
    <row r="792" ht="15" customHeight="1" s="231">
      <c r="J792" s="216" t="n"/>
    </row>
    <row r="793" ht="15" customHeight="1" s="231">
      <c r="J793" s="216" t="n"/>
    </row>
    <row r="794" ht="15" customHeight="1" s="231">
      <c r="J794" s="216" t="n"/>
    </row>
    <row r="795" ht="15" customHeight="1" s="231">
      <c r="J795" s="216" t="n"/>
    </row>
    <row r="796" ht="15" customHeight="1" s="231">
      <c r="J796" s="216" t="n"/>
    </row>
    <row r="797" ht="15" customHeight="1" s="231">
      <c r="J797" s="216" t="n"/>
    </row>
    <row r="798" ht="15" customHeight="1" s="231">
      <c r="J798" s="216" t="n"/>
    </row>
    <row r="799" ht="15" customHeight="1" s="231">
      <c r="J799" s="216" t="n"/>
    </row>
    <row r="800" ht="15" customHeight="1" s="231">
      <c r="J800" s="216" t="n"/>
    </row>
    <row r="801" ht="15" customHeight="1" s="231">
      <c r="J801" s="216" t="n"/>
    </row>
    <row r="802" ht="15" customHeight="1" s="231">
      <c r="J802" s="216" t="n"/>
    </row>
    <row r="803" ht="15" customHeight="1" s="231">
      <c r="J803" s="216" t="n"/>
    </row>
    <row r="804" ht="15" customHeight="1" s="231">
      <c r="J804" s="216" t="n"/>
    </row>
    <row r="805" ht="15" customHeight="1" s="231">
      <c r="J805" s="216" t="n"/>
    </row>
    <row r="806" ht="15" customHeight="1" s="231">
      <c r="J806" s="216" t="n"/>
    </row>
    <row r="807" ht="15" customHeight="1" s="231">
      <c r="J807" s="216" t="n"/>
    </row>
    <row r="808" ht="15" customHeight="1" s="231">
      <c r="J808" s="216" t="n"/>
    </row>
    <row r="809" ht="15" customHeight="1" s="231">
      <c r="J809" s="216" t="n"/>
    </row>
    <row r="810" ht="15" customHeight="1" s="231">
      <c r="J810" s="216" t="n"/>
    </row>
    <row r="811" ht="15" customHeight="1" s="231">
      <c r="J811" s="216" t="n"/>
    </row>
    <row r="812" ht="15" customHeight="1" s="231">
      <c r="J812" s="216" t="n"/>
    </row>
    <row r="813" ht="15" customHeight="1" s="231">
      <c r="J813" s="216" t="n"/>
    </row>
    <row r="814" ht="15" customHeight="1" s="231">
      <c r="J814" s="216" t="n"/>
    </row>
    <row r="815" ht="15" customHeight="1" s="231">
      <c r="J815" s="216" t="n"/>
    </row>
    <row r="816" ht="15" customHeight="1" s="231">
      <c r="J816" s="216" t="n"/>
    </row>
    <row r="817" ht="15" customHeight="1" s="231">
      <c r="J817" s="216" t="n"/>
    </row>
    <row r="818" ht="15" customHeight="1" s="231">
      <c r="J818" s="216" t="n"/>
    </row>
    <row r="819" ht="15" customHeight="1" s="231">
      <c r="J819" s="216" t="n"/>
    </row>
    <row r="820" ht="15" customHeight="1" s="231">
      <c r="J820" s="216" t="n"/>
    </row>
    <row r="821" ht="15" customHeight="1" s="231">
      <c r="J821" s="216" t="n"/>
    </row>
    <row r="822" ht="15" customHeight="1" s="231">
      <c r="J822" s="216" t="n"/>
    </row>
    <row r="823" ht="15" customHeight="1" s="231">
      <c r="J823" s="216" t="n"/>
    </row>
    <row r="824" ht="15" customHeight="1" s="231">
      <c r="J824" s="216" t="n"/>
    </row>
    <row r="825" ht="15" customHeight="1" s="231">
      <c r="J825" s="216" t="n"/>
    </row>
    <row r="826" ht="15" customHeight="1" s="231">
      <c r="J826" s="216" t="n"/>
    </row>
    <row r="827" ht="15" customHeight="1" s="231">
      <c r="J827" s="216" t="n"/>
    </row>
    <row r="828" ht="15" customHeight="1" s="231">
      <c r="J828" s="216" t="n"/>
    </row>
    <row r="829" ht="15" customHeight="1" s="231">
      <c r="J829" s="216" t="n"/>
    </row>
    <row r="830" ht="15" customHeight="1" s="231">
      <c r="J830" s="216" t="n"/>
    </row>
    <row r="831" ht="15" customHeight="1" s="231">
      <c r="J831" s="216" t="n"/>
    </row>
    <row r="832" ht="15" customHeight="1" s="231">
      <c r="J832" s="216" t="n"/>
    </row>
    <row r="833" ht="15" customHeight="1" s="231">
      <c r="J833" s="216" t="n"/>
    </row>
    <row r="834" ht="15" customHeight="1" s="231">
      <c r="J834" s="216" t="n"/>
    </row>
    <row r="835" ht="15" customHeight="1" s="231">
      <c r="J835" s="216" t="n"/>
    </row>
    <row r="836" ht="15" customHeight="1" s="231">
      <c r="J836" s="216" t="n"/>
    </row>
    <row r="837" ht="15" customHeight="1" s="231">
      <c r="J837" s="216" t="n"/>
    </row>
    <row r="838" ht="15" customHeight="1" s="231">
      <c r="J838" s="216" t="n"/>
    </row>
    <row r="839" ht="15" customHeight="1" s="231">
      <c r="J839" s="216" t="n"/>
    </row>
    <row r="840" ht="15" customHeight="1" s="231">
      <c r="J840" s="216" t="n"/>
    </row>
    <row r="841" ht="15" customHeight="1" s="231">
      <c r="J841" s="216" t="n"/>
    </row>
    <row r="842" ht="15" customHeight="1" s="231">
      <c r="J842" s="216" t="n"/>
    </row>
    <row r="843" ht="15" customHeight="1" s="231">
      <c r="J843" s="216" t="n"/>
    </row>
    <row r="844" ht="15" customHeight="1" s="231">
      <c r="J844" s="216" t="n"/>
    </row>
    <row r="845" ht="15" customHeight="1" s="231">
      <c r="J845" s="216" t="n"/>
    </row>
    <row r="846" ht="15" customHeight="1" s="231">
      <c r="J846" s="216" t="n"/>
    </row>
    <row r="847" ht="15" customHeight="1" s="231">
      <c r="J847" s="216" t="n"/>
    </row>
    <row r="848" ht="15" customHeight="1" s="231">
      <c r="J848" s="216" t="n"/>
    </row>
    <row r="849" ht="15" customHeight="1" s="231">
      <c r="J849" s="216" t="n"/>
    </row>
    <row r="850" ht="15" customHeight="1" s="231">
      <c r="J850" s="216" t="n"/>
    </row>
    <row r="851" ht="15" customHeight="1" s="231">
      <c r="J851" s="216" t="n"/>
    </row>
    <row r="852" ht="15" customHeight="1" s="231">
      <c r="J852" s="216" t="n"/>
    </row>
    <row r="853" ht="15" customHeight="1" s="231">
      <c r="J853" s="216" t="n"/>
    </row>
    <row r="854" ht="15" customHeight="1" s="231">
      <c r="J854" s="216" t="n"/>
    </row>
    <row r="855" ht="15" customHeight="1" s="231">
      <c r="J855" s="216" t="n"/>
    </row>
    <row r="856" ht="15" customHeight="1" s="231">
      <c r="J856" s="216" t="n"/>
    </row>
    <row r="857" ht="15" customHeight="1" s="231">
      <c r="J857" s="216" t="n"/>
    </row>
    <row r="858" ht="15" customHeight="1" s="231">
      <c r="J858" s="216" t="n"/>
    </row>
    <row r="859" ht="15" customHeight="1" s="231">
      <c r="J859" s="216" t="n"/>
    </row>
    <row r="860" ht="15" customHeight="1" s="231">
      <c r="J860" s="216" t="n"/>
    </row>
    <row r="861" ht="15" customHeight="1" s="231">
      <c r="J861" s="216" t="n"/>
    </row>
    <row r="862" ht="15" customHeight="1" s="231">
      <c r="J862" s="216" t="n"/>
    </row>
    <row r="863" ht="15" customHeight="1" s="231">
      <c r="J863" s="216" t="n"/>
    </row>
    <row r="864" ht="15" customHeight="1" s="231">
      <c r="J864" s="216" t="n"/>
    </row>
    <row r="865" ht="15" customHeight="1" s="231">
      <c r="J865" s="216" t="n"/>
    </row>
    <row r="866" ht="15" customHeight="1" s="231">
      <c r="J866" s="216" t="n"/>
    </row>
    <row r="867" ht="15" customHeight="1" s="231">
      <c r="J867" s="216" t="n"/>
    </row>
    <row r="868" ht="15" customHeight="1" s="231">
      <c r="J868" s="216" t="n"/>
    </row>
    <row r="869" ht="15" customHeight="1" s="231">
      <c r="J869" s="216" t="n"/>
    </row>
    <row r="870" ht="15" customHeight="1" s="231">
      <c r="J870" s="216" t="n"/>
    </row>
    <row r="871" ht="15" customHeight="1" s="231">
      <c r="J871" s="216" t="n"/>
    </row>
    <row r="872" ht="15" customHeight="1" s="231">
      <c r="J872" s="216" t="n"/>
    </row>
    <row r="873" ht="15" customHeight="1" s="231">
      <c r="J873" s="216" t="n"/>
    </row>
    <row r="874" ht="15" customHeight="1" s="231">
      <c r="J874" s="216" t="n"/>
    </row>
    <row r="875" ht="15" customHeight="1" s="231">
      <c r="J875" s="216" t="n"/>
    </row>
    <row r="876" ht="15" customHeight="1" s="231">
      <c r="J876" s="216" t="n"/>
    </row>
    <row r="877" ht="15" customHeight="1" s="231">
      <c r="J877" s="216" t="n"/>
    </row>
    <row r="878" ht="15" customHeight="1" s="231">
      <c r="J878" s="216" t="n"/>
    </row>
    <row r="879" ht="15" customHeight="1" s="231">
      <c r="J879" s="216" t="n"/>
    </row>
    <row r="880" ht="15" customHeight="1" s="231">
      <c r="J880" s="216" t="n"/>
    </row>
    <row r="881" ht="15" customHeight="1" s="231">
      <c r="J881" s="216" t="n"/>
    </row>
    <row r="882" ht="15" customHeight="1" s="231">
      <c r="J882" s="216" t="n"/>
    </row>
    <row r="883" ht="15" customHeight="1" s="231">
      <c r="J883" s="216" t="n"/>
    </row>
    <row r="884" ht="15" customHeight="1" s="231">
      <c r="J884" s="216" t="n"/>
    </row>
    <row r="885" ht="15" customHeight="1" s="231">
      <c r="J885" s="216" t="n"/>
    </row>
    <row r="886" ht="15" customHeight="1" s="231">
      <c r="J886" s="216" t="n"/>
    </row>
    <row r="887" ht="15" customHeight="1" s="231">
      <c r="J887" s="216" t="n"/>
    </row>
    <row r="888" ht="15" customHeight="1" s="231">
      <c r="J888" s="216" t="n"/>
    </row>
    <row r="889" ht="15" customHeight="1" s="231">
      <c r="J889" s="216" t="n"/>
    </row>
    <row r="890" ht="15" customHeight="1" s="231">
      <c r="J890" s="216" t="n"/>
    </row>
    <row r="891" ht="15" customHeight="1" s="231">
      <c r="J891" s="216" t="n"/>
    </row>
    <row r="892" ht="15" customHeight="1" s="231">
      <c r="J892" s="216" t="n"/>
    </row>
    <row r="893" ht="15" customHeight="1" s="231">
      <c r="J893" s="216" t="n"/>
    </row>
    <row r="894" ht="15" customHeight="1" s="231">
      <c r="J894" s="216" t="n"/>
    </row>
    <row r="895" ht="15" customHeight="1" s="231">
      <c r="J895" s="216" t="n"/>
    </row>
    <row r="896" ht="15" customHeight="1" s="231">
      <c r="J896" s="216" t="n"/>
    </row>
    <row r="897" ht="15" customHeight="1" s="231">
      <c r="J897" s="216" t="n"/>
    </row>
    <row r="898" ht="15" customHeight="1" s="231">
      <c r="J898" s="216" t="n"/>
    </row>
    <row r="899" ht="15" customHeight="1" s="231">
      <c r="J899" s="216" t="n"/>
    </row>
    <row r="900" ht="15" customHeight="1" s="231">
      <c r="J900" s="216" t="n"/>
    </row>
    <row r="901" ht="15" customHeight="1" s="231">
      <c r="J901" s="216" t="n"/>
    </row>
    <row r="902" ht="15" customHeight="1" s="231">
      <c r="J902" s="216" t="n"/>
    </row>
    <row r="903" ht="15" customHeight="1" s="231">
      <c r="J903" s="216" t="n"/>
    </row>
    <row r="904" ht="15" customHeight="1" s="231">
      <c r="J904" s="216" t="n"/>
    </row>
    <row r="905" ht="15" customHeight="1" s="231">
      <c r="J905" s="216" t="n"/>
    </row>
    <row r="906" ht="15" customHeight="1" s="231">
      <c r="J906" s="216" t="n"/>
    </row>
    <row r="907" ht="15" customHeight="1" s="231">
      <c r="J907" s="216" t="n"/>
    </row>
    <row r="908" ht="15" customHeight="1" s="231">
      <c r="J908" s="216" t="n"/>
    </row>
    <row r="909" ht="15" customHeight="1" s="231">
      <c r="J909" s="216" t="n"/>
    </row>
    <row r="910" ht="15" customHeight="1" s="231">
      <c r="J910" s="216" t="n"/>
    </row>
    <row r="911" ht="15" customHeight="1" s="231">
      <c r="J911" s="216" t="n"/>
    </row>
    <row r="912" ht="15" customHeight="1" s="231">
      <c r="J912" s="216" t="n"/>
    </row>
    <row r="913" ht="15" customHeight="1" s="231">
      <c r="J913" s="216" t="n"/>
    </row>
    <row r="914" ht="15" customHeight="1" s="231">
      <c r="J914" s="216" t="n"/>
    </row>
    <row r="915" ht="15" customHeight="1" s="231">
      <c r="J915" s="216" t="n"/>
    </row>
    <row r="916" ht="15" customHeight="1" s="231">
      <c r="J916" s="216" t="n"/>
    </row>
    <row r="917" ht="15" customHeight="1" s="231">
      <c r="J917" s="216" t="n"/>
    </row>
    <row r="918" ht="15" customHeight="1" s="231">
      <c r="J918" s="216" t="n"/>
    </row>
    <row r="919" ht="15" customHeight="1" s="231">
      <c r="J919" s="216" t="n"/>
    </row>
    <row r="920" ht="15" customHeight="1" s="231">
      <c r="J920" s="216" t="n"/>
    </row>
    <row r="921" ht="15" customHeight="1" s="231">
      <c r="J921" s="216" t="n"/>
    </row>
    <row r="922" ht="15" customHeight="1" s="231">
      <c r="J922" s="216" t="n"/>
    </row>
    <row r="923" ht="15" customHeight="1" s="231">
      <c r="J923" s="216" t="n"/>
    </row>
    <row r="924" ht="15" customHeight="1" s="231">
      <c r="J924" s="216" t="n"/>
    </row>
    <row r="925" ht="15" customHeight="1" s="231">
      <c r="J925" s="216" t="n"/>
    </row>
    <row r="926" ht="15" customHeight="1" s="231">
      <c r="J926" s="216" t="n"/>
    </row>
    <row r="927" ht="15" customHeight="1" s="231">
      <c r="J927" s="216" t="n"/>
    </row>
    <row r="928" ht="15" customHeight="1" s="231">
      <c r="J928" s="216" t="n"/>
    </row>
    <row r="929" ht="15" customHeight="1" s="231">
      <c r="J929" s="216" t="n"/>
    </row>
    <row r="930" ht="15" customHeight="1" s="231">
      <c r="J930" s="216" t="n"/>
    </row>
    <row r="931" ht="15" customHeight="1" s="231">
      <c r="J931" s="216" t="n"/>
    </row>
    <row r="932" ht="15" customHeight="1" s="231">
      <c r="J932" s="216" t="n"/>
    </row>
    <row r="933" ht="15" customHeight="1" s="231">
      <c r="J933" s="216" t="n"/>
    </row>
    <row r="934" ht="15" customHeight="1" s="231">
      <c r="J934" s="216" t="n"/>
    </row>
    <row r="935" ht="15" customHeight="1" s="231">
      <c r="J935" s="216" t="n"/>
    </row>
    <row r="936" ht="15" customHeight="1" s="231">
      <c r="J936" s="216" t="n"/>
    </row>
    <row r="937" ht="15" customHeight="1" s="231">
      <c r="J937" s="216" t="n"/>
    </row>
    <row r="938" ht="15" customHeight="1" s="231">
      <c r="J938" s="216" t="n"/>
    </row>
    <row r="939" ht="15" customHeight="1" s="231">
      <c r="J939" s="216" t="n"/>
    </row>
    <row r="940" ht="15" customHeight="1" s="231">
      <c r="J940" s="216" t="n"/>
    </row>
    <row r="941" ht="15" customHeight="1" s="231">
      <c r="J941" s="216" t="n"/>
    </row>
    <row r="942" ht="15" customHeight="1" s="231">
      <c r="J942" s="216" t="n"/>
    </row>
    <row r="943" ht="15" customHeight="1" s="231">
      <c r="J943" s="216" t="n"/>
    </row>
    <row r="944" ht="15" customHeight="1" s="231">
      <c r="J944" s="216" t="n"/>
    </row>
    <row r="945" ht="15" customHeight="1" s="231">
      <c r="J945" s="216" t="n"/>
    </row>
    <row r="946" ht="15" customHeight="1" s="231">
      <c r="J946" s="216" t="n"/>
    </row>
    <row r="947" ht="15" customHeight="1" s="231">
      <c r="J947" s="216" t="n"/>
    </row>
    <row r="948" ht="15" customHeight="1" s="231">
      <c r="J948" s="216" t="n"/>
    </row>
    <row r="949" ht="15" customHeight="1" s="231">
      <c r="J949" s="216" t="n"/>
    </row>
    <row r="950" ht="15" customHeight="1" s="231">
      <c r="J950" s="216" t="n"/>
    </row>
    <row r="951" ht="15" customHeight="1" s="231">
      <c r="J951" s="216" t="n"/>
    </row>
    <row r="952" ht="15" customHeight="1" s="231">
      <c r="J952" s="216" t="n"/>
    </row>
    <row r="953" ht="15" customHeight="1" s="231">
      <c r="J953" s="216" t="n"/>
    </row>
    <row r="954" ht="15" customHeight="1" s="231">
      <c r="J954" s="216" t="n"/>
    </row>
    <row r="955" ht="15" customHeight="1" s="231">
      <c r="J955" s="216" t="n"/>
    </row>
    <row r="956" ht="15" customHeight="1" s="231">
      <c r="J956" s="216" t="n"/>
    </row>
    <row r="957" ht="15" customHeight="1" s="231">
      <c r="J957" s="216" t="n"/>
    </row>
    <row r="958" ht="15" customHeight="1" s="231">
      <c r="J958" s="216" t="n"/>
    </row>
    <row r="959" ht="15" customHeight="1" s="231">
      <c r="J959" s="216" t="n"/>
    </row>
    <row r="960" ht="15" customHeight="1" s="231">
      <c r="J960" s="216" t="n"/>
    </row>
    <row r="961" ht="15" customHeight="1" s="231">
      <c r="J961" s="216" t="n"/>
    </row>
    <row r="962" ht="15" customHeight="1" s="231">
      <c r="J962" s="216" t="n"/>
    </row>
    <row r="963" ht="15" customHeight="1" s="231">
      <c r="J963" s="216" t="n"/>
    </row>
    <row r="964" ht="15" customHeight="1" s="231">
      <c r="J964" s="216" t="n"/>
    </row>
    <row r="965" ht="15" customHeight="1" s="231">
      <c r="J965" s="216" t="n"/>
    </row>
    <row r="966" ht="15" customHeight="1" s="231">
      <c r="J966" s="216" t="n"/>
    </row>
    <row r="967" ht="15" customHeight="1" s="231">
      <c r="J967" s="216" t="n"/>
    </row>
    <row r="968" ht="15" customHeight="1" s="231">
      <c r="J968" s="216" t="n"/>
    </row>
    <row r="969" ht="15" customHeight="1" s="231">
      <c r="J969" s="216" t="n"/>
    </row>
    <row r="970" ht="15" customHeight="1" s="231">
      <c r="J970" s="216" t="n"/>
    </row>
    <row r="971" ht="15" customHeight="1" s="231">
      <c r="J971" s="216" t="n"/>
    </row>
    <row r="972" ht="15" customHeight="1" s="231">
      <c r="J972" s="216" t="n"/>
    </row>
    <row r="973" ht="15" customHeight="1" s="231">
      <c r="J973" s="216" t="n"/>
    </row>
    <row r="974" ht="15" customHeight="1" s="231">
      <c r="J974" s="216" t="n"/>
    </row>
    <row r="975" ht="15" customHeight="1" s="231">
      <c r="J975" s="216" t="n"/>
    </row>
    <row r="976" ht="15" customHeight="1" s="231">
      <c r="J976" s="216" t="n"/>
    </row>
    <row r="977" ht="15" customHeight="1" s="231">
      <c r="J977" s="216" t="n"/>
    </row>
    <row r="978" ht="15" customHeight="1" s="231">
      <c r="J978" s="216" t="n"/>
    </row>
    <row r="979" ht="15" customHeight="1" s="231">
      <c r="J979" s="216" t="n"/>
    </row>
    <row r="980" ht="15" customHeight="1" s="231">
      <c r="J980" s="216" t="n"/>
    </row>
    <row r="981" ht="15" customHeight="1" s="231">
      <c r="J981" s="216" t="n"/>
    </row>
    <row r="982" ht="15" customHeight="1" s="231">
      <c r="J982" s="216" t="n"/>
    </row>
    <row r="983" ht="15" customHeight="1" s="231">
      <c r="J983" s="216" t="n"/>
    </row>
    <row r="984" ht="15" customHeight="1" s="231">
      <c r="J984" s="216" t="n"/>
    </row>
    <row r="985" ht="15" customHeight="1" s="231">
      <c r="J985" s="216" t="n"/>
    </row>
    <row r="986" ht="15" customHeight="1" s="231">
      <c r="J986" s="216" t="n"/>
    </row>
    <row r="987" ht="15" customHeight="1" s="231">
      <c r="J987" s="216" t="n"/>
    </row>
    <row r="988" ht="15" customHeight="1" s="231">
      <c r="J988" s="216" t="n"/>
    </row>
    <row r="989" ht="15" customHeight="1" s="231">
      <c r="J989" s="216" t="n"/>
    </row>
    <row r="990" ht="15" customHeight="1" s="231">
      <c r="J990" s="216" t="n"/>
    </row>
    <row r="991" ht="15" customHeight="1" s="231">
      <c r="J991" s="216" t="n"/>
    </row>
    <row r="992" ht="15" customHeight="1" s="231">
      <c r="J992" s="216" t="n"/>
    </row>
    <row r="993" ht="15" customHeight="1" s="231">
      <c r="J993" s="216" t="n"/>
    </row>
    <row r="994" ht="15" customHeight="1" s="231">
      <c r="J994" s="216" t="n"/>
    </row>
    <row r="995" ht="15" customHeight="1" s="231">
      <c r="J995" s="216" t="n"/>
    </row>
    <row r="996" ht="15" customHeight="1" s="231">
      <c r="J996" s="216" t="n"/>
    </row>
    <row r="997" ht="15" customHeight="1" s="231">
      <c r="J997" s="216" t="n"/>
    </row>
    <row r="998" ht="15" customHeight="1" s="231">
      <c r="J998" s="216" t="n"/>
    </row>
    <row r="999" ht="15" customHeight="1" s="231">
      <c r="J999" s="216" t="n"/>
    </row>
    <row r="1000" ht="15" customHeight="1" s="231">
      <c r="J1000" s="216" t="n"/>
    </row>
    <row r="1001" ht="15" customHeight="1" s="231">
      <c r="J1001" s="216" t="n"/>
    </row>
    <row r="1002" ht="15" customHeight="1" s="231">
      <c r="J1002" s="216" t="n"/>
    </row>
    <row r="1003" ht="15" customHeight="1" s="231">
      <c r="J1003" s="216" t="n"/>
    </row>
    <row r="1004" ht="15" customHeight="1" s="231">
      <c r="J1004" s="216" t="n"/>
    </row>
    <row r="1005" ht="15" customHeight="1" s="231">
      <c r="J1005" s="216" t="n"/>
    </row>
    <row r="1006" ht="15" customHeight="1" s="231">
      <c r="J1006" s="216" t="n"/>
    </row>
    <row r="1007" ht="15" customHeight="1" s="231">
      <c r="J1007" s="216" t="n"/>
    </row>
    <row r="1008" ht="15" customHeight="1" s="231">
      <c r="J1008" s="216" t="n"/>
    </row>
    <row r="1009" ht="15" customHeight="1" s="231">
      <c r="J1009" s="216" t="n"/>
    </row>
    <row r="1010" ht="15" customHeight="1" s="231">
      <c r="J1010" s="216" t="n"/>
    </row>
    <row r="1011" ht="15" customHeight="1" s="231">
      <c r="J1011" s="216" t="n"/>
    </row>
    <row r="1012" ht="15" customHeight="1" s="231">
      <c r="J1012" s="216" t="n"/>
    </row>
    <row r="1013" ht="15" customHeight="1" s="231">
      <c r="J1013" s="216" t="n"/>
    </row>
    <row r="1014" ht="15" customHeight="1" s="231">
      <c r="J1014" s="216" t="n"/>
    </row>
    <row r="1015" ht="15" customHeight="1" s="231">
      <c r="J1015" s="216" t="n"/>
    </row>
    <row r="1016" ht="15" customHeight="1" s="231">
      <c r="J1016" s="216" t="n"/>
    </row>
    <row r="1017" ht="15" customHeight="1" s="231">
      <c r="J1017" s="216" t="n"/>
    </row>
    <row r="1018" ht="15" customHeight="1" s="231">
      <c r="J1018" s="216" t="n"/>
    </row>
    <row r="1019" ht="15" customHeight="1" s="231">
      <c r="J1019" s="216" t="n"/>
    </row>
    <row r="1020" ht="15" customHeight="1" s="231">
      <c r="J1020" s="216" t="n"/>
    </row>
    <row r="1021" ht="15" customHeight="1" s="231">
      <c r="J1021" s="216" t="n"/>
    </row>
    <row r="1022" ht="15" customHeight="1" s="231">
      <c r="J1022" s="216" t="n"/>
    </row>
    <row r="1023" ht="15" customHeight="1" s="231">
      <c r="J1023" s="216" t="n"/>
    </row>
    <row r="1024" ht="15" customHeight="1" s="231">
      <c r="J1024" s="216" t="n"/>
    </row>
    <row r="1025" ht="15" customHeight="1" s="231">
      <c r="J1025" s="216" t="n"/>
    </row>
    <row r="1026" ht="15" customHeight="1" s="231">
      <c r="J1026" s="216" t="n"/>
    </row>
    <row r="1027" ht="15" customHeight="1" s="231">
      <c r="J1027" s="216" t="n"/>
    </row>
    <row r="1028" ht="15" customHeight="1" s="231">
      <c r="J1028" s="216" t="n"/>
    </row>
    <row r="1029" ht="15" customHeight="1" s="231">
      <c r="J1029" s="216" t="n"/>
    </row>
    <row r="1030" ht="15" customHeight="1" s="231">
      <c r="J1030" s="216" t="n"/>
    </row>
    <row r="1031" ht="15" customHeight="1" s="231">
      <c r="J1031" s="216" t="n"/>
    </row>
    <row r="1032" ht="15" customHeight="1" s="231">
      <c r="J1032" s="216" t="n"/>
    </row>
    <row r="1033" ht="15" customHeight="1" s="231">
      <c r="J1033" s="216" t="n"/>
    </row>
    <row r="1034" ht="15" customHeight="1" s="231">
      <c r="J1034" s="216" t="n"/>
    </row>
    <row r="1035" ht="15" customHeight="1" s="231">
      <c r="J1035" s="216" t="n"/>
    </row>
    <row r="1036" ht="15" customHeight="1" s="231">
      <c r="J1036" s="216" t="n"/>
    </row>
    <row r="1037" ht="15" customHeight="1" s="231">
      <c r="J1037" s="216" t="n"/>
    </row>
    <row r="1038" ht="15" customHeight="1" s="231">
      <c r="J1038" s="216" t="n"/>
    </row>
    <row r="1039" ht="15" customHeight="1" s="231">
      <c r="J1039" s="216" t="n"/>
    </row>
    <row r="1040" ht="15" customHeight="1" s="231">
      <c r="J1040" s="216" t="n"/>
    </row>
  </sheetData>
  <conditionalFormatting sqref="G7:G26">
    <cfRule type="duplicateValues" rank="0" priority="2" equalAverage="0" aboveAverage="0" dxfId="57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4:R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26" activeCellId="0" sqref="F26"/>
    </sheetView>
  </sheetViews>
  <sheetFormatPr baseColWidth="8" defaultColWidth="10.6796875" defaultRowHeight="15" zeroHeight="0" outlineLevelRow="0"/>
  <cols>
    <col width="16.14" customWidth="1" style="216" min="2" max="2"/>
    <col width="13.42" customWidth="1" style="216" min="3" max="3"/>
    <col width="17.86" customWidth="1" style="216" min="5" max="5"/>
    <col width="20.29" customWidth="1" style="216" min="6" max="6"/>
    <col width="14.42" customWidth="1" style="216" min="7" max="7"/>
    <col width="15.42" customWidth="1" style="216" min="8" max="8"/>
    <col width="15.71" customWidth="1" style="216" min="9" max="9"/>
    <col width="13.71" customWidth="1" style="216" min="10" max="10"/>
    <col width="12.29" customWidth="1" style="216" min="11" max="11"/>
    <col width="13.71" customWidth="1" style="216" min="17" max="17"/>
  </cols>
  <sheetData>
    <row r="4" ht="17.35" customHeight="1" s="231">
      <c r="E4" s="354" t="inlineStr">
        <is>
          <t>S01</t>
        </is>
      </c>
      <c r="H4" s="354" t="inlineStr">
        <is>
          <t>S02</t>
        </is>
      </c>
      <c r="K4" s="354" t="inlineStr">
        <is>
          <t>S03</t>
        </is>
      </c>
      <c r="N4" s="354" t="inlineStr">
        <is>
          <t>S04</t>
        </is>
      </c>
      <c r="Q4" s="354" t="inlineStr">
        <is>
          <t>S05</t>
        </is>
      </c>
    </row>
    <row r="5" ht="15" customHeight="1" s="231">
      <c r="E5" s="355" t="inlineStr">
        <is>
          <t>Activité</t>
        </is>
      </c>
      <c r="F5" s="356" t="inlineStr">
        <is>
          <t>Taux ABS</t>
        </is>
      </c>
      <c r="H5" s="355" t="inlineStr">
        <is>
          <t>Activité</t>
        </is>
      </c>
      <c r="I5" s="356" t="inlineStr">
        <is>
          <t>Taux ABS</t>
        </is>
      </c>
      <c r="K5" s="355" t="inlineStr">
        <is>
          <t>Activité</t>
        </is>
      </c>
      <c r="L5" s="356" t="inlineStr">
        <is>
          <t>Taux ABS</t>
        </is>
      </c>
      <c r="N5" s="355" t="inlineStr">
        <is>
          <t>Activité</t>
        </is>
      </c>
      <c r="O5" s="356" t="inlineStr">
        <is>
          <t>Taux ABS</t>
        </is>
      </c>
      <c r="Q5" s="355" t="inlineStr">
        <is>
          <t>Activité</t>
        </is>
      </c>
      <c r="R5" s="356" t="inlineStr">
        <is>
          <t>Taux ABS</t>
        </is>
      </c>
    </row>
    <row r="6" ht="15" customHeight="1" s="231">
      <c r="E6" s="357" t="inlineStr">
        <is>
          <t>GL</t>
        </is>
      </c>
      <c r="F6" s="358" t="n">
        <v>0.0222</v>
      </c>
      <c r="H6" s="357" t="inlineStr">
        <is>
          <t>GL</t>
        </is>
      </c>
      <c r="I6" s="358" t="n">
        <v>0.0578</v>
      </c>
      <c r="K6" s="357" t="inlineStr">
        <is>
          <t>GL</t>
        </is>
      </c>
      <c r="L6" s="358" t="n"/>
      <c r="N6" s="357" t="inlineStr">
        <is>
          <t>GL</t>
        </is>
      </c>
      <c r="O6" s="358" t="n"/>
      <c r="Q6" s="357" t="inlineStr">
        <is>
          <t>GL</t>
        </is>
      </c>
      <c r="R6" s="358" t="n">
        <v>0.0144</v>
      </c>
    </row>
    <row r="7" ht="15" customHeight="1" s="231">
      <c r="E7" s="357" t="inlineStr">
        <is>
          <t>GLF</t>
        </is>
      </c>
      <c r="F7" s="358" t="n">
        <v>0.0503</v>
      </c>
      <c r="H7" s="357" t="inlineStr">
        <is>
          <t>GLF</t>
        </is>
      </c>
      <c r="I7" s="358" t="n">
        <v>0.0248</v>
      </c>
      <c r="K7" s="357" t="inlineStr">
        <is>
          <t>GLF</t>
        </is>
      </c>
      <c r="L7" s="358" t="n">
        <v>0.0569</v>
      </c>
      <c r="N7" s="357" t="inlineStr">
        <is>
          <t>GLF</t>
        </is>
      </c>
      <c r="O7" s="358" t="n">
        <v>0.1198</v>
      </c>
      <c r="Q7" s="357" t="inlineStr">
        <is>
          <t>GLF</t>
        </is>
      </c>
      <c r="R7" s="358" t="n">
        <v>0.0162</v>
      </c>
    </row>
    <row r="8" ht="15" customHeight="1" s="231">
      <c r="E8" s="357" t="inlineStr">
        <is>
          <t>CM leasing</t>
        </is>
      </c>
      <c r="F8" s="358" t="n">
        <v>0</v>
      </c>
      <c r="H8" s="357" t="inlineStr">
        <is>
          <t>CM leasing</t>
        </is>
      </c>
      <c r="I8" s="358" t="n">
        <v>0.0005</v>
      </c>
      <c r="K8" s="357" t="inlineStr">
        <is>
          <t>CM leasing</t>
        </is>
      </c>
      <c r="L8" s="358" t="n">
        <v>0.0034</v>
      </c>
      <c r="N8" s="357" t="inlineStr">
        <is>
          <t>CM leasing</t>
        </is>
      </c>
      <c r="O8" s="358" t="n">
        <v>0.0215</v>
      </c>
      <c r="Q8" s="357" t="inlineStr">
        <is>
          <t>CM leasing</t>
        </is>
      </c>
      <c r="R8" s="358" t="n">
        <v>0</v>
      </c>
    </row>
    <row r="9" ht="15" customHeight="1" s="231">
      <c r="E9" s="357" t="inlineStr">
        <is>
          <t>DAC</t>
        </is>
      </c>
      <c r="F9" s="358" t="n">
        <v>0.0304</v>
      </c>
      <c r="H9" s="357" t="inlineStr">
        <is>
          <t>DAC</t>
        </is>
      </c>
      <c r="I9" s="358" t="n">
        <v>0.1068</v>
      </c>
      <c r="K9" s="357" t="inlineStr">
        <is>
          <t>DAC</t>
        </is>
      </c>
      <c r="L9" s="358" t="n">
        <v>0.1227</v>
      </c>
      <c r="N9" s="357" t="inlineStr">
        <is>
          <t>DAC</t>
        </is>
      </c>
      <c r="O9" s="358" t="n">
        <v>0</v>
      </c>
      <c r="Q9" s="357" t="inlineStr">
        <is>
          <t>DAC</t>
        </is>
      </c>
      <c r="R9" s="358" t="n">
        <v>0.1491</v>
      </c>
    </row>
    <row r="10" ht="15" customHeight="1" s="231">
      <c r="E10" s="357" t="inlineStr">
        <is>
          <t>AFEDIM</t>
        </is>
      </c>
      <c r="F10" s="358" t="n">
        <v>0.0323</v>
      </c>
      <c r="H10" s="357" t="inlineStr">
        <is>
          <t>AFEDIM</t>
        </is>
      </c>
      <c r="I10" s="358" t="n">
        <v>0.0133</v>
      </c>
      <c r="K10" s="357" t="inlineStr">
        <is>
          <t>AFEDIM</t>
        </is>
      </c>
      <c r="L10" s="358" t="n">
        <v>0.0718</v>
      </c>
      <c r="N10" s="357" t="inlineStr">
        <is>
          <t>AFEDIM</t>
        </is>
      </c>
      <c r="O10" s="358" t="n">
        <v>0</v>
      </c>
      <c r="Q10" s="357" t="inlineStr">
        <is>
          <t>AFEDIM</t>
        </is>
      </c>
      <c r="R10" s="358" t="n">
        <v>0</v>
      </c>
    </row>
    <row r="11" ht="15" customHeight="1" s="231">
      <c r="E11" s="357" t="inlineStr">
        <is>
          <t>TLV</t>
        </is>
      </c>
      <c r="F11" s="358" t="n">
        <v>0.125</v>
      </c>
      <c r="H11" s="357" t="inlineStr">
        <is>
          <t>TLV</t>
        </is>
      </c>
      <c r="I11" s="358" t="n">
        <v>0.002</v>
      </c>
      <c r="K11" s="357" t="inlineStr">
        <is>
          <t>TLV</t>
        </is>
      </c>
      <c r="L11" s="358" t="n">
        <v>0</v>
      </c>
      <c r="N11" s="357" t="inlineStr">
        <is>
          <t>TLV</t>
        </is>
      </c>
      <c r="O11" s="358" t="n">
        <v>0</v>
      </c>
      <c r="Q11" s="357" t="inlineStr">
        <is>
          <t>TLV</t>
        </is>
      </c>
      <c r="R11" s="358" t="n">
        <v>0.025</v>
      </c>
    </row>
    <row r="12" ht="15" customHeight="1" s="231">
      <c r="E12" s="357" t="inlineStr">
        <is>
          <t>Accessibilité</t>
        </is>
      </c>
      <c r="F12" s="358" t="n">
        <v>0</v>
      </c>
      <c r="H12" s="357" t="inlineStr">
        <is>
          <t>Accessibilité</t>
        </is>
      </c>
      <c r="I12" s="358" t="n">
        <v>0</v>
      </c>
      <c r="K12" s="357" t="inlineStr">
        <is>
          <t>Accessibilité</t>
        </is>
      </c>
      <c r="L12" s="358" t="n">
        <v>0</v>
      </c>
      <c r="N12" s="357" t="inlineStr">
        <is>
          <t>Accessibilité</t>
        </is>
      </c>
      <c r="O12" s="358" t="n">
        <v>0.0511</v>
      </c>
      <c r="Q12" s="357" t="inlineStr">
        <is>
          <t>Accessibilité</t>
        </is>
      </c>
      <c r="R12" s="358" t="n">
        <v>0</v>
      </c>
    </row>
    <row r="13" ht="15" customHeight="1" s="231">
      <c r="E13" s="357" t="inlineStr">
        <is>
          <t>LA PRESSE</t>
        </is>
      </c>
      <c r="F13" s="358" t="n">
        <v>0.0358</v>
      </c>
      <c r="H13" s="357" t="inlineStr">
        <is>
          <t>LA PRESSE</t>
        </is>
      </c>
      <c r="I13" s="358" t="n">
        <v>0.0184</v>
      </c>
      <c r="K13" s="357" t="inlineStr">
        <is>
          <t>LA PRESSE</t>
        </is>
      </c>
      <c r="L13" s="358" t="n">
        <v>0.0134</v>
      </c>
      <c r="N13" s="357" t="inlineStr">
        <is>
          <t>LA PRESSE</t>
        </is>
      </c>
      <c r="O13" s="358" t="n"/>
      <c r="Q13" s="357" t="inlineStr">
        <is>
          <t>LA PRESSE</t>
        </is>
      </c>
      <c r="R13" s="358" t="n">
        <v>0.07580000000000001</v>
      </c>
    </row>
    <row r="14" ht="15" customHeight="1" s="231">
      <c r="E14" s="357" t="inlineStr">
        <is>
          <t>FACTO</t>
        </is>
      </c>
      <c r="F14" s="358" t="n">
        <v>0</v>
      </c>
      <c r="H14" s="357" t="inlineStr">
        <is>
          <t>FACTO</t>
        </is>
      </c>
      <c r="I14" s="358" t="n">
        <v>0</v>
      </c>
      <c r="K14" s="357" t="inlineStr">
        <is>
          <t>FACTO</t>
        </is>
      </c>
      <c r="L14" s="358" t="n">
        <v>0</v>
      </c>
      <c r="N14" s="357" t="inlineStr">
        <is>
          <t>FACTO</t>
        </is>
      </c>
      <c r="O14" s="358" t="n">
        <v>0.25</v>
      </c>
      <c r="Q14" s="357" t="inlineStr">
        <is>
          <t>FACTO</t>
        </is>
      </c>
      <c r="R14" s="358" t="n">
        <v>0.0048</v>
      </c>
    </row>
    <row r="25" ht="21" customHeight="1" s="231">
      <c r="B25" s="359" t="inlineStr">
        <is>
          <t>Activité</t>
        </is>
      </c>
      <c r="C25" s="356" t="inlineStr">
        <is>
          <t>Taux ABS</t>
        </is>
      </c>
    </row>
    <row r="26" ht="30.75" customHeight="1" s="231">
      <c r="B26" s="360" t="inlineStr">
        <is>
          <t>GL</t>
        </is>
      </c>
      <c r="C26" s="361" t="n">
        <v>0.0144</v>
      </c>
      <c r="F26" s="362" t="n"/>
      <c r="G26" s="359" t="inlineStr">
        <is>
          <t>Appels reçus</t>
        </is>
      </c>
      <c r="H26" s="359" t="inlineStr">
        <is>
          <t>Appels traités</t>
        </is>
      </c>
      <c r="I26" s="363" t="inlineStr">
        <is>
          <t>Appels Dissuadés</t>
        </is>
      </c>
      <c r="J26" s="363" t="inlineStr">
        <is>
          <t>Appels abandonnés</t>
        </is>
      </c>
      <c r="K26" s="359" t="inlineStr">
        <is>
          <t>QS</t>
        </is>
      </c>
    </row>
    <row r="27" ht="23.25" customHeight="1" s="231">
      <c r="B27" s="360" t="inlineStr">
        <is>
          <t>GLF</t>
        </is>
      </c>
      <c r="C27" s="361" t="n">
        <v>0.0162</v>
      </c>
      <c r="F27" s="360" t="inlineStr">
        <is>
          <t>CM_FACTORING</t>
        </is>
      </c>
      <c r="G27" s="364" t="n">
        <v>273</v>
      </c>
      <c r="H27" s="364" t="n">
        <v>270</v>
      </c>
      <c r="I27" s="364" t="n">
        <v>0</v>
      </c>
      <c r="J27" s="364" t="n">
        <v>3</v>
      </c>
      <c r="K27" s="365" t="n">
        <v>0.989</v>
      </c>
    </row>
    <row r="28" ht="23.25" customHeight="1" s="231">
      <c r="B28" s="360" t="inlineStr">
        <is>
          <t>CM leasing</t>
        </is>
      </c>
      <c r="C28" s="361" t="n">
        <v>0</v>
      </c>
      <c r="F28" s="360" t="inlineStr">
        <is>
          <t>FACTOFRANCE</t>
        </is>
      </c>
      <c r="G28" s="364" t="n">
        <v>542</v>
      </c>
      <c r="H28" s="364" t="n">
        <v>533</v>
      </c>
      <c r="I28" s="364" t="n">
        <v>0</v>
      </c>
      <c r="J28" s="364" t="n">
        <v>9</v>
      </c>
      <c r="K28" s="365" t="n">
        <v>0.9834000000000001</v>
      </c>
    </row>
    <row r="29" ht="18" customHeight="1" s="231">
      <c r="B29" s="360" t="inlineStr">
        <is>
          <t>DAC</t>
        </is>
      </c>
      <c r="C29" s="361" t="n">
        <v>0.1491</v>
      </c>
      <c r="F29" s="366" t="n"/>
    </row>
    <row r="30" ht="18" customHeight="1" s="231">
      <c r="B30" s="360" t="inlineStr">
        <is>
          <t>AFEDIM</t>
        </is>
      </c>
      <c r="C30" s="361" t="n">
        <v>0</v>
      </c>
    </row>
    <row r="31" ht="18" customHeight="1" s="231">
      <c r="B31" s="360" t="inlineStr">
        <is>
          <t>TLV</t>
        </is>
      </c>
      <c r="C31" s="361" t="n">
        <v>0.025</v>
      </c>
    </row>
    <row r="32" ht="18" customHeight="1" s="231">
      <c r="B32" s="360" t="inlineStr">
        <is>
          <t>Accessibilité</t>
        </is>
      </c>
      <c r="C32" s="361" t="n">
        <v>0</v>
      </c>
    </row>
    <row r="33" ht="18" customHeight="1" s="231">
      <c r="B33" s="360" t="inlineStr">
        <is>
          <t>LA PRESSE</t>
        </is>
      </c>
      <c r="C33" s="361" t="n">
        <v>0.07580000000000001</v>
      </c>
    </row>
    <row r="34" ht="18" customHeight="1" s="231">
      <c r="B34" s="360" t="inlineStr">
        <is>
          <t>FACTO</t>
        </is>
      </c>
      <c r="C34" s="361" t="n">
        <v>0.0048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1:J1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7" activePane="bottomLeft" state="frozen"/>
      <selection pane="topLeft" activeCell="A1" activeCellId="0" sqref="A1"/>
      <selection pane="bottomLeft" activeCell="F43" activeCellId="0" sqref="F43"/>
    </sheetView>
  </sheetViews>
  <sheetFormatPr baseColWidth="8" defaultColWidth="10.6796875" defaultRowHeight="15" zeroHeight="0" outlineLevelRow="0"/>
  <cols>
    <col width="16" customWidth="1" style="367" min="3" max="3"/>
    <col width="16" customWidth="1" style="216" min="4" max="4"/>
    <col width="34" customWidth="1" style="216" min="5" max="5"/>
    <col width="32.42" customWidth="1" style="216" min="6" max="6"/>
    <col width="19.57" customWidth="1" style="216" min="7" max="7"/>
    <col width="18.42" customWidth="1" style="216" min="8" max="8"/>
    <col width="25.42" customWidth="1" style="216" min="9" max="9"/>
    <col width="24.42" customWidth="1" style="216" min="10" max="10"/>
  </cols>
  <sheetData>
    <row r="1" ht="15" customHeight="1" s="231">
      <c r="C1" s="216" t="n"/>
    </row>
    <row r="2" ht="15" customHeight="1" s="231">
      <c r="C2" s="216" t="n"/>
    </row>
    <row r="4" ht="23.85" customHeight="1" s="231">
      <c r="C4" s="368" t="inlineStr">
        <is>
          <t>Matricule</t>
        </is>
      </c>
      <c r="D4" s="369" t="inlineStr">
        <is>
          <t>Activité</t>
        </is>
      </c>
      <c r="E4" s="369" t="inlineStr">
        <is>
          <t>Manager</t>
        </is>
      </c>
      <c r="F4" s="369" t="inlineStr">
        <is>
          <t>Nom et Prénom du salarié</t>
        </is>
      </c>
      <c r="G4" s="369" t="inlineStr">
        <is>
          <t>Date début de l'arrêt</t>
        </is>
      </c>
      <c r="H4" s="369" t="inlineStr">
        <is>
          <t>Date de reprise</t>
        </is>
      </c>
      <c r="I4" s="369" t="inlineStr">
        <is>
          <t>Date de dépôt du CM</t>
        </is>
      </c>
      <c r="J4" s="369" t="inlineStr">
        <is>
          <t>Durée de l'arrêt</t>
        </is>
      </c>
    </row>
    <row r="5" ht="15" customHeight="1" s="231">
      <c r="B5" s="370">
        <f>TEXT(TODAY(),"jj/mm/aaaa")*1</f>
        <v/>
      </c>
      <c r="C5" s="371">
        <f>VLOOKUP(Tableau132[[#This Row],[Nom et Prénom du salarié]],Annuaire_roster!B:F,5,0)</f>
        <v/>
      </c>
      <c r="D5" s="372" t="inlineStr">
        <is>
          <t>Google Leads</t>
        </is>
      </c>
      <c r="E5" s="373" t="inlineStr">
        <is>
          <t xml:space="preserve">OUAQERROUCH NOUR EL HOUDA </t>
        </is>
      </c>
      <c r="F5" s="373" t="inlineStr">
        <is>
          <t>EL BATAL AMINA</t>
        </is>
      </c>
      <c r="G5" s="374" t="n">
        <v>43242</v>
      </c>
      <c r="H5" s="374" t="n">
        <v>43243</v>
      </c>
      <c r="I5" s="375" t="n">
        <v>43243</v>
      </c>
      <c r="J5" s="376">
        <f>Tableau132[[#This Row],[Date de reprise]]-Tableau132[[#This Row],[Date début de l''arrêt]] &amp; "j"</f>
        <v/>
      </c>
    </row>
    <row r="6" ht="15" customHeight="1" s="231">
      <c r="C6" s="371">
        <f>VLOOKUP(Tableau132[[#This Row],[Nom et Prénom du salarié]],Annuaire_roster!B:F,5,0)</f>
        <v/>
      </c>
      <c r="D6" s="372" t="inlineStr">
        <is>
          <t>Google Leads</t>
        </is>
      </c>
      <c r="E6" s="373" t="inlineStr">
        <is>
          <t xml:space="preserve">OUAQERROUCH NOUR EL HOUDA </t>
        </is>
      </c>
      <c r="F6" s="373" t="inlineStr">
        <is>
          <t>HARGOUS FATIMA ZAHRA</t>
        </is>
      </c>
      <c r="G6" s="374" t="n">
        <v>43242</v>
      </c>
      <c r="H6" s="374" t="n">
        <v>43251</v>
      </c>
      <c r="I6" s="375" t="n">
        <v>43243</v>
      </c>
      <c r="J6" s="376">
        <f>Tableau132[[#This Row],[Date de reprise]]-Tableau132[[#This Row],[Date début de l''arrêt]] &amp; "j"</f>
        <v/>
      </c>
    </row>
    <row r="7" ht="15" customHeight="1" s="231">
      <c r="C7" s="371">
        <f>VLOOKUP(Tableau132[[#This Row],[Nom et Prénom du salarié]],Annuaire_roster!B:F,5,0)</f>
        <v/>
      </c>
      <c r="D7" s="372" t="inlineStr">
        <is>
          <t>Google Leads</t>
        </is>
      </c>
      <c r="E7" s="373" t="inlineStr">
        <is>
          <t xml:space="preserve">OUAQERROUCH NOUR EL HOUDA </t>
        </is>
      </c>
      <c r="F7" s="373" t="inlineStr">
        <is>
          <t>GHAOUTY NISRINE</t>
        </is>
      </c>
      <c r="G7" s="377" t="n">
        <v>43250</v>
      </c>
      <c r="H7" s="378" t="n">
        <v>43251</v>
      </c>
      <c r="I7" s="375" t="n">
        <v>43250</v>
      </c>
      <c r="J7" s="376">
        <f>Tableau132[[#This Row],[Date de reprise]]-Tableau132[[#This Row],[Date début de l''arrêt]] &amp; "j"</f>
        <v/>
      </c>
    </row>
    <row r="8" ht="15" customHeight="1" s="231">
      <c r="C8" s="371">
        <f>VLOOKUP(Tableau132[[#This Row],[Nom et Prénom du salarié]],Annuaire_roster!B:F,5,0)</f>
        <v/>
      </c>
      <c r="D8" s="372" t="inlineStr">
        <is>
          <t>Google Leads</t>
        </is>
      </c>
      <c r="E8" s="373" t="inlineStr">
        <is>
          <t>DOURAFEI IKRAM</t>
        </is>
      </c>
      <c r="F8" s="373" t="inlineStr">
        <is>
          <t>SANHAJI SARA</t>
        </is>
      </c>
      <c r="G8" s="377" t="n">
        <v>43250</v>
      </c>
      <c r="H8" s="378" t="n">
        <v>43254</v>
      </c>
      <c r="I8" s="375" t="n">
        <v>43250</v>
      </c>
      <c r="J8" s="376">
        <f>Tableau132[[#This Row],[Date de reprise]]-Tableau132[[#This Row],[Date début de l''arrêt]] &amp; "j"</f>
        <v/>
      </c>
    </row>
    <row r="9" ht="15" customHeight="1" s="231">
      <c r="C9" s="371">
        <f>VLOOKUP(Tableau132[[#This Row],[Nom et Prénom du salarié]],Annuaire_roster!B:F,5,0)</f>
        <v/>
      </c>
      <c r="D9" s="372" t="inlineStr">
        <is>
          <t>Google Leads</t>
        </is>
      </c>
      <c r="E9" s="373" t="inlineStr">
        <is>
          <t>DOURAFEI IKRAM</t>
        </is>
      </c>
      <c r="F9" s="373" t="inlineStr">
        <is>
          <t>MASSROUR MOUNIA</t>
        </is>
      </c>
      <c r="G9" s="377" t="n">
        <v>43250</v>
      </c>
      <c r="H9" s="378" t="n">
        <v>43251</v>
      </c>
      <c r="I9" s="375" t="n">
        <v>43250</v>
      </c>
      <c r="J9" s="376">
        <f>Tableau132[[#This Row],[Date de reprise]]-Tableau132[[#This Row],[Date début de l''arrêt]] &amp; "j"</f>
        <v/>
      </c>
    </row>
    <row r="10" ht="15" customHeight="1" s="231">
      <c r="C10" s="371">
        <f>VLOOKUP(Tableau132[[#This Row],[Nom et Prénom du salarié]],Annuaire_roster!B:F,5,0)</f>
        <v/>
      </c>
      <c r="D10" s="372" t="inlineStr">
        <is>
          <t>Google Leads</t>
        </is>
      </c>
      <c r="E10" s="373" t="inlineStr">
        <is>
          <t>DOURAFEI IKRAM</t>
        </is>
      </c>
      <c r="F10" s="373" t="inlineStr">
        <is>
          <t>RHATOUS HAMZA</t>
        </is>
      </c>
      <c r="G10" s="377" t="n">
        <v>43250</v>
      </c>
      <c r="H10" s="378" t="n">
        <v>43251</v>
      </c>
      <c r="I10" s="375" t="n">
        <v>43250</v>
      </c>
      <c r="J10" s="376">
        <f>Tableau132[[#This Row],[Date de reprise]]-Tableau132[[#This Row],[Date début de l''arrêt]] &amp; "j"</f>
        <v/>
      </c>
    </row>
    <row r="11" ht="15" customHeight="1" s="231">
      <c r="C11" s="371">
        <f>VLOOKUP(Tableau132[[#This Row],[Nom et Prénom du salarié]],Annuaire_roster!B:F,5,0)</f>
        <v/>
      </c>
      <c r="D11" s="372" t="inlineStr">
        <is>
          <t>Google Leads</t>
        </is>
      </c>
      <c r="E11" s="373" t="inlineStr">
        <is>
          <t>DOURAFEI IKRAM</t>
        </is>
      </c>
      <c r="F11" s="373" t="inlineStr">
        <is>
          <t>HARGOUS FATIMA ZAHRA</t>
        </is>
      </c>
      <c r="G11" s="374" t="n">
        <v>43252</v>
      </c>
      <c r="H11" s="374" t="n">
        <v>43266</v>
      </c>
      <c r="I11" s="375" t="n">
        <v>43253</v>
      </c>
      <c r="J11" s="376">
        <f>Tableau132[[#This Row],[Date de reprise]]-Tableau132[[#This Row],[Date début de l''arrêt]] &amp; "j"</f>
        <v/>
      </c>
    </row>
    <row r="12" ht="15" customHeight="1" s="231">
      <c r="C12" s="371">
        <f>VLOOKUP(Tableau132[[#This Row],[Nom et Prénom du salarié]],Annuaire_roster!B:F,5,0)</f>
        <v/>
      </c>
      <c r="D12" s="372" t="inlineStr">
        <is>
          <t>Google Leads</t>
        </is>
      </c>
      <c r="E12" s="373" t="inlineStr">
        <is>
          <t xml:space="preserve">OUAQERROUCH NOUR EL HOUDA </t>
        </is>
      </c>
      <c r="F12" s="373" t="inlineStr">
        <is>
          <t>MASSROUR MOUNIA</t>
        </is>
      </c>
      <c r="G12" s="377" t="n">
        <v>43270</v>
      </c>
      <c r="H12" s="378" t="n">
        <v>43271</v>
      </c>
      <c r="I12" s="375" t="n">
        <v>43271</v>
      </c>
      <c r="J12" s="376">
        <f>Tableau132[[#This Row],[Date de reprise]]-Tableau132[[#This Row],[Date début de l''arrêt]] &amp; "j"</f>
        <v/>
      </c>
    </row>
    <row r="13" ht="15" customHeight="1" s="231">
      <c r="C13" s="371">
        <f>VLOOKUP(Tableau132[[#This Row],[Nom et Prénom du salarié]],Annuaire_roster!B:F,5,0)</f>
        <v/>
      </c>
      <c r="D13" s="372" t="inlineStr">
        <is>
          <t>Google Leads</t>
        </is>
      </c>
      <c r="E13" s="373" t="inlineStr">
        <is>
          <t xml:space="preserve">OUAQERROUCH NOUR EL HOUDA </t>
        </is>
      </c>
      <c r="F13" s="373" t="inlineStr">
        <is>
          <t>GHAOUTY NISRINE</t>
        </is>
      </c>
      <c r="G13" s="377" t="n">
        <v>43268</v>
      </c>
      <c r="H13" s="378" t="n">
        <v>43269</v>
      </c>
      <c r="I13" s="375" t="n">
        <v>43269</v>
      </c>
      <c r="J13" s="376">
        <f>Tableau132[[#This Row],[Date de reprise]]-Tableau132[[#This Row],[Date début de l''arrêt]] &amp; "j"</f>
        <v/>
      </c>
    </row>
    <row r="14" ht="15" customHeight="1" s="231">
      <c r="C14" s="371">
        <f>VLOOKUP(Tableau132[[#This Row],[Nom et Prénom du salarié]],Annuaire_roster!B:F,5,0)</f>
        <v/>
      </c>
      <c r="D14" s="372" t="inlineStr">
        <is>
          <t>Google Leads</t>
        </is>
      </c>
      <c r="E14" s="379" t="inlineStr">
        <is>
          <t xml:space="preserve">OUAQERROUCH NOUR EL HOUDA </t>
        </is>
      </c>
      <c r="F14" s="379" t="inlineStr">
        <is>
          <t>LASRI NIDAL</t>
        </is>
      </c>
      <c r="G14" s="378" t="n">
        <v>43268</v>
      </c>
      <c r="H14" s="378" t="n">
        <v>43273</v>
      </c>
      <c r="I14" s="379" t="inlineStr">
        <is>
          <t>5J</t>
        </is>
      </c>
      <c r="J14" s="376">
        <f>Tableau132[[#This Row],[Date de reprise]]-Tableau132[[#This Row],[Date début de l''arrêt]] &amp; "j"</f>
        <v/>
      </c>
    </row>
    <row r="15" ht="15" customHeight="1" s="231">
      <c r="C15" s="371">
        <f>VLOOKUP(Tableau132[[#This Row],[Nom et Prénom du salarié]],Annuaire_roster!B:F,5,0)</f>
        <v/>
      </c>
      <c r="D15" s="372" t="inlineStr">
        <is>
          <t>Google Leads</t>
        </is>
      </c>
      <c r="E15" s="379" t="inlineStr">
        <is>
          <t xml:space="preserve">OUAQERROUCH NOUR EL HOUDA </t>
        </is>
      </c>
      <c r="F15" s="379" t="inlineStr">
        <is>
          <t>SANHAJI SARA</t>
        </is>
      </c>
      <c r="G15" s="380" t="n">
        <v>43272</v>
      </c>
      <c r="H15" s="378" t="n">
        <v>43273</v>
      </c>
      <c r="I15" s="380" t="n">
        <v>43272</v>
      </c>
      <c r="J15" s="376">
        <f>Tableau132[[#This Row],[Date de reprise]]-Tableau132[[#This Row],[Date début de l''arrêt]] &amp; "j"</f>
        <v/>
      </c>
    </row>
    <row r="16" ht="15" customHeight="1" s="231">
      <c r="C16" s="371">
        <f>VLOOKUP(Tableau132[[#This Row],[Nom et Prénom du salarié]],Annuaire_roster!B:F,5,0)</f>
        <v/>
      </c>
      <c r="D16" s="372" t="inlineStr">
        <is>
          <t>Google Leads</t>
        </is>
      </c>
      <c r="E16" s="379" t="inlineStr">
        <is>
          <t xml:space="preserve">OUAQERROUCH NOUR EL HOUDA </t>
        </is>
      </c>
      <c r="F16" s="373" t="inlineStr">
        <is>
          <t>GHAOUTY NISRINE</t>
        </is>
      </c>
      <c r="G16" s="380" t="n">
        <v>43270</v>
      </c>
      <c r="H16" s="378" t="n">
        <v>43272</v>
      </c>
      <c r="I16" s="380" t="n">
        <v>43272</v>
      </c>
      <c r="J16" s="376">
        <f>Tableau132[[#This Row],[Date de reprise]]-Tableau132[[#This Row],[Date début de l''arrêt]] &amp; "j"</f>
        <v/>
      </c>
    </row>
    <row r="17" ht="15" customHeight="1" s="231">
      <c r="C17" s="371">
        <f>VLOOKUP(Tableau132[[#This Row],[Nom et Prénom du salarié]],Annuaire_roster!B:F,5,0)</f>
        <v/>
      </c>
      <c r="D17" s="372" t="inlineStr">
        <is>
          <t>Google Leads</t>
        </is>
      </c>
      <c r="E17" s="379" t="inlineStr">
        <is>
          <t xml:space="preserve">OUAQERROUCH NOUR EL HOUDA </t>
        </is>
      </c>
      <c r="F17" s="379" t="inlineStr">
        <is>
          <t>ADERBAZ KAWTAR</t>
        </is>
      </c>
      <c r="G17" s="381" t="n">
        <v>43273</v>
      </c>
      <c r="H17" s="381" t="n">
        <v>43274</v>
      </c>
      <c r="I17" s="380" t="n">
        <v>43273</v>
      </c>
      <c r="J17" s="376">
        <f>Tableau132[[#This Row],[Date de reprise]]-Tableau132[[#This Row],[Date début de l''arrêt]] &amp; "j"</f>
        <v/>
      </c>
    </row>
    <row r="18" ht="15" customHeight="1" s="231">
      <c r="C18" s="371">
        <f>VLOOKUP(Tableau132[[#This Row],[Nom et Prénom du salarié]],Annuaire_roster!B:F,5,0)</f>
        <v/>
      </c>
      <c r="D18" s="372" t="inlineStr">
        <is>
          <t>Google Leads</t>
        </is>
      </c>
      <c r="E18" s="379" t="inlineStr">
        <is>
          <t xml:space="preserve">OUAQERROUCH NOUR EL HOUDA </t>
        </is>
      </c>
      <c r="F18" s="373" t="inlineStr">
        <is>
          <t>MASSROUR MOUNIA</t>
        </is>
      </c>
      <c r="G18" s="380" t="n">
        <v>43289</v>
      </c>
      <c r="H18" s="381" t="n">
        <v>43290</v>
      </c>
      <c r="I18" s="380" t="n">
        <v>43292</v>
      </c>
      <c r="J18" s="376">
        <f>Tableau132[[#This Row],[Date de reprise]]-Tableau132[[#This Row],[Date début de l''arrêt]] &amp; "j"</f>
        <v/>
      </c>
    </row>
    <row r="19" ht="15" customHeight="1" s="231">
      <c r="C19" s="371">
        <f>VLOOKUP(Tableau132[[#This Row],[Nom et Prénom du salarié]],Annuaire_roster!B:F,5,0)</f>
        <v/>
      </c>
      <c r="D19" s="372" t="inlineStr">
        <is>
          <t>Google Leads</t>
        </is>
      </c>
      <c r="E19" s="379" t="inlineStr">
        <is>
          <t xml:space="preserve">OUAQERROUCH NOUR EL HOUDA </t>
        </is>
      </c>
      <c r="F19" s="373" t="inlineStr">
        <is>
          <t>SAIDI SAMIA</t>
        </is>
      </c>
      <c r="G19" s="380" t="n">
        <v>43291</v>
      </c>
      <c r="H19" s="381" t="n">
        <v>43292</v>
      </c>
      <c r="I19" s="380" t="n">
        <v>43292</v>
      </c>
      <c r="J19" s="376">
        <f>Tableau132[[#This Row],[Date de reprise]]-Tableau132[[#This Row],[Date début de l''arrêt]] &amp; "j"</f>
        <v/>
      </c>
    </row>
    <row r="20" ht="15" customHeight="1" s="231">
      <c r="C20" s="371">
        <f>VLOOKUP(Tableau132[[#This Row],[Nom et Prénom du salarié]],Annuaire_roster!B:F,5,0)</f>
        <v/>
      </c>
      <c r="D20" s="372" t="inlineStr">
        <is>
          <t>Google Leads</t>
        </is>
      </c>
      <c r="E20" s="379" t="inlineStr">
        <is>
          <t xml:space="preserve">OUAQERROUCH NOUR EL HOUDA </t>
        </is>
      </c>
      <c r="F20" s="373" t="inlineStr">
        <is>
          <t>ADERBAZ KAWTAR</t>
        </is>
      </c>
      <c r="G20" s="380" t="n">
        <v>43291</v>
      </c>
      <c r="H20" s="381" t="n">
        <v>43294</v>
      </c>
      <c r="I20" s="381" t="n">
        <v>43293</v>
      </c>
      <c r="J20" s="376">
        <f>Tableau132[[#This Row],[Date de reprise]]-Tableau132[[#This Row],[Date début de l''arrêt]] &amp; "j"</f>
        <v/>
      </c>
    </row>
    <row r="21" ht="15" customHeight="1" s="231">
      <c r="C21" s="371">
        <f>VLOOKUP(Tableau132[[#This Row],[Nom et Prénom du salarié]],Annuaire_roster!B:F,5,0)</f>
        <v/>
      </c>
      <c r="D21" s="372" t="inlineStr">
        <is>
          <t>Google Leads</t>
        </is>
      </c>
      <c r="E21" s="379" t="inlineStr">
        <is>
          <t xml:space="preserve">OUAQERROUCH NOUR EL HOUDA </t>
        </is>
      </c>
      <c r="F21" s="373" t="inlineStr">
        <is>
          <t>HARGOUS FATIMA ZAHRA</t>
        </is>
      </c>
      <c r="G21" s="382" t="n">
        <v>43293</v>
      </c>
      <c r="H21" s="381" t="n">
        <v>43294</v>
      </c>
      <c r="I21" s="381" t="n">
        <v>43293</v>
      </c>
      <c r="J21" s="376">
        <f>Tableau132[[#This Row],[Date de reprise]]-Tableau132[[#This Row],[Date début de l''arrêt]] &amp; "j"</f>
        <v/>
      </c>
    </row>
    <row r="22" ht="15" customHeight="1" s="231">
      <c r="C22" s="371">
        <f>VLOOKUP(Tableau132[[#This Row],[Nom et Prénom du salarié]],Annuaire_roster!B:F,5,0)</f>
        <v/>
      </c>
      <c r="D22" s="383" t="inlineStr">
        <is>
          <t>Google Leads</t>
        </is>
      </c>
      <c r="E22" s="379" t="inlineStr">
        <is>
          <t>OUAQERROUCH NOURELHOUDA</t>
        </is>
      </c>
      <c r="F22" s="373" t="inlineStr">
        <is>
          <t>HARGOUS FATIMA ZAHRA</t>
        </is>
      </c>
      <c r="G22" s="381" t="n">
        <v>43298</v>
      </c>
      <c r="H22" s="381" t="n">
        <v>43299</v>
      </c>
      <c r="I22" s="380" t="n">
        <v>43299</v>
      </c>
      <c r="J22" s="376">
        <f>Tableau132[[#This Row],[Date de reprise]]-Tableau132[[#This Row],[Date début de l''arrêt]] &amp; "j"</f>
        <v/>
      </c>
    </row>
    <row r="23" ht="15" customHeight="1" s="231">
      <c r="C23" s="371">
        <f>VLOOKUP(Tableau132[[#This Row],[Nom et Prénom du salarié]],Annuaire_roster!B:F,5,0)</f>
        <v/>
      </c>
      <c r="D23" s="383" t="inlineStr">
        <is>
          <t>Google Leads</t>
        </is>
      </c>
      <c r="E23" s="379" t="inlineStr">
        <is>
          <t>OUAQERROUCH NOURELHOUDA</t>
        </is>
      </c>
      <c r="F23" s="373" t="inlineStr">
        <is>
          <t>EL BATAL AMINA</t>
        </is>
      </c>
      <c r="G23" s="380" t="n">
        <v>43299</v>
      </c>
      <c r="H23" s="380" t="n">
        <v>43300</v>
      </c>
      <c r="I23" s="380" t="n">
        <v>43300</v>
      </c>
      <c r="J23" s="376">
        <f>Tableau132[[#This Row],[Date de reprise]]-Tableau132[[#This Row],[Date début de l''arrêt]] &amp; "j"</f>
        <v/>
      </c>
    </row>
    <row r="24" ht="15" customHeight="1" s="231">
      <c r="C24" s="371">
        <f>VLOOKUP(Tableau132[[#This Row],[Nom et Prénom du salarié]],Annuaire_roster!B:F,5,0)</f>
        <v/>
      </c>
      <c r="D24" s="383" t="inlineStr">
        <is>
          <t>Google Leads</t>
        </is>
      </c>
      <c r="E24" s="379" t="inlineStr">
        <is>
          <t>OUAQERROUCH NOURELHOUDA</t>
        </is>
      </c>
      <c r="F24" s="373" t="inlineStr">
        <is>
          <t>MOUHAFIDI WALID</t>
        </is>
      </c>
      <c r="G24" s="380" t="n">
        <v>43305</v>
      </c>
      <c r="H24" s="380" t="n">
        <v>43306</v>
      </c>
      <c r="I24" s="380" t="n">
        <v>43305</v>
      </c>
      <c r="J24" s="376">
        <f>Tableau132[[#This Row],[Date de reprise]]-Tableau132[[#This Row],[Date début de l''arrêt]] &amp; "j"</f>
        <v/>
      </c>
    </row>
    <row r="25" ht="15" customHeight="1" s="231">
      <c r="C25" s="371">
        <f>VLOOKUP(Tableau132[[#This Row],[Nom et Prénom du salarié]],Annuaire_roster!B:F,5,0)</f>
        <v/>
      </c>
      <c r="D25" s="383" t="inlineStr">
        <is>
          <t>Google Leads</t>
        </is>
      </c>
      <c r="E25" s="379" t="inlineStr">
        <is>
          <t>OUAQERROUCH NOURELHOUDA</t>
        </is>
      </c>
      <c r="F25" s="373" t="inlineStr">
        <is>
          <t>LAKHIOUI MERYEM</t>
        </is>
      </c>
      <c r="G25" s="380" t="n">
        <v>43305</v>
      </c>
      <c r="H25" s="380" t="n">
        <v>43306</v>
      </c>
      <c r="I25" s="380" t="n">
        <v>43306</v>
      </c>
      <c r="J25" s="376">
        <f>Tableau132[[#This Row],[Date de reprise]]-Tableau132[[#This Row],[Date début de l''arrêt]] &amp; "j"</f>
        <v/>
      </c>
    </row>
    <row r="26" ht="15" customHeight="1" s="231">
      <c r="C26" s="371">
        <f>VLOOKUP(Tableau132[[#This Row],[Nom et Prénom du salarié]],Annuaire_roster!B:F,5,0)</f>
        <v/>
      </c>
      <c r="D26" s="383" t="inlineStr">
        <is>
          <t>Google Leads</t>
        </is>
      </c>
      <c r="E26" s="379" t="inlineStr">
        <is>
          <t>OUAQERROUCH NOURELHOUDA</t>
        </is>
      </c>
      <c r="F26" s="379" t="inlineStr">
        <is>
          <t>SANHAJI SARA</t>
        </is>
      </c>
      <c r="G26" s="380" t="n">
        <v>43306</v>
      </c>
      <c r="H26" s="380" t="n">
        <v>43311</v>
      </c>
      <c r="I26" s="380" t="n">
        <v>43307</v>
      </c>
      <c r="J26" s="376">
        <f>Tableau132[[#This Row],[Date de reprise]]-Tableau132[[#This Row],[Date début de l''arrêt]] &amp; "j"</f>
        <v/>
      </c>
    </row>
    <row r="27" ht="15" customHeight="1" s="231">
      <c r="C27" s="371">
        <f>VLOOKUP(Tableau132[[#This Row],[Nom et Prénom du salarié]],Annuaire_roster!B:F,5,0)</f>
        <v/>
      </c>
      <c r="D27" s="384" t="inlineStr">
        <is>
          <t>Google Leads</t>
        </is>
      </c>
      <c r="E27" s="373" t="inlineStr">
        <is>
          <t>OUAQERROUCH NOURELHOUDA</t>
        </is>
      </c>
      <c r="F27" s="373" t="inlineStr">
        <is>
          <t>RHATOUS HAMZA</t>
        </is>
      </c>
      <c r="G27" s="381" t="n">
        <v>43316</v>
      </c>
      <c r="H27" s="374" t="n">
        <v>43317</v>
      </c>
      <c r="I27" s="385" t="n">
        <v>43319</v>
      </c>
      <c r="J27" s="376">
        <f>Tableau132[[#This Row],[Date de reprise]]-Tableau132[[#This Row],[Date début de l''arrêt]] &amp; "j"</f>
        <v/>
      </c>
    </row>
    <row r="28" ht="15" customHeight="1" s="231">
      <c r="C28" s="371">
        <f>VLOOKUP(Tableau132[[#This Row],[Nom et Prénom du salarié]],Annuaire_roster!B:F,5,0)</f>
        <v/>
      </c>
      <c r="D28" s="383" t="inlineStr">
        <is>
          <t>Google Leads</t>
        </is>
      </c>
      <c r="E28" s="379" t="inlineStr">
        <is>
          <t>OUAQERROUCH NOURELHOUDA</t>
        </is>
      </c>
      <c r="F28" s="386" t="inlineStr">
        <is>
          <t>MASSROUR MOUNIA</t>
        </is>
      </c>
      <c r="G28" s="381" t="n">
        <v>43327</v>
      </c>
      <c r="H28" s="381" t="n">
        <v>43356</v>
      </c>
      <c r="I28" s="379" t="inlineStr">
        <is>
          <t>30Jours</t>
        </is>
      </c>
      <c r="J28" s="376">
        <f>Tableau132[[#This Row],[Date de reprise]]-Tableau132[[#This Row],[Date début de l''arrêt]] &amp; "j"</f>
        <v/>
      </c>
    </row>
    <row r="29" ht="15" customHeight="1" s="231">
      <c r="C29" s="371">
        <f>VLOOKUP(Tableau132[[#This Row],[Nom et Prénom du salarié]],Annuaire_roster!B:F,5,0)</f>
        <v/>
      </c>
      <c r="D29" s="383" t="inlineStr">
        <is>
          <t>Google Leads</t>
        </is>
      </c>
      <c r="E29" s="379" t="inlineStr">
        <is>
          <t>OUAQERROUCH NOURELHOUDA</t>
        </is>
      </c>
      <c r="F29" s="373" t="inlineStr">
        <is>
          <t>TALBI FAIROUZ</t>
        </is>
      </c>
      <c r="G29" s="380" t="n">
        <v>43333</v>
      </c>
      <c r="H29" s="380" t="n">
        <v>43335</v>
      </c>
      <c r="I29" s="380" t="n">
        <v>43334</v>
      </c>
      <c r="J29" s="376">
        <f>Tableau132[[#This Row],[Date de reprise]]-Tableau132[[#This Row],[Date début de l''arrêt]] &amp; "j"</f>
        <v/>
      </c>
    </row>
    <row r="30" ht="15" customHeight="1" s="231">
      <c r="C30" s="371">
        <f>VLOOKUP(Tableau132[[#This Row],[Nom et Prénom du salarié]],Annuaire_roster!B:F,5,0)</f>
        <v/>
      </c>
      <c r="D30" s="383" t="inlineStr">
        <is>
          <t>Google Leads</t>
        </is>
      </c>
      <c r="E30" s="379" t="inlineStr">
        <is>
          <t>OUAQERROUCH NOURELHOUDA</t>
        </is>
      </c>
      <c r="F30" s="373" t="inlineStr">
        <is>
          <t>SAIDI SAMIA</t>
        </is>
      </c>
      <c r="G30" s="380" t="n">
        <v>43345</v>
      </c>
      <c r="H30" s="380" t="n">
        <v>43347</v>
      </c>
      <c r="I30" s="380" t="n">
        <v>43347</v>
      </c>
      <c r="J30" s="376">
        <f>Tableau132[[#This Row],[Date de reprise]]-Tableau132[[#This Row],[Date début de l''arrêt]] &amp; "j"</f>
        <v/>
      </c>
    </row>
    <row r="31" ht="15" customHeight="1" s="231">
      <c r="C31" s="371">
        <f>VLOOKUP(Tableau132[[#This Row],[Nom et Prénom du salarié]],Annuaire_roster!B:F,5,0)</f>
        <v/>
      </c>
      <c r="D31" s="383" t="inlineStr">
        <is>
          <t>Google Leads</t>
        </is>
      </c>
      <c r="E31" s="379" t="inlineStr">
        <is>
          <t>OUAQERROUCH NOURELHOUDA</t>
        </is>
      </c>
      <c r="F31" s="373" t="inlineStr">
        <is>
          <t>RHATOUS HAMZA</t>
        </is>
      </c>
      <c r="G31" s="380" t="n">
        <v>43347</v>
      </c>
      <c r="H31" s="380" t="n">
        <v>43348</v>
      </c>
      <c r="I31" s="380" t="n">
        <v>43347</v>
      </c>
      <c r="J31" s="376">
        <f>Tableau132[[#This Row],[Date de reprise]]-Tableau132[[#This Row],[Date début de l''arrêt]] &amp; "j"</f>
        <v/>
      </c>
    </row>
    <row r="32" ht="15" customHeight="1" s="231">
      <c r="C32" s="371">
        <f>VLOOKUP(Tableau132[[#This Row],[Nom et Prénom du salarié]],Annuaire_roster!B:F,5,0)</f>
        <v/>
      </c>
      <c r="D32" s="372" t="inlineStr">
        <is>
          <t>Google Leads</t>
        </is>
      </c>
      <c r="E32" s="379" t="inlineStr">
        <is>
          <t xml:space="preserve">OUAQERROUCH NOUR EL HOUDA </t>
        </is>
      </c>
      <c r="F32" s="373" t="inlineStr">
        <is>
          <t>MASSROUR MOUNIA</t>
        </is>
      </c>
      <c r="G32" s="380" t="n">
        <v>43357</v>
      </c>
      <c r="H32" s="380" t="n">
        <v>43387</v>
      </c>
      <c r="I32" s="380" t="n">
        <v>43357</v>
      </c>
      <c r="J32" s="376">
        <f>Tableau132[[#This Row],[Date de reprise]]-Tableau132[[#This Row],[Date début de l''arrêt]] &amp; "j"</f>
        <v/>
      </c>
    </row>
    <row r="33" ht="15" customHeight="1" s="231">
      <c r="C33" s="371">
        <f>VLOOKUP(Tableau132[[#This Row],[Nom et Prénom du salarié]],Annuaire_roster!B:F,5,0)</f>
        <v/>
      </c>
      <c r="D33" s="372" t="inlineStr">
        <is>
          <t>Google Leads</t>
        </is>
      </c>
      <c r="E33" s="379" t="inlineStr">
        <is>
          <t xml:space="preserve">OUAQERROUCH NOUR EL HOUDA </t>
        </is>
      </c>
      <c r="F33" s="373" t="inlineStr">
        <is>
          <t>TALBI FAIROUZ</t>
        </is>
      </c>
      <c r="G33" s="380" t="n">
        <v>43364</v>
      </c>
      <c r="H33" s="380" t="n">
        <v>43366</v>
      </c>
      <c r="I33" s="380" t="n">
        <v>43365</v>
      </c>
      <c r="J33" s="376">
        <f>Tableau132[[#This Row],[Date de reprise]]-Tableau132[[#This Row],[Date début de l''arrêt]] &amp; "j"</f>
        <v/>
      </c>
    </row>
    <row r="34" ht="15" customHeight="1" s="231">
      <c r="C34" s="371">
        <f>VLOOKUP(Tableau132[[#This Row],[Nom et Prénom du salarié]],Annuaire_roster!B:F,5,0)</f>
        <v/>
      </c>
      <c r="D34" s="387" t="n"/>
      <c r="E34" s="387" t="n"/>
      <c r="F34" s="372" t="n"/>
      <c r="G34" s="380" t="n"/>
      <c r="H34" s="380" t="n"/>
      <c r="I34" s="380" t="n"/>
      <c r="J34" s="376">
        <f>Tableau132[[#This Row],[Date de reprise]]-Tableau132[[#This Row],[Date début de l''arrêt]] &amp; "j"</f>
        <v/>
      </c>
    </row>
    <row r="35" ht="15" customHeight="1" s="231">
      <c r="C35" s="371">
        <f>VLOOKUP(Tableau132[[#This Row],[Nom et Prénom du salarié]],Annuaire_roster!B:F,5,0)</f>
        <v/>
      </c>
      <c r="D35" s="387" t="n"/>
      <c r="E35" s="387" t="n"/>
      <c r="F35" s="372" t="n"/>
      <c r="G35" s="380" t="n"/>
      <c r="H35" s="380" t="n"/>
      <c r="I35" s="380" t="n"/>
      <c r="J35" s="376">
        <f>Tableau132[[#This Row],[Date de reprise]]-Tableau132[[#This Row],[Date début de l''arrêt]] &amp; "j"</f>
        <v/>
      </c>
    </row>
    <row r="36" ht="15" customHeight="1" s="231">
      <c r="C36" s="371">
        <f>VLOOKUP(Tableau132[[#This Row],[Nom et Prénom du salarié]],Annuaire_roster!B:F,5,0)</f>
        <v/>
      </c>
      <c r="D36" s="387" t="n"/>
      <c r="E36" s="387" t="n"/>
      <c r="F36" s="372" t="n"/>
      <c r="G36" s="380" t="n"/>
      <c r="H36" s="380" t="n"/>
      <c r="I36" s="380" t="n"/>
      <c r="J36" s="376">
        <f>Tableau132[[#This Row],[Date de reprise]]-Tableau132[[#This Row],[Date début de l''arrêt]] &amp; "j"</f>
        <v/>
      </c>
    </row>
    <row r="37" ht="15" customHeight="1" s="231">
      <c r="C37" s="371">
        <f>VLOOKUP(Tableau132[[#This Row],[Nom et Prénom du salarié]],Annuaire_roster!B:F,5,0)</f>
        <v/>
      </c>
      <c r="D37" s="387" t="n"/>
      <c r="E37" s="387" t="n"/>
      <c r="F37" s="372" t="n"/>
      <c r="G37" s="380" t="n"/>
      <c r="H37" s="380" t="n"/>
      <c r="I37" s="380" t="n"/>
      <c r="J37" s="376">
        <f>Tableau132[[#This Row],[Date de reprise]]-Tableau132[[#This Row],[Date début de l''arrêt]] &amp; "j"</f>
        <v/>
      </c>
    </row>
    <row r="38" ht="15" customHeight="1" s="231">
      <c r="C38" s="371">
        <f>VLOOKUP(Tableau132[[#This Row],[Nom et Prénom du salarié]],Annuaire_roster!B:F,5,0)</f>
        <v/>
      </c>
      <c r="D38" s="387" t="n"/>
      <c r="E38" s="387" t="n"/>
      <c r="F38" s="372" t="n"/>
      <c r="G38" s="380" t="n"/>
      <c r="H38" s="380" t="n"/>
      <c r="I38" s="380" t="n"/>
      <c r="J38" s="376">
        <f>Tableau132[[#This Row],[Date de reprise]]-Tableau132[[#This Row],[Date début de l''arrêt]] &amp; "j"</f>
        <v/>
      </c>
    </row>
    <row r="39" ht="15" customHeight="1" s="231">
      <c r="C39" s="371">
        <f>VLOOKUP(Tableau132[[#This Row],[Nom et Prénom du salarié]],Annuaire_roster!B:F,5,0)</f>
        <v/>
      </c>
      <c r="D39" s="387" t="n"/>
      <c r="E39" s="387" t="n"/>
      <c r="F39" s="372" t="n"/>
      <c r="G39" s="380" t="n"/>
      <c r="H39" s="380" t="n"/>
      <c r="I39" s="380" t="n"/>
      <c r="J39" s="376">
        <f>Tableau132[[#This Row],[Date de reprise]]-Tableau132[[#This Row],[Date début de l''arrêt]] &amp; "j"</f>
        <v/>
      </c>
    </row>
    <row r="40" ht="15" customHeight="1" s="231">
      <c r="C40" s="371">
        <f>VLOOKUP(Tableau132[[#This Row],[Nom et Prénom du salarié]],Annuaire_roster!B:F,5,0)</f>
        <v/>
      </c>
      <c r="D40" s="387" t="n"/>
      <c r="E40" s="387" t="n"/>
      <c r="F40" s="372" t="n"/>
      <c r="G40" s="380" t="n"/>
      <c r="H40" s="380" t="n"/>
      <c r="I40" s="380" t="n"/>
      <c r="J40" s="376">
        <f>Tableau132[[#This Row],[Date de reprise]]-Tableau132[[#This Row],[Date début de l''arrêt]] &amp; "j"</f>
        <v/>
      </c>
    </row>
    <row r="41" ht="15" customHeight="1" s="231">
      <c r="C41" s="371">
        <f>VLOOKUP(Tableau132[[#This Row],[Nom et Prénom du salarié]],Annuaire_roster!B:F,5,0)</f>
        <v/>
      </c>
      <c r="D41" s="387" t="n"/>
      <c r="E41" s="387" t="n"/>
      <c r="F41" s="372" t="n"/>
      <c r="G41" s="380" t="n"/>
      <c r="H41" s="380" t="n"/>
      <c r="I41" s="380" t="n"/>
      <c r="J41" s="376">
        <f>Tableau132[[#This Row],[Date de reprise]]-Tableau132[[#This Row],[Date début de l''arrêt]] &amp; "j"</f>
        <v/>
      </c>
    </row>
    <row r="42" ht="15" customHeight="1" s="231">
      <c r="C42" s="371">
        <f>VLOOKUP(Tableau132[[#This Row],[Nom et Prénom du salarié]],Annuaire_roster!B:F,5,0)</f>
        <v/>
      </c>
      <c r="D42" s="387" t="n"/>
      <c r="E42" s="387" t="n"/>
      <c r="F42" s="372" t="n"/>
      <c r="G42" s="380" t="n"/>
      <c r="H42" s="380" t="n"/>
      <c r="I42" s="380" t="n"/>
      <c r="J42" s="376">
        <f>Tableau132[[#This Row],[Date de reprise]]-Tableau132[[#This Row],[Date début de l''arrêt]] &amp; "j"</f>
        <v/>
      </c>
    </row>
    <row r="43" ht="15" customHeight="1" s="231">
      <c r="C43" s="371">
        <f>VLOOKUP(Tableau132[[#This Row],[Nom et Prénom du salarié]],Annuaire_roster!B:F,5,0)</f>
        <v/>
      </c>
      <c r="D43" s="387" t="n"/>
      <c r="E43" s="387" t="n"/>
      <c r="F43" s="372" t="n"/>
      <c r="G43" s="380" t="n"/>
      <c r="H43" s="380" t="n"/>
      <c r="I43" s="380" t="n"/>
      <c r="J43" s="376">
        <f>Tableau132[[#This Row],[Date de reprise]]-Tableau132[[#This Row],[Date début de l''arrêt]] &amp; "j"</f>
        <v/>
      </c>
    </row>
    <row r="44" ht="15" customHeight="1" s="231">
      <c r="C44" s="371">
        <f>VLOOKUP(Tableau132[[#This Row],[Nom et Prénom du salarié]],Annuaire_roster!B:F,5,0)</f>
        <v/>
      </c>
      <c r="D44" s="387" t="n"/>
      <c r="E44" s="387" t="n"/>
      <c r="F44" s="372" t="n"/>
      <c r="G44" s="380" t="n"/>
      <c r="H44" s="380" t="n"/>
      <c r="I44" s="380" t="n"/>
      <c r="J44" s="376">
        <f>Tableau132[[#This Row],[Date de reprise]]-Tableau132[[#This Row],[Date début de l''arrêt]] &amp; "j"</f>
        <v/>
      </c>
    </row>
    <row r="45" ht="15" customHeight="1" s="231">
      <c r="C45" s="371">
        <f>VLOOKUP(Tableau132[[#This Row],[Nom et Prénom du salarié]],Annuaire_roster!B:F,5,0)</f>
        <v/>
      </c>
      <c r="D45" s="387" t="n"/>
      <c r="E45" s="387" t="n"/>
      <c r="F45" s="372" t="n"/>
      <c r="G45" s="380" t="n"/>
      <c r="H45" s="380" t="n"/>
      <c r="I45" s="380" t="n"/>
      <c r="J45" s="376">
        <f>Tableau132[[#This Row],[Date de reprise]]-Tableau132[[#This Row],[Date début de l''arrêt]] &amp; "j"</f>
        <v/>
      </c>
    </row>
    <row r="46" ht="15" customHeight="1" s="231">
      <c r="C46" s="371">
        <f>VLOOKUP(Tableau132[[#This Row],[Nom et Prénom du salarié]],Annuaire_roster!B:F,5,0)</f>
        <v/>
      </c>
      <c r="D46" s="387" t="n"/>
      <c r="E46" s="387" t="n"/>
      <c r="F46" s="372" t="n"/>
      <c r="G46" s="380" t="n"/>
      <c r="H46" s="380" t="n"/>
      <c r="I46" s="380" t="n"/>
      <c r="J46" s="376">
        <f>Tableau132[[#This Row],[Date de reprise]]-Tableau132[[#This Row],[Date début de l''arrêt]] &amp; "j"</f>
        <v/>
      </c>
    </row>
    <row r="47" ht="15" customHeight="1" s="231">
      <c r="C47" s="371">
        <f>VLOOKUP(Tableau132[[#This Row],[Nom et Prénom du salarié]],Annuaire_roster!B:F,5,0)</f>
        <v/>
      </c>
      <c r="D47" s="387" t="n"/>
      <c r="E47" s="387" t="n"/>
      <c r="F47" s="372" t="n"/>
      <c r="G47" s="380" t="n"/>
      <c r="H47" s="380" t="n"/>
      <c r="I47" s="380" t="n"/>
      <c r="J47" s="376">
        <f>Tableau132[[#This Row],[Date de reprise]]-Tableau132[[#This Row],[Date début de l''arrêt]] &amp; "j"</f>
        <v/>
      </c>
    </row>
    <row r="48" ht="15" customHeight="1" s="231">
      <c r="C48" s="371">
        <f>VLOOKUP(Tableau132[[#This Row],[Nom et Prénom du salarié]],Annuaire_roster!B:F,5,0)</f>
        <v/>
      </c>
      <c r="D48" s="387" t="n"/>
      <c r="E48" s="387" t="n"/>
      <c r="F48" s="372" t="n"/>
      <c r="G48" s="380" t="n"/>
      <c r="H48" s="380" t="n"/>
      <c r="I48" s="380" t="n"/>
      <c r="J48" s="376">
        <f>Tableau132[[#This Row],[Date de reprise]]-Tableau132[[#This Row],[Date début de l''arrêt]] &amp; "j"</f>
        <v/>
      </c>
    </row>
    <row r="49" ht="15" customHeight="1" s="231">
      <c r="C49" s="371">
        <f>VLOOKUP(Tableau132[[#This Row],[Nom et Prénom du salarié]],Annuaire_roster!B:F,5,0)</f>
        <v/>
      </c>
      <c r="D49" s="387" t="n"/>
      <c r="E49" s="387" t="n"/>
      <c r="F49" s="372" t="n"/>
      <c r="G49" s="380" t="n"/>
      <c r="H49" s="380" t="n"/>
      <c r="I49" s="380" t="n"/>
      <c r="J49" s="376">
        <f>Tableau132[[#This Row],[Date de reprise]]-Tableau132[[#This Row],[Date début de l''arrêt]] &amp; "j"</f>
        <v/>
      </c>
    </row>
    <row r="50" ht="15" customHeight="1" s="231">
      <c r="C50" s="371">
        <f>VLOOKUP(Tableau132[[#This Row],[Nom et Prénom du salarié]],Annuaire_roster!B:F,5,0)</f>
        <v/>
      </c>
      <c r="D50" s="387" t="n"/>
      <c r="E50" s="387" t="n"/>
      <c r="F50" s="372" t="n"/>
      <c r="G50" s="380" t="n"/>
      <c r="H50" s="380" t="n"/>
      <c r="I50" s="380" t="n"/>
      <c r="J50" s="376">
        <f>Tableau132[[#This Row],[Date de reprise]]-Tableau132[[#This Row],[Date début de l''arrêt]] &amp; "j"</f>
        <v/>
      </c>
    </row>
    <row r="51" ht="15" customHeight="1" s="231">
      <c r="C51" s="371">
        <f>VLOOKUP(Tableau132[[#This Row],[Nom et Prénom du salarié]],Annuaire_roster!B:F,5,0)</f>
        <v/>
      </c>
      <c r="D51" s="387" t="n"/>
      <c r="E51" s="387" t="n"/>
      <c r="F51" s="372" t="n"/>
      <c r="G51" s="380" t="n"/>
      <c r="H51" s="380" t="n"/>
      <c r="I51" s="380" t="n"/>
      <c r="J51" s="376">
        <f>Tableau132[[#This Row],[Date de reprise]]-Tableau132[[#This Row],[Date début de l''arrêt]] &amp; "j"</f>
        <v/>
      </c>
    </row>
    <row r="52" ht="15" customHeight="1" s="231">
      <c r="C52" s="371">
        <f>VLOOKUP(Tableau132[[#This Row],[Nom et Prénom du salarié]],Annuaire_roster!B:F,5,0)</f>
        <v/>
      </c>
      <c r="D52" s="387" t="n"/>
      <c r="E52" s="387" t="n"/>
      <c r="F52" s="372" t="n"/>
      <c r="G52" s="380" t="n"/>
      <c r="H52" s="380" t="n"/>
      <c r="I52" s="380" t="n"/>
      <c r="J52" s="376">
        <f>Tableau132[[#This Row],[Date de reprise]]-Tableau132[[#This Row],[Date début de l''arrêt]] &amp; "j"</f>
        <v/>
      </c>
    </row>
    <row r="53" ht="15" customHeight="1" s="231">
      <c r="C53" s="371">
        <f>VLOOKUP(Tableau132[[#This Row],[Nom et Prénom du salarié]],Annuaire_roster!B:F,5,0)</f>
        <v/>
      </c>
      <c r="D53" s="387" t="n"/>
      <c r="E53" s="387" t="n"/>
      <c r="F53" s="372" t="n"/>
      <c r="G53" s="380" t="n"/>
      <c r="H53" s="380" t="n"/>
      <c r="I53" s="380" t="n"/>
      <c r="J53" s="376">
        <f>Tableau132[[#This Row],[Date de reprise]]-Tableau132[[#This Row],[Date début de l''arrêt]] &amp; "j"</f>
        <v/>
      </c>
    </row>
    <row r="54" ht="15" customHeight="1" s="231">
      <c r="C54" s="371">
        <f>VLOOKUP(Tableau132[[#This Row],[Nom et Prénom du salarié]],Annuaire_roster!B:F,5,0)</f>
        <v/>
      </c>
      <c r="D54" s="387" t="n"/>
      <c r="E54" s="387" t="n"/>
      <c r="F54" s="372" t="n"/>
      <c r="G54" s="380" t="n"/>
      <c r="H54" s="380" t="n"/>
      <c r="I54" s="380" t="n"/>
      <c r="J54" s="376">
        <f>Tableau132[[#This Row],[Date de reprise]]-Tableau132[[#This Row],[Date début de l''arrêt]] &amp; "j"</f>
        <v/>
      </c>
    </row>
    <row r="55" ht="15" customHeight="1" s="231">
      <c r="C55" s="371">
        <f>VLOOKUP(Tableau132[[#This Row],[Nom et Prénom du salarié]],Annuaire_roster!B:F,5,0)</f>
        <v/>
      </c>
      <c r="D55" s="387" t="n"/>
      <c r="E55" s="387" t="n"/>
      <c r="F55" s="372" t="n"/>
      <c r="G55" s="380" t="n"/>
      <c r="H55" s="380" t="n"/>
      <c r="I55" s="380" t="n"/>
      <c r="J55" s="376">
        <f>Tableau132[[#This Row],[Date de reprise]]-Tableau132[[#This Row],[Date début de l''arrêt]] &amp; "j"</f>
        <v/>
      </c>
    </row>
    <row r="56" ht="15" customHeight="1" s="231">
      <c r="C56" s="371">
        <f>VLOOKUP(Tableau132[[#This Row],[Nom et Prénom du salarié]],Annuaire_roster!B:F,5,0)</f>
        <v/>
      </c>
      <c r="D56" s="387" t="n"/>
      <c r="E56" s="387" t="n"/>
      <c r="F56" s="372" t="n"/>
      <c r="G56" s="380" t="n"/>
      <c r="H56" s="380" t="n"/>
      <c r="I56" s="380" t="n"/>
      <c r="J56" s="376">
        <f>Tableau132[[#This Row],[Date de reprise]]-Tableau132[[#This Row],[Date début de l''arrêt]] &amp; "j"</f>
        <v/>
      </c>
    </row>
    <row r="57" ht="15" customHeight="1" s="231">
      <c r="C57" s="371">
        <f>VLOOKUP(Tableau132[[#This Row],[Nom et Prénom du salarié]],Annuaire_roster!B:F,5,0)</f>
        <v/>
      </c>
      <c r="D57" s="387" t="n"/>
      <c r="E57" s="387" t="n"/>
      <c r="F57" s="372" t="n"/>
      <c r="G57" s="380" t="n"/>
      <c r="H57" s="380" t="n"/>
      <c r="I57" s="380" t="n"/>
      <c r="J57" s="376">
        <f>Tableau132[[#This Row],[Date de reprise]]-Tableau132[[#This Row],[Date début de l''arrêt]] &amp; "j"</f>
        <v/>
      </c>
    </row>
    <row r="58" ht="15" customHeight="1" s="231">
      <c r="C58" s="371">
        <f>VLOOKUP(Tableau132[[#This Row],[Nom et Prénom du salarié]],Annuaire_roster!B:F,5,0)</f>
        <v/>
      </c>
      <c r="D58" s="387" t="n"/>
      <c r="E58" s="387" t="n"/>
      <c r="F58" s="372" t="n"/>
      <c r="G58" s="380" t="n"/>
      <c r="H58" s="380" t="n"/>
      <c r="I58" s="380" t="n"/>
      <c r="J58" s="376">
        <f>Tableau132[[#This Row],[Date de reprise]]-Tableau132[[#This Row],[Date début de l''arrêt]] &amp; "j"</f>
        <v/>
      </c>
    </row>
    <row r="59" ht="15" customHeight="1" s="231">
      <c r="C59" s="371">
        <f>VLOOKUP(Tableau132[[#This Row],[Nom et Prénom du salarié]],Annuaire_roster!B:F,5,0)</f>
        <v/>
      </c>
      <c r="D59" s="387" t="n"/>
      <c r="E59" s="387" t="n"/>
      <c r="F59" s="387" t="n"/>
      <c r="G59" s="380" t="n"/>
      <c r="H59" s="380" t="n"/>
      <c r="I59" s="380" t="n"/>
      <c r="J59" s="376">
        <f>Tableau132[[#This Row],[Date de reprise]]-Tableau132[[#This Row],[Date début de l''arrêt]] &amp; "j"</f>
        <v/>
      </c>
    </row>
    <row r="60" ht="15" customHeight="1" s="231">
      <c r="C60" s="371">
        <f>VLOOKUP(Tableau132[[#This Row],[Nom et Prénom du salarié]],Annuaire_roster!B:F,5,0)</f>
        <v/>
      </c>
      <c r="D60" s="387" t="n"/>
      <c r="E60" s="387" t="n"/>
      <c r="F60" s="387" t="n"/>
      <c r="G60" s="380" t="n"/>
      <c r="H60" s="380" t="n"/>
      <c r="I60" s="380" t="n"/>
      <c r="J60" s="376">
        <f>Tableau132[[#This Row],[Date de reprise]]-Tableau132[[#This Row],[Date début de l''arrêt]] &amp; "j"</f>
        <v/>
      </c>
    </row>
    <row r="61" ht="15" customHeight="1" s="231">
      <c r="C61" s="371">
        <f>VLOOKUP(Tableau132[[#This Row],[Nom et Prénom du salarié]],Annuaire_roster!B:F,5,0)</f>
        <v/>
      </c>
      <c r="D61" s="387" t="n"/>
      <c r="E61" s="387" t="n"/>
      <c r="F61" s="387" t="n"/>
      <c r="G61" s="380" t="n"/>
      <c r="H61" s="380" t="n"/>
      <c r="I61" s="380" t="n"/>
      <c r="J61" s="376">
        <f>Tableau132[[#This Row],[Date de reprise]]-Tableau132[[#This Row],[Date début de l''arrêt]] &amp; "j"</f>
        <v/>
      </c>
    </row>
    <row r="62" ht="15" customHeight="1" s="231">
      <c r="C62" s="371">
        <f>VLOOKUP(Tableau132[[#This Row],[Nom et Prénom du salarié]],Annuaire_roster!B:F,5,0)</f>
        <v/>
      </c>
      <c r="D62" s="387" t="n"/>
      <c r="E62" s="387" t="n"/>
      <c r="F62" s="387" t="n"/>
      <c r="G62" s="380" t="n"/>
      <c r="H62" s="380" t="n"/>
      <c r="I62" s="380" t="n"/>
      <c r="J62" s="376">
        <f>Tableau132[[#This Row],[Date de reprise]]-Tableau132[[#This Row],[Date début de l''arrêt]] &amp; "j"</f>
        <v/>
      </c>
    </row>
    <row r="63" ht="15" customHeight="1" s="231">
      <c r="C63" s="371">
        <f>VLOOKUP(Tableau132[[#This Row],[Nom et Prénom du salarié]],Annuaire_roster!B:F,5,0)</f>
        <v/>
      </c>
      <c r="D63" s="387" t="n"/>
      <c r="E63" s="387" t="n"/>
      <c r="F63" s="387" t="n"/>
      <c r="G63" s="380" t="n"/>
      <c r="H63" s="380" t="n"/>
      <c r="I63" s="380" t="n"/>
      <c r="J63" s="376">
        <f>Tableau132[[#This Row],[Date de reprise]]-Tableau132[[#This Row],[Date début de l''arrêt]] &amp; "j"</f>
        <v/>
      </c>
    </row>
    <row r="64" ht="15" customHeight="1" s="231">
      <c r="C64" s="371">
        <f>VLOOKUP(Tableau132[[#This Row],[Nom et Prénom du salarié]],Annuaire_roster!B:F,5,0)</f>
        <v/>
      </c>
      <c r="D64" s="387" t="n"/>
      <c r="E64" s="387" t="n"/>
      <c r="F64" s="387" t="n"/>
      <c r="G64" s="380" t="n"/>
      <c r="H64" s="380" t="n"/>
      <c r="I64" s="380" t="n"/>
      <c r="J64" s="376">
        <f>Tableau132[[#This Row],[Date de reprise]]-Tableau132[[#This Row],[Date début de l''arrêt]] &amp; "j"</f>
        <v/>
      </c>
    </row>
    <row r="65" ht="15" customHeight="1" s="231">
      <c r="H65" s="216" t="n"/>
    </row>
    <row r="66" ht="15" customHeight="1" s="231">
      <c r="H66" s="216" t="n"/>
    </row>
    <row r="67" ht="15" customHeight="1" s="231">
      <c r="H67" s="216" t="n"/>
    </row>
    <row r="68" ht="15" customHeight="1" s="231">
      <c r="H68" s="216" t="n"/>
    </row>
    <row r="69" ht="15" customHeight="1" s="231">
      <c r="H69" s="216" t="n"/>
    </row>
    <row r="70" ht="15" customHeight="1" s="231">
      <c r="H70" s="216" t="n"/>
    </row>
    <row r="71" ht="15" customHeight="1" s="231">
      <c r="H71" s="216" t="n"/>
    </row>
    <row r="72" ht="15" customHeight="1" s="231">
      <c r="H72" s="216" t="n"/>
    </row>
    <row r="73" ht="15" customHeight="1" s="231">
      <c r="H73" s="216" t="n"/>
    </row>
    <row r="74" ht="15" customHeight="1" s="231">
      <c r="H74" s="216" t="n"/>
    </row>
    <row r="75" ht="15" customHeight="1" s="231">
      <c r="H75" s="216" t="n"/>
    </row>
    <row r="76" ht="15" customHeight="1" s="231">
      <c r="H76" s="216" t="n"/>
    </row>
    <row r="77" ht="15" customHeight="1" s="231">
      <c r="H77" s="216" t="n"/>
    </row>
    <row r="78" ht="15" customHeight="1" s="231">
      <c r="H78" s="216" t="n"/>
    </row>
    <row r="79" ht="15" customHeight="1" s="231">
      <c r="H79" s="216" t="n"/>
    </row>
    <row r="80" ht="15" customHeight="1" s="231">
      <c r="H80" s="216" t="n"/>
    </row>
    <row r="81" ht="15" customHeight="1" s="231">
      <c r="H81" s="216" t="n"/>
    </row>
    <row r="82" ht="15" customHeight="1" s="231">
      <c r="H82" s="216" t="n"/>
    </row>
    <row r="83" ht="15" customHeight="1" s="231">
      <c r="H83" s="216" t="n"/>
    </row>
    <row r="84" ht="15" customHeight="1" s="231">
      <c r="H84" s="216" t="n"/>
    </row>
    <row r="85" ht="15" customHeight="1" s="231">
      <c r="H85" s="216" t="n"/>
    </row>
    <row r="86" ht="15" customHeight="1" s="231">
      <c r="H86" s="216" t="n"/>
    </row>
    <row r="87" ht="15" customHeight="1" s="231">
      <c r="H87" s="216" t="n"/>
    </row>
    <row r="88" ht="15" customHeight="1" s="231">
      <c r="H88" s="216" t="n"/>
    </row>
    <row r="89" ht="15" customHeight="1" s="231">
      <c r="H89" s="216" t="n"/>
    </row>
    <row r="90" ht="15" customHeight="1" s="231">
      <c r="H90" s="216" t="n"/>
    </row>
    <row r="91" ht="15" customHeight="1" s="231">
      <c r="H91" s="216" t="n"/>
    </row>
    <row r="92" ht="15" customHeight="1" s="231">
      <c r="H92" s="216" t="n"/>
    </row>
    <row r="93" ht="15" customHeight="1" s="231">
      <c r="H93" s="216" t="n"/>
    </row>
    <row r="94" ht="15" customHeight="1" s="231">
      <c r="H94" s="216" t="n"/>
    </row>
    <row r="95" ht="15" customHeight="1" s="231">
      <c r="H95" s="216" t="n"/>
    </row>
    <row r="96" ht="15" customHeight="1" s="231">
      <c r="H96" s="216" t="n"/>
    </row>
    <row r="97" ht="15" customHeight="1" s="231">
      <c r="H97" s="216" t="n"/>
    </row>
    <row r="98" ht="15" customHeight="1" s="231">
      <c r="H98" s="216" t="n"/>
    </row>
    <row r="99" ht="15" customHeight="1" s="231">
      <c r="H99" s="216" t="n"/>
    </row>
    <row r="100" ht="15" customHeight="1" s="231">
      <c r="H100" s="216" t="n"/>
    </row>
    <row r="101" ht="15" customHeight="1" s="231">
      <c r="H101" s="216" t="n"/>
    </row>
    <row r="102" ht="15" customHeight="1" s="231">
      <c r="H102" s="216" t="n"/>
    </row>
    <row r="103" ht="15" customHeight="1" s="231">
      <c r="H103" s="216" t="n"/>
    </row>
    <row r="104" ht="15" customHeight="1" s="231">
      <c r="H104" s="216" t="n"/>
    </row>
    <row r="105" ht="15" customHeight="1" s="231">
      <c r="H105" s="216" t="n"/>
    </row>
    <row r="106" ht="15" customHeight="1" s="231">
      <c r="H106" s="216" t="n"/>
    </row>
    <row r="107" ht="15" customHeight="1" s="231">
      <c r="H107" s="216" t="n"/>
    </row>
    <row r="108" ht="15" customHeight="1" s="231">
      <c r="H108" s="216" t="n"/>
    </row>
    <row r="109" ht="15" customHeight="1" s="231">
      <c r="H109" s="216" t="n"/>
    </row>
    <row r="110" ht="15" customHeight="1" s="231">
      <c r="H110" s="216" t="n"/>
    </row>
    <row r="111" ht="15" customHeight="1" s="231">
      <c r="H111" s="216" t="n"/>
    </row>
    <row r="112" ht="15" customHeight="1" s="231">
      <c r="H112" s="216" t="n"/>
    </row>
    <row r="113" ht="15" customHeight="1" s="231">
      <c r="H113" s="216" t="n"/>
    </row>
    <row r="114" ht="15" customHeight="1" s="231">
      <c r="H114" s="216" t="n"/>
    </row>
    <row r="115" ht="15" customHeight="1" s="231">
      <c r="H115" s="216" t="n"/>
    </row>
    <row r="116" ht="15" customHeight="1" s="231">
      <c r="H116" s="216" t="n"/>
    </row>
    <row r="117" ht="15" customHeight="1" s="231">
      <c r="H117" s="216" t="n"/>
    </row>
    <row r="118" ht="15" customHeight="1" s="231">
      <c r="H118" s="216" t="n"/>
    </row>
    <row r="119" ht="15" customHeight="1" s="231">
      <c r="H119" s="216" t="n"/>
    </row>
    <row r="120" ht="15" customHeight="1" s="231">
      <c r="H120" s="216" t="n"/>
    </row>
    <row r="121" ht="15" customHeight="1" s="231">
      <c r="H121" s="216" t="n"/>
    </row>
    <row r="122" ht="15" customHeight="1" s="231">
      <c r="H122" s="216" t="n"/>
    </row>
    <row r="123" ht="15" customHeight="1" s="231">
      <c r="H123" s="216" t="n"/>
    </row>
    <row r="124" ht="15" customHeight="1" s="231">
      <c r="H124" s="216" t="n"/>
    </row>
    <row r="125" ht="15" customHeight="1" s="231">
      <c r="H125" s="216" t="n"/>
    </row>
    <row r="126" ht="15" customHeight="1" s="231">
      <c r="H126" s="216" t="n"/>
    </row>
    <row r="127" ht="15" customHeight="1" s="231">
      <c r="H127" s="216" t="n"/>
    </row>
    <row r="128" ht="15" customHeight="1" s="231">
      <c r="H128" s="216" t="n"/>
    </row>
    <row r="129" ht="15" customHeight="1" s="231">
      <c r="H129" s="216" t="n"/>
    </row>
    <row r="130" ht="15" customHeight="1" s="231">
      <c r="H130" s="216" t="n"/>
    </row>
    <row r="131" ht="15" customHeight="1" s="231">
      <c r="H131" s="216" t="n"/>
    </row>
    <row r="132" ht="15" customHeight="1" s="231">
      <c r="H132" s="216" t="n"/>
    </row>
    <row r="133" ht="15" customHeight="1" s="231">
      <c r="H133" s="216" t="n"/>
    </row>
    <row r="134" ht="15" customHeight="1" s="231">
      <c r="H134" s="216" t="n"/>
    </row>
    <row r="135" ht="15" customHeight="1" s="231">
      <c r="H135" s="216" t="n"/>
    </row>
    <row r="136" ht="15" customHeight="1" s="231">
      <c r="H136" s="216" t="n"/>
    </row>
    <row r="137" ht="15" customHeight="1" s="231">
      <c r="H137" s="216" t="n"/>
    </row>
    <row r="138" ht="15" customHeight="1" s="231">
      <c r="H138" s="216" t="n"/>
    </row>
    <row r="139" ht="15" customHeight="1" s="231">
      <c r="H139" s="216" t="n"/>
    </row>
    <row r="140" ht="15" customHeight="1" s="231">
      <c r="H140" s="216" t="n"/>
    </row>
    <row r="141" ht="15" customHeight="1" s="231">
      <c r="H141" s="216" t="n"/>
    </row>
    <row r="142" ht="15" customHeight="1" s="231">
      <c r="H142" s="216" t="n"/>
    </row>
    <row r="143" ht="15" customHeight="1" s="231">
      <c r="H143" s="216" t="n"/>
    </row>
    <row r="144" ht="15" customHeight="1" s="231">
      <c r="H144" s="216" t="n"/>
    </row>
    <row r="145" ht="15" customHeight="1" s="231">
      <c r="H145" s="216" t="n"/>
    </row>
    <row r="146" ht="15" customHeight="1" s="231">
      <c r="H146" s="216" t="n"/>
    </row>
    <row r="147" ht="15" customHeight="1" s="231">
      <c r="H147" s="216" t="n"/>
    </row>
    <row r="148" ht="15" customHeight="1" s="231">
      <c r="H148" s="216" t="n"/>
    </row>
    <row r="149" ht="15" customHeight="1" s="231">
      <c r="H149" s="216" t="n"/>
    </row>
    <row r="150" ht="15" customHeight="1" s="231">
      <c r="H150" s="216" t="n"/>
    </row>
    <row r="151" ht="15" customHeight="1" s="231">
      <c r="H151" s="216" t="n"/>
    </row>
    <row r="152" ht="15" customHeight="1" s="231">
      <c r="H152" s="216" t="n"/>
    </row>
    <row r="153" ht="15" customHeight="1" s="231">
      <c r="H153" s="216" t="n"/>
    </row>
    <row r="154" ht="15" customHeight="1" s="231">
      <c r="H154" s="216" t="n"/>
    </row>
    <row r="155" ht="15" customHeight="1" s="231">
      <c r="H155" s="216" t="n"/>
    </row>
    <row r="156" ht="15" customHeight="1" s="231">
      <c r="H156" s="216" t="n"/>
    </row>
    <row r="157" ht="15" customHeight="1" s="231">
      <c r="H157" s="216" t="n"/>
    </row>
    <row r="158" ht="15" customHeight="1" s="231">
      <c r="H158" s="216" t="n"/>
    </row>
    <row r="159" ht="15" customHeight="1" s="231">
      <c r="H159" s="216" t="n"/>
    </row>
  </sheetData>
  <conditionalFormatting sqref="H23:H26 H29:H159">
    <cfRule type="expression" rank="0" priority="2" equalAverage="0" aboveAverage="0" dxfId="127" text="" percent="0" bottom="0">
      <formula>LEN(TRIM(H23))=0</formula>
    </cfRule>
    <cfRule type="cellIs" rank="0" priority="3" equalAverage="0" operator="lessThanOrEqual" aboveAverage="0" dxfId="57" text="" percent="0" bottom="0">
      <formula>$B$5</formula>
    </cfRule>
    <cfRule type="cellIs" rank="0" priority="4" equalAverage="0" operator="greaterThan" aboveAverage="0" dxfId="129" text="" percent="0" bottom="0">
      <formula>$B$5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Q4033"/>
  <sheetViews>
    <sheetView showFormulas="0" showGridLines="1" showRowColHeaders="1" showZeros="1" rightToLeft="0" tabSelected="0" showOutlineSymbols="1" defaultGridColor="1" view="normal" topLeftCell="A268" colorId="64" zoomScale="100" zoomScaleNormal="100" zoomScalePageLayoutView="100" workbookViewId="0">
      <selection pane="topLeft" activeCell="A296" activeCellId="0" sqref="A296"/>
    </sheetView>
  </sheetViews>
  <sheetFormatPr baseColWidth="8" defaultColWidth="8.71484375" defaultRowHeight="15" zeroHeight="0" outlineLevelRow="0"/>
  <cols>
    <col width="16" customWidth="1" style="388" min="1" max="10"/>
    <col width="16" customWidth="1" style="389" min="11" max="15"/>
    <col width="8.710000000000001" customWidth="1" style="389" min="16" max="17"/>
    <col width="8.710000000000001" customWidth="1" style="390" min="18" max="16384"/>
  </cols>
  <sheetData>
    <row r="1" ht="15" customHeight="1" s="231">
      <c r="A1" s="391" t="inlineStr">
        <is>
          <t>Jour_Deb (AAAAMMJJ)</t>
        </is>
      </c>
      <c r="B1" s="391" t="inlineStr">
        <is>
          <t>ACTIVITE</t>
        </is>
      </c>
      <c r="C1" s="391" t="inlineStr">
        <is>
          <t>SITE</t>
        </is>
      </c>
      <c r="D1" s="391" t="inlineStr">
        <is>
          <t>EMPLOYEE_ID</t>
        </is>
      </c>
      <c r="E1" s="391" t="inlineStr">
        <is>
          <t>RESOURCE_NAME</t>
        </is>
      </c>
      <c r="F1" s="391" t="inlineStr">
        <is>
          <t>LOGIN TIME</t>
        </is>
      </c>
      <c r="G1" s="391" t="inlineStr">
        <is>
          <t>LOGOUT TIME</t>
        </is>
      </c>
      <c r="H1" s="391" t="inlineStr">
        <is>
          <t>SESSION DURATION</t>
        </is>
      </c>
      <c r="I1" s="391" t="inlineStr">
        <is>
          <t>MEDIA</t>
        </is>
      </c>
      <c r="J1" s="391" t="inlineStr">
        <is>
          <t>SUPERVISEUR</t>
        </is>
      </c>
      <c r="K1" s="392" t="inlineStr">
        <is>
          <t>Jour_Deb (JJ/MM/AAAA)</t>
        </is>
      </c>
      <c r="L1" s="392" t="inlineStr">
        <is>
          <t>LOGIN DATE</t>
        </is>
      </c>
      <c r="M1" s="392" t="inlineStr">
        <is>
          <t>LOGIN HEURE</t>
        </is>
      </c>
      <c r="N1" s="392" t="inlineStr">
        <is>
          <t>LOGOUT DATE</t>
        </is>
      </c>
      <c r="O1" s="392" t="inlineStr">
        <is>
          <t>LOGOUT HEURE</t>
        </is>
      </c>
      <c r="P1" s="392" t="inlineStr">
        <is>
          <t>PROCHAIN LOGIN (meme jour)</t>
        </is>
      </c>
      <c r="Q1" s="392" t="inlineStr">
        <is>
          <t>ECART AVANT PROCHAIN LOGIN</t>
        </is>
      </c>
    </row>
    <row r="2" ht="15" customHeight="1" s="231">
      <c r="A2" s="393" t="inlineStr">
        <is>
          <t>20260718</t>
        </is>
      </c>
      <c r="B2" s="393" t="inlineStr">
        <is>
          <t>LEADS GOOGLE</t>
        </is>
      </c>
      <c r="C2" s="393" t="inlineStr">
        <is>
          <t>RABAT</t>
        </is>
      </c>
      <c r="D2" s="393" t="inlineStr">
        <is>
          <t>8858466_IPSBLAZ</t>
        </is>
      </c>
      <c r="E2" s="393" t="inlineStr">
        <is>
          <t>ABILLAAL</t>
        </is>
      </c>
      <c r="F2" s="393" t="inlineStr">
        <is>
          <t>2026-07-18 08:54:56</t>
        </is>
      </c>
      <c r="G2" s="393" t="inlineStr">
        <is>
          <t>2026-07-18 13:00:19</t>
        </is>
      </c>
      <c r="H2" s="394" t="n">
        <v>14723</v>
      </c>
      <c r="I2" s="393" t="inlineStr">
        <is>
          <t>Voice</t>
        </is>
      </c>
      <c r="J2" s="393" t="inlineStr">
        <is>
          <t>RHOUDAOT</t>
        </is>
      </c>
      <c r="K2" s="395">
        <f>DATE(VALUE(LEFT(A2,4)),VALUE(MID(A2,5,2)),VALUE(RIGHT(A2,2)))</f>
        <v/>
      </c>
      <c r="L2" s="395">
        <f>DATEVALUE(LEFT(F2,10))</f>
        <v/>
      </c>
      <c r="M2" s="396">
        <f>TIMEVALUE(MID(F2,12,8))</f>
        <v/>
      </c>
      <c r="N2" s="395">
        <f>DATEVALUE(LEFT(G2,10))</f>
        <v/>
      </c>
      <c r="O2" s="396">
        <f>TIMEVALUE(MID(G2,12,8))</f>
        <v/>
      </c>
      <c r="P2" s="396">
        <f>IFERROR(_xlfn.MINIFS($M:$M,$E:$E,$E2,$K:$K,$K2,$M:$M,"&gt;"&amp;$O2),"")</f>
        <v/>
      </c>
      <c r="Q2" s="396">
        <f>IF($P2="","",$P2-$O2)</f>
        <v/>
      </c>
    </row>
    <row r="3" ht="15" customHeight="1" s="231">
      <c r="A3" s="393" t="inlineStr">
        <is>
          <t>20260718</t>
        </is>
      </c>
      <c r="B3" s="393" t="inlineStr">
        <is>
          <t>LEADS GOOGLE</t>
        </is>
      </c>
      <c r="C3" s="393" t="inlineStr">
        <is>
          <t>RABAT</t>
        </is>
      </c>
      <c r="D3" s="393" t="inlineStr">
        <is>
          <t>8858466_IPSBLAZ</t>
        </is>
      </c>
      <c r="E3" s="393" t="inlineStr">
        <is>
          <t>ABILLAAL</t>
        </is>
      </c>
      <c r="F3" s="393" t="inlineStr">
        <is>
          <t>2026-07-18 14:01:04</t>
        </is>
      </c>
      <c r="G3" s="393" t="inlineStr">
        <is>
          <t>2026-07-18 19:00:02</t>
        </is>
      </c>
      <c r="H3" s="394" t="n">
        <v>17938</v>
      </c>
      <c r="I3" s="393" t="inlineStr">
        <is>
          <t>Voice</t>
        </is>
      </c>
      <c r="J3" s="393" t="inlineStr">
        <is>
          <t>RHOUDAOT</t>
        </is>
      </c>
      <c r="K3" s="395">
        <f>DATE(VALUE(LEFT(A3,4)),VALUE(MID(A3,5,2)),VALUE(RIGHT(A3,2)))</f>
        <v/>
      </c>
      <c r="L3" s="395">
        <f>DATEVALUE(LEFT(F3,10))</f>
        <v/>
      </c>
      <c r="M3" s="396">
        <f>TIMEVALUE(MID(F3,12,8))</f>
        <v/>
      </c>
      <c r="N3" s="395">
        <f>DATEVALUE(LEFT(G3,10))</f>
        <v/>
      </c>
      <c r="O3" s="396">
        <f>TIMEVALUE(MID(G3,12,8))</f>
        <v/>
      </c>
      <c r="P3" s="396">
        <f>IFERROR(_xlfn.MINIFS($M:$M,$E:$E,$E3,$K:$K,$K3,$M:$M,"&gt;"&amp;$O3),"")</f>
        <v/>
      </c>
      <c r="Q3" s="396">
        <f>IF($P3="","",$P3-$O3)</f>
        <v/>
      </c>
    </row>
    <row r="4" ht="15" customHeight="1" s="231">
      <c r="A4" s="393" t="inlineStr">
        <is>
          <t>20260718</t>
        </is>
      </c>
      <c r="B4" s="393" t="inlineStr">
        <is>
          <t>LEADS GOOGLE</t>
        </is>
      </c>
      <c r="C4" s="393" t="inlineStr">
        <is>
          <t>RABAT</t>
        </is>
      </c>
      <c r="D4" s="393" t="inlineStr">
        <is>
          <t>8858613_IPSAIHX</t>
        </is>
      </c>
      <c r="E4" s="393" t="inlineStr">
        <is>
          <t>AITLARHD</t>
        </is>
      </c>
      <c r="F4" s="393" t="inlineStr">
        <is>
          <t>2026-07-18 08:59:31</t>
        </is>
      </c>
      <c r="G4" s="393" t="inlineStr">
        <is>
          <t>2026-07-18 14:00:01</t>
        </is>
      </c>
      <c r="H4" s="394" t="n">
        <v>18030</v>
      </c>
      <c r="I4" s="393" t="inlineStr">
        <is>
          <t>Voice</t>
        </is>
      </c>
      <c r="J4" s="393" t="inlineStr">
        <is>
          <t>HAOUACIK</t>
        </is>
      </c>
      <c r="K4" s="395">
        <f>DATE(VALUE(LEFT(A4,4)),VALUE(MID(A4,5,2)),VALUE(RIGHT(A4,2)))</f>
        <v/>
      </c>
      <c r="L4" s="395">
        <f>DATEVALUE(LEFT(F4,10))</f>
        <v/>
      </c>
      <c r="M4" s="396">
        <f>TIMEVALUE(MID(F4,12,8))</f>
        <v/>
      </c>
      <c r="N4" s="395">
        <f>DATEVALUE(LEFT(G4,10))</f>
        <v/>
      </c>
      <c r="O4" s="396">
        <f>TIMEVALUE(MID(G4,12,8))</f>
        <v/>
      </c>
      <c r="P4" s="396">
        <f>IFERROR(_xlfn.MINIFS($M:$M,$E:$E,$E4,$K:$K,$K4,$M:$M,"&gt;"&amp;$O4),"")</f>
        <v/>
      </c>
      <c r="Q4" s="396">
        <f>IF($P4="","",$P4-$O4)</f>
        <v/>
      </c>
    </row>
    <row r="5" ht="15" customHeight="1" s="231">
      <c r="A5" s="393" t="inlineStr">
        <is>
          <t>20260718</t>
        </is>
      </c>
      <c r="B5" s="393" t="inlineStr">
        <is>
          <t>LEADS GOOGLE</t>
        </is>
      </c>
      <c r="C5" s="393" t="inlineStr">
        <is>
          <t>RABAT</t>
        </is>
      </c>
      <c r="D5" s="393" t="inlineStr">
        <is>
          <t>8858613_IPSAIHX</t>
        </is>
      </c>
      <c r="E5" s="393" t="inlineStr">
        <is>
          <t>AITLARHD</t>
        </is>
      </c>
      <c r="F5" s="393" t="inlineStr">
        <is>
          <t>2026-07-18 14:59:38</t>
        </is>
      </c>
      <c r="G5" s="393" t="inlineStr">
        <is>
          <t>2026-07-18 19:00:29</t>
        </is>
      </c>
      <c r="H5" s="394" t="n">
        <v>14451</v>
      </c>
      <c r="I5" s="393" t="inlineStr">
        <is>
          <t>Voice</t>
        </is>
      </c>
      <c r="J5" s="393" t="inlineStr">
        <is>
          <t>HAOUACIK</t>
        </is>
      </c>
      <c r="K5" s="395">
        <f>DATE(VALUE(LEFT(A5,4)),VALUE(MID(A5,5,2)),VALUE(RIGHT(A5,2)))</f>
        <v/>
      </c>
      <c r="L5" s="395">
        <f>DATEVALUE(LEFT(F5,10))</f>
        <v/>
      </c>
      <c r="M5" s="396">
        <f>TIMEVALUE(MID(F5,12,8))</f>
        <v/>
      </c>
      <c r="N5" s="395">
        <f>DATEVALUE(LEFT(G5,10))</f>
        <v/>
      </c>
      <c r="O5" s="396">
        <f>TIMEVALUE(MID(G5,12,8))</f>
        <v/>
      </c>
      <c r="P5" s="396">
        <f>IFERROR(_xlfn.MINIFS($M:$M,$E:$E,$E5,$K:$K,$K5,$M:$M,"&gt;"&amp;$O5),"")</f>
        <v/>
      </c>
      <c r="Q5" s="396">
        <f>IF($P5="","",$P5-$O5)</f>
        <v/>
      </c>
    </row>
    <row r="6" ht="15" customHeight="1" s="231">
      <c r="A6" s="393" t="inlineStr">
        <is>
          <t>20260718</t>
        </is>
      </c>
      <c r="B6" s="393" t="inlineStr">
        <is>
          <t>LEADS GOOGLE</t>
        </is>
      </c>
      <c r="C6" s="393" t="inlineStr">
        <is>
          <t>RABAT</t>
        </is>
      </c>
      <c r="D6" s="393" t="inlineStr">
        <is>
          <t>8858031_IPSJMMN</t>
        </is>
      </c>
      <c r="E6" s="393" t="inlineStr">
        <is>
          <t>AJMILAMO</t>
        </is>
      </c>
      <c r="F6" s="393" t="inlineStr">
        <is>
          <t>2026-07-18 08:56:15</t>
        </is>
      </c>
      <c r="G6" s="393" t="inlineStr">
        <is>
          <t>2026-07-18 08:58:38</t>
        </is>
      </c>
      <c r="H6" s="394" t="n">
        <v>143</v>
      </c>
      <c r="I6" s="393" t="inlineStr">
        <is>
          <t>Voice</t>
        </is>
      </c>
      <c r="J6" s="393" t="inlineStr">
        <is>
          <t>RHOUDAOT</t>
        </is>
      </c>
      <c r="K6" s="395">
        <f>DATE(VALUE(LEFT(A6,4)),VALUE(MID(A6,5,2)),VALUE(RIGHT(A6,2)))</f>
        <v/>
      </c>
      <c r="L6" s="395">
        <f>DATEVALUE(LEFT(F6,10))</f>
        <v/>
      </c>
      <c r="M6" s="396">
        <f>TIMEVALUE(MID(F6,12,8))</f>
        <v/>
      </c>
      <c r="N6" s="395">
        <f>DATEVALUE(LEFT(G6,10))</f>
        <v/>
      </c>
      <c r="O6" s="396">
        <f>TIMEVALUE(MID(G6,12,8))</f>
        <v/>
      </c>
      <c r="P6" s="396">
        <f>IFERROR(_xlfn.MINIFS($M:$M,$E:$E,$E6,$K:$K,$K6,$M:$M,"&gt;"&amp;$O6),"")</f>
        <v/>
      </c>
      <c r="Q6" s="396">
        <f>IF($P6="","",$P6-$O6)</f>
        <v/>
      </c>
    </row>
    <row r="7" ht="15" customHeight="1" s="231">
      <c r="A7" s="393" t="inlineStr">
        <is>
          <t>20260718</t>
        </is>
      </c>
      <c r="B7" s="393" t="inlineStr">
        <is>
          <t>LEADS GOOGLE</t>
        </is>
      </c>
      <c r="C7" s="393" t="inlineStr">
        <is>
          <t>RABAT</t>
        </is>
      </c>
      <c r="D7" s="393" t="inlineStr">
        <is>
          <t>8858031_IPSJMMN</t>
        </is>
      </c>
      <c r="E7" s="393" t="inlineStr">
        <is>
          <t>AJMILAMO</t>
        </is>
      </c>
      <c r="F7" s="393" t="inlineStr">
        <is>
          <t>2026-07-18 09:01:50</t>
        </is>
      </c>
      <c r="G7" s="393" t="inlineStr">
        <is>
          <t>2026-07-18 14:00:02</t>
        </is>
      </c>
      <c r="H7" s="394" t="n">
        <v>17892</v>
      </c>
      <c r="I7" s="393" t="inlineStr">
        <is>
          <t>Voice</t>
        </is>
      </c>
      <c r="J7" s="393" t="inlineStr">
        <is>
          <t>RHOUDAOT</t>
        </is>
      </c>
      <c r="K7" s="395">
        <f>DATE(VALUE(LEFT(A7,4)),VALUE(MID(A7,5,2)),VALUE(RIGHT(A7,2)))</f>
        <v/>
      </c>
      <c r="L7" s="395">
        <f>DATEVALUE(LEFT(F7,10))</f>
        <v/>
      </c>
      <c r="M7" s="396">
        <f>TIMEVALUE(MID(F7,12,8))</f>
        <v/>
      </c>
      <c r="N7" s="395">
        <f>DATEVALUE(LEFT(G7,10))</f>
        <v/>
      </c>
      <c r="O7" s="396">
        <f>TIMEVALUE(MID(G7,12,8))</f>
        <v/>
      </c>
      <c r="P7" s="396">
        <f>IFERROR(_xlfn.MINIFS($M:$M,$E:$E,$E7,$K:$K,$K7,$M:$M,"&gt;"&amp;$O7),"")</f>
        <v/>
      </c>
      <c r="Q7" s="396">
        <f>IF($P7="","",$P7-$O7)</f>
        <v/>
      </c>
    </row>
    <row r="8" ht="15" customHeight="1" s="231">
      <c r="A8" s="393" t="inlineStr">
        <is>
          <t>20260718</t>
        </is>
      </c>
      <c r="B8" s="393" t="inlineStr">
        <is>
          <t>LEADS GOOGLE</t>
        </is>
      </c>
      <c r="C8" s="393" t="inlineStr">
        <is>
          <t>RABAT</t>
        </is>
      </c>
      <c r="D8" s="393" t="inlineStr">
        <is>
          <t>8858031_IPSJMMN</t>
        </is>
      </c>
      <c r="E8" s="393" t="inlineStr">
        <is>
          <t>AJMILAMO</t>
        </is>
      </c>
      <c r="F8" s="393" t="inlineStr">
        <is>
          <t>2026-07-18 15:00:41</t>
        </is>
      </c>
      <c r="G8" s="393" t="inlineStr">
        <is>
          <t>2026-07-18 19:00:05</t>
        </is>
      </c>
      <c r="H8" s="394" t="n">
        <v>14364</v>
      </c>
      <c r="I8" s="393" t="inlineStr">
        <is>
          <t>Voice</t>
        </is>
      </c>
      <c r="J8" s="393" t="inlineStr">
        <is>
          <t>RHOUDAOT</t>
        </is>
      </c>
      <c r="K8" s="395">
        <f>DATE(VALUE(LEFT(A8,4)),VALUE(MID(A8,5,2)),VALUE(RIGHT(A8,2)))</f>
        <v/>
      </c>
      <c r="L8" s="395">
        <f>DATEVALUE(LEFT(F8,10))</f>
        <v/>
      </c>
      <c r="M8" s="396">
        <f>TIMEVALUE(MID(F8,12,8))</f>
        <v/>
      </c>
      <c r="N8" s="395">
        <f>DATEVALUE(LEFT(G8,10))</f>
        <v/>
      </c>
      <c r="O8" s="396">
        <f>TIMEVALUE(MID(G8,12,8))</f>
        <v/>
      </c>
      <c r="P8" s="396">
        <f>IFERROR(_xlfn.MINIFS($M:$M,$E:$E,$E8,$K:$K,$K8,$M:$M,"&gt;"&amp;$O8),"")</f>
        <v/>
      </c>
      <c r="Q8" s="396">
        <f>IF($P8="","",$P8-$O8)</f>
        <v/>
      </c>
    </row>
    <row r="9" ht="15" customHeight="1" s="231">
      <c r="A9" s="393" t="inlineStr">
        <is>
          <t>20260718</t>
        </is>
      </c>
      <c r="B9" s="393" t="inlineStr">
        <is>
          <t>LEADS GOOGLE</t>
        </is>
      </c>
      <c r="C9" s="393" t="inlineStr">
        <is>
          <t>RABAT</t>
        </is>
      </c>
      <c r="D9" s="393" t="inlineStr">
        <is>
          <t>8858065_IPSZHBD</t>
        </is>
      </c>
      <c r="E9" s="393" t="inlineStr">
        <is>
          <t>AZHARIAB</t>
        </is>
      </c>
      <c r="F9" s="393" t="inlineStr">
        <is>
          <t>2026-07-18 09:01:23</t>
        </is>
      </c>
      <c r="G9" s="393" t="inlineStr">
        <is>
          <t>2026-07-18 13:08:00</t>
        </is>
      </c>
      <c r="H9" s="394" t="n">
        <v>14797</v>
      </c>
      <c r="I9" s="393" t="inlineStr">
        <is>
          <t>Voice</t>
        </is>
      </c>
      <c r="J9" s="393" t="inlineStr">
        <is>
          <t>HAOUACIK</t>
        </is>
      </c>
      <c r="K9" s="395">
        <f>DATE(VALUE(LEFT(A9,4)),VALUE(MID(A9,5,2)),VALUE(RIGHT(A9,2)))</f>
        <v/>
      </c>
      <c r="L9" s="395">
        <f>DATEVALUE(LEFT(F9,10))</f>
        <v/>
      </c>
      <c r="M9" s="396">
        <f>TIMEVALUE(MID(F9,12,8))</f>
        <v/>
      </c>
      <c r="N9" s="395">
        <f>DATEVALUE(LEFT(G9,10))</f>
        <v/>
      </c>
      <c r="O9" s="396">
        <f>TIMEVALUE(MID(G9,12,8))</f>
        <v/>
      </c>
      <c r="P9" s="396">
        <f>IFERROR(_xlfn.MINIFS($M:$M,$E:$E,$E9,$K:$K,$K9,$M:$M,"&gt;"&amp;$O9),"")</f>
        <v/>
      </c>
      <c r="Q9" s="396">
        <f>IF($P9="","",$P9-$O9)</f>
        <v/>
      </c>
    </row>
    <row r="10" ht="15" customHeight="1" s="231">
      <c r="A10" s="393" t="inlineStr">
        <is>
          <t>20260718</t>
        </is>
      </c>
      <c r="B10" s="393" t="inlineStr">
        <is>
          <t>LEADS GOOGLE</t>
        </is>
      </c>
      <c r="C10" s="393" t="inlineStr">
        <is>
          <t>RABAT</t>
        </is>
      </c>
      <c r="D10" s="393" t="inlineStr">
        <is>
          <t>8858065_IPSZHBD</t>
        </is>
      </c>
      <c r="E10" s="393" t="inlineStr">
        <is>
          <t>AZHARIAB</t>
        </is>
      </c>
      <c r="F10" s="393" t="inlineStr">
        <is>
          <t>2026-07-18 13:08:03</t>
        </is>
      </c>
      <c r="G10" s="393" t="inlineStr">
        <is>
          <t>2026-07-18 13:08:08</t>
        </is>
      </c>
      <c r="H10" s="394" t="n">
        <v>5</v>
      </c>
      <c r="I10" s="393" t="inlineStr">
        <is>
          <t>Voice</t>
        </is>
      </c>
      <c r="J10" s="393" t="inlineStr">
        <is>
          <t>HAOUACIK</t>
        </is>
      </c>
      <c r="K10" s="395">
        <f>DATE(VALUE(LEFT(A10,4)),VALUE(MID(A10,5,2)),VALUE(RIGHT(A10,2)))</f>
        <v/>
      </c>
      <c r="L10" s="395">
        <f>DATEVALUE(LEFT(F10,10))</f>
        <v/>
      </c>
      <c r="M10" s="396">
        <f>TIMEVALUE(MID(F10,12,8))</f>
        <v/>
      </c>
      <c r="N10" s="395">
        <f>DATEVALUE(LEFT(G10,10))</f>
        <v/>
      </c>
      <c r="O10" s="396">
        <f>TIMEVALUE(MID(G10,12,8))</f>
        <v/>
      </c>
      <c r="P10" s="396">
        <f>IFERROR(_xlfn.MINIFS($M:$M,$E:$E,$E10,$K:$K,$K10,$M:$M,"&gt;"&amp;$O10),"")</f>
        <v/>
      </c>
      <c r="Q10" s="396">
        <f>IF($P10="","",$P10-$O10)</f>
        <v/>
      </c>
    </row>
    <row r="11" ht="15" customHeight="1" s="231">
      <c r="A11" s="393" t="inlineStr">
        <is>
          <t>20260718</t>
        </is>
      </c>
      <c r="B11" s="393" t="inlineStr">
        <is>
          <t>LEADS GOOGLE</t>
        </is>
      </c>
      <c r="C11" s="393" t="inlineStr">
        <is>
          <t>RABAT</t>
        </is>
      </c>
      <c r="D11" s="393" t="inlineStr">
        <is>
          <t>8858065_IPSZHBD</t>
        </is>
      </c>
      <c r="E11" s="393" t="inlineStr">
        <is>
          <t>AZHARIAB</t>
        </is>
      </c>
      <c r="F11" s="393" t="inlineStr">
        <is>
          <t>2026-07-18 13:08:39</t>
        </is>
      </c>
      <c r="G11" s="393" t="inlineStr">
        <is>
          <t>2026-07-18 14:02:06</t>
        </is>
      </c>
      <c r="H11" s="394" t="n">
        <v>3207</v>
      </c>
      <c r="I11" s="393" t="inlineStr">
        <is>
          <t>Voice</t>
        </is>
      </c>
      <c r="J11" s="393" t="inlineStr">
        <is>
          <t>HAOUACIK</t>
        </is>
      </c>
      <c r="K11" s="395">
        <f>DATE(VALUE(LEFT(A11,4)),VALUE(MID(A11,5,2)),VALUE(RIGHT(A11,2)))</f>
        <v/>
      </c>
      <c r="L11" s="395">
        <f>DATEVALUE(LEFT(F11,10))</f>
        <v/>
      </c>
      <c r="M11" s="396">
        <f>TIMEVALUE(MID(F11,12,8))</f>
        <v/>
      </c>
      <c r="N11" s="395">
        <f>DATEVALUE(LEFT(G11,10))</f>
        <v/>
      </c>
      <c r="O11" s="396">
        <f>TIMEVALUE(MID(G11,12,8))</f>
        <v/>
      </c>
      <c r="P11" s="396">
        <f>IFERROR(_xlfn.MINIFS($M:$M,$E:$E,$E11,$K:$K,$K11,$M:$M,"&gt;"&amp;$O11),"")</f>
        <v/>
      </c>
      <c r="Q11" s="396">
        <f>IF($P11="","",$P11-$O11)</f>
        <v/>
      </c>
    </row>
    <row r="12" ht="15" customHeight="1" s="231">
      <c r="A12" s="393" t="inlineStr">
        <is>
          <t>20260718</t>
        </is>
      </c>
      <c r="B12" s="393" t="inlineStr">
        <is>
          <t>LEADS GOOGLE</t>
        </is>
      </c>
      <c r="C12" s="393" t="inlineStr">
        <is>
          <t>RABAT</t>
        </is>
      </c>
      <c r="D12" s="393" t="inlineStr">
        <is>
          <t>8858065_IPSZHBD</t>
        </is>
      </c>
      <c r="E12" s="393" t="inlineStr">
        <is>
          <t>AZHARIAB</t>
        </is>
      </c>
      <c r="F12" s="393" t="inlineStr">
        <is>
          <t>2026-07-18 15:01:51</t>
        </is>
      </c>
      <c r="G12" s="393" t="inlineStr">
        <is>
          <t>2026-07-18 19:00:05</t>
        </is>
      </c>
      <c r="H12" s="394" t="n">
        <v>14294</v>
      </c>
      <c r="I12" s="393" t="inlineStr">
        <is>
          <t>Voice</t>
        </is>
      </c>
      <c r="J12" s="393" t="inlineStr">
        <is>
          <t>HAOUACIK</t>
        </is>
      </c>
      <c r="K12" s="395">
        <f>DATE(VALUE(LEFT(A12,4)),VALUE(MID(A12,5,2)),VALUE(RIGHT(A12,2)))</f>
        <v/>
      </c>
      <c r="L12" s="395">
        <f>DATEVALUE(LEFT(F12,10))</f>
        <v/>
      </c>
      <c r="M12" s="396">
        <f>TIMEVALUE(MID(F12,12,8))</f>
        <v/>
      </c>
      <c r="N12" s="395">
        <f>DATEVALUE(LEFT(G12,10))</f>
        <v/>
      </c>
      <c r="O12" s="396">
        <f>TIMEVALUE(MID(G12,12,8))</f>
        <v/>
      </c>
      <c r="P12" s="396">
        <f>IFERROR(_xlfn.MINIFS($M:$M,$E:$E,$E12,$K:$K,$K12,$M:$M,"&gt;"&amp;$O12),"")</f>
        <v/>
      </c>
      <c r="Q12" s="396">
        <f>IF($P12="","",$P12-$O12)</f>
        <v/>
      </c>
    </row>
    <row r="13" ht="15" customHeight="1" s="231">
      <c r="A13" s="393" t="inlineStr">
        <is>
          <t>20260718</t>
        </is>
      </c>
      <c r="B13" s="393" t="inlineStr">
        <is>
          <t>LEADS GOOGLE</t>
        </is>
      </c>
      <c r="C13" s="393" t="inlineStr">
        <is>
          <t>RABAT</t>
        </is>
      </c>
      <c r="D13" s="393" t="inlineStr">
        <is>
          <t>8858508_IPSBRHM</t>
        </is>
      </c>
      <c r="E13" s="393" t="inlineStr">
        <is>
          <t>BARNASHA</t>
        </is>
      </c>
      <c r="F13" s="393" t="inlineStr">
        <is>
          <t>2026-07-18 08:54:13</t>
        </is>
      </c>
      <c r="G13" s="393" t="inlineStr">
        <is>
          <t>2026-07-18 08:54:25</t>
        </is>
      </c>
      <c r="H13" s="394" t="n">
        <v>12</v>
      </c>
      <c r="I13" s="393" t="inlineStr">
        <is>
          <t>Voice</t>
        </is>
      </c>
      <c r="J13" s="393" t="inlineStr">
        <is>
          <t>RHOUDAOT</t>
        </is>
      </c>
      <c r="K13" s="395">
        <f>DATE(VALUE(LEFT(A13,4)),VALUE(MID(A13,5,2)),VALUE(RIGHT(A13,2)))</f>
        <v/>
      </c>
      <c r="L13" s="395">
        <f>DATEVALUE(LEFT(F13,10))</f>
        <v/>
      </c>
      <c r="M13" s="396">
        <f>TIMEVALUE(MID(F13,12,8))</f>
        <v/>
      </c>
      <c r="N13" s="395">
        <f>DATEVALUE(LEFT(G13,10))</f>
        <v/>
      </c>
      <c r="O13" s="396">
        <f>TIMEVALUE(MID(G13,12,8))</f>
        <v/>
      </c>
      <c r="P13" s="396">
        <f>IFERROR(_xlfn.MINIFS($M:$M,$E:$E,$E13,$K:$K,$K13,$M:$M,"&gt;"&amp;$O13),"")</f>
        <v/>
      </c>
      <c r="Q13" s="396">
        <f>IF($P13="","",$P13-$O13)</f>
        <v/>
      </c>
    </row>
    <row r="14" ht="15" customHeight="1" s="231">
      <c r="A14" s="393" t="inlineStr">
        <is>
          <t>20260718</t>
        </is>
      </c>
      <c r="B14" s="393" t="inlineStr">
        <is>
          <t>LEADS GOOGLE</t>
        </is>
      </c>
      <c r="C14" s="393" t="inlineStr">
        <is>
          <t>RABAT</t>
        </is>
      </c>
      <c r="D14" s="393" t="inlineStr">
        <is>
          <t>8858508_IPSBRHM</t>
        </is>
      </c>
      <c r="E14" s="393" t="inlineStr">
        <is>
          <t>BARNASHA</t>
        </is>
      </c>
      <c r="F14" s="393" t="inlineStr">
        <is>
          <t>2026-07-18 08:57:34</t>
        </is>
      </c>
      <c r="G14" s="393" t="inlineStr">
        <is>
          <t>2026-07-18 14:00:12</t>
        </is>
      </c>
      <c r="H14" s="394" t="n">
        <v>18158</v>
      </c>
      <c r="I14" s="393" t="inlineStr">
        <is>
          <t>Voice</t>
        </is>
      </c>
      <c r="J14" s="393" t="inlineStr">
        <is>
          <t>RHOUDAOT</t>
        </is>
      </c>
      <c r="K14" s="395">
        <f>DATE(VALUE(LEFT(A14,4)),VALUE(MID(A14,5,2)),VALUE(RIGHT(A14,2)))</f>
        <v/>
      </c>
      <c r="L14" s="395">
        <f>DATEVALUE(LEFT(F14,10))</f>
        <v/>
      </c>
      <c r="M14" s="396">
        <f>TIMEVALUE(MID(F14,12,8))</f>
        <v/>
      </c>
      <c r="N14" s="395">
        <f>DATEVALUE(LEFT(G14,10))</f>
        <v/>
      </c>
      <c r="O14" s="396">
        <f>TIMEVALUE(MID(G14,12,8))</f>
        <v/>
      </c>
      <c r="P14" s="396">
        <f>IFERROR(_xlfn.MINIFS($M:$M,$E:$E,$E14,$K:$K,$K14,$M:$M,"&gt;"&amp;$O14),"")</f>
        <v/>
      </c>
      <c r="Q14" s="396">
        <f>IF($P14="","",$P14-$O14)</f>
        <v/>
      </c>
    </row>
    <row r="15" ht="15" customHeight="1" s="231">
      <c r="A15" s="393" t="inlineStr">
        <is>
          <t>20260718</t>
        </is>
      </c>
      <c r="B15" s="393" t="inlineStr">
        <is>
          <t>LEADS GOOGLE</t>
        </is>
      </c>
      <c r="C15" s="393" t="inlineStr">
        <is>
          <t>RABAT</t>
        </is>
      </c>
      <c r="D15" s="393" t="inlineStr">
        <is>
          <t>8858508_IPSBRHM</t>
        </is>
      </c>
      <c r="E15" s="393" t="inlineStr">
        <is>
          <t>BARNASHA</t>
        </is>
      </c>
      <c r="F15" s="393" t="inlineStr">
        <is>
          <t>2026-07-18 14:59:36</t>
        </is>
      </c>
      <c r="G15" s="393" t="inlineStr">
        <is>
          <t>2026-07-18 19:00:11</t>
        </is>
      </c>
      <c r="H15" s="394" t="n">
        <v>14435</v>
      </c>
      <c r="I15" s="393" t="inlineStr">
        <is>
          <t>Voice</t>
        </is>
      </c>
      <c r="J15" s="393" t="inlineStr">
        <is>
          <t>RHOUDAOT</t>
        </is>
      </c>
      <c r="K15" s="395">
        <f>DATE(VALUE(LEFT(A15,4)),VALUE(MID(A15,5,2)),VALUE(RIGHT(A15,2)))</f>
        <v/>
      </c>
      <c r="L15" s="395">
        <f>DATEVALUE(LEFT(F15,10))</f>
        <v/>
      </c>
      <c r="M15" s="396">
        <f>TIMEVALUE(MID(F15,12,8))</f>
        <v/>
      </c>
      <c r="N15" s="395">
        <f>DATEVALUE(LEFT(G15,10))</f>
        <v/>
      </c>
      <c r="O15" s="396">
        <f>TIMEVALUE(MID(G15,12,8))</f>
        <v/>
      </c>
      <c r="P15" s="396">
        <f>IFERROR(_xlfn.MINIFS($M:$M,$E:$E,$E15,$K:$K,$K15,$M:$M,"&gt;"&amp;$O15),"")</f>
        <v/>
      </c>
      <c r="Q15" s="396">
        <f>IF($P15="","",$P15-$O15)</f>
        <v/>
      </c>
    </row>
    <row r="16" ht="15" customHeight="1" s="231">
      <c r="A16" s="393" t="inlineStr">
        <is>
          <t>20260718</t>
        </is>
      </c>
      <c r="B16" s="393" t="inlineStr">
        <is>
          <t>LEADS GOOGLE</t>
        </is>
      </c>
      <c r="C16" s="393" t="inlineStr">
        <is>
          <t>RABAT</t>
        </is>
      </c>
      <c r="D16" s="393" t="inlineStr">
        <is>
          <t>8859173_IPSMOON</t>
        </is>
      </c>
      <c r="E16" s="393" t="inlineStr">
        <is>
          <t>BENGHAIB</t>
        </is>
      </c>
      <c r="F16" s="393" t="inlineStr">
        <is>
          <t>2026-07-18 11:54:46</t>
        </is>
      </c>
      <c r="G16" s="393" t="inlineStr">
        <is>
          <t>2026-07-18 15:00:36</t>
        </is>
      </c>
      <c r="H16" s="394" t="n">
        <v>11150</v>
      </c>
      <c r="I16" s="393" t="inlineStr">
        <is>
          <t>Voice</t>
        </is>
      </c>
      <c r="J16" s="393" t="inlineStr">
        <is>
          <t>RHOUDAOT</t>
        </is>
      </c>
      <c r="K16" s="395">
        <f>DATE(VALUE(LEFT(A16,4)),VALUE(MID(A16,5,2)),VALUE(RIGHT(A16,2)))</f>
        <v/>
      </c>
      <c r="L16" s="395">
        <f>DATEVALUE(LEFT(F16,10))</f>
        <v/>
      </c>
      <c r="M16" s="396">
        <f>TIMEVALUE(MID(F16,12,8))</f>
        <v/>
      </c>
      <c r="N16" s="395">
        <f>DATEVALUE(LEFT(G16,10))</f>
        <v/>
      </c>
      <c r="O16" s="396">
        <f>TIMEVALUE(MID(G16,12,8))</f>
        <v/>
      </c>
      <c r="P16" s="396">
        <f>IFERROR(_xlfn.MINIFS($M:$M,$E:$E,$E16,$K:$K,$K16,$M:$M,"&gt;"&amp;$O16),"")</f>
        <v/>
      </c>
      <c r="Q16" s="396">
        <f>IF($P16="","",$P16-$O16)</f>
        <v/>
      </c>
    </row>
    <row r="17" ht="15" customHeight="1" s="231">
      <c r="A17" s="393" t="inlineStr">
        <is>
          <t>20260718</t>
        </is>
      </c>
      <c r="B17" s="393" t="inlineStr">
        <is>
          <t>LEADS GOOGLE</t>
        </is>
      </c>
      <c r="C17" s="393" t="inlineStr">
        <is>
          <t>RABAT</t>
        </is>
      </c>
      <c r="D17" s="393" t="inlineStr">
        <is>
          <t>8859173_IPSMOON</t>
        </is>
      </c>
      <c r="E17" s="393" t="inlineStr">
        <is>
          <t>BENGHAIB</t>
        </is>
      </c>
      <c r="F17" s="393" t="inlineStr">
        <is>
          <t>2026-07-18 15:59:23</t>
        </is>
      </c>
      <c r="G17" s="393" t="inlineStr">
        <is>
          <t>2026-07-18 21:02:40</t>
        </is>
      </c>
      <c r="H17" s="394" t="n">
        <v>18197</v>
      </c>
      <c r="I17" s="393" t="inlineStr">
        <is>
          <t>Voice</t>
        </is>
      </c>
      <c r="J17" s="393" t="inlineStr">
        <is>
          <t>RHOUDAOT</t>
        </is>
      </c>
      <c r="K17" s="395">
        <f>DATE(VALUE(LEFT(A17,4)),VALUE(MID(A17,5,2)),VALUE(RIGHT(A17,2)))</f>
        <v/>
      </c>
      <c r="L17" s="395">
        <f>DATEVALUE(LEFT(F17,10))</f>
        <v/>
      </c>
      <c r="M17" s="396">
        <f>TIMEVALUE(MID(F17,12,8))</f>
        <v/>
      </c>
      <c r="N17" s="395">
        <f>DATEVALUE(LEFT(G17,10))</f>
        <v/>
      </c>
      <c r="O17" s="396">
        <f>TIMEVALUE(MID(G17,12,8))</f>
        <v/>
      </c>
      <c r="P17" s="396">
        <f>IFERROR(_xlfn.MINIFS($M:$M,$E:$E,$E17,$K:$K,$K17,$M:$M,"&gt;"&amp;$O17),"")</f>
        <v/>
      </c>
      <c r="Q17" s="396">
        <f>IF($P17="","",$P17-$O17)</f>
        <v/>
      </c>
    </row>
    <row r="18" ht="15" customHeight="1" s="231">
      <c r="A18" s="393" t="inlineStr">
        <is>
          <t>20260718</t>
        </is>
      </c>
      <c r="B18" s="393" t="inlineStr">
        <is>
          <t>LEADS GOOGLE</t>
        </is>
      </c>
      <c r="C18" s="393" t="inlineStr">
        <is>
          <t>RABAT</t>
        </is>
      </c>
      <c r="D18" s="393" t="inlineStr">
        <is>
          <t>8859297_IPSUNNY</t>
        </is>
      </c>
      <c r="E18" s="393" t="inlineStr">
        <is>
          <t>BENGHAIM</t>
        </is>
      </c>
      <c r="F18" s="393" t="inlineStr">
        <is>
          <t>2026-07-18 11:58:53</t>
        </is>
      </c>
      <c r="G18" s="393" t="inlineStr">
        <is>
          <t>2026-07-18 16:00:14</t>
        </is>
      </c>
      <c r="H18" s="394" t="n">
        <v>14481</v>
      </c>
      <c r="I18" s="393" t="inlineStr">
        <is>
          <t>Voice</t>
        </is>
      </c>
      <c r="J18" s="393" t="inlineStr">
        <is>
          <t>RHOUDAOT</t>
        </is>
      </c>
      <c r="K18" s="395">
        <f>DATE(VALUE(LEFT(A18,4)),VALUE(MID(A18,5,2)),VALUE(RIGHT(A18,2)))</f>
        <v/>
      </c>
      <c r="L18" s="395">
        <f>DATEVALUE(LEFT(F18,10))</f>
        <v/>
      </c>
      <c r="M18" s="396">
        <f>TIMEVALUE(MID(F18,12,8))</f>
        <v/>
      </c>
      <c r="N18" s="395">
        <f>DATEVALUE(LEFT(G18,10))</f>
        <v/>
      </c>
      <c r="O18" s="396">
        <f>TIMEVALUE(MID(G18,12,8))</f>
        <v/>
      </c>
      <c r="P18" s="396">
        <f>IFERROR(_xlfn.MINIFS($M:$M,$E:$E,$E18,$K:$K,$K18,$M:$M,"&gt;"&amp;$O18),"")</f>
        <v/>
      </c>
      <c r="Q18" s="396">
        <f>IF($P18="","",$P18-$O18)</f>
        <v/>
      </c>
    </row>
    <row r="19" ht="15" customHeight="1" s="231">
      <c r="A19" s="393" t="inlineStr">
        <is>
          <t>20260718</t>
        </is>
      </c>
      <c r="B19" s="393" t="inlineStr">
        <is>
          <t>LEADS GOOGLE</t>
        </is>
      </c>
      <c r="C19" s="393" t="inlineStr">
        <is>
          <t>RABAT</t>
        </is>
      </c>
      <c r="D19" s="393" t="inlineStr">
        <is>
          <t>8859297_IPSUNNY</t>
        </is>
      </c>
      <c r="E19" s="393" t="inlineStr">
        <is>
          <t>BENGHAIM</t>
        </is>
      </c>
      <c r="F19" s="393" t="inlineStr">
        <is>
          <t>2026-07-18 17:01:48</t>
        </is>
      </c>
      <c r="G19" s="393" t="inlineStr">
        <is>
          <t>2026-07-18 20:59:33</t>
        </is>
      </c>
      <c r="H19" s="394" t="n">
        <v>14265</v>
      </c>
      <c r="I19" s="393" t="inlineStr">
        <is>
          <t>Voice</t>
        </is>
      </c>
      <c r="J19" s="393" t="inlineStr">
        <is>
          <t>RHOUDAOT</t>
        </is>
      </c>
      <c r="K19" s="395">
        <f>DATE(VALUE(LEFT(A19,4)),VALUE(MID(A19,5,2)),VALUE(RIGHT(A19,2)))</f>
        <v/>
      </c>
      <c r="L19" s="395">
        <f>DATEVALUE(LEFT(F19,10))</f>
        <v/>
      </c>
      <c r="M19" s="396">
        <f>TIMEVALUE(MID(F19,12,8))</f>
        <v/>
      </c>
      <c r="N19" s="395">
        <f>DATEVALUE(LEFT(G19,10))</f>
        <v/>
      </c>
      <c r="O19" s="396">
        <f>TIMEVALUE(MID(G19,12,8))</f>
        <v/>
      </c>
      <c r="P19" s="396">
        <f>IFERROR(_xlfn.MINIFS($M:$M,$E:$E,$E19,$K:$K,$K19,$M:$M,"&gt;"&amp;$O19),"")</f>
        <v/>
      </c>
      <c r="Q19" s="396">
        <f>IF($P19="","",$P19-$O19)</f>
        <v/>
      </c>
    </row>
    <row r="20" ht="15" customHeight="1" s="231">
      <c r="A20" s="393" t="inlineStr">
        <is>
          <t>20260718</t>
        </is>
      </c>
      <c r="B20" s="393" t="inlineStr">
        <is>
          <t>LEADS GOOGLE</t>
        </is>
      </c>
      <c r="C20" s="393" t="inlineStr">
        <is>
          <t>RABAT</t>
        </is>
      </c>
      <c r="D20" s="393" t="inlineStr">
        <is>
          <t>8859297_IPSUNNY</t>
        </is>
      </c>
      <c r="E20" s="393" t="inlineStr">
        <is>
          <t>BENGHAIM</t>
        </is>
      </c>
      <c r="F20" s="393" t="inlineStr">
        <is>
          <t>2026-07-18 20:59:36</t>
        </is>
      </c>
      <c r="G20" s="393" t="inlineStr">
        <is>
          <t>2026-07-18 21:00:03</t>
        </is>
      </c>
      <c r="H20" s="394" t="n">
        <v>27</v>
      </c>
      <c r="I20" s="393" t="inlineStr">
        <is>
          <t>Voice</t>
        </is>
      </c>
      <c r="J20" s="393" t="inlineStr">
        <is>
          <t>RHOUDAOT</t>
        </is>
      </c>
      <c r="K20" s="395">
        <f>DATE(VALUE(LEFT(A20,4)),VALUE(MID(A20,5,2)),VALUE(RIGHT(A20,2)))</f>
        <v/>
      </c>
      <c r="L20" s="395">
        <f>DATEVALUE(LEFT(F20,10))</f>
        <v/>
      </c>
      <c r="M20" s="396">
        <f>TIMEVALUE(MID(F20,12,8))</f>
        <v/>
      </c>
      <c r="N20" s="395">
        <f>DATEVALUE(LEFT(G20,10))</f>
        <v/>
      </c>
      <c r="O20" s="396">
        <f>TIMEVALUE(MID(G20,12,8))</f>
        <v/>
      </c>
      <c r="P20" s="396">
        <f>IFERROR(_xlfn.MINIFS($M:$M,$E:$E,$E20,$K:$K,$K20,$M:$M,"&gt;"&amp;$O20),"")</f>
        <v/>
      </c>
      <c r="Q20" s="396">
        <f>IF($P20="","",$P20-$O20)</f>
        <v/>
      </c>
    </row>
    <row r="21" ht="15" customHeight="1" s="231">
      <c r="A21" s="393" t="inlineStr">
        <is>
          <t>20260718</t>
        </is>
      </c>
      <c r="B21" s="393" t="inlineStr">
        <is>
          <t>LEADS GOOGLE</t>
        </is>
      </c>
      <c r="C21" s="393" t="inlineStr">
        <is>
          <t>RABAT</t>
        </is>
      </c>
      <c r="D21" s="393" t="inlineStr">
        <is>
          <t>8858331_IPSBNSZ</t>
        </is>
      </c>
      <c r="E21" s="393" t="inlineStr">
        <is>
          <t>BENMESIS</t>
        </is>
      </c>
      <c r="F21" s="393" t="inlineStr">
        <is>
          <t>2026-07-18 09:01:36</t>
        </is>
      </c>
      <c r="G21" s="393" t="inlineStr">
        <is>
          <t>2026-07-18 13:00:51</t>
        </is>
      </c>
      <c r="H21" s="394" t="n">
        <v>14355</v>
      </c>
      <c r="I21" s="393" t="inlineStr">
        <is>
          <t>Voice</t>
        </is>
      </c>
      <c r="J21" s="393" t="inlineStr">
        <is>
          <t>RHOUDAOT</t>
        </is>
      </c>
      <c r="K21" s="395">
        <f>DATE(VALUE(LEFT(A21,4)),VALUE(MID(A21,5,2)),VALUE(RIGHT(A21,2)))</f>
        <v/>
      </c>
      <c r="L21" s="395">
        <f>DATEVALUE(LEFT(F21,10))</f>
        <v/>
      </c>
      <c r="M21" s="396">
        <f>TIMEVALUE(MID(F21,12,8))</f>
        <v/>
      </c>
      <c r="N21" s="395">
        <f>DATEVALUE(LEFT(G21,10))</f>
        <v/>
      </c>
      <c r="O21" s="396">
        <f>TIMEVALUE(MID(G21,12,8))</f>
        <v/>
      </c>
      <c r="P21" s="396">
        <f>IFERROR(_xlfn.MINIFS($M:$M,$E:$E,$E21,$K:$K,$K21,$M:$M,"&gt;"&amp;$O21),"")</f>
        <v/>
      </c>
      <c r="Q21" s="396">
        <f>IF($P21="","",$P21-$O21)</f>
        <v/>
      </c>
    </row>
    <row r="22" ht="15" customHeight="1" s="231">
      <c r="A22" s="393" t="inlineStr">
        <is>
          <t>20260718</t>
        </is>
      </c>
      <c r="B22" s="393" t="inlineStr">
        <is>
          <t>LEADS GOOGLE</t>
        </is>
      </c>
      <c r="C22" s="393" t="inlineStr">
        <is>
          <t>RABAT</t>
        </is>
      </c>
      <c r="D22" s="393" t="inlineStr">
        <is>
          <t>8858331_IPSBNSZ</t>
        </is>
      </c>
      <c r="E22" s="393" t="inlineStr">
        <is>
          <t>BENMESIS</t>
        </is>
      </c>
      <c r="F22" s="393" t="inlineStr">
        <is>
          <t>2026-07-18 14:02:17</t>
        </is>
      </c>
      <c r="G22" s="393" t="inlineStr">
        <is>
          <t>2026-07-18 19:00:05</t>
        </is>
      </c>
      <c r="H22" s="394" t="n">
        <v>17868</v>
      </c>
      <c r="I22" s="393" t="inlineStr">
        <is>
          <t>Voice</t>
        </is>
      </c>
      <c r="J22" s="393" t="inlineStr">
        <is>
          <t>RHOUDAOT</t>
        </is>
      </c>
      <c r="K22" s="395">
        <f>DATE(VALUE(LEFT(A22,4)),VALUE(MID(A22,5,2)),VALUE(RIGHT(A22,2)))</f>
        <v/>
      </c>
      <c r="L22" s="395">
        <f>DATEVALUE(LEFT(F22,10))</f>
        <v/>
      </c>
      <c r="M22" s="396">
        <f>TIMEVALUE(MID(F22,12,8))</f>
        <v/>
      </c>
      <c r="N22" s="395">
        <f>DATEVALUE(LEFT(G22,10))</f>
        <v/>
      </c>
      <c r="O22" s="396">
        <f>TIMEVALUE(MID(G22,12,8))</f>
        <v/>
      </c>
      <c r="P22" s="396">
        <f>IFERROR(_xlfn.MINIFS($M:$M,$E:$E,$E22,$K:$K,$K22,$M:$M,"&gt;"&amp;$O22),"")</f>
        <v/>
      </c>
      <c r="Q22" s="396">
        <f>IF($P22="","",$P22-$O22)</f>
        <v/>
      </c>
    </row>
    <row r="23" ht="15" customHeight="1" s="231">
      <c r="A23" s="393" t="inlineStr">
        <is>
          <t>20260718</t>
        </is>
      </c>
      <c r="B23" s="393" t="inlineStr">
        <is>
          <t>LEADS GOOGLE</t>
        </is>
      </c>
      <c r="C23" s="393" t="inlineStr">
        <is>
          <t>RABAT</t>
        </is>
      </c>
      <c r="D23" s="393" t="inlineStr">
        <is>
          <t>8858790_IPSQSVC</t>
        </is>
      </c>
      <c r="E23" s="393" t="inlineStr">
        <is>
          <t>BENSARAN</t>
        </is>
      </c>
      <c r="F23" s="393" t="inlineStr">
        <is>
          <t>2026-07-18 07:54:23</t>
        </is>
      </c>
      <c r="G23" s="393" t="inlineStr">
        <is>
          <t>2026-07-18 07:54:26</t>
        </is>
      </c>
      <c r="H23" s="394" t="n">
        <v>3</v>
      </c>
      <c r="I23" s="393" t="inlineStr">
        <is>
          <t>Voice</t>
        </is>
      </c>
      <c r="J23" s="393" t="inlineStr">
        <is>
          <t>HAOUACIK</t>
        </is>
      </c>
      <c r="K23" s="395">
        <f>DATE(VALUE(LEFT(A23,4)),VALUE(MID(A23,5,2)),VALUE(RIGHT(A23,2)))</f>
        <v/>
      </c>
      <c r="L23" s="395">
        <f>DATEVALUE(LEFT(F23,10))</f>
        <v/>
      </c>
      <c r="M23" s="396">
        <f>TIMEVALUE(MID(F23,12,8))</f>
        <v/>
      </c>
      <c r="N23" s="395">
        <f>DATEVALUE(LEFT(G23,10))</f>
        <v/>
      </c>
      <c r="O23" s="396">
        <f>TIMEVALUE(MID(G23,12,8))</f>
        <v/>
      </c>
      <c r="P23" s="396">
        <f>IFERROR(_xlfn.MINIFS($M:$M,$E:$E,$E23,$K:$K,$K23,$M:$M,"&gt;"&amp;$O23),"")</f>
        <v/>
      </c>
      <c r="Q23" s="396">
        <f>IF($P23="","",$P23-$O23)</f>
        <v/>
      </c>
    </row>
    <row r="24" ht="15" customHeight="1" s="231">
      <c r="A24" s="393" t="inlineStr">
        <is>
          <t>20260718</t>
        </is>
      </c>
      <c r="B24" s="393" t="inlineStr">
        <is>
          <t>LEADS GOOGLE</t>
        </is>
      </c>
      <c r="C24" s="393" t="inlineStr">
        <is>
          <t>RABAT</t>
        </is>
      </c>
      <c r="D24" s="393" t="inlineStr">
        <is>
          <t>8858790_IPSQSVC</t>
        </is>
      </c>
      <c r="E24" s="393" t="inlineStr">
        <is>
          <t>BENSARAN</t>
        </is>
      </c>
      <c r="F24" s="393" t="inlineStr">
        <is>
          <t>2026-07-18 07:59:19</t>
        </is>
      </c>
      <c r="G24" s="393" t="inlineStr">
        <is>
          <t>2026-07-18 13:03:34</t>
        </is>
      </c>
      <c r="H24" s="394" t="n">
        <v>18255</v>
      </c>
      <c r="I24" s="393" t="inlineStr">
        <is>
          <t>Voice</t>
        </is>
      </c>
      <c r="J24" s="393" t="inlineStr">
        <is>
          <t>HAOUACIK</t>
        </is>
      </c>
      <c r="K24" s="395">
        <f>DATE(VALUE(LEFT(A24,4)),VALUE(MID(A24,5,2)),VALUE(RIGHT(A24,2)))</f>
        <v/>
      </c>
      <c r="L24" s="395">
        <f>DATEVALUE(LEFT(F24,10))</f>
        <v/>
      </c>
      <c r="M24" s="396">
        <f>TIMEVALUE(MID(F24,12,8))</f>
        <v/>
      </c>
      <c r="N24" s="395">
        <f>DATEVALUE(LEFT(G24,10))</f>
        <v/>
      </c>
      <c r="O24" s="396">
        <f>TIMEVALUE(MID(G24,12,8))</f>
        <v/>
      </c>
      <c r="P24" s="396">
        <f>IFERROR(_xlfn.MINIFS($M:$M,$E:$E,$E24,$K:$K,$K24,$M:$M,"&gt;"&amp;$O24),"")</f>
        <v/>
      </c>
      <c r="Q24" s="396">
        <f>IF($P24="","",$P24-$O24)</f>
        <v/>
      </c>
    </row>
    <row r="25" ht="15" customHeight="1" s="231">
      <c r="A25" s="393" t="inlineStr">
        <is>
          <t>20260718</t>
        </is>
      </c>
      <c r="B25" s="393" t="inlineStr">
        <is>
          <t>LEADS GOOGLE</t>
        </is>
      </c>
      <c r="C25" s="393" t="inlineStr">
        <is>
          <t>RABAT</t>
        </is>
      </c>
      <c r="D25" s="393" t="inlineStr">
        <is>
          <t>8858790_IPSQSVC</t>
        </is>
      </c>
      <c r="E25" s="393" t="inlineStr">
        <is>
          <t>BENSARAN</t>
        </is>
      </c>
      <c r="F25" s="393" t="inlineStr">
        <is>
          <t>2026-07-18 13:57:18</t>
        </is>
      </c>
      <c r="G25" s="393" t="inlineStr">
        <is>
          <t>2026-07-18 13:57:30</t>
        </is>
      </c>
      <c r="H25" s="394" t="n">
        <v>12</v>
      </c>
      <c r="I25" s="393" t="inlineStr">
        <is>
          <t>Voice</t>
        </is>
      </c>
      <c r="J25" s="393" t="inlineStr">
        <is>
          <t>HAOUACIK</t>
        </is>
      </c>
      <c r="K25" s="395">
        <f>DATE(VALUE(LEFT(A25,4)),VALUE(MID(A25,5,2)),VALUE(RIGHT(A25,2)))</f>
        <v/>
      </c>
      <c r="L25" s="395">
        <f>DATEVALUE(LEFT(F25,10))</f>
        <v/>
      </c>
      <c r="M25" s="396">
        <f>TIMEVALUE(MID(F25,12,8))</f>
        <v/>
      </c>
      <c r="N25" s="395">
        <f>DATEVALUE(LEFT(G25,10))</f>
        <v/>
      </c>
      <c r="O25" s="396">
        <f>TIMEVALUE(MID(G25,12,8))</f>
        <v/>
      </c>
      <c r="P25" s="396">
        <f>IFERROR(_xlfn.MINIFS($M:$M,$E:$E,$E25,$K:$K,$K25,$M:$M,"&gt;"&amp;$O25),"")</f>
        <v/>
      </c>
      <c r="Q25" s="396">
        <f>IF($P25="","",$P25-$O25)</f>
        <v/>
      </c>
    </row>
    <row r="26" ht="15" customHeight="1" s="231">
      <c r="A26" s="393" t="inlineStr">
        <is>
          <t>20260718</t>
        </is>
      </c>
      <c r="B26" s="393" t="inlineStr">
        <is>
          <t>LEADS GOOGLE</t>
        </is>
      </c>
      <c r="C26" s="393" t="inlineStr">
        <is>
          <t>RABAT</t>
        </is>
      </c>
      <c r="D26" s="393" t="inlineStr">
        <is>
          <t>8858790_IPSQSVC</t>
        </is>
      </c>
      <c r="E26" s="393" t="inlineStr">
        <is>
          <t>BENSARAN</t>
        </is>
      </c>
      <c r="F26" s="393" t="inlineStr">
        <is>
          <t>2026-07-18 14:00:08</t>
        </is>
      </c>
      <c r="G26" s="393" t="inlineStr">
        <is>
          <t>2026-07-18 16:41:56</t>
        </is>
      </c>
      <c r="H26" s="394" t="n">
        <v>9708</v>
      </c>
      <c r="I26" s="393" t="inlineStr">
        <is>
          <t>Voice</t>
        </is>
      </c>
      <c r="J26" s="393" t="inlineStr">
        <is>
          <t>HAOUACIK</t>
        </is>
      </c>
      <c r="K26" s="395">
        <f>DATE(VALUE(LEFT(A26,4)),VALUE(MID(A26,5,2)),VALUE(RIGHT(A26,2)))</f>
        <v/>
      </c>
      <c r="L26" s="395">
        <f>DATEVALUE(LEFT(F26,10))</f>
        <v/>
      </c>
      <c r="M26" s="396">
        <f>TIMEVALUE(MID(F26,12,8))</f>
        <v/>
      </c>
      <c r="N26" s="395">
        <f>DATEVALUE(LEFT(G26,10))</f>
        <v/>
      </c>
      <c r="O26" s="396">
        <f>TIMEVALUE(MID(G26,12,8))</f>
        <v/>
      </c>
      <c r="P26" s="396">
        <f>IFERROR(_xlfn.MINIFS($M:$M,$E:$E,$E26,$K:$K,$K26,$M:$M,"&gt;"&amp;$O26),"")</f>
        <v/>
      </c>
      <c r="Q26" s="396">
        <f>IF($P26="","",$P26-$O26)</f>
        <v/>
      </c>
    </row>
    <row r="27" ht="15" customHeight="1" s="231">
      <c r="A27" s="393" t="inlineStr">
        <is>
          <t>20260718</t>
        </is>
      </c>
      <c r="B27" s="393" t="inlineStr">
        <is>
          <t>LEADS GOOGLE</t>
        </is>
      </c>
      <c r="C27" s="393" t="inlineStr">
        <is>
          <t>RABAT</t>
        </is>
      </c>
      <c r="D27" s="393" t="inlineStr">
        <is>
          <t>8858790_IPSQSVC</t>
        </is>
      </c>
      <c r="E27" s="393" t="inlineStr">
        <is>
          <t>BENSARAN</t>
        </is>
      </c>
      <c r="F27" s="393" t="inlineStr">
        <is>
          <t>2026-07-18 16:48:39</t>
        </is>
      </c>
      <c r="G27" s="393" t="inlineStr">
        <is>
          <t>2026-07-18 16:49:01</t>
        </is>
      </c>
      <c r="H27" s="394" t="n">
        <v>22</v>
      </c>
      <c r="I27" s="393" t="inlineStr">
        <is>
          <t>Voice</t>
        </is>
      </c>
      <c r="J27" s="393" t="inlineStr">
        <is>
          <t>HAOUACIK</t>
        </is>
      </c>
      <c r="K27" s="395">
        <f>DATE(VALUE(LEFT(A27,4)),VALUE(MID(A27,5,2)),VALUE(RIGHT(A27,2)))</f>
        <v/>
      </c>
      <c r="L27" s="395">
        <f>DATEVALUE(LEFT(F27,10))</f>
        <v/>
      </c>
      <c r="M27" s="396">
        <f>TIMEVALUE(MID(F27,12,8))</f>
        <v/>
      </c>
      <c r="N27" s="395">
        <f>DATEVALUE(LEFT(G27,10))</f>
        <v/>
      </c>
      <c r="O27" s="396">
        <f>TIMEVALUE(MID(G27,12,8))</f>
        <v/>
      </c>
      <c r="P27" s="396">
        <f>IFERROR(_xlfn.MINIFS($M:$M,$E:$E,$E27,$K:$K,$K27,$M:$M,"&gt;"&amp;$O27),"")</f>
        <v/>
      </c>
      <c r="Q27" s="396">
        <f>IF($P27="","",$P27-$O27)</f>
        <v/>
      </c>
    </row>
    <row r="28" ht="15" customHeight="1" s="231">
      <c r="A28" s="393" t="inlineStr">
        <is>
          <t>20260718</t>
        </is>
      </c>
      <c r="B28" s="393" t="inlineStr">
        <is>
          <t>LEADS GOOGLE</t>
        </is>
      </c>
      <c r="C28" s="393" t="inlineStr">
        <is>
          <t>RABAT</t>
        </is>
      </c>
      <c r="D28" s="393" t="inlineStr">
        <is>
          <t>8858790_IPSQSVC</t>
        </is>
      </c>
      <c r="E28" s="393" t="inlineStr">
        <is>
          <t>BENSARAN</t>
        </is>
      </c>
      <c r="F28" s="393" t="inlineStr">
        <is>
          <t>2026-07-18 16:49:03</t>
        </is>
      </c>
      <c r="G28" s="393" t="inlineStr">
        <is>
          <t>2026-07-18 18:00:09</t>
        </is>
      </c>
      <c r="H28" s="394" t="n">
        <v>4266</v>
      </c>
      <c r="I28" s="393" t="inlineStr">
        <is>
          <t>Voice</t>
        </is>
      </c>
      <c r="J28" s="393" t="inlineStr">
        <is>
          <t>HAOUACIK</t>
        </is>
      </c>
      <c r="K28" s="395">
        <f>DATE(VALUE(LEFT(A28,4)),VALUE(MID(A28,5,2)),VALUE(RIGHT(A28,2)))</f>
        <v/>
      </c>
      <c r="L28" s="395">
        <f>DATEVALUE(LEFT(F28,10))</f>
        <v/>
      </c>
      <c r="M28" s="396">
        <f>TIMEVALUE(MID(F28,12,8))</f>
        <v/>
      </c>
      <c r="N28" s="395">
        <f>DATEVALUE(LEFT(G28,10))</f>
        <v/>
      </c>
      <c r="O28" s="396">
        <f>TIMEVALUE(MID(G28,12,8))</f>
        <v/>
      </c>
      <c r="P28" s="396">
        <f>IFERROR(_xlfn.MINIFS($M:$M,$E:$E,$E28,$K:$K,$K28,$M:$M,"&gt;"&amp;$O28),"")</f>
        <v/>
      </c>
      <c r="Q28" s="396">
        <f>IF($P28="","",$P28-$O28)</f>
        <v/>
      </c>
    </row>
    <row r="29" ht="15" customHeight="1" s="231">
      <c r="A29" s="393" t="inlineStr">
        <is>
          <t>20260718</t>
        </is>
      </c>
      <c r="B29" s="393" t="inlineStr">
        <is>
          <t>LEADS GOOGLE</t>
        </is>
      </c>
      <c r="C29" s="393" t="inlineStr">
        <is>
          <t>RABAT</t>
        </is>
      </c>
      <c r="D29" s="393" t="inlineStr">
        <is>
          <t>8859309_IPSBLSL</t>
        </is>
      </c>
      <c r="E29" s="393" t="inlineStr">
        <is>
          <t>BOULHRSA</t>
        </is>
      </c>
      <c r="F29" s="393" t="inlineStr">
        <is>
          <t>2026-07-18 11:06:14</t>
        </is>
      </c>
      <c r="G29" s="393" t="inlineStr">
        <is>
          <t>2026-07-18 11:45:57</t>
        </is>
      </c>
      <c r="H29" s="394" t="n">
        <v>2383</v>
      </c>
      <c r="I29" s="393" t="inlineStr">
        <is>
          <t>Voice</t>
        </is>
      </c>
      <c r="J29" s="393" t="inlineStr">
        <is>
          <t>HAOUACIK</t>
        </is>
      </c>
      <c r="K29" s="395">
        <f>DATE(VALUE(LEFT(A29,4)),VALUE(MID(A29,5,2)),VALUE(RIGHT(A29,2)))</f>
        <v/>
      </c>
      <c r="L29" s="395">
        <f>DATEVALUE(LEFT(F29,10))</f>
        <v/>
      </c>
      <c r="M29" s="396">
        <f>TIMEVALUE(MID(F29,12,8))</f>
        <v/>
      </c>
      <c r="N29" s="395">
        <f>DATEVALUE(LEFT(G29,10))</f>
        <v/>
      </c>
      <c r="O29" s="396">
        <f>TIMEVALUE(MID(G29,12,8))</f>
        <v/>
      </c>
      <c r="P29" s="396">
        <f>IFERROR(_xlfn.MINIFS($M:$M,$E:$E,$E29,$K:$K,$K29,$M:$M,"&gt;"&amp;$O29),"")</f>
        <v/>
      </c>
      <c r="Q29" s="396">
        <f>IF($P29="","",$P29-$O29)</f>
        <v/>
      </c>
    </row>
    <row r="30" ht="15" customHeight="1" s="231">
      <c r="A30" s="393" t="inlineStr">
        <is>
          <t>20260718</t>
        </is>
      </c>
      <c r="B30" s="393" t="inlineStr">
        <is>
          <t>LEADS GOOGLE</t>
        </is>
      </c>
      <c r="C30" s="393" t="inlineStr">
        <is>
          <t>RABAT</t>
        </is>
      </c>
      <c r="D30" s="393" t="inlineStr">
        <is>
          <t>8859309_IPSBLSL</t>
        </is>
      </c>
      <c r="E30" s="393" t="inlineStr">
        <is>
          <t>BOULHRSA</t>
        </is>
      </c>
      <c r="F30" s="393" t="inlineStr">
        <is>
          <t>2026-07-18 12:00:54</t>
        </is>
      </c>
      <c r="G30" s="393" t="inlineStr">
        <is>
          <t>2026-07-18 12:23:54</t>
        </is>
      </c>
      <c r="H30" s="394" t="n">
        <v>1380</v>
      </c>
      <c r="I30" s="393" t="inlineStr">
        <is>
          <t>Voice</t>
        </is>
      </c>
      <c r="J30" s="393" t="inlineStr">
        <is>
          <t>HAOUACIK</t>
        </is>
      </c>
      <c r="K30" s="395">
        <f>DATE(VALUE(LEFT(A30,4)),VALUE(MID(A30,5,2)),VALUE(RIGHT(A30,2)))</f>
        <v/>
      </c>
      <c r="L30" s="395">
        <f>DATEVALUE(LEFT(F30,10))</f>
        <v/>
      </c>
      <c r="M30" s="396">
        <f>TIMEVALUE(MID(F30,12,8))</f>
        <v/>
      </c>
      <c r="N30" s="395">
        <f>DATEVALUE(LEFT(G30,10))</f>
        <v/>
      </c>
      <c r="O30" s="396">
        <f>TIMEVALUE(MID(G30,12,8))</f>
        <v/>
      </c>
      <c r="P30" s="396">
        <f>IFERROR(_xlfn.MINIFS($M:$M,$E:$E,$E30,$K:$K,$K30,$M:$M,"&gt;"&amp;$O30),"")</f>
        <v/>
      </c>
      <c r="Q30" s="396">
        <f>IF($P30="","",$P30-$O30)</f>
        <v/>
      </c>
    </row>
    <row r="31" ht="15" customHeight="1" s="231">
      <c r="A31" s="393" t="inlineStr">
        <is>
          <t>20260718</t>
        </is>
      </c>
      <c r="B31" s="393" t="inlineStr">
        <is>
          <t>LEADS GOOGLE</t>
        </is>
      </c>
      <c r="C31" s="393" t="inlineStr">
        <is>
          <t>RABAT</t>
        </is>
      </c>
      <c r="D31" s="393" t="inlineStr">
        <is>
          <t>8859309_IPSBLSL</t>
        </is>
      </c>
      <c r="E31" s="393" t="inlineStr">
        <is>
          <t>BOULHRSA</t>
        </is>
      </c>
      <c r="F31" s="393" t="inlineStr">
        <is>
          <t>2026-07-18 12:23:58</t>
        </is>
      </c>
      <c r="G31" s="393" t="inlineStr">
        <is>
          <t>2026-07-18 13:28:20</t>
        </is>
      </c>
      <c r="H31" s="394" t="n">
        <v>3862</v>
      </c>
      <c r="I31" s="393" t="inlineStr">
        <is>
          <t>Voice</t>
        </is>
      </c>
      <c r="J31" s="393" t="inlineStr">
        <is>
          <t>HAOUACIK</t>
        </is>
      </c>
      <c r="K31" s="395">
        <f>DATE(VALUE(LEFT(A31,4)),VALUE(MID(A31,5,2)),VALUE(RIGHT(A31,2)))</f>
        <v/>
      </c>
      <c r="L31" s="395">
        <f>DATEVALUE(LEFT(F31,10))</f>
        <v/>
      </c>
      <c r="M31" s="396">
        <f>TIMEVALUE(MID(F31,12,8))</f>
        <v/>
      </c>
      <c r="N31" s="395">
        <f>DATEVALUE(LEFT(G31,10))</f>
        <v/>
      </c>
      <c r="O31" s="396">
        <f>TIMEVALUE(MID(G31,12,8))</f>
        <v/>
      </c>
      <c r="P31" s="396">
        <f>IFERROR(_xlfn.MINIFS($M:$M,$E:$E,$E31,$K:$K,$K31,$M:$M,"&gt;"&amp;$O31),"")</f>
        <v/>
      </c>
      <c r="Q31" s="396">
        <f>IF($P31="","",$P31-$O31)</f>
        <v/>
      </c>
    </row>
    <row r="32" ht="15" customHeight="1" s="231">
      <c r="A32" s="393" t="inlineStr">
        <is>
          <t>20260718</t>
        </is>
      </c>
      <c r="B32" s="393" t="inlineStr">
        <is>
          <t>LEADS GOOGLE</t>
        </is>
      </c>
      <c r="C32" s="393" t="inlineStr">
        <is>
          <t>RABAT</t>
        </is>
      </c>
      <c r="D32" s="393" t="inlineStr">
        <is>
          <t>8859309_IPSBLSL</t>
        </is>
      </c>
      <c r="E32" s="393" t="inlineStr">
        <is>
          <t>BOULHRSA</t>
        </is>
      </c>
      <c r="F32" s="393" t="inlineStr">
        <is>
          <t>2026-07-18 13:29:02</t>
        </is>
      </c>
      <c r="G32" s="393" t="inlineStr">
        <is>
          <t>2026-07-18 15:00:08</t>
        </is>
      </c>
      <c r="H32" s="394" t="n">
        <v>5466</v>
      </c>
      <c r="I32" s="393" t="inlineStr">
        <is>
          <t>Voice</t>
        </is>
      </c>
      <c r="J32" s="393" t="inlineStr">
        <is>
          <t>HAOUACIK</t>
        </is>
      </c>
      <c r="K32" s="395">
        <f>DATE(VALUE(LEFT(A32,4)),VALUE(MID(A32,5,2)),VALUE(RIGHT(A32,2)))</f>
        <v/>
      </c>
      <c r="L32" s="395">
        <f>DATEVALUE(LEFT(F32,10))</f>
        <v/>
      </c>
      <c r="M32" s="396">
        <f>TIMEVALUE(MID(F32,12,8))</f>
        <v/>
      </c>
      <c r="N32" s="395">
        <f>DATEVALUE(LEFT(G32,10))</f>
        <v/>
      </c>
      <c r="O32" s="396">
        <f>TIMEVALUE(MID(G32,12,8))</f>
        <v/>
      </c>
      <c r="P32" s="396">
        <f>IFERROR(_xlfn.MINIFS($M:$M,$E:$E,$E32,$K:$K,$K32,$M:$M,"&gt;"&amp;$O32),"")</f>
        <v/>
      </c>
      <c r="Q32" s="396">
        <f>IF($P32="","",$P32-$O32)</f>
        <v/>
      </c>
    </row>
    <row r="33" ht="15" customHeight="1" s="231">
      <c r="A33" s="393" t="inlineStr">
        <is>
          <t>20260718</t>
        </is>
      </c>
      <c r="B33" s="393" t="inlineStr">
        <is>
          <t>LEADS GOOGLE</t>
        </is>
      </c>
      <c r="C33" s="393" t="inlineStr">
        <is>
          <t>RABAT</t>
        </is>
      </c>
      <c r="D33" s="393" t="inlineStr">
        <is>
          <t>8859309_IPSBLSL</t>
        </is>
      </c>
      <c r="E33" s="393" t="inlineStr">
        <is>
          <t>BOULHRSA</t>
        </is>
      </c>
      <c r="F33" s="393" t="inlineStr">
        <is>
          <t>2026-07-18 15:57:28</t>
        </is>
      </c>
      <c r="G33" s="393" t="inlineStr">
        <is>
          <t>2026-07-18 15:58:29</t>
        </is>
      </c>
      <c r="H33" s="394" t="n">
        <v>61</v>
      </c>
      <c r="I33" s="393" t="inlineStr">
        <is>
          <t>Voice</t>
        </is>
      </c>
      <c r="J33" s="393" t="inlineStr">
        <is>
          <t>HAOUACIK</t>
        </is>
      </c>
      <c r="K33" s="395">
        <f>DATE(VALUE(LEFT(A33,4)),VALUE(MID(A33,5,2)),VALUE(RIGHT(A33,2)))</f>
        <v/>
      </c>
      <c r="L33" s="395">
        <f>DATEVALUE(LEFT(F33,10))</f>
        <v/>
      </c>
      <c r="M33" s="396">
        <f>TIMEVALUE(MID(F33,12,8))</f>
        <v/>
      </c>
      <c r="N33" s="395">
        <f>DATEVALUE(LEFT(G33,10))</f>
        <v/>
      </c>
      <c r="O33" s="396">
        <f>TIMEVALUE(MID(G33,12,8))</f>
        <v/>
      </c>
      <c r="P33" s="396">
        <f>IFERROR(_xlfn.MINIFS($M:$M,$E:$E,$E33,$K:$K,$K33,$M:$M,"&gt;"&amp;$O33),"")</f>
        <v/>
      </c>
      <c r="Q33" s="396">
        <f>IF($P33="","",$P33-$O33)</f>
        <v/>
      </c>
    </row>
    <row r="34" ht="15" customHeight="1" s="231">
      <c r="A34" s="393" t="inlineStr">
        <is>
          <t>20260718</t>
        </is>
      </c>
      <c r="B34" s="393" t="inlineStr">
        <is>
          <t>LEADS GOOGLE</t>
        </is>
      </c>
      <c r="C34" s="393" t="inlineStr">
        <is>
          <t>RABAT</t>
        </is>
      </c>
      <c r="D34" s="393" t="inlineStr">
        <is>
          <t>8859309_IPSBLSL</t>
        </is>
      </c>
      <c r="E34" s="393" t="inlineStr">
        <is>
          <t>BOULHRSA</t>
        </is>
      </c>
      <c r="F34" s="393" t="inlineStr">
        <is>
          <t>2026-07-18 15:59:39</t>
        </is>
      </c>
      <c r="G34" s="393" t="inlineStr">
        <is>
          <t>2026-07-18 16:27:17</t>
        </is>
      </c>
      <c r="H34" s="394" t="n">
        <v>1658</v>
      </c>
      <c r="I34" s="393" t="inlineStr">
        <is>
          <t>Voice</t>
        </is>
      </c>
      <c r="J34" s="393" t="inlineStr">
        <is>
          <t>HAOUACIK</t>
        </is>
      </c>
      <c r="K34" s="395">
        <f>DATE(VALUE(LEFT(A34,4)),VALUE(MID(A34,5,2)),VALUE(RIGHT(A34,2)))</f>
        <v/>
      </c>
      <c r="L34" s="395">
        <f>DATEVALUE(LEFT(F34,10))</f>
        <v/>
      </c>
      <c r="M34" s="396">
        <f>TIMEVALUE(MID(F34,12,8))</f>
        <v/>
      </c>
      <c r="N34" s="395">
        <f>DATEVALUE(LEFT(G34,10))</f>
        <v/>
      </c>
      <c r="O34" s="396">
        <f>TIMEVALUE(MID(G34,12,8))</f>
        <v/>
      </c>
      <c r="P34" s="396">
        <f>IFERROR(_xlfn.MINIFS($M:$M,$E:$E,$E34,$K:$K,$K34,$M:$M,"&gt;"&amp;$O34),"")</f>
        <v/>
      </c>
      <c r="Q34" s="396">
        <f>IF($P34="","",$P34-$O34)</f>
        <v/>
      </c>
    </row>
    <row r="35" ht="15" customHeight="1" s="231">
      <c r="A35" s="393" t="inlineStr">
        <is>
          <t>20260718</t>
        </is>
      </c>
      <c r="B35" s="393" t="inlineStr">
        <is>
          <t>LEADS GOOGLE</t>
        </is>
      </c>
      <c r="C35" s="393" t="inlineStr">
        <is>
          <t>RABAT</t>
        </is>
      </c>
      <c r="D35" s="393" t="inlineStr">
        <is>
          <t>8859309_IPSBLSL</t>
        </is>
      </c>
      <c r="E35" s="393" t="inlineStr">
        <is>
          <t>BOULHRSA</t>
        </is>
      </c>
      <c r="F35" s="393" t="inlineStr">
        <is>
          <t>2026-07-18 16:28:06</t>
        </is>
      </c>
      <c r="G35" s="393" t="inlineStr">
        <is>
          <t>2026-07-18 16:49:08</t>
        </is>
      </c>
      <c r="H35" s="394" t="n">
        <v>1262</v>
      </c>
      <c r="I35" s="393" t="inlineStr">
        <is>
          <t>Voice</t>
        </is>
      </c>
      <c r="J35" s="393" t="inlineStr">
        <is>
          <t>HAOUACIK</t>
        </is>
      </c>
      <c r="K35" s="395">
        <f>DATE(VALUE(LEFT(A35,4)),VALUE(MID(A35,5,2)),VALUE(RIGHT(A35,2)))</f>
        <v/>
      </c>
      <c r="L35" s="395">
        <f>DATEVALUE(LEFT(F35,10))</f>
        <v/>
      </c>
      <c r="M35" s="396">
        <f>TIMEVALUE(MID(F35,12,8))</f>
        <v/>
      </c>
      <c r="N35" s="395">
        <f>DATEVALUE(LEFT(G35,10))</f>
        <v/>
      </c>
      <c r="O35" s="396">
        <f>TIMEVALUE(MID(G35,12,8))</f>
        <v/>
      </c>
      <c r="P35" s="396">
        <f>IFERROR(_xlfn.MINIFS($M:$M,$E:$E,$E35,$K:$K,$K35,$M:$M,"&gt;"&amp;$O35),"")</f>
        <v/>
      </c>
      <c r="Q35" s="396">
        <f>IF($P35="","",$P35-$O35)</f>
        <v/>
      </c>
    </row>
    <row r="36" ht="15" customHeight="1" s="231">
      <c r="A36" s="393" t="inlineStr">
        <is>
          <t>20260718</t>
        </is>
      </c>
      <c r="B36" s="393" t="inlineStr">
        <is>
          <t>LEADS GOOGLE</t>
        </is>
      </c>
      <c r="C36" s="393" t="inlineStr">
        <is>
          <t>RABAT</t>
        </is>
      </c>
      <c r="D36" s="393" t="inlineStr">
        <is>
          <t>8859309_IPSBLSL</t>
        </is>
      </c>
      <c r="E36" s="393" t="inlineStr">
        <is>
          <t>BOULHRSA</t>
        </is>
      </c>
      <c r="F36" s="393" t="inlineStr">
        <is>
          <t>2026-07-18 16:49:30</t>
        </is>
      </c>
      <c r="G36" s="393" t="inlineStr">
        <is>
          <t>2026-07-18 16:53:21</t>
        </is>
      </c>
      <c r="H36" s="394" t="n">
        <v>231</v>
      </c>
      <c r="I36" s="393" t="inlineStr">
        <is>
          <t>Voice</t>
        </is>
      </c>
      <c r="J36" s="393" t="inlineStr">
        <is>
          <t>HAOUACIK</t>
        </is>
      </c>
      <c r="K36" s="395">
        <f>DATE(VALUE(LEFT(A36,4)),VALUE(MID(A36,5,2)),VALUE(RIGHT(A36,2)))</f>
        <v/>
      </c>
      <c r="L36" s="395">
        <f>DATEVALUE(LEFT(F36,10))</f>
        <v/>
      </c>
      <c r="M36" s="396">
        <f>TIMEVALUE(MID(F36,12,8))</f>
        <v/>
      </c>
      <c r="N36" s="395">
        <f>DATEVALUE(LEFT(G36,10))</f>
        <v/>
      </c>
      <c r="O36" s="396">
        <f>TIMEVALUE(MID(G36,12,8))</f>
        <v/>
      </c>
      <c r="P36" s="396">
        <f>IFERROR(_xlfn.MINIFS($M:$M,$E:$E,$E36,$K:$K,$K36,$M:$M,"&gt;"&amp;$O36),"")</f>
        <v/>
      </c>
      <c r="Q36" s="396">
        <f>IF($P36="","",$P36-$O36)</f>
        <v/>
      </c>
    </row>
    <row r="37" ht="15" customHeight="1" s="231">
      <c r="A37" s="393" t="inlineStr">
        <is>
          <t>20260718</t>
        </is>
      </c>
      <c r="B37" s="393" t="inlineStr">
        <is>
          <t>LEADS GOOGLE</t>
        </is>
      </c>
      <c r="C37" s="393" t="inlineStr">
        <is>
          <t>RABAT</t>
        </is>
      </c>
      <c r="D37" s="393" t="inlineStr">
        <is>
          <t>8859309_IPSBLSL</t>
        </is>
      </c>
      <c r="E37" s="393" t="inlineStr">
        <is>
          <t>BOULHRSA</t>
        </is>
      </c>
      <c r="F37" s="393" t="inlineStr">
        <is>
          <t>2026-07-18 16:54:26</t>
        </is>
      </c>
      <c r="G37" s="393" t="inlineStr">
        <is>
          <t>2026-07-18 21:00:13</t>
        </is>
      </c>
      <c r="H37" s="394" t="n">
        <v>14747</v>
      </c>
      <c r="I37" s="393" t="inlineStr">
        <is>
          <t>Voice</t>
        </is>
      </c>
      <c r="J37" s="393" t="inlineStr">
        <is>
          <t>HAOUACIK</t>
        </is>
      </c>
      <c r="K37" s="395">
        <f>DATE(VALUE(LEFT(A37,4)),VALUE(MID(A37,5,2)),VALUE(RIGHT(A37,2)))</f>
        <v/>
      </c>
      <c r="L37" s="395">
        <f>DATEVALUE(LEFT(F37,10))</f>
        <v/>
      </c>
      <c r="M37" s="396">
        <f>TIMEVALUE(MID(F37,12,8))</f>
        <v/>
      </c>
      <c r="N37" s="395">
        <f>DATEVALUE(LEFT(G37,10))</f>
        <v/>
      </c>
      <c r="O37" s="396">
        <f>TIMEVALUE(MID(G37,12,8))</f>
        <v/>
      </c>
      <c r="P37" s="396">
        <f>IFERROR(_xlfn.MINIFS($M:$M,$E:$E,$E37,$K:$K,$K37,$M:$M,"&gt;"&amp;$O37),"")</f>
        <v/>
      </c>
      <c r="Q37" s="396">
        <f>IF($P37="","",$P37-$O37)</f>
        <v/>
      </c>
    </row>
    <row r="38" ht="15" customHeight="1" s="231">
      <c r="A38" s="393" t="inlineStr">
        <is>
          <t>20260718</t>
        </is>
      </c>
      <c r="B38" s="393" t="inlineStr">
        <is>
          <t>LEADS GOOGLE</t>
        </is>
      </c>
      <c r="C38" s="393" t="inlineStr">
        <is>
          <t>RABAT</t>
        </is>
      </c>
      <c r="D38" s="393" t="inlineStr">
        <is>
          <t>8859558_IPSBRHS</t>
        </is>
      </c>
      <c r="E38" s="393" t="inlineStr">
        <is>
          <t>BOURABHS</t>
        </is>
      </c>
      <c r="F38" s="393" t="inlineStr">
        <is>
          <t>2026-07-18 08:42:03</t>
        </is>
      </c>
      <c r="G38" s="393" t="inlineStr">
        <is>
          <t>2026-07-18 08:43:05</t>
        </is>
      </c>
      <c r="H38" s="394" t="n">
        <v>62</v>
      </c>
      <c r="I38" s="393" t="inlineStr">
        <is>
          <t>Voice</t>
        </is>
      </c>
      <c r="J38" s="393" t="inlineStr">
        <is>
          <t>HAOUACIK</t>
        </is>
      </c>
      <c r="K38" s="395">
        <f>DATE(VALUE(LEFT(A38,4)),VALUE(MID(A38,5,2)),VALUE(RIGHT(A38,2)))</f>
        <v/>
      </c>
      <c r="L38" s="395">
        <f>DATEVALUE(LEFT(F38,10))</f>
        <v/>
      </c>
      <c r="M38" s="396">
        <f>TIMEVALUE(MID(F38,12,8))</f>
        <v/>
      </c>
      <c r="N38" s="395">
        <f>DATEVALUE(LEFT(G38,10))</f>
        <v/>
      </c>
      <c r="O38" s="396">
        <f>TIMEVALUE(MID(G38,12,8))</f>
        <v/>
      </c>
      <c r="P38" s="396">
        <f>IFERROR(_xlfn.MINIFS($M:$M,$E:$E,$E38,$K:$K,$K38,$M:$M,"&gt;"&amp;$O38),"")</f>
        <v/>
      </c>
      <c r="Q38" s="396">
        <f>IF($P38="","",$P38-$O38)</f>
        <v/>
      </c>
    </row>
    <row r="39" ht="15" customHeight="1" s="231">
      <c r="A39" s="393" t="inlineStr">
        <is>
          <t>20260718</t>
        </is>
      </c>
      <c r="B39" s="393" t="inlineStr">
        <is>
          <t>LEADS GOOGLE</t>
        </is>
      </c>
      <c r="C39" s="393" t="inlineStr">
        <is>
          <t>RABAT</t>
        </is>
      </c>
      <c r="D39" s="393" t="inlineStr">
        <is>
          <t>8859558_IPSBRHS</t>
        </is>
      </c>
      <c r="E39" s="393" t="inlineStr">
        <is>
          <t>BOURABHS</t>
        </is>
      </c>
      <c r="F39" s="393" t="inlineStr">
        <is>
          <t>2026-07-18 09:00:24</t>
        </is>
      </c>
      <c r="G39" s="393" t="inlineStr">
        <is>
          <t>2026-07-18 09:09:28</t>
        </is>
      </c>
      <c r="H39" s="394" t="n">
        <v>544</v>
      </c>
      <c r="I39" s="393" t="inlineStr">
        <is>
          <t>Voice</t>
        </is>
      </c>
      <c r="J39" s="393" t="inlineStr">
        <is>
          <t>HAOUACIK</t>
        </is>
      </c>
      <c r="K39" s="395">
        <f>DATE(VALUE(LEFT(A39,4)),VALUE(MID(A39,5,2)),VALUE(RIGHT(A39,2)))</f>
        <v/>
      </c>
      <c r="L39" s="395">
        <f>DATEVALUE(LEFT(F39,10))</f>
        <v/>
      </c>
      <c r="M39" s="396">
        <f>TIMEVALUE(MID(F39,12,8))</f>
        <v/>
      </c>
      <c r="N39" s="395">
        <f>DATEVALUE(LEFT(G39,10))</f>
        <v/>
      </c>
      <c r="O39" s="396">
        <f>TIMEVALUE(MID(G39,12,8))</f>
        <v/>
      </c>
      <c r="P39" s="396">
        <f>IFERROR(_xlfn.MINIFS($M:$M,$E:$E,$E39,$K:$K,$K39,$M:$M,"&gt;"&amp;$O39),"")</f>
        <v/>
      </c>
      <c r="Q39" s="396">
        <f>IF($P39="","",$P39-$O39)</f>
        <v/>
      </c>
    </row>
    <row r="40" ht="15" customHeight="1" s="231">
      <c r="A40" s="393" t="inlineStr">
        <is>
          <t>20260718</t>
        </is>
      </c>
      <c r="B40" s="393" t="inlineStr">
        <is>
          <t>LEADS GOOGLE</t>
        </is>
      </c>
      <c r="C40" s="393" t="inlineStr">
        <is>
          <t>RABAT</t>
        </is>
      </c>
      <c r="D40" s="393" t="inlineStr">
        <is>
          <t>8859558_IPSBRHS</t>
        </is>
      </c>
      <c r="E40" s="393" t="inlineStr">
        <is>
          <t>BOURABHS</t>
        </is>
      </c>
      <c r="F40" s="393" t="inlineStr">
        <is>
          <t>2026-07-18 09:09:32</t>
        </is>
      </c>
      <c r="G40" s="393" t="inlineStr">
        <is>
          <t>2026-07-18 09:10:31</t>
        </is>
      </c>
      <c r="H40" s="394" t="n">
        <v>59</v>
      </c>
      <c r="I40" s="393" t="inlineStr">
        <is>
          <t>Voice</t>
        </is>
      </c>
      <c r="J40" s="393" t="inlineStr">
        <is>
          <t>HAOUACIK</t>
        </is>
      </c>
      <c r="K40" s="395">
        <f>DATE(VALUE(LEFT(A40,4)),VALUE(MID(A40,5,2)),VALUE(RIGHT(A40,2)))</f>
        <v/>
      </c>
      <c r="L40" s="395">
        <f>DATEVALUE(LEFT(F40,10))</f>
        <v/>
      </c>
      <c r="M40" s="396">
        <f>TIMEVALUE(MID(F40,12,8))</f>
        <v/>
      </c>
      <c r="N40" s="395">
        <f>DATEVALUE(LEFT(G40,10))</f>
        <v/>
      </c>
      <c r="O40" s="396">
        <f>TIMEVALUE(MID(G40,12,8))</f>
        <v/>
      </c>
      <c r="P40" s="396">
        <f>IFERROR(_xlfn.MINIFS($M:$M,$E:$E,$E40,$K:$K,$K40,$M:$M,"&gt;"&amp;$O40),"")</f>
        <v/>
      </c>
      <c r="Q40" s="396">
        <f>IF($P40="","",$P40-$O40)</f>
        <v/>
      </c>
    </row>
    <row r="41" ht="15" customHeight="1" s="231">
      <c r="A41" s="393" t="inlineStr">
        <is>
          <t>20260718</t>
        </is>
      </c>
      <c r="B41" s="393" t="inlineStr">
        <is>
          <t>LEADS GOOGLE</t>
        </is>
      </c>
      <c r="C41" s="393" t="inlineStr">
        <is>
          <t>RABAT</t>
        </is>
      </c>
      <c r="D41" s="393" t="inlineStr">
        <is>
          <t>8859558_IPSBRHS</t>
        </is>
      </c>
      <c r="E41" s="393" t="inlineStr">
        <is>
          <t>BOURABHS</t>
        </is>
      </c>
      <c r="F41" s="393" t="inlineStr">
        <is>
          <t>2026-07-18 09:11:34</t>
        </is>
      </c>
      <c r="G41" s="393" t="inlineStr">
        <is>
          <t>2026-07-18 09:29:47</t>
        </is>
      </c>
      <c r="H41" s="394" t="n">
        <v>1093</v>
      </c>
      <c r="I41" s="393" t="inlineStr">
        <is>
          <t>Voice</t>
        </is>
      </c>
      <c r="J41" s="393" t="inlineStr">
        <is>
          <t>HAOUACIK</t>
        </is>
      </c>
      <c r="K41" s="395">
        <f>DATE(VALUE(LEFT(A41,4)),VALUE(MID(A41,5,2)),VALUE(RIGHT(A41,2)))</f>
        <v/>
      </c>
      <c r="L41" s="395">
        <f>DATEVALUE(LEFT(F41,10))</f>
        <v/>
      </c>
      <c r="M41" s="396">
        <f>TIMEVALUE(MID(F41,12,8))</f>
        <v/>
      </c>
      <c r="N41" s="395">
        <f>DATEVALUE(LEFT(G41,10))</f>
        <v/>
      </c>
      <c r="O41" s="396">
        <f>TIMEVALUE(MID(G41,12,8))</f>
        <v/>
      </c>
      <c r="P41" s="396">
        <f>IFERROR(_xlfn.MINIFS($M:$M,$E:$E,$E41,$K:$K,$K41,$M:$M,"&gt;"&amp;$O41),"")</f>
        <v/>
      </c>
      <c r="Q41" s="396">
        <f>IF($P41="","",$P41-$O41)</f>
        <v/>
      </c>
    </row>
    <row r="42" ht="15" customHeight="1" s="231">
      <c r="A42" s="393" t="inlineStr">
        <is>
          <t>20260718</t>
        </is>
      </c>
      <c r="B42" s="393" t="inlineStr">
        <is>
          <t>LEADS GOOGLE</t>
        </is>
      </c>
      <c r="C42" s="393" t="inlineStr">
        <is>
          <t>RABAT</t>
        </is>
      </c>
      <c r="D42" s="393" t="inlineStr">
        <is>
          <t>8859558_IPSBRHS</t>
        </is>
      </c>
      <c r="E42" s="393" t="inlineStr">
        <is>
          <t>BOURABHS</t>
        </is>
      </c>
      <c r="F42" s="393" t="inlineStr">
        <is>
          <t>2026-07-18 09:31:33</t>
        </is>
      </c>
      <c r="G42" s="393" t="inlineStr">
        <is>
          <t>2026-07-18 14:01:06</t>
        </is>
      </c>
      <c r="H42" s="394" t="n">
        <v>16173</v>
      </c>
      <c r="I42" s="393" t="inlineStr">
        <is>
          <t>Voice</t>
        </is>
      </c>
      <c r="J42" s="393" t="inlineStr">
        <is>
          <t>HAOUACIK</t>
        </is>
      </c>
      <c r="K42" s="395">
        <f>DATE(VALUE(LEFT(A42,4)),VALUE(MID(A42,5,2)),VALUE(RIGHT(A42,2)))</f>
        <v/>
      </c>
      <c r="L42" s="395">
        <f>DATEVALUE(LEFT(F42,10))</f>
        <v/>
      </c>
      <c r="M42" s="396">
        <f>TIMEVALUE(MID(F42,12,8))</f>
        <v/>
      </c>
      <c r="N42" s="395">
        <f>DATEVALUE(LEFT(G42,10))</f>
        <v/>
      </c>
      <c r="O42" s="396">
        <f>TIMEVALUE(MID(G42,12,8))</f>
        <v/>
      </c>
      <c r="P42" s="396">
        <f>IFERROR(_xlfn.MINIFS($M:$M,$E:$E,$E42,$K:$K,$K42,$M:$M,"&gt;"&amp;$O42),"")</f>
        <v/>
      </c>
      <c r="Q42" s="396">
        <f>IF($P42="","",$P42-$O42)</f>
        <v/>
      </c>
    </row>
    <row r="43" ht="15" customHeight="1" s="231">
      <c r="A43" s="393" t="inlineStr">
        <is>
          <t>20260718</t>
        </is>
      </c>
      <c r="B43" s="393" t="inlineStr">
        <is>
          <t>LEADS GOOGLE</t>
        </is>
      </c>
      <c r="C43" s="393" t="inlineStr">
        <is>
          <t>RABAT</t>
        </is>
      </c>
      <c r="D43" s="393" t="inlineStr">
        <is>
          <t>8859558_IPSBRHS</t>
        </is>
      </c>
      <c r="E43" s="393" t="inlineStr">
        <is>
          <t>BOURABHS</t>
        </is>
      </c>
      <c r="F43" s="393" t="inlineStr">
        <is>
          <t>2026-07-18 15:01:51</t>
        </is>
      </c>
      <c r="G43" s="393" t="inlineStr">
        <is>
          <t>2026-07-18 16:27:03</t>
        </is>
      </c>
      <c r="H43" s="394" t="n">
        <v>5112</v>
      </c>
      <c r="I43" s="393" t="inlineStr">
        <is>
          <t>Voice</t>
        </is>
      </c>
      <c r="J43" s="393" t="inlineStr">
        <is>
          <t>HAOUACIK</t>
        </is>
      </c>
      <c r="K43" s="395">
        <f>DATE(VALUE(LEFT(A43,4)),VALUE(MID(A43,5,2)),VALUE(RIGHT(A43,2)))</f>
        <v/>
      </c>
      <c r="L43" s="395">
        <f>DATEVALUE(LEFT(F43,10))</f>
        <v/>
      </c>
      <c r="M43" s="396">
        <f>TIMEVALUE(MID(F43,12,8))</f>
        <v/>
      </c>
      <c r="N43" s="395">
        <f>DATEVALUE(LEFT(G43,10))</f>
        <v/>
      </c>
      <c r="O43" s="396">
        <f>TIMEVALUE(MID(G43,12,8))</f>
        <v/>
      </c>
      <c r="P43" s="396">
        <f>IFERROR(_xlfn.MINIFS($M:$M,$E:$E,$E43,$K:$K,$K43,$M:$M,"&gt;"&amp;$O43),"")</f>
        <v/>
      </c>
      <c r="Q43" s="396">
        <f>IF($P43="","",$P43-$O43)</f>
        <v/>
      </c>
    </row>
    <row r="44" ht="15" customHeight="1" s="231">
      <c r="A44" s="393" t="inlineStr">
        <is>
          <t>20260718</t>
        </is>
      </c>
      <c r="B44" s="393" t="inlineStr">
        <is>
          <t>LEADS GOOGLE</t>
        </is>
      </c>
      <c r="C44" s="393" t="inlineStr">
        <is>
          <t>RABAT</t>
        </is>
      </c>
      <c r="D44" s="393" t="inlineStr">
        <is>
          <t>8859558_IPSBRHS</t>
        </is>
      </c>
      <c r="E44" s="393" t="inlineStr">
        <is>
          <t>BOURABHS</t>
        </is>
      </c>
      <c r="F44" s="393" t="inlineStr">
        <is>
          <t>2026-07-18 16:30:36</t>
        </is>
      </c>
      <c r="G44" s="393" t="inlineStr">
        <is>
          <t>2026-07-18 18:00:06</t>
        </is>
      </c>
      <c r="H44" s="394" t="n">
        <v>5370</v>
      </c>
      <c r="I44" s="393" t="inlineStr">
        <is>
          <t>Voice</t>
        </is>
      </c>
      <c r="J44" s="393" t="inlineStr">
        <is>
          <t>HAOUACIK</t>
        </is>
      </c>
      <c r="K44" s="395">
        <f>DATE(VALUE(LEFT(A44,4)),VALUE(MID(A44,5,2)),VALUE(RIGHT(A44,2)))</f>
        <v/>
      </c>
      <c r="L44" s="395">
        <f>DATEVALUE(LEFT(F44,10))</f>
        <v/>
      </c>
      <c r="M44" s="396">
        <f>TIMEVALUE(MID(F44,12,8))</f>
        <v/>
      </c>
      <c r="N44" s="395">
        <f>DATEVALUE(LEFT(G44,10))</f>
        <v/>
      </c>
      <c r="O44" s="396">
        <f>TIMEVALUE(MID(G44,12,8))</f>
        <v/>
      </c>
      <c r="P44" s="396">
        <f>IFERROR(_xlfn.MINIFS($M:$M,$E:$E,$E44,$K:$K,$K44,$M:$M,"&gt;"&amp;$O44),"")</f>
        <v/>
      </c>
      <c r="Q44" s="396">
        <f>IF($P44="","",$P44-$O44)</f>
        <v/>
      </c>
    </row>
    <row r="45" ht="15" customHeight="1" s="231">
      <c r="A45" s="393" t="inlineStr">
        <is>
          <t>20260718</t>
        </is>
      </c>
      <c r="B45" s="393" t="inlineStr">
        <is>
          <t>LEADS GOOGLE</t>
        </is>
      </c>
      <c r="C45" s="393" t="inlineStr">
        <is>
          <t>RABAT</t>
        </is>
      </c>
      <c r="D45" s="393" t="inlineStr">
        <is>
          <t>8859398_IPSCHSX</t>
        </is>
      </c>
      <c r="E45" s="393" t="inlineStr">
        <is>
          <t>CHAFISA</t>
        </is>
      </c>
      <c r="F45" s="393" t="inlineStr">
        <is>
          <t>2026-07-18 10:59:04</t>
        </is>
      </c>
      <c r="G45" s="393" t="inlineStr">
        <is>
          <t>2026-07-18 16:00:13</t>
        </is>
      </c>
      <c r="H45" s="394" t="n">
        <v>18069</v>
      </c>
      <c r="I45" s="393" t="inlineStr">
        <is>
          <t>Voice</t>
        </is>
      </c>
      <c r="J45" s="393" t="inlineStr">
        <is>
          <t>RHOUDAOT</t>
        </is>
      </c>
      <c r="K45" s="395">
        <f>DATE(VALUE(LEFT(A45,4)),VALUE(MID(A45,5,2)),VALUE(RIGHT(A45,2)))</f>
        <v/>
      </c>
      <c r="L45" s="395">
        <f>DATEVALUE(LEFT(F45,10))</f>
        <v/>
      </c>
      <c r="M45" s="396">
        <f>TIMEVALUE(MID(F45,12,8))</f>
        <v/>
      </c>
      <c r="N45" s="395">
        <f>DATEVALUE(LEFT(G45,10))</f>
        <v/>
      </c>
      <c r="O45" s="396">
        <f>TIMEVALUE(MID(G45,12,8))</f>
        <v/>
      </c>
      <c r="P45" s="396">
        <f>IFERROR(_xlfn.MINIFS($M:$M,$E:$E,$E45,$K:$K,$K45,$M:$M,"&gt;"&amp;$O45),"")</f>
        <v/>
      </c>
      <c r="Q45" s="396">
        <f>IF($P45="","",$P45-$O45)</f>
        <v/>
      </c>
    </row>
    <row r="46" ht="15" customHeight="1" s="231">
      <c r="A46" s="393" t="inlineStr">
        <is>
          <t>20260718</t>
        </is>
      </c>
      <c r="B46" s="393" t="inlineStr">
        <is>
          <t>LEADS GOOGLE</t>
        </is>
      </c>
      <c r="C46" s="393" t="inlineStr">
        <is>
          <t>RABAT</t>
        </is>
      </c>
      <c r="D46" s="393" t="inlineStr">
        <is>
          <t>8859398_IPSCHSX</t>
        </is>
      </c>
      <c r="E46" s="393" t="inlineStr">
        <is>
          <t>CHAFISA</t>
        </is>
      </c>
      <c r="F46" s="393" t="inlineStr">
        <is>
          <t>2026-07-18 16:58:05</t>
        </is>
      </c>
      <c r="G46" s="393" t="inlineStr">
        <is>
          <t>2026-07-18 21:00:06</t>
        </is>
      </c>
      <c r="H46" s="394" t="n">
        <v>14521</v>
      </c>
      <c r="I46" s="393" t="inlineStr">
        <is>
          <t>Voice</t>
        </is>
      </c>
      <c r="J46" s="393" t="inlineStr">
        <is>
          <t>RHOUDAOT</t>
        </is>
      </c>
      <c r="K46" s="395">
        <f>DATE(VALUE(LEFT(A46,4)),VALUE(MID(A46,5,2)),VALUE(RIGHT(A46,2)))</f>
        <v/>
      </c>
      <c r="L46" s="395">
        <f>DATEVALUE(LEFT(F46,10))</f>
        <v/>
      </c>
      <c r="M46" s="396">
        <f>TIMEVALUE(MID(F46,12,8))</f>
        <v/>
      </c>
      <c r="N46" s="395">
        <f>DATEVALUE(LEFT(G46,10))</f>
        <v/>
      </c>
      <c r="O46" s="396">
        <f>TIMEVALUE(MID(G46,12,8))</f>
        <v/>
      </c>
      <c r="P46" s="396">
        <f>IFERROR(_xlfn.MINIFS($M:$M,$E:$E,$E46,$K:$K,$K46,$M:$M,"&gt;"&amp;$O46),"")</f>
        <v/>
      </c>
      <c r="Q46" s="396">
        <f>IF($P46="","",$P46-$O46)</f>
        <v/>
      </c>
    </row>
    <row r="47" ht="15" customHeight="1" s="231">
      <c r="A47" s="393" t="inlineStr">
        <is>
          <t>20260718</t>
        </is>
      </c>
      <c r="B47" s="393" t="inlineStr">
        <is>
          <t>LEADS GOOGLE</t>
        </is>
      </c>
      <c r="C47" s="393" t="inlineStr">
        <is>
          <t>RABAT</t>
        </is>
      </c>
      <c r="D47" s="393" t="inlineStr">
        <is>
          <t>8858027_IPSOUND</t>
        </is>
      </c>
      <c r="E47" s="393" t="inlineStr">
        <is>
          <t>CHOUKROB</t>
        </is>
      </c>
      <c r="F47" s="393" t="inlineStr">
        <is>
          <t>2026-07-18 10:59:20</t>
        </is>
      </c>
      <c r="G47" s="393" t="inlineStr">
        <is>
          <t>2026-07-18 15:00:25</t>
        </is>
      </c>
      <c r="H47" s="394" t="n">
        <v>14465</v>
      </c>
      <c r="I47" s="393" t="inlineStr">
        <is>
          <t>Voice</t>
        </is>
      </c>
      <c r="J47" s="393" t="inlineStr">
        <is>
          <t>RHOUDAOT</t>
        </is>
      </c>
      <c r="K47" s="395">
        <f>DATE(VALUE(LEFT(A47,4)),VALUE(MID(A47,5,2)),VALUE(RIGHT(A47,2)))</f>
        <v/>
      </c>
      <c r="L47" s="395">
        <f>DATEVALUE(LEFT(F47,10))</f>
        <v/>
      </c>
      <c r="M47" s="396">
        <f>TIMEVALUE(MID(F47,12,8))</f>
        <v/>
      </c>
      <c r="N47" s="395">
        <f>DATEVALUE(LEFT(G47,10))</f>
        <v/>
      </c>
      <c r="O47" s="396">
        <f>TIMEVALUE(MID(G47,12,8))</f>
        <v/>
      </c>
      <c r="P47" s="396">
        <f>IFERROR(_xlfn.MINIFS($M:$M,$E:$E,$E47,$K:$K,$K47,$M:$M,"&gt;"&amp;$O47),"")</f>
        <v/>
      </c>
      <c r="Q47" s="396">
        <f>IF($P47="","",$P47-$O47)</f>
        <v/>
      </c>
    </row>
    <row r="48" ht="15" customHeight="1" s="231">
      <c r="A48" s="393" t="inlineStr">
        <is>
          <t>20260718</t>
        </is>
      </c>
      <c r="B48" s="393" t="inlineStr">
        <is>
          <t>LEADS GOOGLE</t>
        </is>
      </c>
      <c r="C48" s="393" t="inlineStr">
        <is>
          <t>RABAT</t>
        </is>
      </c>
      <c r="D48" s="393" t="inlineStr">
        <is>
          <t>8858027_IPSOUND</t>
        </is>
      </c>
      <c r="E48" s="393" t="inlineStr">
        <is>
          <t>CHOUKROB</t>
        </is>
      </c>
      <c r="F48" s="393" t="inlineStr">
        <is>
          <t>2026-07-18 15:59:35</t>
        </is>
      </c>
      <c r="G48" s="393" t="inlineStr">
        <is>
          <t>2026-07-18 21:00:06</t>
        </is>
      </c>
      <c r="H48" s="394" t="n">
        <v>18031</v>
      </c>
      <c r="I48" s="393" t="inlineStr">
        <is>
          <t>Voice</t>
        </is>
      </c>
      <c r="J48" s="393" t="inlineStr">
        <is>
          <t>RHOUDAOT</t>
        </is>
      </c>
      <c r="K48" s="395">
        <f>DATE(VALUE(LEFT(A48,4)),VALUE(MID(A48,5,2)),VALUE(RIGHT(A48,2)))</f>
        <v/>
      </c>
      <c r="L48" s="395">
        <f>DATEVALUE(LEFT(F48,10))</f>
        <v/>
      </c>
      <c r="M48" s="396">
        <f>TIMEVALUE(MID(F48,12,8))</f>
        <v/>
      </c>
      <c r="N48" s="395">
        <f>DATEVALUE(LEFT(G48,10))</f>
        <v/>
      </c>
      <c r="O48" s="396">
        <f>TIMEVALUE(MID(G48,12,8))</f>
        <v/>
      </c>
      <c r="P48" s="396">
        <f>IFERROR(_xlfn.MINIFS($M:$M,$E:$E,$E48,$K:$K,$K48,$M:$M,"&gt;"&amp;$O48),"")</f>
        <v/>
      </c>
      <c r="Q48" s="396">
        <f>IF($P48="","",$P48-$O48)</f>
        <v/>
      </c>
    </row>
    <row r="49" ht="15" customHeight="1" s="231">
      <c r="A49" s="393" t="inlineStr">
        <is>
          <t>20260718</t>
        </is>
      </c>
      <c r="B49" s="393" t="inlineStr">
        <is>
          <t>LEADS GOOGLE</t>
        </is>
      </c>
      <c r="C49" s="393" t="inlineStr">
        <is>
          <t>RABAT</t>
        </is>
      </c>
      <c r="D49" s="393" t="inlineStr">
        <is>
          <t>8858333_IPSDIOX</t>
        </is>
      </c>
      <c r="E49" s="393" t="inlineStr">
        <is>
          <t>DIOUFOU</t>
        </is>
      </c>
      <c r="F49" s="393" t="inlineStr">
        <is>
          <t>2026-07-18 07:50:40</t>
        </is>
      </c>
      <c r="G49" s="393" t="inlineStr">
        <is>
          <t>2026-07-18 13:05:19</t>
        </is>
      </c>
      <c r="H49" s="394" t="n">
        <v>18879</v>
      </c>
      <c r="I49" s="393" t="inlineStr">
        <is>
          <t>Voice</t>
        </is>
      </c>
      <c r="J49" s="393" t="inlineStr">
        <is>
          <t>HAOUACIK</t>
        </is>
      </c>
      <c r="K49" s="395">
        <f>DATE(VALUE(LEFT(A49,4)),VALUE(MID(A49,5,2)),VALUE(RIGHT(A49,2)))</f>
        <v/>
      </c>
      <c r="L49" s="395">
        <f>DATEVALUE(LEFT(F49,10))</f>
        <v/>
      </c>
      <c r="M49" s="396">
        <f>TIMEVALUE(MID(F49,12,8))</f>
        <v/>
      </c>
      <c r="N49" s="395">
        <f>DATEVALUE(LEFT(G49,10))</f>
        <v/>
      </c>
      <c r="O49" s="396">
        <f>TIMEVALUE(MID(G49,12,8))</f>
        <v/>
      </c>
      <c r="P49" s="396">
        <f>IFERROR(_xlfn.MINIFS($M:$M,$E:$E,$E49,$K:$K,$K49,$M:$M,"&gt;"&amp;$O49),"")</f>
        <v/>
      </c>
      <c r="Q49" s="396">
        <f>IF($P49="","",$P49-$O49)</f>
        <v/>
      </c>
    </row>
    <row r="50" ht="15" customHeight="1" s="231">
      <c r="A50" s="393" t="inlineStr">
        <is>
          <t>20260718</t>
        </is>
      </c>
      <c r="B50" s="393" t="inlineStr">
        <is>
          <t>LEADS GOOGLE</t>
        </is>
      </c>
      <c r="C50" s="393" t="inlineStr">
        <is>
          <t>RABAT</t>
        </is>
      </c>
      <c r="D50" s="393" t="inlineStr">
        <is>
          <t>8858333_IPSDIOX</t>
        </is>
      </c>
      <c r="E50" s="393" t="inlineStr">
        <is>
          <t>DIOUFOU</t>
        </is>
      </c>
      <c r="F50" s="393" t="inlineStr">
        <is>
          <t>2026-07-18 14:04:12</t>
        </is>
      </c>
      <c r="G50" s="393" t="inlineStr">
        <is>
          <t>2026-07-18 18:00:03</t>
        </is>
      </c>
      <c r="H50" s="394" t="n">
        <v>14151</v>
      </c>
      <c r="I50" s="393" t="inlineStr">
        <is>
          <t>Voice</t>
        </is>
      </c>
      <c r="J50" s="393" t="inlineStr">
        <is>
          <t>HAOUACIK</t>
        </is>
      </c>
      <c r="K50" s="395">
        <f>DATE(VALUE(LEFT(A50,4)),VALUE(MID(A50,5,2)),VALUE(RIGHT(A50,2)))</f>
        <v/>
      </c>
      <c r="L50" s="395">
        <f>DATEVALUE(LEFT(F50,10))</f>
        <v/>
      </c>
      <c r="M50" s="396">
        <f>TIMEVALUE(MID(F50,12,8))</f>
        <v/>
      </c>
      <c r="N50" s="395">
        <f>DATEVALUE(LEFT(G50,10))</f>
        <v/>
      </c>
      <c r="O50" s="396">
        <f>TIMEVALUE(MID(G50,12,8))</f>
        <v/>
      </c>
      <c r="P50" s="396">
        <f>IFERROR(_xlfn.MINIFS($M:$M,$E:$E,$E50,$K:$K,$K50,$M:$M,"&gt;"&amp;$O50),"")</f>
        <v/>
      </c>
      <c r="Q50" s="396">
        <f>IF($P50="","",$P50-$O50)</f>
        <v/>
      </c>
    </row>
    <row r="51" ht="15" customHeight="1" s="231">
      <c r="A51" s="393" t="inlineStr">
        <is>
          <t>20260718</t>
        </is>
      </c>
      <c r="B51" s="393" t="inlineStr">
        <is>
          <t>LEADS GOOGLE</t>
        </is>
      </c>
      <c r="C51" s="393" t="inlineStr">
        <is>
          <t>RABAT</t>
        </is>
      </c>
      <c r="D51" s="393" t="inlineStr">
        <is>
          <t>8858337_IPSELML</t>
        </is>
      </c>
      <c r="E51" s="393" t="inlineStr">
        <is>
          <t>ELANAZAA</t>
        </is>
      </c>
      <c r="F51" s="393" t="inlineStr">
        <is>
          <t>2026-07-18 12:00:12</t>
        </is>
      </c>
      <c r="G51" s="393" t="inlineStr">
        <is>
          <t>2026-07-18 16:00:14</t>
        </is>
      </c>
      <c r="H51" s="394" t="n">
        <v>14402</v>
      </c>
      <c r="I51" s="393" t="inlineStr">
        <is>
          <t>Voice</t>
        </is>
      </c>
      <c r="J51" s="393" t="inlineStr">
        <is>
          <t>RHOUDAOT</t>
        </is>
      </c>
      <c r="K51" s="395">
        <f>DATE(VALUE(LEFT(A51,4)),VALUE(MID(A51,5,2)),VALUE(RIGHT(A51,2)))</f>
        <v/>
      </c>
      <c r="L51" s="395">
        <f>DATEVALUE(LEFT(F51,10))</f>
        <v/>
      </c>
      <c r="M51" s="396">
        <f>TIMEVALUE(MID(F51,12,8))</f>
        <v/>
      </c>
      <c r="N51" s="395">
        <f>DATEVALUE(LEFT(G51,10))</f>
        <v/>
      </c>
      <c r="O51" s="396">
        <f>TIMEVALUE(MID(G51,12,8))</f>
        <v/>
      </c>
      <c r="P51" s="396">
        <f>IFERROR(_xlfn.MINIFS($M:$M,$E:$E,$E51,$K:$K,$K51,$M:$M,"&gt;"&amp;$O51),"")</f>
        <v/>
      </c>
      <c r="Q51" s="396">
        <f>IF($P51="","",$P51-$O51)</f>
        <v/>
      </c>
    </row>
    <row r="52" ht="15" customHeight="1" s="231">
      <c r="A52" s="393" t="inlineStr">
        <is>
          <t>20260718</t>
        </is>
      </c>
      <c r="B52" s="393" t="inlineStr">
        <is>
          <t>LEADS GOOGLE</t>
        </is>
      </c>
      <c r="C52" s="393" t="inlineStr">
        <is>
          <t>RABAT</t>
        </is>
      </c>
      <c r="D52" s="393" t="inlineStr">
        <is>
          <t>8858337_IPSELML</t>
        </is>
      </c>
      <c r="E52" s="393" t="inlineStr">
        <is>
          <t>ELANAZAA</t>
        </is>
      </c>
      <c r="F52" s="393" t="inlineStr">
        <is>
          <t>2026-07-18 16:51:59</t>
        </is>
      </c>
      <c r="G52" s="393" t="inlineStr">
        <is>
          <t>2026-07-18 16:52:22</t>
        </is>
      </c>
      <c r="H52" s="394" t="n">
        <v>23</v>
      </c>
      <c r="I52" s="393" t="inlineStr">
        <is>
          <t>Voice</t>
        </is>
      </c>
      <c r="J52" s="393" t="inlineStr">
        <is>
          <t>RHOUDAOT</t>
        </is>
      </c>
      <c r="K52" s="395">
        <f>DATE(VALUE(LEFT(A52,4)),VALUE(MID(A52,5,2)),VALUE(RIGHT(A52,2)))</f>
        <v/>
      </c>
      <c r="L52" s="395">
        <f>DATEVALUE(LEFT(F52,10))</f>
        <v/>
      </c>
      <c r="M52" s="396">
        <f>TIMEVALUE(MID(F52,12,8))</f>
        <v/>
      </c>
      <c r="N52" s="395">
        <f>DATEVALUE(LEFT(G52,10))</f>
        <v/>
      </c>
      <c r="O52" s="396">
        <f>TIMEVALUE(MID(G52,12,8))</f>
        <v/>
      </c>
      <c r="P52" s="396">
        <f>IFERROR(_xlfn.MINIFS($M:$M,$E:$E,$E52,$K:$K,$K52,$M:$M,"&gt;"&amp;$O52),"")</f>
        <v/>
      </c>
      <c r="Q52" s="396">
        <f>IF($P52="","",$P52-$O52)</f>
        <v/>
      </c>
    </row>
    <row r="53" ht="15" customHeight="1" s="231">
      <c r="A53" s="393" t="inlineStr">
        <is>
          <t>20260718</t>
        </is>
      </c>
      <c r="B53" s="393" t="inlineStr">
        <is>
          <t>LEADS GOOGLE</t>
        </is>
      </c>
      <c r="C53" s="393" t="inlineStr">
        <is>
          <t>RABAT</t>
        </is>
      </c>
      <c r="D53" s="393" t="inlineStr">
        <is>
          <t>8858337_IPSELML</t>
        </is>
      </c>
      <c r="E53" s="393" t="inlineStr">
        <is>
          <t>ELANAZAA</t>
        </is>
      </c>
      <c r="F53" s="393" t="inlineStr">
        <is>
          <t>2026-07-18 17:01:03</t>
        </is>
      </c>
      <c r="G53" s="393" t="inlineStr">
        <is>
          <t>2026-07-18 21:00:03</t>
        </is>
      </c>
      <c r="H53" s="394" t="n">
        <v>14340</v>
      </c>
      <c r="I53" s="393" t="inlineStr">
        <is>
          <t>Voice</t>
        </is>
      </c>
      <c r="J53" s="393" t="inlineStr">
        <is>
          <t>RHOUDAOT</t>
        </is>
      </c>
      <c r="K53" s="395">
        <f>DATE(VALUE(LEFT(A53,4)),VALUE(MID(A53,5,2)),VALUE(RIGHT(A53,2)))</f>
        <v/>
      </c>
      <c r="L53" s="395">
        <f>DATEVALUE(LEFT(F53,10))</f>
        <v/>
      </c>
      <c r="M53" s="396">
        <f>TIMEVALUE(MID(F53,12,8))</f>
        <v/>
      </c>
      <c r="N53" s="395">
        <f>DATEVALUE(LEFT(G53,10))</f>
        <v/>
      </c>
      <c r="O53" s="396">
        <f>TIMEVALUE(MID(G53,12,8))</f>
        <v/>
      </c>
      <c r="P53" s="396">
        <f>IFERROR(_xlfn.MINIFS($M:$M,$E:$E,$E53,$K:$K,$K53,$M:$M,"&gt;"&amp;$O53),"")</f>
        <v/>
      </c>
      <c r="Q53" s="396">
        <f>IF($P53="","",$P53-$O53)</f>
        <v/>
      </c>
    </row>
    <row r="54" ht="15" customHeight="1" s="231">
      <c r="A54" s="393" t="inlineStr">
        <is>
          <t>20260718</t>
        </is>
      </c>
      <c r="B54" s="393" t="inlineStr">
        <is>
          <t>LEADS GOOGLE</t>
        </is>
      </c>
      <c r="C54" s="393" t="inlineStr">
        <is>
          <t>RABAT</t>
        </is>
      </c>
      <c r="D54" s="393" t="inlineStr">
        <is>
          <t>8858069_IPSERCI</t>
        </is>
      </c>
      <c r="E54" s="393" t="inlineStr">
        <is>
          <t>ELHARRCA</t>
        </is>
      </c>
      <c r="F54" s="393" t="inlineStr">
        <is>
          <t>2026-07-18 07:58:49</t>
        </is>
      </c>
      <c r="G54" s="393" t="inlineStr">
        <is>
          <t>2026-07-18 13:06:05</t>
        </is>
      </c>
      <c r="H54" s="394" t="n">
        <v>18436</v>
      </c>
      <c r="I54" s="393" t="inlineStr">
        <is>
          <t>Voice</t>
        </is>
      </c>
      <c r="J54" s="393" t="inlineStr">
        <is>
          <t>OUAQERNO</t>
        </is>
      </c>
      <c r="K54" s="395">
        <f>DATE(VALUE(LEFT(A54,4)),VALUE(MID(A54,5,2)),VALUE(RIGHT(A54,2)))</f>
        <v/>
      </c>
      <c r="L54" s="395">
        <f>DATEVALUE(LEFT(F54,10))</f>
        <v/>
      </c>
      <c r="M54" s="396">
        <f>TIMEVALUE(MID(F54,12,8))</f>
        <v/>
      </c>
      <c r="N54" s="395">
        <f>DATEVALUE(LEFT(G54,10))</f>
        <v/>
      </c>
      <c r="O54" s="396">
        <f>TIMEVALUE(MID(G54,12,8))</f>
        <v/>
      </c>
      <c r="P54" s="396">
        <f>IFERROR(_xlfn.MINIFS($M:$M,$E:$E,$E54,$K:$K,$K54,$M:$M,"&gt;"&amp;$O54),"")</f>
        <v/>
      </c>
      <c r="Q54" s="396">
        <f>IF($P54="","",$P54-$O54)</f>
        <v/>
      </c>
    </row>
    <row r="55" ht="15" customHeight="1" s="231">
      <c r="A55" s="393" t="inlineStr">
        <is>
          <t>20260718</t>
        </is>
      </c>
      <c r="B55" s="393" t="inlineStr">
        <is>
          <t>LEADS GOOGLE</t>
        </is>
      </c>
      <c r="C55" s="393" t="inlineStr">
        <is>
          <t>RABAT</t>
        </is>
      </c>
      <c r="D55" s="393" t="inlineStr">
        <is>
          <t>8858069_IPSERCI</t>
        </is>
      </c>
      <c r="E55" s="393" t="inlineStr">
        <is>
          <t>ELHARRCA</t>
        </is>
      </c>
      <c r="F55" s="393" t="inlineStr">
        <is>
          <t>2026-07-18 14:00:01</t>
        </is>
      </c>
      <c r="G55" s="393" t="inlineStr">
        <is>
          <t>2026-07-18 18:00:08</t>
        </is>
      </c>
      <c r="H55" s="394" t="n">
        <v>14407</v>
      </c>
      <c r="I55" s="393" t="inlineStr">
        <is>
          <t>Voice</t>
        </is>
      </c>
      <c r="J55" s="393" t="inlineStr">
        <is>
          <t>OUAQERNO</t>
        </is>
      </c>
      <c r="K55" s="395">
        <f>DATE(VALUE(LEFT(A55,4)),VALUE(MID(A55,5,2)),VALUE(RIGHT(A55,2)))</f>
        <v/>
      </c>
      <c r="L55" s="395">
        <f>DATEVALUE(LEFT(F55,10))</f>
        <v/>
      </c>
      <c r="M55" s="396">
        <f>TIMEVALUE(MID(F55,12,8))</f>
        <v/>
      </c>
      <c r="N55" s="395">
        <f>DATEVALUE(LEFT(G55,10))</f>
        <v/>
      </c>
      <c r="O55" s="396">
        <f>TIMEVALUE(MID(G55,12,8))</f>
        <v/>
      </c>
      <c r="P55" s="396">
        <f>IFERROR(_xlfn.MINIFS($M:$M,$E:$E,$E55,$K:$K,$K55,$M:$M,"&gt;"&amp;$O55),"")</f>
        <v/>
      </c>
      <c r="Q55" s="396">
        <f>IF($P55="","",$P55-$O55)</f>
        <v/>
      </c>
    </row>
    <row r="56" ht="15" customHeight="1" s="231">
      <c r="A56" s="393" t="inlineStr">
        <is>
          <t>20260718</t>
        </is>
      </c>
      <c r="B56" s="393" t="inlineStr">
        <is>
          <t>LEADS GOOGLE</t>
        </is>
      </c>
      <c r="C56" s="393" t="inlineStr">
        <is>
          <t>RABAT</t>
        </is>
      </c>
      <c r="D56" s="393" t="inlineStr">
        <is>
          <t>8858165_IPSELSX</t>
        </is>
      </c>
      <c r="E56" s="393" t="inlineStr">
        <is>
          <t>ELHOUJSO</t>
        </is>
      </c>
      <c r="F56" s="393" t="inlineStr">
        <is>
          <t>2026-07-18 08:59:38</t>
        </is>
      </c>
      <c r="G56" s="393" t="inlineStr">
        <is>
          <t>2026-07-18 09:30:47</t>
        </is>
      </c>
      <c r="H56" s="394" t="n">
        <v>1869</v>
      </c>
      <c r="I56" s="393" t="inlineStr">
        <is>
          <t>Voice</t>
        </is>
      </c>
      <c r="J56" s="393" t="inlineStr">
        <is>
          <t>OUAQERNO</t>
        </is>
      </c>
      <c r="K56" s="395">
        <f>DATE(VALUE(LEFT(A56,4)),VALUE(MID(A56,5,2)),VALUE(RIGHT(A56,2)))</f>
        <v/>
      </c>
      <c r="L56" s="395">
        <f>DATEVALUE(LEFT(F56,10))</f>
        <v/>
      </c>
      <c r="M56" s="396">
        <f>TIMEVALUE(MID(F56,12,8))</f>
        <v/>
      </c>
      <c r="N56" s="395">
        <f>DATEVALUE(LEFT(G56,10))</f>
        <v/>
      </c>
      <c r="O56" s="396">
        <f>TIMEVALUE(MID(G56,12,8))</f>
        <v/>
      </c>
      <c r="P56" s="396">
        <f>IFERROR(_xlfn.MINIFS($M:$M,$E:$E,$E56,$K:$K,$K56,$M:$M,"&gt;"&amp;$O56),"")</f>
        <v/>
      </c>
      <c r="Q56" s="396">
        <f>IF($P56="","",$P56-$O56)</f>
        <v/>
      </c>
    </row>
    <row r="57" ht="15" customHeight="1" s="231">
      <c r="A57" s="393" t="inlineStr">
        <is>
          <t>20260718</t>
        </is>
      </c>
      <c r="B57" s="393" t="inlineStr">
        <is>
          <t>LEADS GOOGLE</t>
        </is>
      </c>
      <c r="C57" s="393" t="inlineStr">
        <is>
          <t>RABAT</t>
        </is>
      </c>
      <c r="D57" s="393" t="inlineStr">
        <is>
          <t>8858165_IPSELSX</t>
        </is>
      </c>
      <c r="E57" s="393" t="inlineStr">
        <is>
          <t>ELHOUJSO</t>
        </is>
      </c>
      <c r="F57" s="393" t="inlineStr">
        <is>
          <t>2026-07-18 09:45:55</t>
        </is>
      </c>
      <c r="G57" s="393" t="inlineStr">
        <is>
          <t>2026-07-18 14:00:04</t>
        </is>
      </c>
      <c r="H57" s="394" t="n">
        <v>15249</v>
      </c>
      <c r="I57" s="393" t="inlineStr">
        <is>
          <t>Voice</t>
        </is>
      </c>
      <c r="J57" s="393" t="inlineStr">
        <is>
          <t>OUAQERNO</t>
        </is>
      </c>
      <c r="K57" s="395">
        <f>DATE(VALUE(LEFT(A57,4)),VALUE(MID(A57,5,2)),VALUE(RIGHT(A57,2)))</f>
        <v/>
      </c>
      <c r="L57" s="395">
        <f>DATEVALUE(LEFT(F57,10))</f>
        <v/>
      </c>
      <c r="M57" s="396">
        <f>TIMEVALUE(MID(F57,12,8))</f>
        <v/>
      </c>
      <c r="N57" s="395">
        <f>DATEVALUE(LEFT(G57,10))</f>
        <v/>
      </c>
      <c r="O57" s="396">
        <f>TIMEVALUE(MID(G57,12,8))</f>
        <v/>
      </c>
      <c r="P57" s="396">
        <f>IFERROR(_xlfn.MINIFS($M:$M,$E:$E,$E57,$K:$K,$K57,$M:$M,"&gt;"&amp;$O57),"")</f>
        <v/>
      </c>
      <c r="Q57" s="396">
        <f>IF($P57="","",$P57-$O57)</f>
        <v/>
      </c>
    </row>
    <row r="58" ht="15" customHeight="1" s="231">
      <c r="A58" s="393" t="inlineStr">
        <is>
          <t>20260718</t>
        </is>
      </c>
      <c r="B58" s="393" t="inlineStr">
        <is>
          <t>LEADS GOOGLE</t>
        </is>
      </c>
      <c r="C58" s="393" t="inlineStr">
        <is>
          <t>RABAT</t>
        </is>
      </c>
      <c r="D58" s="393" t="inlineStr">
        <is>
          <t>8858165_IPSELSX</t>
        </is>
      </c>
      <c r="E58" s="393" t="inlineStr">
        <is>
          <t>ELHOUJSO</t>
        </is>
      </c>
      <c r="F58" s="393" t="inlineStr">
        <is>
          <t>2026-07-18 14:59:25</t>
        </is>
      </c>
      <c r="G58" s="393" t="inlineStr">
        <is>
          <t>2026-07-18 14:59:35</t>
        </is>
      </c>
      <c r="H58" s="394" t="n">
        <v>10</v>
      </c>
      <c r="I58" s="393" t="inlineStr">
        <is>
          <t>Voice</t>
        </is>
      </c>
      <c r="J58" s="393" t="inlineStr">
        <is>
          <t>OUAQERNO</t>
        </is>
      </c>
      <c r="K58" s="395">
        <f>DATE(VALUE(LEFT(A58,4)),VALUE(MID(A58,5,2)),VALUE(RIGHT(A58,2)))</f>
        <v/>
      </c>
      <c r="L58" s="395">
        <f>DATEVALUE(LEFT(F58,10))</f>
        <v/>
      </c>
      <c r="M58" s="396">
        <f>TIMEVALUE(MID(F58,12,8))</f>
        <v/>
      </c>
      <c r="N58" s="395">
        <f>DATEVALUE(LEFT(G58,10))</f>
        <v/>
      </c>
      <c r="O58" s="396">
        <f>TIMEVALUE(MID(G58,12,8))</f>
        <v/>
      </c>
      <c r="P58" s="396">
        <f>IFERROR(_xlfn.MINIFS($M:$M,$E:$E,$E58,$K:$K,$K58,$M:$M,"&gt;"&amp;$O58),"")</f>
        <v/>
      </c>
      <c r="Q58" s="396">
        <f>IF($P58="","",$P58-$O58)</f>
        <v/>
      </c>
    </row>
    <row r="59" ht="15" customHeight="1" s="231">
      <c r="A59" s="393" t="inlineStr">
        <is>
          <t>20260718</t>
        </is>
      </c>
      <c r="B59" s="393" t="inlineStr">
        <is>
          <t>LEADS GOOGLE</t>
        </is>
      </c>
      <c r="C59" s="393" t="inlineStr">
        <is>
          <t>RABAT</t>
        </is>
      </c>
      <c r="D59" s="393" t="inlineStr">
        <is>
          <t>8858165_IPSELSX</t>
        </is>
      </c>
      <c r="E59" s="393" t="inlineStr">
        <is>
          <t>ELHOUJSO</t>
        </is>
      </c>
      <c r="F59" s="393" t="inlineStr">
        <is>
          <t>2026-07-18 14:59:56</t>
        </is>
      </c>
      <c r="G59" s="393" t="inlineStr">
        <is>
          <t>2026-07-18 16:50:41</t>
        </is>
      </c>
      <c r="H59" s="394" t="n">
        <v>6645</v>
      </c>
      <c r="I59" s="393" t="inlineStr">
        <is>
          <t>Voice</t>
        </is>
      </c>
      <c r="J59" s="393" t="inlineStr">
        <is>
          <t>OUAQERNO</t>
        </is>
      </c>
      <c r="K59" s="395">
        <f>DATE(VALUE(LEFT(A59,4)),VALUE(MID(A59,5,2)),VALUE(RIGHT(A59,2)))</f>
        <v/>
      </c>
      <c r="L59" s="395">
        <f>DATEVALUE(LEFT(F59,10))</f>
        <v/>
      </c>
      <c r="M59" s="396">
        <f>TIMEVALUE(MID(F59,12,8))</f>
        <v/>
      </c>
      <c r="N59" s="395">
        <f>DATEVALUE(LEFT(G59,10))</f>
        <v/>
      </c>
      <c r="O59" s="396">
        <f>TIMEVALUE(MID(G59,12,8))</f>
        <v/>
      </c>
      <c r="P59" s="396">
        <f>IFERROR(_xlfn.MINIFS($M:$M,$E:$E,$E59,$K:$K,$K59,$M:$M,"&gt;"&amp;$O59),"")</f>
        <v/>
      </c>
      <c r="Q59" s="396">
        <f>IF($P59="","",$P59-$O59)</f>
        <v/>
      </c>
    </row>
    <row r="60" ht="15" customHeight="1" s="231">
      <c r="A60" s="393" t="inlineStr">
        <is>
          <t>20260718</t>
        </is>
      </c>
      <c r="B60" s="393" t="inlineStr">
        <is>
          <t>LEADS GOOGLE</t>
        </is>
      </c>
      <c r="C60" s="393" t="inlineStr">
        <is>
          <t>RABAT</t>
        </is>
      </c>
      <c r="D60" s="393" t="inlineStr">
        <is>
          <t>8858165_IPSELSX</t>
        </is>
      </c>
      <c r="E60" s="393" t="inlineStr">
        <is>
          <t>ELHOUJSO</t>
        </is>
      </c>
      <c r="F60" s="393" t="inlineStr">
        <is>
          <t>2026-07-18 17:02:18</t>
        </is>
      </c>
      <c r="G60" s="393" t="inlineStr">
        <is>
          <t>2026-07-18 18:00:06</t>
        </is>
      </c>
      <c r="H60" s="394" t="n">
        <v>3468</v>
      </c>
      <c r="I60" s="393" t="inlineStr">
        <is>
          <t>Voice</t>
        </is>
      </c>
      <c r="J60" s="393" t="inlineStr">
        <is>
          <t>OUAQERNO</t>
        </is>
      </c>
      <c r="K60" s="395">
        <f>DATE(VALUE(LEFT(A60,4)),VALUE(MID(A60,5,2)),VALUE(RIGHT(A60,2)))</f>
        <v/>
      </c>
      <c r="L60" s="395">
        <f>DATEVALUE(LEFT(F60,10))</f>
        <v/>
      </c>
      <c r="M60" s="396">
        <f>TIMEVALUE(MID(F60,12,8))</f>
        <v/>
      </c>
      <c r="N60" s="395">
        <f>DATEVALUE(LEFT(G60,10))</f>
        <v/>
      </c>
      <c r="O60" s="396">
        <f>TIMEVALUE(MID(G60,12,8))</f>
        <v/>
      </c>
      <c r="P60" s="396">
        <f>IFERROR(_xlfn.MINIFS($M:$M,$E:$E,$E60,$K:$K,$K60,$M:$M,"&gt;"&amp;$O60),"")</f>
        <v/>
      </c>
      <c r="Q60" s="396">
        <f>IF($P60="","",$P60-$O60)</f>
        <v/>
      </c>
    </row>
    <row r="61" ht="15" customHeight="1" s="231">
      <c r="A61" s="393" t="inlineStr">
        <is>
          <t>20260718</t>
        </is>
      </c>
      <c r="B61" s="393" t="inlineStr">
        <is>
          <t>LEADS GOOGLE</t>
        </is>
      </c>
      <c r="C61" s="393" t="inlineStr">
        <is>
          <t>RABAT</t>
        </is>
      </c>
      <c r="D61" s="393" t="inlineStr">
        <is>
          <t>8858421_IPSEHHD</t>
        </is>
      </c>
      <c r="E61" s="393" t="inlineStr">
        <is>
          <t>ELHOUSHD</t>
        </is>
      </c>
      <c r="F61" s="393" t="inlineStr">
        <is>
          <t>2026-07-18 10:57:12</t>
        </is>
      </c>
      <c r="G61" s="393" t="inlineStr">
        <is>
          <t>2026-07-18 12:16:30</t>
        </is>
      </c>
      <c r="H61" s="394" t="n">
        <v>4758</v>
      </c>
      <c r="I61" s="393" t="inlineStr">
        <is>
          <t>Voice</t>
        </is>
      </c>
      <c r="J61" s="393" t="inlineStr">
        <is>
          <t>HAOUACIK</t>
        </is>
      </c>
      <c r="K61" s="395">
        <f>DATE(VALUE(LEFT(A61,4)),VALUE(MID(A61,5,2)),VALUE(RIGHT(A61,2)))</f>
        <v/>
      </c>
      <c r="L61" s="395">
        <f>DATEVALUE(LEFT(F61,10))</f>
        <v/>
      </c>
      <c r="M61" s="396">
        <f>TIMEVALUE(MID(F61,12,8))</f>
        <v/>
      </c>
      <c r="N61" s="395">
        <f>DATEVALUE(LEFT(G61,10))</f>
        <v/>
      </c>
      <c r="O61" s="396">
        <f>TIMEVALUE(MID(G61,12,8))</f>
        <v/>
      </c>
      <c r="P61" s="396">
        <f>IFERROR(_xlfn.MINIFS($M:$M,$E:$E,$E61,$K:$K,$K61,$M:$M,"&gt;"&amp;$O61),"")</f>
        <v/>
      </c>
      <c r="Q61" s="396">
        <f>IF($P61="","",$P61-$O61)</f>
        <v/>
      </c>
    </row>
    <row r="62" ht="15" customHeight="1" s="231">
      <c r="A62" s="393" t="inlineStr">
        <is>
          <t>20260718</t>
        </is>
      </c>
      <c r="B62" s="393" t="inlineStr">
        <is>
          <t>LEADS GOOGLE</t>
        </is>
      </c>
      <c r="C62" s="393" t="inlineStr">
        <is>
          <t>RABAT</t>
        </is>
      </c>
      <c r="D62" s="393" t="inlineStr">
        <is>
          <t>8858421_IPSEHHD</t>
        </is>
      </c>
      <c r="E62" s="393" t="inlineStr">
        <is>
          <t>ELHOUSHD</t>
        </is>
      </c>
      <c r="F62" s="393" t="inlineStr">
        <is>
          <t>2026-07-18 12:17:03</t>
        </is>
      </c>
      <c r="G62" s="393" t="inlineStr">
        <is>
          <t>2026-07-18 15:00:13</t>
        </is>
      </c>
      <c r="H62" s="394" t="n">
        <v>9790</v>
      </c>
      <c r="I62" s="393" t="inlineStr">
        <is>
          <t>Voice</t>
        </is>
      </c>
      <c r="J62" s="393" t="inlineStr">
        <is>
          <t>HAOUACIK</t>
        </is>
      </c>
      <c r="K62" s="395">
        <f>DATE(VALUE(LEFT(A62,4)),VALUE(MID(A62,5,2)),VALUE(RIGHT(A62,2)))</f>
        <v/>
      </c>
      <c r="L62" s="395">
        <f>DATEVALUE(LEFT(F62,10))</f>
        <v/>
      </c>
      <c r="M62" s="396">
        <f>TIMEVALUE(MID(F62,12,8))</f>
        <v/>
      </c>
      <c r="N62" s="395">
        <f>DATEVALUE(LEFT(G62,10))</f>
        <v/>
      </c>
      <c r="O62" s="396">
        <f>TIMEVALUE(MID(G62,12,8))</f>
        <v/>
      </c>
      <c r="P62" s="396">
        <f>IFERROR(_xlfn.MINIFS($M:$M,$E:$E,$E62,$K:$K,$K62,$M:$M,"&gt;"&amp;$O62),"")</f>
        <v/>
      </c>
      <c r="Q62" s="396">
        <f>IF($P62="","",$P62-$O62)</f>
        <v/>
      </c>
    </row>
    <row r="63" ht="15" customHeight="1" s="231">
      <c r="A63" s="393" t="inlineStr">
        <is>
          <t>20260718</t>
        </is>
      </c>
      <c r="B63" s="393" t="inlineStr">
        <is>
          <t>LEADS GOOGLE</t>
        </is>
      </c>
      <c r="C63" s="393" t="inlineStr">
        <is>
          <t>RABAT</t>
        </is>
      </c>
      <c r="D63" s="393" t="inlineStr">
        <is>
          <t>8858421_IPSEHHD</t>
        </is>
      </c>
      <c r="E63" s="393" t="inlineStr">
        <is>
          <t>ELHOUSHD</t>
        </is>
      </c>
      <c r="F63" s="393" t="inlineStr">
        <is>
          <t>2026-07-18 15:57:08</t>
        </is>
      </c>
      <c r="G63" s="393" t="inlineStr">
        <is>
          <t>2026-07-18 16:57:22</t>
        </is>
      </c>
      <c r="H63" s="394" t="n">
        <v>3614</v>
      </c>
      <c r="I63" s="393" t="inlineStr">
        <is>
          <t>Voice</t>
        </is>
      </c>
      <c r="J63" s="393" t="inlineStr">
        <is>
          <t>HAOUACIK</t>
        </is>
      </c>
      <c r="K63" s="395">
        <f>DATE(VALUE(LEFT(A63,4)),VALUE(MID(A63,5,2)),VALUE(RIGHT(A63,2)))</f>
        <v/>
      </c>
      <c r="L63" s="395">
        <f>DATEVALUE(LEFT(F63,10))</f>
        <v/>
      </c>
      <c r="M63" s="396">
        <f>TIMEVALUE(MID(F63,12,8))</f>
        <v/>
      </c>
      <c r="N63" s="395">
        <f>DATEVALUE(LEFT(G63,10))</f>
        <v/>
      </c>
      <c r="O63" s="396">
        <f>TIMEVALUE(MID(G63,12,8))</f>
        <v/>
      </c>
      <c r="P63" s="396">
        <f>IFERROR(_xlfn.MINIFS($M:$M,$E:$E,$E63,$K:$K,$K63,$M:$M,"&gt;"&amp;$O63),"")</f>
        <v/>
      </c>
      <c r="Q63" s="396">
        <f>IF($P63="","",$P63-$O63)</f>
        <v/>
      </c>
    </row>
    <row r="64" ht="15" customHeight="1" s="231">
      <c r="A64" s="393" t="inlineStr">
        <is>
          <t>20260718</t>
        </is>
      </c>
      <c r="B64" s="393" t="inlineStr">
        <is>
          <t>LEADS GOOGLE</t>
        </is>
      </c>
      <c r="C64" s="393" t="inlineStr">
        <is>
          <t>RABAT</t>
        </is>
      </c>
      <c r="D64" s="393" t="inlineStr">
        <is>
          <t>8858421_IPSEHHD</t>
        </is>
      </c>
      <c r="E64" s="393" t="inlineStr">
        <is>
          <t>ELHOUSHD</t>
        </is>
      </c>
      <c r="F64" s="393" t="inlineStr">
        <is>
          <t>2026-07-18 16:58:28</t>
        </is>
      </c>
      <c r="G64" s="393" t="inlineStr">
        <is>
          <t>2026-07-18 17:52:22</t>
        </is>
      </c>
      <c r="H64" s="394" t="n">
        <v>3234</v>
      </c>
      <c r="I64" s="393" t="inlineStr">
        <is>
          <t>Voice</t>
        </is>
      </c>
      <c r="J64" s="393" t="inlineStr">
        <is>
          <t>HAOUACIK</t>
        </is>
      </c>
      <c r="K64" s="395">
        <f>DATE(VALUE(LEFT(A64,4)),VALUE(MID(A64,5,2)),VALUE(RIGHT(A64,2)))</f>
        <v/>
      </c>
      <c r="L64" s="395">
        <f>DATEVALUE(LEFT(F64,10))</f>
        <v/>
      </c>
      <c r="M64" s="396">
        <f>TIMEVALUE(MID(F64,12,8))</f>
        <v/>
      </c>
      <c r="N64" s="395">
        <f>DATEVALUE(LEFT(G64,10))</f>
        <v/>
      </c>
      <c r="O64" s="396">
        <f>TIMEVALUE(MID(G64,12,8))</f>
        <v/>
      </c>
      <c r="P64" s="396">
        <f>IFERROR(_xlfn.MINIFS($M:$M,$E:$E,$E64,$K:$K,$K64,$M:$M,"&gt;"&amp;$O64),"")</f>
        <v/>
      </c>
      <c r="Q64" s="396">
        <f>IF($P64="","",$P64-$O64)</f>
        <v/>
      </c>
    </row>
    <row r="65" ht="15" customHeight="1" s="231">
      <c r="A65" s="393" t="inlineStr">
        <is>
          <t>20260718</t>
        </is>
      </c>
      <c r="B65" s="393" t="inlineStr">
        <is>
          <t>LEADS GOOGLE</t>
        </is>
      </c>
      <c r="C65" s="393" t="inlineStr">
        <is>
          <t>RABAT</t>
        </is>
      </c>
      <c r="D65" s="393" t="inlineStr">
        <is>
          <t>8858421_IPSEHHD</t>
        </is>
      </c>
      <c r="E65" s="393" t="inlineStr">
        <is>
          <t>ELHOUSHD</t>
        </is>
      </c>
      <c r="F65" s="393" t="inlineStr">
        <is>
          <t>2026-07-18 17:52:58</t>
        </is>
      </c>
      <c r="G65" s="393" t="inlineStr">
        <is>
          <t>2026-07-18 18:19:30</t>
        </is>
      </c>
      <c r="H65" s="394" t="n">
        <v>1592</v>
      </c>
      <c r="I65" s="393" t="inlineStr">
        <is>
          <t>Voice</t>
        </is>
      </c>
      <c r="J65" s="393" t="inlineStr">
        <is>
          <t>HAOUACIK</t>
        </is>
      </c>
      <c r="K65" s="395">
        <f>DATE(VALUE(LEFT(A65,4)),VALUE(MID(A65,5,2)),VALUE(RIGHT(A65,2)))</f>
        <v/>
      </c>
      <c r="L65" s="395">
        <f>DATEVALUE(LEFT(F65,10))</f>
        <v/>
      </c>
      <c r="M65" s="396">
        <f>TIMEVALUE(MID(F65,12,8))</f>
        <v/>
      </c>
      <c r="N65" s="395">
        <f>DATEVALUE(LEFT(G65,10))</f>
        <v/>
      </c>
      <c r="O65" s="396">
        <f>TIMEVALUE(MID(G65,12,8))</f>
        <v/>
      </c>
      <c r="P65" s="396">
        <f>IFERROR(_xlfn.MINIFS($M:$M,$E:$E,$E65,$K:$K,$K65,$M:$M,"&gt;"&amp;$O65),"")</f>
        <v/>
      </c>
      <c r="Q65" s="396">
        <f>IF($P65="","",$P65-$O65)</f>
        <v/>
      </c>
    </row>
    <row r="66" ht="15" customHeight="1" s="231">
      <c r="A66" s="393" t="inlineStr">
        <is>
          <t>20260718</t>
        </is>
      </c>
      <c r="B66" s="393" t="inlineStr">
        <is>
          <t>LEADS GOOGLE</t>
        </is>
      </c>
      <c r="C66" s="393" t="inlineStr">
        <is>
          <t>RABAT</t>
        </is>
      </c>
      <c r="D66" s="393" t="inlineStr">
        <is>
          <t>8858421_IPSEHHD</t>
        </is>
      </c>
      <c r="E66" s="393" t="inlineStr">
        <is>
          <t>ELHOUSHD</t>
        </is>
      </c>
      <c r="F66" s="393" t="inlineStr">
        <is>
          <t>2026-07-18 18:19:59</t>
        </is>
      </c>
      <c r="G66" s="393" t="inlineStr">
        <is>
          <t>2026-07-18 20:48:18</t>
        </is>
      </c>
      <c r="H66" s="394" t="n">
        <v>8899</v>
      </c>
      <c r="I66" s="393" t="inlineStr">
        <is>
          <t>Voice</t>
        </is>
      </c>
      <c r="J66" s="393" t="inlineStr">
        <is>
          <t>HAOUACIK</t>
        </is>
      </c>
      <c r="K66" s="395">
        <f>DATE(VALUE(LEFT(A66,4)),VALUE(MID(A66,5,2)),VALUE(RIGHT(A66,2)))</f>
        <v/>
      </c>
      <c r="L66" s="395">
        <f>DATEVALUE(LEFT(F66,10))</f>
        <v/>
      </c>
      <c r="M66" s="396">
        <f>TIMEVALUE(MID(F66,12,8))</f>
        <v/>
      </c>
      <c r="N66" s="395">
        <f>DATEVALUE(LEFT(G66,10))</f>
        <v/>
      </c>
      <c r="O66" s="396">
        <f>TIMEVALUE(MID(G66,12,8))</f>
        <v/>
      </c>
      <c r="P66" s="396">
        <f>IFERROR(_xlfn.MINIFS($M:$M,$E:$E,$E66,$K:$K,$K66,$M:$M,"&gt;"&amp;$O66),"")</f>
        <v/>
      </c>
      <c r="Q66" s="396">
        <f>IF($P66="","",$P66-$O66)</f>
        <v/>
      </c>
    </row>
    <row r="67" ht="15" customHeight="1" s="231">
      <c r="A67" s="393" t="inlineStr">
        <is>
          <t>20260718</t>
        </is>
      </c>
      <c r="B67" s="393" t="inlineStr">
        <is>
          <t>LEADS GOOGLE</t>
        </is>
      </c>
      <c r="C67" s="393" t="inlineStr">
        <is>
          <t>RABAT</t>
        </is>
      </c>
      <c r="D67" s="393" t="inlineStr">
        <is>
          <t>8858421_IPSEHHD</t>
        </is>
      </c>
      <c r="E67" s="393" t="inlineStr">
        <is>
          <t>ELHOUSHD</t>
        </is>
      </c>
      <c r="F67" s="393" t="inlineStr">
        <is>
          <t>2026-07-18 20:48:55</t>
        </is>
      </c>
      <c r="G67" s="393" t="inlineStr">
        <is>
          <t>2026-07-18 21:00:05</t>
        </is>
      </c>
      <c r="H67" s="394" t="n">
        <v>670</v>
      </c>
      <c r="I67" s="393" t="inlineStr">
        <is>
          <t>Voice</t>
        </is>
      </c>
      <c r="J67" s="393" t="inlineStr">
        <is>
          <t>HAOUACIK</t>
        </is>
      </c>
      <c r="K67" s="395">
        <f>DATE(VALUE(LEFT(A67,4)),VALUE(MID(A67,5,2)),VALUE(RIGHT(A67,2)))</f>
        <v/>
      </c>
      <c r="L67" s="395">
        <f>DATEVALUE(LEFT(F67,10))</f>
        <v/>
      </c>
      <c r="M67" s="396">
        <f>TIMEVALUE(MID(F67,12,8))</f>
        <v/>
      </c>
      <c r="N67" s="395">
        <f>DATEVALUE(LEFT(G67,10))</f>
        <v/>
      </c>
      <c r="O67" s="396">
        <f>TIMEVALUE(MID(G67,12,8))</f>
        <v/>
      </c>
      <c r="P67" s="396">
        <f>IFERROR(_xlfn.MINIFS($M:$M,$E:$E,$E67,$K:$K,$K67,$M:$M,"&gt;"&amp;$O67),"")</f>
        <v/>
      </c>
      <c r="Q67" s="396">
        <f>IF($P67="","",$P67-$O67)</f>
        <v/>
      </c>
    </row>
    <row r="68" ht="15" customHeight="1" s="231">
      <c r="A68" s="393" t="inlineStr">
        <is>
          <t>20260718</t>
        </is>
      </c>
      <c r="B68" s="393" t="inlineStr">
        <is>
          <t>LEADS GOOGLE</t>
        </is>
      </c>
      <c r="C68" s="393" t="inlineStr">
        <is>
          <t>RABAT</t>
        </is>
      </c>
      <c r="D68" s="393" t="inlineStr">
        <is>
          <t>8859561_IPSRBSL</t>
        </is>
      </c>
      <c r="E68" s="393" t="inlineStr">
        <is>
          <t>ERBATISA</t>
        </is>
      </c>
      <c r="F68" s="393" t="inlineStr">
        <is>
          <t>2026-07-18 09:01:55</t>
        </is>
      </c>
      <c r="G68" s="393" t="inlineStr">
        <is>
          <t>2026-07-18 13:08:10</t>
        </is>
      </c>
      <c r="H68" s="394" t="n">
        <v>14775</v>
      </c>
      <c r="I68" s="393" t="inlineStr">
        <is>
          <t>Voice</t>
        </is>
      </c>
      <c r="J68" s="393" t="inlineStr">
        <is>
          <t>RHOUDAOT</t>
        </is>
      </c>
      <c r="K68" s="395">
        <f>DATE(VALUE(LEFT(A68,4)),VALUE(MID(A68,5,2)),VALUE(RIGHT(A68,2)))</f>
        <v/>
      </c>
      <c r="L68" s="395">
        <f>DATEVALUE(LEFT(F68,10))</f>
        <v/>
      </c>
      <c r="M68" s="396">
        <f>TIMEVALUE(MID(F68,12,8))</f>
        <v/>
      </c>
      <c r="N68" s="395">
        <f>DATEVALUE(LEFT(G68,10))</f>
        <v/>
      </c>
      <c r="O68" s="396">
        <f>TIMEVALUE(MID(G68,12,8))</f>
        <v/>
      </c>
      <c r="P68" s="396">
        <f>IFERROR(_xlfn.MINIFS($M:$M,$E:$E,$E68,$K:$K,$K68,$M:$M,"&gt;"&amp;$O68),"")</f>
        <v/>
      </c>
      <c r="Q68" s="396">
        <f>IF($P68="","",$P68-$O68)</f>
        <v/>
      </c>
    </row>
    <row r="69" ht="15" customHeight="1" s="231">
      <c r="A69" s="393" t="inlineStr">
        <is>
          <t>20260718</t>
        </is>
      </c>
      <c r="B69" s="393" t="inlineStr">
        <is>
          <t>LEADS GOOGLE</t>
        </is>
      </c>
      <c r="C69" s="393" t="inlineStr">
        <is>
          <t>RABAT</t>
        </is>
      </c>
      <c r="D69" s="393" t="inlineStr">
        <is>
          <t>8859561_IPSRBSL</t>
        </is>
      </c>
      <c r="E69" s="393" t="inlineStr">
        <is>
          <t>ERBATISA</t>
        </is>
      </c>
      <c r="F69" s="393" t="inlineStr">
        <is>
          <t>2026-07-18 14:08:40</t>
        </is>
      </c>
      <c r="G69" s="393" t="inlineStr">
        <is>
          <t>2026-07-18 19:00:15</t>
        </is>
      </c>
      <c r="H69" s="394" t="n">
        <v>17495</v>
      </c>
      <c r="I69" s="393" t="inlineStr">
        <is>
          <t>Voice</t>
        </is>
      </c>
      <c r="J69" s="393" t="inlineStr">
        <is>
          <t>RHOUDAOT</t>
        </is>
      </c>
      <c r="K69" s="395">
        <f>DATE(VALUE(LEFT(A69,4)),VALUE(MID(A69,5,2)),VALUE(RIGHT(A69,2)))</f>
        <v/>
      </c>
      <c r="L69" s="395">
        <f>DATEVALUE(LEFT(F69,10))</f>
        <v/>
      </c>
      <c r="M69" s="396">
        <f>TIMEVALUE(MID(F69,12,8))</f>
        <v/>
      </c>
      <c r="N69" s="395">
        <f>DATEVALUE(LEFT(G69,10))</f>
        <v/>
      </c>
      <c r="O69" s="396">
        <f>TIMEVALUE(MID(G69,12,8))</f>
        <v/>
      </c>
      <c r="P69" s="396">
        <f>IFERROR(_xlfn.MINIFS($M:$M,$E:$E,$E69,$K:$K,$K69,$M:$M,"&gt;"&amp;$O69),"")</f>
        <v/>
      </c>
      <c r="Q69" s="396">
        <f>IF($P69="","",$P69-$O69)</f>
        <v/>
      </c>
    </row>
    <row r="70" ht="15" customHeight="1" s="231">
      <c r="A70" s="393" t="inlineStr">
        <is>
          <t>20260718</t>
        </is>
      </c>
      <c r="B70" s="393" t="inlineStr">
        <is>
          <t>LEADS GOOGLE</t>
        </is>
      </c>
      <c r="C70" s="393" t="inlineStr">
        <is>
          <t>RABAT</t>
        </is>
      </c>
      <c r="D70" s="393" t="inlineStr">
        <is>
          <t>8859100_IPSTOUR</t>
        </is>
      </c>
      <c r="E70" s="393" t="inlineStr">
        <is>
          <t>EZZAMEMA</t>
        </is>
      </c>
      <c r="F70" s="393" t="inlineStr">
        <is>
          <t>2026-07-18 11:55:23</t>
        </is>
      </c>
      <c r="G70" s="393" t="inlineStr">
        <is>
          <t>2026-07-18 15:00:27</t>
        </is>
      </c>
      <c r="H70" s="394" t="n">
        <v>11104</v>
      </c>
      <c r="I70" s="393" t="inlineStr">
        <is>
          <t>Voice</t>
        </is>
      </c>
      <c r="J70" s="393" t="inlineStr">
        <is>
          <t>RHOUDAOT</t>
        </is>
      </c>
      <c r="K70" s="395">
        <f>DATE(VALUE(LEFT(A70,4)),VALUE(MID(A70,5,2)),VALUE(RIGHT(A70,2)))</f>
        <v/>
      </c>
      <c r="L70" s="395">
        <f>DATEVALUE(LEFT(F70,10))</f>
        <v/>
      </c>
      <c r="M70" s="396">
        <f>TIMEVALUE(MID(F70,12,8))</f>
        <v/>
      </c>
      <c r="N70" s="395">
        <f>DATEVALUE(LEFT(G70,10))</f>
        <v/>
      </c>
      <c r="O70" s="396">
        <f>TIMEVALUE(MID(G70,12,8))</f>
        <v/>
      </c>
      <c r="P70" s="396">
        <f>IFERROR(_xlfn.MINIFS($M:$M,$E:$E,$E70,$K:$K,$K70,$M:$M,"&gt;"&amp;$O70),"")</f>
        <v/>
      </c>
      <c r="Q70" s="396">
        <f>IF($P70="","",$P70-$O70)</f>
        <v/>
      </c>
    </row>
    <row r="71" ht="15" customHeight="1" s="231">
      <c r="A71" s="393" t="inlineStr">
        <is>
          <t>20260718</t>
        </is>
      </c>
      <c r="B71" s="393" t="inlineStr">
        <is>
          <t>LEADS GOOGLE</t>
        </is>
      </c>
      <c r="C71" s="393" t="inlineStr">
        <is>
          <t>RABAT</t>
        </is>
      </c>
      <c r="D71" s="393" t="inlineStr">
        <is>
          <t>8859100_IPSTOUR</t>
        </is>
      </c>
      <c r="E71" s="393" t="inlineStr">
        <is>
          <t>EZZAMEMA</t>
        </is>
      </c>
      <c r="F71" s="393" t="inlineStr">
        <is>
          <t>2026-07-18 15:58:55</t>
        </is>
      </c>
      <c r="G71" s="393" t="inlineStr">
        <is>
          <t>2026-07-18 21:00:08</t>
        </is>
      </c>
      <c r="H71" s="394" t="n">
        <v>18073</v>
      </c>
      <c r="I71" s="393" t="inlineStr">
        <is>
          <t>Voice</t>
        </is>
      </c>
      <c r="J71" s="393" t="inlineStr">
        <is>
          <t>RHOUDAOT</t>
        </is>
      </c>
      <c r="K71" s="395">
        <f>DATE(VALUE(LEFT(A71,4)),VALUE(MID(A71,5,2)),VALUE(RIGHT(A71,2)))</f>
        <v/>
      </c>
      <c r="L71" s="395">
        <f>DATEVALUE(LEFT(F71,10))</f>
        <v/>
      </c>
      <c r="M71" s="396">
        <f>TIMEVALUE(MID(F71,12,8))</f>
        <v/>
      </c>
      <c r="N71" s="395">
        <f>DATEVALUE(LEFT(G71,10))</f>
        <v/>
      </c>
      <c r="O71" s="396">
        <f>TIMEVALUE(MID(G71,12,8))</f>
        <v/>
      </c>
      <c r="P71" s="396">
        <f>IFERROR(_xlfn.MINIFS($M:$M,$E:$E,$E71,$K:$K,$K71,$M:$M,"&gt;"&amp;$O71),"")</f>
        <v/>
      </c>
      <c r="Q71" s="396">
        <f>IF($P71="","",$P71-$O71)</f>
        <v/>
      </c>
    </row>
    <row r="72" ht="15" customHeight="1" s="231">
      <c r="A72" s="393" t="inlineStr">
        <is>
          <t>20260718</t>
        </is>
      </c>
      <c r="B72" s="393" t="inlineStr">
        <is>
          <t>LEADS GOOGLE</t>
        </is>
      </c>
      <c r="C72" s="393" t="inlineStr">
        <is>
          <t>RABAT</t>
        </is>
      </c>
      <c r="D72" s="393" t="inlineStr">
        <is>
          <t>8858677_IPSGUGO</t>
        </is>
      </c>
      <c r="E72" s="393" t="inlineStr">
        <is>
          <t>GUEYEGO</t>
        </is>
      </c>
      <c r="F72" s="393" t="inlineStr">
        <is>
          <t>2026-07-18 11:56:52</t>
        </is>
      </c>
      <c r="G72" s="393" t="inlineStr">
        <is>
          <t>2026-07-18 15:07:40</t>
        </is>
      </c>
      <c r="H72" s="394" t="n">
        <v>11448</v>
      </c>
      <c r="I72" s="393" t="inlineStr">
        <is>
          <t>Voice</t>
        </is>
      </c>
      <c r="J72" s="393" t="inlineStr">
        <is>
          <t>HAOUACIK</t>
        </is>
      </c>
      <c r="K72" s="395">
        <f>DATE(VALUE(LEFT(A72,4)),VALUE(MID(A72,5,2)),VALUE(RIGHT(A72,2)))</f>
        <v/>
      </c>
      <c r="L72" s="395">
        <f>DATEVALUE(LEFT(F72,10))</f>
        <v/>
      </c>
      <c r="M72" s="396">
        <f>TIMEVALUE(MID(F72,12,8))</f>
        <v/>
      </c>
      <c r="N72" s="395">
        <f>DATEVALUE(LEFT(G72,10))</f>
        <v/>
      </c>
      <c r="O72" s="396">
        <f>TIMEVALUE(MID(G72,12,8))</f>
        <v/>
      </c>
      <c r="P72" s="396">
        <f>IFERROR(_xlfn.MINIFS($M:$M,$E:$E,$E72,$K:$K,$K72,$M:$M,"&gt;"&amp;$O72),"")</f>
        <v/>
      </c>
      <c r="Q72" s="396">
        <f>IF($P72="","",$P72-$O72)</f>
        <v/>
      </c>
    </row>
    <row r="73" ht="15" customHeight="1" s="231">
      <c r="A73" s="393" t="inlineStr">
        <is>
          <t>20260718</t>
        </is>
      </c>
      <c r="B73" s="393" t="inlineStr">
        <is>
          <t>LEADS GOOGLE</t>
        </is>
      </c>
      <c r="C73" s="393" t="inlineStr">
        <is>
          <t>RABAT</t>
        </is>
      </c>
      <c r="D73" s="393" t="inlineStr">
        <is>
          <t>8858677_IPSGUGO</t>
        </is>
      </c>
      <c r="E73" s="393" t="inlineStr">
        <is>
          <t>GUEYEGO</t>
        </is>
      </c>
      <c r="F73" s="393" t="inlineStr">
        <is>
          <t>2026-07-18 16:05:13</t>
        </is>
      </c>
      <c r="G73" s="393" t="inlineStr">
        <is>
          <t>2026-07-18 21:00:15</t>
        </is>
      </c>
      <c r="H73" s="394" t="n">
        <v>17702</v>
      </c>
      <c r="I73" s="393" t="inlineStr">
        <is>
          <t>Voice</t>
        </is>
      </c>
      <c r="J73" s="393" t="inlineStr">
        <is>
          <t>HAOUACIK</t>
        </is>
      </c>
      <c r="K73" s="395">
        <f>DATE(VALUE(LEFT(A73,4)),VALUE(MID(A73,5,2)),VALUE(RIGHT(A73,2)))</f>
        <v/>
      </c>
      <c r="L73" s="395">
        <f>DATEVALUE(LEFT(F73,10))</f>
        <v/>
      </c>
      <c r="M73" s="396">
        <f>TIMEVALUE(MID(F73,12,8))</f>
        <v/>
      </c>
      <c r="N73" s="395">
        <f>DATEVALUE(LEFT(G73,10))</f>
        <v/>
      </c>
      <c r="O73" s="396">
        <f>TIMEVALUE(MID(G73,12,8))</f>
        <v/>
      </c>
      <c r="P73" s="396">
        <f>IFERROR(_xlfn.MINIFS($M:$M,$E:$E,$E73,$K:$K,$K73,$M:$M,"&gt;"&amp;$O73),"")</f>
        <v/>
      </c>
      <c r="Q73" s="396">
        <f>IF($P73="","",$P73-$O73)</f>
        <v/>
      </c>
    </row>
    <row r="74" ht="15" customHeight="1" s="231">
      <c r="A74" s="393" t="inlineStr">
        <is>
          <t>20260718</t>
        </is>
      </c>
      <c r="B74" s="393" t="inlineStr">
        <is>
          <t>LEADS GOOGLE</t>
        </is>
      </c>
      <c r="C74" s="393" t="inlineStr">
        <is>
          <t>RABAT</t>
        </is>
      </c>
      <c r="D74" s="393" t="inlineStr">
        <is>
          <t>8858329_IPSGUMX</t>
        </is>
      </c>
      <c r="E74" s="393" t="inlineStr">
        <is>
          <t>GUEYEME</t>
        </is>
      </c>
      <c r="F74" s="393" t="inlineStr">
        <is>
          <t>2026-07-18 10:57:25</t>
        </is>
      </c>
      <c r="G74" s="393" t="inlineStr">
        <is>
          <t>2026-07-18 11:23:21</t>
        </is>
      </c>
      <c r="H74" s="394" t="n">
        <v>1556</v>
      </c>
      <c r="I74" s="393" t="inlineStr">
        <is>
          <t>Voice</t>
        </is>
      </c>
      <c r="J74" s="393" t="inlineStr">
        <is>
          <t>OUAQERNO</t>
        </is>
      </c>
      <c r="K74" s="395">
        <f>DATE(VALUE(LEFT(A74,4)),VALUE(MID(A74,5,2)),VALUE(RIGHT(A74,2)))</f>
        <v/>
      </c>
      <c r="L74" s="395">
        <f>DATEVALUE(LEFT(F74,10))</f>
        <v/>
      </c>
      <c r="M74" s="396">
        <f>TIMEVALUE(MID(F74,12,8))</f>
        <v/>
      </c>
      <c r="N74" s="395">
        <f>DATEVALUE(LEFT(G74,10))</f>
        <v/>
      </c>
      <c r="O74" s="396">
        <f>TIMEVALUE(MID(G74,12,8))</f>
        <v/>
      </c>
      <c r="P74" s="396">
        <f>IFERROR(_xlfn.MINIFS($M:$M,$E:$E,$E74,$K:$K,$K74,$M:$M,"&gt;"&amp;$O74),"")</f>
        <v/>
      </c>
      <c r="Q74" s="396">
        <f>IF($P74="","",$P74-$O74)</f>
        <v/>
      </c>
    </row>
    <row r="75" ht="15" customHeight="1" s="231">
      <c r="A75" s="393" t="inlineStr">
        <is>
          <t>20260718</t>
        </is>
      </c>
      <c r="B75" s="393" t="inlineStr">
        <is>
          <t>LEADS GOOGLE</t>
        </is>
      </c>
      <c r="C75" s="393" t="inlineStr">
        <is>
          <t>RABAT</t>
        </is>
      </c>
      <c r="D75" s="393" t="inlineStr">
        <is>
          <t>8858329_IPSGUMX</t>
        </is>
      </c>
      <c r="E75" s="393" t="inlineStr">
        <is>
          <t>GUEYEME</t>
        </is>
      </c>
      <c r="F75" s="393" t="inlineStr">
        <is>
          <t>2026-07-18 11:25:31</t>
        </is>
      </c>
      <c r="G75" s="393" t="inlineStr">
        <is>
          <t>2026-07-18 15:01:23</t>
        </is>
      </c>
      <c r="H75" s="394" t="n">
        <v>12952</v>
      </c>
      <c r="I75" s="393" t="inlineStr">
        <is>
          <t>Voice</t>
        </is>
      </c>
      <c r="J75" s="393" t="inlineStr">
        <is>
          <t>OUAQERNO</t>
        </is>
      </c>
      <c r="K75" s="395">
        <f>DATE(VALUE(LEFT(A75,4)),VALUE(MID(A75,5,2)),VALUE(RIGHT(A75,2)))</f>
        <v/>
      </c>
      <c r="L75" s="395">
        <f>DATEVALUE(LEFT(F75,10))</f>
        <v/>
      </c>
      <c r="M75" s="396">
        <f>TIMEVALUE(MID(F75,12,8))</f>
        <v/>
      </c>
      <c r="N75" s="395">
        <f>DATEVALUE(LEFT(G75,10))</f>
        <v/>
      </c>
      <c r="O75" s="396">
        <f>TIMEVALUE(MID(G75,12,8))</f>
        <v/>
      </c>
      <c r="P75" s="396">
        <f>IFERROR(_xlfn.MINIFS($M:$M,$E:$E,$E75,$K:$K,$K75,$M:$M,"&gt;"&amp;$O75),"")</f>
        <v/>
      </c>
      <c r="Q75" s="396">
        <f>IF($P75="","",$P75-$O75)</f>
        <v/>
      </c>
    </row>
    <row r="76" ht="15" customHeight="1" s="231">
      <c r="A76" s="393" t="inlineStr">
        <is>
          <t>20260718</t>
        </is>
      </c>
      <c r="B76" s="393" t="inlineStr">
        <is>
          <t>LEADS GOOGLE</t>
        </is>
      </c>
      <c r="C76" s="393" t="inlineStr">
        <is>
          <t>RABAT</t>
        </is>
      </c>
      <c r="D76" s="393" t="inlineStr">
        <is>
          <t>8858329_IPSGUMX</t>
        </is>
      </c>
      <c r="E76" s="393" t="inlineStr">
        <is>
          <t>GUEYEME</t>
        </is>
      </c>
      <c r="F76" s="393" t="inlineStr">
        <is>
          <t>2026-07-18 15:59:36</t>
        </is>
      </c>
      <c r="G76" s="393" t="inlineStr">
        <is>
          <t>2026-07-18 18:53:36</t>
        </is>
      </c>
      <c r="H76" s="394" t="n">
        <v>10440</v>
      </c>
      <c r="I76" s="393" t="inlineStr">
        <is>
          <t>Voice</t>
        </is>
      </c>
      <c r="J76" s="393" t="inlineStr">
        <is>
          <t>OUAQERNO</t>
        </is>
      </c>
      <c r="K76" s="395">
        <f>DATE(VALUE(LEFT(A76,4)),VALUE(MID(A76,5,2)),VALUE(RIGHT(A76,2)))</f>
        <v/>
      </c>
      <c r="L76" s="395">
        <f>DATEVALUE(LEFT(F76,10))</f>
        <v/>
      </c>
      <c r="M76" s="396">
        <f>TIMEVALUE(MID(F76,12,8))</f>
        <v/>
      </c>
      <c r="N76" s="395">
        <f>DATEVALUE(LEFT(G76,10))</f>
        <v/>
      </c>
      <c r="O76" s="396">
        <f>TIMEVALUE(MID(G76,12,8))</f>
        <v/>
      </c>
      <c r="P76" s="396">
        <f>IFERROR(_xlfn.MINIFS($M:$M,$E:$E,$E76,$K:$K,$K76,$M:$M,"&gt;"&amp;$O76),"")</f>
        <v/>
      </c>
      <c r="Q76" s="396">
        <f>IF($P76="","",$P76-$O76)</f>
        <v/>
      </c>
    </row>
    <row r="77" ht="15" customHeight="1" s="231">
      <c r="A77" s="393" t="inlineStr">
        <is>
          <t>20260718</t>
        </is>
      </c>
      <c r="B77" s="393" t="inlineStr">
        <is>
          <t>LEADS GOOGLE</t>
        </is>
      </c>
      <c r="C77" s="393" t="inlineStr">
        <is>
          <t>RABAT</t>
        </is>
      </c>
      <c r="D77" s="393" t="inlineStr">
        <is>
          <t>8858329_IPSGUMX</t>
        </is>
      </c>
      <c r="E77" s="393" t="inlineStr">
        <is>
          <t>GUEYEME</t>
        </is>
      </c>
      <c r="F77" s="393" t="inlineStr">
        <is>
          <t>2026-07-18 18:54:56</t>
        </is>
      </c>
      <c r="G77" s="393" t="inlineStr">
        <is>
          <t>2026-07-18 21:00:27</t>
        </is>
      </c>
      <c r="H77" s="394" t="n">
        <v>7531</v>
      </c>
      <c r="I77" s="393" t="inlineStr">
        <is>
          <t>Voice</t>
        </is>
      </c>
      <c r="J77" s="393" t="inlineStr">
        <is>
          <t>OUAQERNO</t>
        </is>
      </c>
      <c r="K77" s="395">
        <f>DATE(VALUE(LEFT(A77,4)),VALUE(MID(A77,5,2)),VALUE(RIGHT(A77,2)))</f>
        <v/>
      </c>
      <c r="L77" s="395">
        <f>DATEVALUE(LEFT(F77,10))</f>
        <v/>
      </c>
      <c r="M77" s="396">
        <f>TIMEVALUE(MID(F77,12,8))</f>
        <v/>
      </c>
      <c r="N77" s="395">
        <f>DATEVALUE(LEFT(G77,10))</f>
        <v/>
      </c>
      <c r="O77" s="396">
        <f>TIMEVALUE(MID(G77,12,8))</f>
        <v/>
      </c>
      <c r="P77" s="396">
        <f>IFERROR(_xlfn.MINIFS($M:$M,$E:$E,$E77,$K:$K,$K77,$M:$M,"&gt;"&amp;$O77),"")</f>
        <v/>
      </c>
      <c r="Q77" s="396">
        <f>IF($P77="","",$P77-$O77)</f>
        <v/>
      </c>
    </row>
    <row r="78" ht="15" customHeight="1" s="231">
      <c r="A78" s="393" t="inlineStr">
        <is>
          <t>20260718</t>
        </is>
      </c>
      <c r="B78" s="393" t="inlineStr">
        <is>
          <t>LEADS GOOGLE</t>
        </is>
      </c>
      <c r="C78" s="393" t="inlineStr">
        <is>
          <t>RABAT</t>
        </is>
      </c>
      <c r="D78" s="393" t="inlineStr">
        <is>
          <t>8859245_IPSGROL</t>
        </is>
      </c>
      <c r="E78" s="393" t="inlineStr">
        <is>
          <t>HAJIMYA</t>
        </is>
      </c>
      <c r="F78" s="393" t="inlineStr">
        <is>
          <t>2026-07-18 09:02:22</t>
        </is>
      </c>
      <c r="G78" s="393" t="inlineStr">
        <is>
          <t>2026-07-18 13:00:23</t>
        </is>
      </c>
      <c r="H78" s="394" t="n">
        <v>14281</v>
      </c>
      <c r="I78" s="393" t="inlineStr">
        <is>
          <t>Voice</t>
        </is>
      </c>
      <c r="J78" s="393" t="inlineStr">
        <is>
          <t>RHOUDAOT</t>
        </is>
      </c>
      <c r="K78" s="395">
        <f>DATE(VALUE(LEFT(A78,4)),VALUE(MID(A78,5,2)),VALUE(RIGHT(A78,2)))</f>
        <v/>
      </c>
      <c r="L78" s="395">
        <f>DATEVALUE(LEFT(F78,10))</f>
        <v/>
      </c>
      <c r="M78" s="396">
        <f>TIMEVALUE(MID(F78,12,8))</f>
        <v/>
      </c>
      <c r="N78" s="395">
        <f>DATEVALUE(LEFT(G78,10))</f>
        <v/>
      </c>
      <c r="O78" s="396">
        <f>TIMEVALUE(MID(G78,12,8))</f>
        <v/>
      </c>
      <c r="P78" s="396">
        <f>IFERROR(_xlfn.MINIFS($M:$M,$E:$E,$E78,$K:$K,$K78,$M:$M,"&gt;"&amp;$O78),"")</f>
        <v/>
      </c>
      <c r="Q78" s="396">
        <f>IF($P78="","",$P78-$O78)</f>
        <v/>
      </c>
    </row>
    <row r="79" ht="15" customHeight="1" s="231">
      <c r="A79" s="393" t="inlineStr">
        <is>
          <t>20260718</t>
        </is>
      </c>
      <c r="B79" s="393" t="inlineStr">
        <is>
          <t>LEADS GOOGLE</t>
        </is>
      </c>
      <c r="C79" s="393" t="inlineStr">
        <is>
          <t>RABAT</t>
        </is>
      </c>
      <c r="D79" s="393" t="inlineStr">
        <is>
          <t>8859245_IPSGROL</t>
        </is>
      </c>
      <c r="E79" s="393" t="inlineStr">
        <is>
          <t>HAJIMYA</t>
        </is>
      </c>
      <c r="F79" s="393" t="inlineStr">
        <is>
          <t>2026-07-18 14:00:45</t>
        </is>
      </c>
      <c r="G79" s="393" t="inlineStr">
        <is>
          <t>2026-07-18 18:00:04</t>
        </is>
      </c>
      <c r="H79" s="394" t="n">
        <v>14359</v>
      </c>
      <c r="I79" s="393" t="inlineStr">
        <is>
          <t>Voice</t>
        </is>
      </c>
      <c r="J79" s="393" t="inlineStr">
        <is>
          <t>RHOUDAOT</t>
        </is>
      </c>
      <c r="K79" s="395">
        <f>DATE(VALUE(LEFT(A79,4)),VALUE(MID(A79,5,2)),VALUE(RIGHT(A79,2)))</f>
        <v/>
      </c>
      <c r="L79" s="395">
        <f>DATEVALUE(LEFT(F79,10))</f>
        <v/>
      </c>
      <c r="M79" s="396">
        <f>TIMEVALUE(MID(F79,12,8))</f>
        <v/>
      </c>
      <c r="N79" s="395">
        <f>DATEVALUE(LEFT(G79,10))</f>
        <v/>
      </c>
      <c r="O79" s="396">
        <f>TIMEVALUE(MID(G79,12,8))</f>
        <v/>
      </c>
      <c r="P79" s="396">
        <f>IFERROR(_xlfn.MINIFS($M:$M,$E:$E,$E79,$K:$K,$K79,$M:$M,"&gt;"&amp;$O79),"")</f>
        <v/>
      </c>
      <c r="Q79" s="396">
        <f>IF($P79="","",$P79-$O79)</f>
        <v/>
      </c>
    </row>
    <row r="80" ht="15" customHeight="1" s="231">
      <c r="A80" s="393" t="inlineStr">
        <is>
          <t>20260718</t>
        </is>
      </c>
      <c r="B80" s="393" t="inlineStr">
        <is>
          <t>LEADS GOOGLE</t>
        </is>
      </c>
      <c r="C80" s="393" t="inlineStr">
        <is>
          <t>RABAT</t>
        </is>
      </c>
      <c r="D80" s="393" t="inlineStr">
        <is>
          <t>8858775_IPSAINT</t>
        </is>
      </c>
      <c r="E80" s="393" t="inlineStr">
        <is>
          <t>KINANAWD</t>
        </is>
      </c>
      <c r="F80" s="393" t="inlineStr">
        <is>
          <t>2026-07-18 10:53:48</t>
        </is>
      </c>
      <c r="G80" s="393" t="inlineStr">
        <is>
          <t>2026-07-18 10:53:51</t>
        </is>
      </c>
      <c r="H80" s="394" t="n">
        <v>3</v>
      </c>
      <c r="I80" s="393" t="inlineStr">
        <is>
          <t>Voice</t>
        </is>
      </c>
      <c r="J80" s="393" t="inlineStr">
        <is>
          <t>RHOUDAOT</t>
        </is>
      </c>
      <c r="K80" s="395">
        <f>DATE(VALUE(LEFT(A80,4)),VALUE(MID(A80,5,2)),VALUE(RIGHT(A80,2)))</f>
        <v/>
      </c>
      <c r="L80" s="395">
        <f>DATEVALUE(LEFT(F80,10))</f>
        <v/>
      </c>
      <c r="M80" s="396">
        <f>TIMEVALUE(MID(F80,12,8))</f>
        <v/>
      </c>
      <c r="N80" s="395">
        <f>DATEVALUE(LEFT(G80,10))</f>
        <v/>
      </c>
      <c r="O80" s="396">
        <f>TIMEVALUE(MID(G80,12,8))</f>
        <v/>
      </c>
      <c r="P80" s="396">
        <f>IFERROR(_xlfn.MINIFS($M:$M,$E:$E,$E80,$K:$K,$K80,$M:$M,"&gt;"&amp;$O80),"")</f>
        <v/>
      </c>
      <c r="Q80" s="396">
        <f>IF($P80="","",$P80-$O80)</f>
        <v/>
      </c>
    </row>
    <row r="81" ht="15" customHeight="1" s="231">
      <c r="A81" s="393" t="inlineStr">
        <is>
          <t>20260718</t>
        </is>
      </c>
      <c r="B81" s="393" t="inlineStr">
        <is>
          <t>LEADS GOOGLE</t>
        </is>
      </c>
      <c r="C81" s="393" t="inlineStr">
        <is>
          <t>RABAT</t>
        </is>
      </c>
      <c r="D81" s="393" t="inlineStr">
        <is>
          <t>8858775_IPSAINT</t>
        </is>
      </c>
      <c r="E81" s="393" t="inlineStr">
        <is>
          <t>KINANAWD</t>
        </is>
      </c>
      <c r="F81" s="393" t="inlineStr">
        <is>
          <t>2026-07-18 10:58:31</t>
        </is>
      </c>
      <c r="G81" s="393" t="inlineStr">
        <is>
          <t>2026-07-18 15:00:07</t>
        </is>
      </c>
      <c r="H81" s="394" t="n">
        <v>14496</v>
      </c>
      <c r="I81" s="393" t="inlineStr">
        <is>
          <t>Voice</t>
        </is>
      </c>
      <c r="J81" s="393" t="inlineStr">
        <is>
          <t>RHOUDAOT</t>
        </is>
      </c>
      <c r="K81" s="395">
        <f>DATE(VALUE(LEFT(A81,4)),VALUE(MID(A81,5,2)),VALUE(RIGHT(A81,2)))</f>
        <v/>
      </c>
      <c r="L81" s="395">
        <f>DATEVALUE(LEFT(F81,10))</f>
        <v/>
      </c>
      <c r="M81" s="396">
        <f>TIMEVALUE(MID(F81,12,8))</f>
        <v/>
      </c>
      <c r="N81" s="395">
        <f>DATEVALUE(LEFT(G81,10))</f>
        <v/>
      </c>
      <c r="O81" s="396">
        <f>TIMEVALUE(MID(G81,12,8))</f>
        <v/>
      </c>
      <c r="P81" s="396">
        <f>IFERROR(_xlfn.MINIFS($M:$M,$E:$E,$E81,$K:$K,$K81,$M:$M,"&gt;"&amp;$O81),"")</f>
        <v/>
      </c>
      <c r="Q81" s="396">
        <f>IF($P81="","",$P81-$O81)</f>
        <v/>
      </c>
    </row>
    <row r="82" ht="15" customHeight="1" s="231">
      <c r="A82" s="393" t="inlineStr">
        <is>
          <t>20260718</t>
        </is>
      </c>
      <c r="B82" s="393" t="inlineStr">
        <is>
          <t>LEADS GOOGLE</t>
        </is>
      </c>
      <c r="C82" s="393" t="inlineStr">
        <is>
          <t>RABAT</t>
        </is>
      </c>
      <c r="D82" s="393" t="inlineStr">
        <is>
          <t>8858775_IPSAINT</t>
        </is>
      </c>
      <c r="E82" s="393" t="inlineStr">
        <is>
          <t>KINANAWD</t>
        </is>
      </c>
      <c r="F82" s="393" t="inlineStr">
        <is>
          <t>2026-07-18 15:59:32</t>
        </is>
      </c>
      <c r="G82" s="393" t="inlineStr">
        <is>
          <t>2026-07-18 21:00:06</t>
        </is>
      </c>
      <c r="H82" s="394" t="n">
        <v>18034</v>
      </c>
      <c r="I82" s="393" t="inlineStr">
        <is>
          <t>Voice</t>
        </is>
      </c>
      <c r="J82" s="393" t="inlineStr">
        <is>
          <t>RHOUDAOT</t>
        </is>
      </c>
      <c r="K82" s="395">
        <f>DATE(VALUE(LEFT(A82,4)),VALUE(MID(A82,5,2)),VALUE(RIGHT(A82,2)))</f>
        <v/>
      </c>
      <c r="L82" s="395">
        <f>DATEVALUE(LEFT(F82,10))</f>
        <v/>
      </c>
      <c r="M82" s="396">
        <f>TIMEVALUE(MID(F82,12,8))</f>
        <v/>
      </c>
      <c r="N82" s="395">
        <f>DATEVALUE(LEFT(G82,10))</f>
        <v/>
      </c>
      <c r="O82" s="396">
        <f>TIMEVALUE(MID(G82,12,8))</f>
        <v/>
      </c>
      <c r="P82" s="396">
        <f>IFERROR(_xlfn.MINIFS($M:$M,$E:$E,$E82,$K:$K,$K82,$M:$M,"&gt;"&amp;$O82),"")</f>
        <v/>
      </c>
      <c r="Q82" s="396">
        <f>IF($P82="","",$P82-$O82)</f>
        <v/>
      </c>
    </row>
    <row r="83" ht="15" customHeight="1" s="231">
      <c r="A83" s="393" t="inlineStr">
        <is>
          <t>20260718</t>
        </is>
      </c>
      <c r="B83" s="393" t="inlineStr">
        <is>
          <t>LEADS GOOGLE</t>
        </is>
      </c>
      <c r="C83" s="393" t="inlineStr">
        <is>
          <t>RABAT</t>
        </is>
      </c>
      <c r="D83" s="393" t="inlineStr">
        <is>
          <t>8858880_IPSMEYO</t>
        </is>
      </c>
      <c r="E83" s="393" t="inlineStr">
        <is>
          <t>MELLAHYO</t>
        </is>
      </c>
      <c r="F83" s="393" t="inlineStr">
        <is>
          <t>2026-07-18 08:00:15</t>
        </is>
      </c>
      <c r="G83" s="393" t="inlineStr">
        <is>
          <t>2026-07-18 13:00:05</t>
        </is>
      </c>
      <c r="H83" s="394" t="n">
        <v>17990</v>
      </c>
      <c r="I83" s="393" t="inlineStr">
        <is>
          <t>Voice</t>
        </is>
      </c>
      <c r="J83" s="393" t="inlineStr">
        <is>
          <t>OUAQERNO</t>
        </is>
      </c>
      <c r="K83" s="395">
        <f>DATE(VALUE(LEFT(A83,4)),VALUE(MID(A83,5,2)),VALUE(RIGHT(A83,2)))</f>
        <v/>
      </c>
      <c r="L83" s="395">
        <f>DATEVALUE(LEFT(F83,10))</f>
        <v/>
      </c>
      <c r="M83" s="396">
        <f>TIMEVALUE(MID(F83,12,8))</f>
        <v/>
      </c>
      <c r="N83" s="395">
        <f>DATEVALUE(LEFT(G83,10))</f>
        <v/>
      </c>
      <c r="O83" s="396">
        <f>TIMEVALUE(MID(G83,12,8))</f>
        <v/>
      </c>
      <c r="P83" s="396">
        <f>IFERROR(_xlfn.MINIFS($M:$M,$E:$E,$E83,$K:$K,$K83,$M:$M,"&gt;"&amp;$O83),"")</f>
        <v/>
      </c>
      <c r="Q83" s="396">
        <f>IF($P83="","",$P83-$O83)</f>
        <v/>
      </c>
    </row>
    <row r="84" ht="15" customHeight="1" s="231">
      <c r="A84" s="393" t="inlineStr">
        <is>
          <t>20260718</t>
        </is>
      </c>
      <c r="B84" s="393" t="inlineStr">
        <is>
          <t>LEADS GOOGLE</t>
        </is>
      </c>
      <c r="C84" s="393" t="inlineStr">
        <is>
          <t>RABAT</t>
        </is>
      </c>
      <c r="D84" s="393" t="inlineStr">
        <is>
          <t>8858880_IPSMEYO</t>
        </is>
      </c>
      <c r="E84" s="393" t="inlineStr">
        <is>
          <t>MELLAHYO</t>
        </is>
      </c>
      <c r="F84" s="393" t="inlineStr">
        <is>
          <t>2026-07-18 14:00:05</t>
        </is>
      </c>
      <c r="G84" s="393" t="inlineStr">
        <is>
          <t>2026-07-18 16:41:10</t>
        </is>
      </c>
      <c r="H84" s="394" t="n">
        <v>9665</v>
      </c>
      <c r="I84" s="393" t="inlineStr">
        <is>
          <t>Voice</t>
        </is>
      </c>
      <c r="J84" s="393" t="inlineStr">
        <is>
          <t>OUAQERNO</t>
        </is>
      </c>
      <c r="K84" s="395">
        <f>DATE(VALUE(LEFT(A84,4)),VALUE(MID(A84,5,2)),VALUE(RIGHT(A84,2)))</f>
        <v/>
      </c>
      <c r="L84" s="395">
        <f>DATEVALUE(LEFT(F84,10))</f>
        <v/>
      </c>
      <c r="M84" s="396">
        <f>TIMEVALUE(MID(F84,12,8))</f>
        <v/>
      </c>
      <c r="N84" s="395">
        <f>DATEVALUE(LEFT(G84,10))</f>
        <v/>
      </c>
      <c r="O84" s="396">
        <f>TIMEVALUE(MID(G84,12,8))</f>
        <v/>
      </c>
      <c r="P84" s="396">
        <f>IFERROR(_xlfn.MINIFS($M:$M,$E:$E,$E84,$K:$K,$K84,$M:$M,"&gt;"&amp;$O84),"")</f>
        <v/>
      </c>
      <c r="Q84" s="396">
        <f>IF($P84="","",$P84-$O84)</f>
        <v/>
      </c>
    </row>
    <row r="85" ht="15" customHeight="1" s="231">
      <c r="A85" s="393" t="inlineStr">
        <is>
          <t>20260718</t>
        </is>
      </c>
      <c r="B85" s="393" t="inlineStr">
        <is>
          <t>LEADS GOOGLE</t>
        </is>
      </c>
      <c r="C85" s="393" t="inlineStr">
        <is>
          <t>RABAT</t>
        </is>
      </c>
      <c r="D85" s="393" t="inlineStr">
        <is>
          <t>8858880_IPSMEYO</t>
        </is>
      </c>
      <c r="E85" s="393" t="inlineStr">
        <is>
          <t>MELLAHYO</t>
        </is>
      </c>
      <c r="F85" s="393" t="inlineStr">
        <is>
          <t>2026-07-18 16:52:57</t>
        </is>
      </c>
      <c r="G85" s="393" t="inlineStr">
        <is>
          <t>2026-07-18 18:00:08</t>
        </is>
      </c>
      <c r="H85" s="394" t="n">
        <v>4031</v>
      </c>
      <c r="I85" s="393" t="inlineStr">
        <is>
          <t>Voice</t>
        </is>
      </c>
      <c r="J85" s="393" t="inlineStr">
        <is>
          <t>OUAQERNO</t>
        </is>
      </c>
      <c r="K85" s="395">
        <f>DATE(VALUE(LEFT(A85,4)),VALUE(MID(A85,5,2)),VALUE(RIGHT(A85,2)))</f>
        <v/>
      </c>
      <c r="L85" s="395">
        <f>DATEVALUE(LEFT(F85,10))</f>
        <v/>
      </c>
      <c r="M85" s="396">
        <f>TIMEVALUE(MID(F85,12,8))</f>
        <v/>
      </c>
      <c r="N85" s="395">
        <f>DATEVALUE(LEFT(G85,10))</f>
        <v/>
      </c>
      <c r="O85" s="396">
        <f>TIMEVALUE(MID(G85,12,8))</f>
        <v/>
      </c>
      <c r="P85" s="396">
        <f>IFERROR(_xlfn.MINIFS($M:$M,$E:$E,$E85,$K:$K,$K85,$M:$M,"&gt;"&amp;$O85),"")</f>
        <v/>
      </c>
      <c r="Q85" s="396">
        <f>IF($P85="","",$P85-$O85)</f>
        <v/>
      </c>
    </row>
    <row r="86" ht="15" customHeight="1" s="231">
      <c r="A86" s="393" t="inlineStr">
        <is>
          <t>20260718</t>
        </is>
      </c>
      <c r="B86" s="393" t="inlineStr">
        <is>
          <t>LEADS GOOGLE</t>
        </is>
      </c>
      <c r="C86" s="393" t="inlineStr">
        <is>
          <t>RABAT</t>
        </is>
      </c>
      <c r="D86" s="393" t="inlineStr">
        <is>
          <t>8859439_IPSNAKE</t>
        </is>
      </c>
      <c r="E86" s="393" t="inlineStr">
        <is>
          <t>NAKHLAAY</t>
        </is>
      </c>
      <c r="F86" s="393" t="inlineStr">
        <is>
          <t>2026-07-18 14:31:48</t>
        </is>
      </c>
      <c r="G86" s="393" t="inlineStr">
        <is>
          <t>2026-07-18 19:00:03</t>
        </is>
      </c>
      <c r="H86" s="394" t="n">
        <v>16095</v>
      </c>
      <c r="I86" s="393" t="inlineStr">
        <is>
          <t>Voice</t>
        </is>
      </c>
      <c r="J86" s="393" t="inlineStr">
        <is>
          <t>RHOUDAOT</t>
        </is>
      </c>
      <c r="K86" s="395">
        <f>DATE(VALUE(LEFT(A86,4)),VALUE(MID(A86,5,2)),VALUE(RIGHT(A86,2)))</f>
        <v/>
      </c>
      <c r="L86" s="395">
        <f>DATEVALUE(LEFT(F86,10))</f>
        <v/>
      </c>
      <c r="M86" s="396">
        <f>TIMEVALUE(MID(F86,12,8))</f>
        <v/>
      </c>
      <c r="N86" s="395">
        <f>DATEVALUE(LEFT(G86,10))</f>
        <v/>
      </c>
      <c r="O86" s="396">
        <f>TIMEVALUE(MID(G86,12,8))</f>
        <v/>
      </c>
      <c r="P86" s="396">
        <f>IFERROR(_xlfn.MINIFS($M:$M,$E:$E,$E86,$K:$K,$K86,$M:$M,"&gt;"&amp;$O86),"")</f>
        <v/>
      </c>
      <c r="Q86" s="396">
        <f>IF($P86="","",$P86-$O86)</f>
        <v/>
      </c>
    </row>
    <row r="87" ht="15" customHeight="1" s="231">
      <c r="A87" s="393" t="inlineStr">
        <is>
          <t>20260718</t>
        </is>
      </c>
      <c r="B87" s="393" t="inlineStr">
        <is>
          <t>LEADS GOOGLE</t>
        </is>
      </c>
      <c r="C87" s="393" t="inlineStr">
        <is>
          <t>RABAT</t>
        </is>
      </c>
      <c r="D87" s="393" t="inlineStr">
        <is>
          <t>8859337_IPSQRMN</t>
        </is>
      </c>
      <c r="E87" s="393" t="inlineStr">
        <is>
          <t>QARBOUAY</t>
        </is>
      </c>
      <c r="F87" s="393" t="inlineStr">
        <is>
          <t>2026-07-18 11:03:43</t>
        </is>
      </c>
      <c r="G87" s="393" t="inlineStr">
        <is>
          <t>2026-07-18 13:26:27</t>
        </is>
      </c>
      <c r="H87" s="394" t="n">
        <v>8564</v>
      </c>
      <c r="I87" s="393" t="inlineStr">
        <is>
          <t>Voice</t>
        </is>
      </c>
      <c r="J87" s="393" t="inlineStr">
        <is>
          <t>HAOUACIK</t>
        </is>
      </c>
      <c r="K87" s="395">
        <f>DATE(VALUE(LEFT(A87,4)),VALUE(MID(A87,5,2)),VALUE(RIGHT(A87,2)))</f>
        <v/>
      </c>
      <c r="L87" s="395">
        <f>DATEVALUE(LEFT(F87,10))</f>
        <v/>
      </c>
      <c r="M87" s="396">
        <f>TIMEVALUE(MID(F87,12,8))</f>
        <v/>
      </c>
      <c r="N87" s="395">
        <f>DATEVALUE(LEFT(G87,10))</f>
        <v/>
      </c>
      <c r="O87" s="396">
        <f>TIMEVALUE(MID(G87,12,8))</f>
        <v/>
      </c>
      <c r="P87" s="396">
        <f>IFERROR(_xlfn.MINIFS($M:$M,$E:$E,$E87,$K:$K,$K87,$M:$M,"&gt;"&amp;$O87),"")</f>
        <v/>
      </c>
      <c r="Q87" s="396">
        <f>IF($P87="","",$P87-$O87)</f>
        <v/>
      </c>
    </row>
    <row r="88" ht="15" customHeight="1" s="231">
      <c r="A88" s="393" t="inlineStr">
        <is>
          <t>20260718</t>
        </is>
      </c>
      <c r="B88" s="393" t="inlineStr">
        <is>
          <t>LEADS GOOGLE</t>
        </is>
      </c>
      <c r="C88" s="393" t="inlineStr">
        <is>
          <t>RABAT</t>
        </is>
      </c>
      <c r="D88" s="393" t="inlineStr">
        <is>
          <t>8859337_IPSQRMN</t>
        </is>
      </c>
      <c r="E88" s="393" t="inlineStr">
        <is>
          <t>QARBOUAY</t>
        </is>
      </c>
      <c r="F88" s="393" t="inlineStr">
        <is>
          <t>2026-07-18 13:37:32</t>
        </is>
      </c>
      <c r="G88" s="393" t="inlineStr">
        <is>
          <t>2026-07-18 15:00:43</t>
        </is>
      </c>
      <c r="H88" s="394" t="n">
        <v>4991</v>
      </c>
      <c r="I88" s="393" t="inlineStr">
        <is>
          <t>Voice</t>
        </is>
      </c>
      <c r="J88" s="393" t="inlineStr">
        <is>
          <t>HAOUACIK</t>
        </is>
      </c>
      <c r="K88" s="395">
        <f>DATE(VALUE(LEFT(A88,4)),VALUE(MID(A88,5,2)),VALUE(RIGHT(A88,2)))</f>
        <v/>
      </c>
      <c r="L88" s="395">
        <f>DATEVALUE(LEFT(F88,10))</f>
        <v/>
      </c>
      <c r="M88" s="396">
        <f>TIMEVALUE(MID(F88,12,8))</f>
        <v/>
      </c>
      <c r="N88" s="395">
        <f>DATEVALUE(LEFT(G88,10))</f>
        <v/>
      </c>
      <c r="O88" s="396">
        <f>TIMEVALUE(MID(G88,12,8))</f>
        <v/>
      </c>
      <c r="P88" s="396">
        <f>IFERROR(_xlfn.MINIFS($M:$M,$E:$E,$E88,$K:$K,$K88,$M:$M,"&gt;"&amp;$O88),"")</f>
        <v/>
      </c>
      <c r="Q88" s="396">
        <f>IF($P88="","",$P88-$O88)</f>
        <v/>
      </c>
    </row>
    <row r="89" ht="15" customHeight="1" s="231">
      <c r="A89" s="393" t="inlineStr">
        <is>
          <t>20260718</t>
        </is>
      </c>
      <c r="B89" s="393" t="inlineStr">
        <is>
          <t>LEADS GOOGLE</t>
        </is>
      </c>
      <c r="C89" s="393" t="inlineStr">
        <is>
          <t>RABAT</t>
        </is>
      </c>
      <c r="D89" s="393" t="inlineStr">
        <is>
          <t>8859337_IPSQRMN</t>
        </is>
      </c>
      <c r="E89" s="393" t="inlineStr">
        <is>
          <t>QARBOUAY</t>
        </is>
      </c>
      <c r="F89" s="393" t="inlineStr">
        <is>
          <t>2026-07-18 16:05:18</t>
        </is>
      </c>
      <c r="G89" s="393" t="inlineStr">
        <is>
          <t>2026-07-18 21:01:31</t>
        </is>
      </c>
      <c r="H89" s="394" t="n">
        <v>17773</v>
      </c>
      <c r="I89" s="393" t="inlineStr">
        <is>
          <t>Voice</t>
        </is>
      </c>
      <c r="J89" s="393" t="inlineStr">
        <is>
          <t>HAOUACIK</t>
        </is>
      </c>
      <c r="K89" s="395">
        <f>DATE(VALUE(LEFT(A89,4)),VALUE(MID(A89,5,2)),VALUE(RIGHT(A89,2)))</f>
        <v/>
      </c>
      <c r="L89" s="395">
        <f>DATEVALUE(LEFT(F89,10))</f>
        <v/>
      </c>
      <c r="M89" s="396">
        <f>TIMEVALUE(MID(F89,12,8))</f>
        <v/>
      </c>
      <c r="N89" s="395">
        <f>DATEVALUE(LEFT(G89,10))</f>
        <v/>
      </c>
      <c r="O89" s="396">
        <f>TIMEVALUE(MID(G89,12,8))</f>
        <v/>
      </c>
      <c r="P89" s="396">
        <f>IFERROR(_xlfn.MINIFS($M:$M,$E:$E,$E89,$K:$K,$K89,$M:$M,"&gt;"&amp;$O89),"")</f>
        <v/>
      </c>
      <c r="Q89" s="396">
        <f>IF($P89="","",$P89-$O89)</f>
        <v/>
      </c>
    </row>
    <row r="90" ht="15" customHeight="1" s="231">
      <c r="A90" s="393" t="inlineStr">
        <is>
          <t>20260718</t>
        </is>
      </c>
      <c r="B90" s="393" t="inlineStr">
        <is>
          <t>LEADS GOOGLE</t>
        </is>
      </c>
      <c r="C90" s="393" t="inlineStr">
        <is>
          <t>RABAT</t>
        </is>
      </c>
      <c r="D90" s="393" t="inlineStr">
        <is>
          <t>8858743_IPSRANW</t>
        </is>
      </c>
      <c r="E90" s="393" t="inlineStr">
        <is>
          <t>RACHADNW</t>
        </is>
      </c>
      <c r="F90" s="393" t="inlineStr">
        <is>
          <t>2026-07-18 07:50:43</t>
        </is>
      </c>
      <c r="G90" s="393" t="inlineStr">
        <is>
          <t>2026-07-18 13:06:05</t>
        </is>
      </c>
      <c r="H90" s="394" t="n">
        <v>18922</v>
      </c>
      <c r="I90" s="393" t="inlineStr">
        <is>
          <t>Voice</t>
        </is>
      </c>
      <c r="J90" s="393" t="inlineStr">
        <is>
          <t>OUAQERNO</t>
        </is>
      </c>
      <c r="K90" s="395">
        <f>DATE(VALUE(LEFT(A90,4)),VALUE(MID(A90,5,2)),VALUE(RIGHT(A90,2)))</f>
        <v/>
      </c>
      <c r="L90" s="395">
        <f>DATEVALUE(LEFT(F90,10))</f>
        <v/>
      </c>
      <c r="M90" s="396">
        <f>TIMEVALUE(MID(F90,12,8))</f>
        <v/>
      </c>
      <c r="N90" s="395">
        <f>DATEVALUE(LEFT(G90,10))</f>
        <v/>
      </c>
      <c r="O90" s="396">
        <f>TIMEVALUE(MID(G90,12,8))</f>
        <v/>
      </c>
      <c r="P90" s="396">
        <f>IFERROR(_xlfn.MINIFS($M:$M,$E:$E,$E90,$K:$K,$K90,$M:$M,"&gt;"&amp;$O90),"")</f>
        <v/>
      </c>
      <c r="Q90" s="396">
        <f>IF($P90="","",$P90-$O90)</f>
        <v/>
      </c>
    </row>
    <row r="91" ht="15" customHeight="1" s="231">
      <c r="A91" s="393" t="inlineStr">
        <is>
          <t>20260718</t>
        </is>
      </c>
      <c r="B91" s="393" t="inlineStr">
        <is>
          <t>LEADS GOOGLE</t>
        </is>
      </c>
      <c r="C91" s="393" t="inlineStr">
        <is>
          <t>RABAT</t>
        </is>
      </c>
      <c r="D91" s="393" t="inlineStr">
        <is>
          <t>8858743_IPSRANW</t>
        </is>
      </c>
      <c r="E91" s="393" t="inlineStr">
        <is>
          <t>RACHADNW</t>
        </is>
      </c>
      <c r="F91" s="393" t="inlineStr">
        <is>
          <t>2026-07-18 14:03:27</t>
        </is>
      </c>
      <c r="G91" s="393" t="inlineStr">
        <is>
          <t>2026-07-18 18:00:06</t>
        </is>
      </c>
      <c r="H91" s="394" t="n">
        <v>14199</v>
      </c>
      <c r="I91" s="393" t="inlineStr">
        <is>
          <t>Voice</t>
        </is>
      </c>
      <c r="J91" s="393" t="inlineStr">
        <is>
          <t>OUAQERNO</t>
        </is>
      </c>
      <c r="K91" s="395">
        <f>DATE(VALUE(LEFT(A91,4)),VALUE(MID(A91,5,2)),VALUE(RIGHT(A91,2)))</f>
        <v/>
      </c>
      <c r="L91" s="395">
        <f>DATEVALUE(LEFT(F91,10))</f>
        <v/>
      </c>
      <c r="M91" s="396">
        <f>TIMEVALUE(MID(F91,12,8))</f>
        <v/>
      </c>
      <c r="N91" s="395">
        <f>DATEVALUE(LEFT(G91,10))</f>
        <v/>
      </c>
      <c r="O91" s="396">
        <f>TIMEVALUE(MID(G91,12,8))</f>
        <v/>
      </c>
      <c r="P91" s="396">
        <f>IFERROR(_xlfn.MINIFS($M:$M,$E:$E,$E91,$K:$K,$K91,$M:$M,"&gt;"&amp;$O91),"")</f>
        <v/>
      </c>
      <c r="Q91" s="396">
        <f>IF($P91="","",$P91-$O91)</f>
        <v/>
      </c>
    </row>
    <row r="92" ht="15" customHeight="1" s="231">
      <c r="A92" s="393" t="inlineStr">
        <is>
          <t>20260718</t>
        </is>
      </c>
      <c r="B92" s="393" t="inlineStr">
        <is>
          <t>LEADS GOOGLE</t>
        </is>
      </c>
      <c r="C92" s="393" t="inlineStr">
        <is>
          <t>RABAT</t>
        </is>
      </c>
      <c r="D92" s="393" t="inlineStr">
        <is>
          <t>8858512_IPSSLML</t>
        </is>
      </c>
      <c r="E92" s="393" t="inlineStr">
        <is>
          <t>SALMAMO</t>
        </is>
      </c>
      <c r="F92" s="393" t="inlineStr">
        <is>
          <t>2026-07-18 08:58:16</t>
        </is>
      </c>
      <c r="G92" s="393" t="inlineStr">
        <is>
          <t>2026-07-18 13:00:23</t>
        </is>
      </c>
      <c r="H92" s="394" t="n">
        <v>14527</v>
      </c>
      <c r="I92" s="393" t="inlineStr">
        <is>
          <t>Voice</t>
        </is>
      </c>
      <c r="J92" s="393" t="inlineStr">
        <is>
          <t>RHOUDAOT</t>
        </is>
      </c>
      <c r="K92" s="395">
        <f>DATE(VALUE(LEFT(A92,4)),VALUE(MID(A92,5,2)),VALUE(RIGHT(A92,2)))</f>
        <v/>
      </c>
      <c r="L92" s="395">
        <f>DATEVALUE(LEFT(F92,10))</f>
        <v/>
      </c>
      <c r="M92" s="396">
        <f>TIMEVALUE(MID(F92,12,8))</f>
        <v/>
      </c>
      <c r="N92" s="395">
        <f>DATEVALUE(LEFT(G92,10))</f>
        <v/>
      </c>
      <c r="O92" s="396">
        <f>TIMEVALUE(MID(G92,12,8))</f>
        <v/>
      </c>
      <c r="P92" s="396">
        <f>IFERROR(_xlfn.MINIFS($M:$M,$E:$E,$E92,$K:$K,$K92,$M:$M,"&gt;"&amp;$O92),"")</f>
        <v/>
      </c>
      <c r="Q92" s="396">
        <f>IF($P92="","",$P92-$O92)</f>
        <v/>
      </c>
    </row>
    <row r="93" ht="15" customHeight="1" s="231">
      <c r="A93" s="393" t="inlineStr">
        <is>
          <t>20260718</t>
        </is>
      </c>
      <c r="B93" s="393" t="inlineStr">
        <is>
          <t>LEADS GOOGLE</t>
        </is>
      </c>
      <c r="C93" s="393" t="inlineStr">
        <is>
          <t>RABAT</t>
        </is>
      </c>
      <c r="D93" s="393" t="inlineStr">
        <is>
          <t>8858512_IPSSLML</t>
        </is>
      </c>
      <c r="E93" s="393" t="inlineStr">
        <is>
          <t>SALMAMO</t>
        </is>
      </c>
      <c r="F93" s="393" t="inlineStr">
        <is>
          <t>2026-07-18 13:59:55</t>
        </is>
      </c>
      <c r="G93" s="393" t="inlineStr">
        <is>
          <t>2026-07-18 16:25:01</t>
        </is>
      </c>
      <c r="H93" s="394" t="n">
        <v>8706</v>
      </c>
      <c r="I93" s="393" t="inlineStr">
        <is>
          <t>Voice</t>
        </is>
      </c>
      <c r="J93" s="393" t="inlineStr">
        <is>
          <t>RHOUDAOT</t>
        </is>
      </c>
      <c r="K93" s="395">
        <f>DATE(VALUE(LEFT(A93,4)),VALUE(MID(A93,5,2)),VALUE(RIGHT(A93,2)))</f>
        <v/>
      </c>
      <c r="L93" s="395">
        <f>DATEVALUE(LEFT(F93,10))</f>
        <v/>
      </c>
      <c r="M93" s="396">
        <f>TIMEVALUE(MID(F93,12,8))</f>
        <v/>
      </c>
      <c r="N93" s="395">
        <f>DATEVALUE(LEFT(G93,10))</f>
        <v/>
      </c>
      <c r="O93" s="396">
        <f>TIMEVALUE(MID(G93,12,8))</f>
        <v/>
      </c>
      <c r="P93" s="396">
        <f>IFERROR(_xlfn.MINIFS($M:$M,$E:$E,$E93,$K:$K,$K93,$M:$M,"&gt;"&amp;$O93),"")</f>
        <v/>
      </c>
      <c r="Q93" s="396">
        <f>IF($P93="","",$P93-$O93)</f>
        <v/>
      </c>
    </row>
    <row r="94" ht="15" customHeight="1" s="231">
      <c r="A94" s="393" t="inlineStr">
        <is>
          <t>20260718</t>
        </is>
      </c>
      <c r="B94" s="393" t="inlineStr">
        <is>
          <t>LEADS GOOGLE</t>
        </is>
      </c>
      <c r="C94" s="393" t="inlineStr">
        <is>
          <t>RABAT</t>
        </is>
      </c>
      <c r="D94" s="393" t="inlineStr">
        <is>
          <t>8858512_IPSSLML</t>
        </is>
      </c>
      <c r="E94" s="393" t="inlineStr">
        <is>
          <t>SALMAMO</t>
        </is>
      </c>
      <c r="F94" s="393" t="inlineStr">
        <is>
          <t>2026-07-18 16:30:26</t>
        </is>
      </c>
      <c r="G94" s="393" t="inlineStr">
        <is>
          <t>2026-07-18 19:00:07</t>
        </is>
      </c>
      <c r="H94" s="394" t="n">
        <v>8981</v>
      </c>
      <c r="I94" s="393" t="inlineStr">
        <is>
          <t>Voice</t>
        </is>
      </c>
      <c r="J94" s="393" t="inlineStr">
        <is>
          <t>RHOUDAOT</t>
        </is>
      </c>
      <c r="K94" s="395">
        <f>DATE(VALUE(LEFT(A94,4)),VALUE(MID(A94,5,2)),VALUE(RIGHT(A94,2)))</f>
        <v/>
      </c>
      <c r="L94" s="395">
        <f>DATEVALUE(LEFT(F94,10))</f>
        <v/>
      </c>
      <c r="M94" s="396">
        <f>TIMEVALUE(MID(F94,12,8))</f>
        <v/>
      </c>
      <c r="N94" s="395">
        <f>DATEVALUE(LEFT(G94,10))</f>
        <v/>
      </c>
      <c r="O94" s="396">
        <f>TIMEVALUE(MID(G94,12,8))</f>
        <v/>
      </c>
      <c r="P94" s="396">
        <f>IFERROR(_xlfn.MINIFS($M:$M,$E:$E,$E94,$K:$K,$K94,$M:$M,"&gt;"&amp;$O94),"")</f>
        <v/>
      </c>
      <c r="Q94" s="396">
        <f>IF($P94="","",$P94-$O94)</f>
        <v/>
      </c>
    </row>
    <row r="95" ht="15" customHeight="1" s="231">
      <c r="A95" s="393" t="inlineStr">
        <is>
          <t>20260718</t>
        </is>
      </c>
      <c r="B95" s="393" t="inlineStr">
        <is>
          <t>LEADS GOOGLE</t>
        </is>
      </c>
      <c r="C95" s="393" t="inlineStr">
        <is>
          <t>RABAT</t>
        </is>
      </c>
      <c r="D95" s="393" t="inlineStr">
        <is>
          <t>8858482_IPSSCDR</t>
        </is>
      </c>
      <c r="E95" s="393" t="inlineStr">
        <is>
          <t>SECKDA</t>
        </is>
      </c>
      <c r="F95" s="393" t="inlineStr">
        <is>
          <t>2026-07-18 10:41:05</t>
        </is>
      </c>
      <c r="G95" s="393" t="inlineStr">
        <is>
          <t>2026-07-18 10:41:21</t>
        </is>
      </c>
      <c r="H95" s="394" t="n">
        <v>16</v>
      </c>
      <c r="I95" s="393" t="inlineStr">
        <is>
          <t>Voice</t>
        </is>
      </c>
      <c r="J95" s="393" t="inlineStr">
        <is>
          <t>OUAQERNO</t>
        </is>
      </c>
      <c r="K95" s="395">
        <f>DATE(VALUE(LEFT(A95,4)),VALUE(MID(A95,5,2)),VALUE(RIGHT(A95,2)))</f>
        <v/>
      </c>
      <c r="L95" s="395">
        <f>DATEVALUE(LEFT(F95,10))</f>
        <v/>
      </c>
      <c r="M95" s="396">
        <f>TIMEVALUE(MID(F95,12,8))</f>
        <v/>
      </c>
      <c r="N95" s="395">
        <f>DATEVALUE(LEFT(G95,10))</f>
        <v/>
      </c>
      <c r="O95" s="396">
        <f>TIMEVALUE(MID(G95,12,8))</f>
        <v/>
      </c>
      <c r="P95" s="396">
        <f>IFERROR(_xlfn.MINIFS($M:$M,$E:$E,$E95,$K:$K,$K95,$M:$M,"&gt;"&amp;$O95),"")</f>
        <v/>
      </c>
      <c r="Q95" s="396">
        <f>IF($P95="","",$P95-$O95)</f>
        <v/>
      </c>
    </row>
    <row r="96" ht="15" customHeight="1" s="231">
      <c r="A96" s="393" t="inlineStr">
        <is>
          <t>20260718</t>
        </is>
      </c>
      <c r="B96" s="393" t="inlineStr">
        <is>
          <t>LEADS GOOGLE</t>
        </is>
      </c>
      <c r="C96" s="393" t="inlineStr">
        <is>
          <t>RABAT</t>
        </is>
      </c>
      <c r="D96" s="393" t="inlineStr">
        <is>
          <t>8858482_IPSSCDR</t>
        </is>
      </c>
      <c r="E96" s="393" t="inlineStr">
        <is>
          <t>SECKDA</t>
        </is>
      </c>
      <c r="F96" s="393" t="inlineStr">
        <is>
          <t>2026-07-18 10:57:41</t>
        </is>
      </c>
      <c r="G96" s="393" t="inlineStr">
        <is>
          <t>2026-07-18 15:00:45</t>
        </is>
      </c>
      <c r="H96" s="394" t="n">
        <v>14584</v>
      </c>
      <c r="I96" s="393" t="inlineStr">
        <is>
          <t>Voice</t>
        </is>
      </c>
      <c r="J96" s="393" t="inlineStr">
        <is>
          <t>OUAQERNO</t>
        </is>
      </c>
      <c r="K96" s="395">
        <f>DATE(VALUE(LEFT(A96,4)),VALUE(MID(A96,5,2)),VALUE(RIGHT(A96,2)))</f>
        <v/>
      </c>
      <c r="L96" s="395">
        <f>DATEVALUE(LEFT(F96,10))</f>
        <v/>
      </c>
      <c r="M96" s="396">
        <f>TIMEVALUE(MID(F96,12,8))</f>
        <v/>
      </c>
      <c r="N96" s="395">
        <f>DATEVALUE(LEFT(G96,10))</f>
        <v/>
      </c>
      <c r="O96" s="396">
        <f>TIMEVALUE(MID(G96,12,8))</f>
        <v/>
      </c>
      <c r="P96" s="396">
        <f>IFERROR(_xlfn.MINIFS($M:$M,$E:$E,$E96,$K:$K,$K96,$M:$M,"&gt;"&amp;$O96),"")</f>
        <v/>
      </c>
      <c r="Q96" s="396">
        <f>IF($P96="","",$P96-$O96)</f>
        <v/>
      </c>
    </row>
    <row r="97" ht="15" customHeight="1" s="231">
      <c r="A97" s="393" t="inlineStr">
        <is>
          <t>20260718</t>
        </is>
      </c>
      <c r="B97" s="393" t="inlineStr">
        <is>
          <t>LEADS GOOGLE</t>
        </is>
      </c>
      <c r="C97" s="393" t="inlineStr">
        <is>
          <t>RABAT</t>
        </is>
      </c>
      <c r="D97" s="393" t="inlineStr">
        <is>
          <t>8858482_IPSSCDR</t>
        </is>
      </c>
      <c r="E97" s="393" t="inlineStr">
        <is>
          <t>SECKDA</t>
        </is>
      </c>
      <c r="F97" s="393" t="inlineStr">
        <is>
          <t>2026-07-18 15:57:05</t>
        </is>
      </c>
      <c r="G97" s="393" t="inlineStr">
        <is>
          <t>2026-07-18 17:25:23</t>
        </is>
      </c>
      <c r="H97" s="394" t="n">
        <v>5298</v>
      </c>
      <c r="I97" s="393" t="inlineStr">
        <is>
          <t>Voice</t>
        </is>
      </c>
      <c r="J97" s="393" t="inlineStr">
        <is>
          <t>OUAQERNO</t>
        </is>
      </c>
      <c r="K97" s="395">
        <f>DATE(VALUE(LEFT(A97,4)),VALUE(MID(A97,5,2)),VALUE(RIGHT(A97,2)))</f>
        <v/>
      </c>
      <c r="L97" s="395">
        <f>DATEVALUE(LEFT(F97,10))</f>
        <v/>
      </c>
      <c r="M97" s="396">
        <f>TIMEVALUE(MID(F97,12,8))</f>
        <v/>
      </c>
      <c r="N97" s="395">
        <f>DATEVALUE(LEFT(G97,10))</f>
        <v/>
      </c>
      <c r="O97" s="396">
        <f>TIMEVALUE(MID(G97,12,8))</f>
        <v/>
      </c>
      <c r="P97" s="396">
        <f>IFERROR(_xlfn.MINIFS($M:$M,$E:$E,$E97,$K:$K,$K97,$M:$M,"&gt;"&amp;$O97),"")</f>
        <v/>
      </c>
      <c r="Q97" s="396">
        <f>IF($P97="","",$P97-$O97)</f>
        <v/>
      </c>
    </row>
    <row r="98" ht="15" customHeight="1" s="231">
      <c r="A98" s="393" t="inlineStr">
        <is>
          <t>20260718</t>
        </is>
      </c>
      <c r="B98" s="393" t="inlineStr">
        <is>
          <t>LEADS GOOGLE</t>
        </is>
      </c>
      <c r="C98" s="393" t="inlineStr">
        <is>
          <t>RABAT</t>
        </is>
      </c>
      <c r="D98" s="393" t="inlineStr">
        <is>
          <t>8858482_IPSSCDR</t>
        </is>
      </c>
      <c r="E98" s="393" t="inlineStr">
        <is>
          <t>SECKDA</t>
        </is>
      </c>
      <c r="F98" s="393" t="inlineStr">
        <is>
          <t>2026-07-18 17:25:58</t>
        </is>
      </c>
      <c r="G98" s="393" t="inlineStr">
        <is>
          <t>2026-07-18 20:00:13</t>
        </is>
      </c>
      <c r="H98" s="394" t="n">
        <v>9255</v>
      </c>
      <c r="I98" s="393" t="inlineStr">
        <is>
          <t>Voice</t>
        </is>
      </c>
      <c r="J98" s="393" t="inlineStr">
        <is>
          <t>OUAQERNO</t>
        </is>
      </c>
      <c r="K98" s="395">
        <f>DATE(VALUE(LEFT(A98,4)),VALUE(MID(A98,5,2)),VALUE(RIGHT(A98,2)))</f>
        <v/>
      </c>
      <c r="L98" s="395">
        <f>DATEVALUE(LEFT(F98,10))</f>
        <v/>
      </c>
      <c r="M98" s="396">
        <f>TIMEVALUE(MID(F98,12,8))</f>
        <v/>
      </c>
      <c r="N98" s="395">
        <f>DATEVALUE(LEFT(G98,10))</f>
        <v/>
      </c>
      <c r="O98" s="396">
        <f>TIMEVALUE(MID(G98,12,8))</f>
        <v/>
      </c>
      <c r="P98" s="396">
        <f>IFERROR(_xlfn.MINIFS($M:$M,$E:$E,$E98,$K:$K,$K98,$M:$M,"&gt;"&amp;$O98),"")</f>
        <v/>
      </c>
      <c r="Q98" s="396">
        <f>IF($P98="","",$P98-$O98)</f>
        <v/>
      </c>
    </row>
    <row r="99" ht="15" customHeight="1" s="231">
      <c r="A99" s="393" t="inlineStr">
        <is>
          <t>20260718</t>
        </is>
      </c>
      <c r="B99" s="393" t="inlineStr">
        <is>
          <t>LEADS GOOGLE</t>
        </is>
      </c>
      <c r="C99" s="393" t="inlineStr">
        <is>
          <t>RABAT</t>
        </is>
      </c>
      <c r="D99" s="393" t="inlineStr">
        <is>
          <t>8858482_IPSSCDR</t>
        </is>
      </c>
      <c r="E99" s="393" t="inlineStr">
        <is>
          <t>SECKDA</t>
        </is>
      </c>
      <c r="F99" s="393" t="inlineStr">
        <is>
          <t>2026-07-18 20:18:59</t>
        </is>
      </c>
      <c r="G99" s="393" t="inlineStr">
        <is>
          <t>2026-07-18 21:00:08</t>
        </is>
      </c>
      <c r="H99" s="394" t="n">
        <v>2469</v>
      </c>
      <c r="I99" s="393" t="inlineStr">
        <is>
          <t>Voice</t>
        </is>
      </c>
      <c r="J99" s="393" t="inlineStr">
        <is>
          <t>OUAQERNO</t>
        </is>
      </c>
      <c r="K99" s="395">
        <f>DATE(VALUE(LEFT(A99,4)),VALUE(MID(A99,5,2)),VALUE(RIGHT(A99,2)))</f>
        <v/>
      </c>
      <c r="L99" s="395">
        <f>DATEVALUE(LEFT(F99,10))</f>
        <v/>
      </c>
      <c r="M99" s="396">
        <f>TIMEVALUE(MID(F99,12,8))</f>
        <v/>
      </c>
      <c r="N99" s="395">
        <f>DATEVALUE(LEFT(G99,10))</f>
        <v/>
      </c>
      <c r="O99" s="396">
        <f>TIMEVALUE(MID(G99,12,8))</f>
        <v/>
      </c>
      <c r="P99" s="396">
        <f>IFERROR(_xlfn.MINIFS($M:$M,$E:$E,$E99,$K:$K,$K99,$M:$M,"&gt;"&amp;$O99),"")</f>
        <v/>
      </c>
      <c r="Q99" s="396">
        <f>IF($P99="","",$P99-$O99)</f>
        <v/>
      </c>
    </row>
    <row r="100" ht="15" customHeight="1" s="231">
      <c r="A100" s="393" t="inlineStr">
        <is>
          <t>20260718</t>
        </is>
      </c>
      <c r="B100" s="393" t="inlineStr">
        <is>
          <t>LEADS GOOGLE</t>
        </is>
      </c>
      <c r="C100" s="393" t="inlineStr">
        <is>
          <t>RABAT</t>
        </is>
      </c>
      <c r="D100" s="393" t="inlineStr">
        <is>
          <t>8859413_IPSSOZA</t>
        </is>
      </c>
      <c r="E100" s="393" t="inlineStr">
        <is>
          <t>SOUOUDZA</t>
        </is>
      </c>
      <c r="F100" s="393" t="inlineStr">
        <is>
          <t>2026-07-18 11:59:39</t>
        </is>
      </c>
      <c r="G100" s="393" t="inlineStr">
        <is>
          <t>2026-07-18 15:00:11</t>
        </is>
      </c>
      <c r="H100" s="394" t="n">
        <v>10832</v>
      </c>
      <c r="I100" s="393" t="inlineStr">
        <is>
          <t>Voice</t>
        </is>
      </c>
      <c r="J100" s="393" t="inlineStr">
        <is>
          <t>OUAQERNO</t>
        </is>
      </c>
      <c r="K100" s="395">
        <f>DATE(VALUE(LEFT(A100,4)),VALUE(MID(A100,5,2)),VALUE(RIGHT(A100,2)))</f>
        <v/>
      </c>
      <c r="L100" s="395">
        <f>DATEVALUE(LEFT(F100,10))</f>
        <v/>
      </c>
      <c r="M100" s="396">
        <f>TIMEVALUE(MID(F100,12,8))</f>
        <v/>
      </c>
      <c r="N100" s="395">
        <f>DATEVALUE(LEFT(G100,10))</f>
        <v/>
      </c>
      <c r="O100" s="396">
        <f>TIMEVALUE(MID(G100,12,8))</f>
        <v/>
      </c>
      <c r="P100" s="396">
        <f>IFERROR(_xlfn.MINIFS($M:$M,$E:$E,$E100,$K:$K,$K100,$M:$M,"&gt;"&amp;$O100),"")</f>
        <v/>
      </c>
      <c r="Q100" s="396">
        <f>IF($P100="","",$P100-$O100)</f>
        <v/>
      </c>
    </row>
    <row r="101" ht="15" customHeight="1" s="231">
      <c r="A101" s="393" t="inlineStr">
        <is>
          <t>20260718</t>
        </is>
      </c>
      <c r="B101" s="393" t="inlineStr">
        <is>
          <t>LEADS GOOGLE</t>
        </is>
      </c>
      <c r="C101" s="393" t="inlineStr">
        <is>
          <t>RABAT</t>
        </is>
      </c>
      <c r="D101" s="393" t="inlineStr">
        <is>
          <t>8859413_IPSSOZA</t>
        </is>
      </c>
      <c r="E101" s="393" t="inlineStr">
        <is>
          <t>SOUOUDZA</t>
        </is>
      </c>
      <c r="F101" s="393" t="inlineStr">
        <is>
          <t>2026-07-18 16:02:38</t>
        </is>
      </c>
      <c r="G101" s="393" t="inlineStr">
        <is>
          <t>2026-07-18 21:00:09</t>
        </is>
      </c>
      <c r="H101" s="394" t="n">
        <v>17851</v>
      </c>
      <c r="I101" s="393" t="inlineStr">
        <is>
          <t>Voice</t>
        </is>
      </c>
      <c r="J101" s="393" t="inlineStr">
        <is>
          <t>OUAQERNO</t>
        </is>
      </c>
      <c r="K101" s="395">
        <f>DATE(VALUE(LEFT(A101,4)),VALUE(MID(A101,5,2)),VALUE(RIGHT(A101,2)))</f>
        <v/>
      </c>
      <c r="L101" s="395">
        <f>DATEVALUE(LEFT(F101,10))</f>
        <v/>
      </c>
      <c r="M101" s="396">
        <f>TIMEVALUE(MID(F101,12,8))</f>
        <v/>
      </c>
      <c r="N101" s="395">
        <f>DATEVALUE(LEFT(G101,10))</f>
        <v/>
      </c>
      <c r="O101" s="396">
        <f>TIMEVALUE(MID(G101,12,8))</f>
        <v/>
      </c>
      <c r="P101" s="396">
        <f>IFERROR(_xlfn.MINIFS($M:$M,$E:$E,$E101,$K:$K,$K101,$M:$M,"&gt;"&amp;$O101),"")</f>
        <v/>
      </c>
      <c r="Q101" s="396">
        <f>IF($P101="","",$P101-$O101)</f>
        <v/>
      </c>
    </row>
    <row r="102" ht="15" customHeight="1" s="231">
      <c r="A102" s="393" t="inlineStr">
        <is>
          <t>20260718</t>
        </is>
      </c>
      <c r="B102" s="393" t="inlineStr">
        <is>
          <t>LEADS GOOGLE</t>
        </is>
      </c>
      <c r="C102" s="393" t="inlineStr">
        <is>
          <t>RABAT</t>
        </is>
      </c>
      <c r="D102" s="393" t="inlineStr">
        <is>
          <t>8858445_IPSYOHT</t>
        </is>
      </c>
      <c r="E102" s="393" t="inlineStr">
        <is>
          <t>YOUSFIHY</t>
        </is>
      </c>
      <c r="F102" s="393" t="inlineStr">
        <is>
          <t>2026-07-18 12:00:37</t>
        </is>
      </c>
      <c r="G102" s="393" t="inlineStr">
        <is>
          <t>2026-07-18 16:00:24</t>
        </is>
      </c>
      <c r="H102" s="394" t="n">
        <v>14387</v>
      </c>
      <c r="I102" s="393" t="inlineStr">
        <is>
          <t>Voice</t>
        </is>
      </c>
      <c r="J102" s="393" t="inlineStr">
        <is>
          <t>RHOUDAOT</t>
        </is>
      </c>
      <c r="K102" s="395">
        <f>DATE(VALUE(LEFT(A102,4)),VALUE(MID(A102,5,2)),VALUE(RIGHT(A102,2)))</f>
        <v/>
      </c>
      <c r="L102" s="395">
        <f>DATEVALUE(LEFT(F102,10))</f>
        <v/>
      </c>
      <c r="M102" s="396">
        <f>TIMEVALUE(MID(F102,12,8))</f>
        <v/>
      </c>
      <c r="N102" s="395">
        <f>DATEVALUE(LEFT(G102,10))</f>
        <v/>
      </c>
      <c r="O102" s="396">
        <f>TIMEVALUE(MID(G102,12,8))</f>
        <v/>
      </c>
      <c r="P102" s="396">
        <f>IFERROR(_xlfn.MINIFS($M:$M,$E:$E,$E102,$K:$K,$K102,$M:$M,"&gt;"&amp;$O102),"")</f>
        <v/>
      </c>
      <c r="Q102" s="396">
        <f>IF($P102="","",$P102-$O102)</f>
        <v/>
      </c>
    </row>
    <row r="103" ht="15" customHeight="1" s="231">
      <c r="A103" s="393" t="inlineStr">
        <is>
          <t>20260718</t>
        </is>
      </c>
      <c r="B103" s="393" t="inlineStr">
        <is>
          <t>LEADS GOOGLE</t>
        </is>
      </c>
      <c r="C103" s="393" t="inlineStr">
        <is>
          <t>RABAT</t>
        </is>
      </c>
      <c r="D103" s="393" t="inlineStr">
        <is>
          <t>8858445_IPSYOHT</t>
        </is>
      </c>
      <c r="E103" s="393" t="inlineStr">
        <is>
          <t>YOUSFIHY</t>
        </is>
      </c>
      <c r="F103" s="393" t="inlineStr">
        <is>
          <t>2026-07-18 16:57:50</t>
        </is>
      </c>
      <c r="G103" s="393" t="inlineStr">
        <is>
          <t>2026-07-18 21:00:19</t>
        </is>
      </c>
      <c r="H103" s="394" t="n">
        <v>14549</v>
      </c>
      <c r="I103" s="393" t="inlineStr">
        <is>
          <t>Voice</t>
        </is>
      </c>
      <c r="J103" s="393" t="inlineStr">
        <is>
          <t>RHOUDAOT</t>
        </is>
      </c>
      <c r="K103" s="395">
        <f>DATE(VALUE(LEFT(A103,4)),VALUE(MID(A103,5,2)),VALUE(RIGHT(A103,2)))</f>
        <v/>
      </c>
      <c r="L103" s="395">
        <f>DATEVALUE(LEFT(F103,10))</f>
        <v/>
      </c>
      <c r="M103" s="396">
        <f>TIMEVALUE(MID(F103,12,8))</f>
        <v/>
      </c>
      <c r="N103" s="395">
        <f>DATEVALUE(LEFT(G103,10))</f>
        <v/>
      </c>
      <c r="O103" s="396">
        <f>TIMEVALUE(MID(G103,12,8))</f>
        <v/>
      </c>
      <c r="P103" s="396">
        <f>IFERROR(_xlfn.MINIFS($M:$M,$E:$E,$E103,$K:$K,$K103,$M:$M,"&gt;"&amp;$O103),"")</f>
        <v/>
      </c>
      <c r="Q103" s="396">
        <f>IF($P103="","",$P103-$O103)</f>
        <v/>
      </c>
    </row>
    <row r="104" ht="15" customHeight="1" s="231">
      <c r="A104" s="393" t="inlineStr">
        <is>
          <t>20260718</t>
        </is>
      </c>
      <c r="B104" s="393" t="inlineStr">
        <is>
          <t>LEADS GOOGLE</t>
        </is>
      </c>
      <c r="C104" s="393" t="inlineStr">
        <is>
          <t>RABAT</t>
        </is>
      </c>
      <c r="D104" s="393" t="inlineStr">
        <is>
          <t>8858438_IPSZOMA</t>
        </is>
      </c>
      <c r="E104" s="393" t="inlineStr">
        <is>
          <t>ZAKIOM</t>
        </is>
      </c>
      <c r="F104" s="393" t="inlineStr">
        <is>
          <t>2026-07-18 09:00:06</t>
        </is>
      </c>
      <c r="G104" s="393" t="inlineStr">
        <is>
          <t>2026-07-18 09:58:38</t>
        </is>
      </c>
      <c r="H104" s="394" t="n">
        <v>3512</v>
      </c>
      <c r="I104" s="393" t="inlineStr">
        <is>
          <t>Voice</t>
        </is>
      </c>
      <c r="J104" s="393" t="inlineStr">
        <is>
          <t>OUAQERNO</t>
        </is>
      </c>
      <c r="K104" s="395">
        <f>DATE(VALUE(LEFT(A104,4)),VALUE(MID(A104,5,2)),VALUE(RIGHT(A104,2)))</f>
        <v/>
      </c>
      <c r="L104" s="395">
        <f>DATEVALUE(LEFT(F104,10))</f>
        <v/>
      </c>
      <c r="M104" s="396">
        <f>TIMEVALUE(MID(F104,12,8))</f>
        <v/>
      </c>
      <c r="N104" s="395">
        <f>DATEVALUE(LEFT(G104,10))</f>
        <v/>
      </c>
      <c r="O104" s="396">
        <f>TIMEVALUE(MID(G104,12,8))</f>
        <v/>
      </c>
      <c r="P104" s="396">
        <f>IFERROR(_xlfn.MINIFS($M:$M,$E:$E,$E104,$K:$K,$K104,$M:$M,"&gt;"&amp;$O104),"")</f>
        <v/>
      </c>
      <c r="Q104" s="396">
        <f>IF($P104="","",$P104-$O104)</f>
        <v/>
      </c>
    </row>
    <row r="105" ht="15" customHeight="1" s="231">
      <c r="A105" s="393" t="inlineStr">
        <is>
          <t>20260718</t>
        </is>
      </c>
      <c r="B105" s="393" t="inlineStr">
        <is>
          <t>LEADS GOOGLE</t>
        </is>
      </c>
      <c r="C105" s="393" t="inlineStr">
        <is>
          <t>RABAT</t>
        </is>
      </c>
      <c r="D105" s="393" t="inlineStr">
        <is>
          <t>8858438_IPSZOMA</t>
        </is>
      </c>
      <c r="E105" s="393" t="inlineStr">
        <is>
          <t>ZAKIOM</t>
        </is>
      </c>
      <c r="F105" s="393" t="inlineStr">
        <is>
          <t>2026-07-18 10:00:07</t>
        </is>
      </c>
      <c r="G105" s="393" t="inlineStr">
        <is>
          <t>2026-07-18 14:00:03</t>
        </is>
      </c>
      <c r="H105" s="394" t="n">
        <v>14396</v>
      </c>
      <c r="I105" s="393" t="inlineStr">
        <is>
          <t>Voice</t>
        </is>
      </c>
      <c r="J105" s="393" t="inlineStr">
        <is>
          <t>OUAQERNO</t>
        </is>
      </c>
      <c r="K105" s="395">
        <f>DATE(VALUE(LEFT(A105,4)),VALUE(MID(A105,5,2)),VALUE(RIGHT(A105,2)))</f>
        <v/>
      </c>
      <c r="L105" s="395">
        <f>DATEVALUE(LEFT(F105,10))</f>
        <v/>
      </c>
      <c r="M105" s="396">
        <f>TIMEVALUE(MID(F105,12,8))</f>
        <v/>
      </c>
      <c r="N105" s="395">
        <f>DATEVALUE(LEFT(G105,10))</f>
        <v/>
      </c>
      <c r="O105" s="396">
        <f>TIMEVALUE(MID(G105,12,8))</f>
        <v/>
      </c>
      <c r="P105" s="396">
        <f>IFERROR(_xlfn.MINIFS($M:$M,$E:$E,$E105,$K:$K,$K105,$M:$M,"&gt;"&amp;$O105),"")</f>
        <v/>
      </c>
      <c r="Q105" s="396">
        <f>IF($P105="","",$P105-$O105)</f>
        <v/>
      </c>
    </row>
    <row r="106" ht="15" customHeight="1" s="231">
      <c r="A106" s="393" t="inlineStr">
        <is>
          <t>20260718</t>
        </is>
      </c>
      <c r="B106" s="393" t="inlineStr">
        <is>
          <t>LEADS GOOGLE</t>
        </is>
      </c>
      <c r="C106" s="393" t="inlineStr">
        <is>
          <t>RABAT</t>
        </is>
      </c>
      <c r="D106" s="393" t="inlineStr">
        <is>
          <t>8858438_IPSZOMA</t>
        </is>
      </c>
      <c r="E106" s="393" t="inlineStr">
        <is>
          <t>ZAKIOM</t>
        </is>
      </c>
      <c r="F106" s="393" t="inlineStr">
        <is>
          <t>2026-07-18 15:00:31</t>
        </is>
      </c>
      <c r="G106" s="393" t="inlineStr">
        <is>
          <t>2026-07-18 19:00:03</t>
        </is>
      </c>
      <c r="H106" s="394" t="n">
        <v>14372</v>
      </c>
      <c r="I106" s="393" t="inlineStr">
        <is>
          <t>Voice</t>
        </is>
      </c>
      <c r="J106" s="393" t="inlineStr">
        <is>
          <t>OUAQERNO</t>
        </is>
      </c>
      <c r="K106" s="395">
        <f>DATE(VALUE(LEFT(A106,4)),VALUE(MID(A106,5,2)),VALUE(RIGHT(A106,2)))</f>
        <v/>
      </c>
      <c r="L106" s="395">
        <f>DATEVALUE(LEFT(F106,10))</f>
        <v/>
      </c>
      <c r="M106" s="396">
        <f>TIMEVALUE(MID(F106,12,8))</f>
        <v/>
      </c>
      <c r="N106" s="395">
        <f>DATEVALUE(LEFT(G106,10))</f>
        <v/>
      </c>
      <c r="O106" s="396">
        <f>TIMEVALUE(MID(G106,12,8))</f>
        <v/>
      </c>
      <c r="P106" s="396">
        <f>IFERROR(_xlfn.MINIFS($M:$M,$E:$E,$E106,$K:$K,$K106,$M:$M,"&gt;"&amp;$O106),"")</f>
        <v/>
      </c>
      <c r="Q106" s="396">
        <f>IF($P106="","",$P106-$O106)</f>
        <v/>
      </c>
    </row>
    <row r="107" ht="15" customHeight="1" s="231">
      <c r="A107" s="393" t="inlineStr">
        <is>
          <t>20260718</t>
        </is>
      </c>
      <c r="B107" s="393" t="inlineStr">
        <is>
          <t>LEADS GOOGLE</t>
        </is>
      </c>
      <c r="C107" s="393" t="inlineStr">
        <is>
          <t>RABAT</t>
        </is>
      </c>
      <c r="D107" s="393" t="inlineStr">
        <is>
          <t>8858354_IPSZHRN</t>
        </is>
      </c>
      <c r="E107" s="393" t="inlineStr">
        <is>
          <t>ZOHRIRA</t>
        </is>
      </c>
      <c r="F107" s="393" t="inlineStr">
        <is>
          <t>2026-07-18 08:59:42</t>
        </is>
      </c>
      <c r="G107" s="393" t="inlineStr">
        <is>
          <t>2026-07-18 13:00:09</t>
        </is>
      </c>
      <c r="H107" s="394" t="n">
        <v>14427</v>
      </c>
      <c r="I107" s="393" t="inlineStr">
        <is>
          <t>Voice</t>
        </is>
      </c>
      <c r="J107" s="393" t="inlineStr">
        <is>
          <t>RHOUDAOT</t>
        </is>
      </c>
      <c r="K107" s="395">
        <f>DATE(VALUE(LEFT(A107,4)),VALUE(MID(A107,5,2)),VALUE(RIGHT(A107,2)))</f>
        <v/>
      </c>
      <c r="L107" s="395">
        <f>DATEVALUE(LEFT(F107,10))</f>
        <v/>
      </c>
      <c r="M107" s="396">
        <f>TIMEVALUE(MID(F107,12,8))</f>
        <v/>
      </c>
      <c r="N107" s="395">
        <f>DATEVALUE(LEFT(G107,10))</f>
        <v/>
      </c>
      <c r="O107" s="396">
        <f>TIMEVALUE(MID(G107,12,8))</f>
        <v/>
      </c>
      <c r="P107" s="396">
        <f>IFERROR(_xlfn.MINIFS($M:$M,$E:$E,$E107,$K:$K,$K107,$M:$M,"&gt;"&amp;$O107),"")</f>
        <v/>
      </c>
      <c r="Q107" s="396">
        <f>IF($P107="","",$P107-$O107)</f>
        <v/>
      </c>
    </row>
    <row r="108" ht="15" customHeight="1" s="231">
      <c r="A108" s="393" t="inlineStr">
        <is>
          <t>20260718</t>
        </is>
      </c>
      <c r="B108" s="393" t="inlineStr">
        <is>
          <t>LEADS GOOGLE</t>
        </is>
      </c>
      <c r="C108" s="393" t="inlineStr">
        <is>
          <t>RABAT</t>
        </is>
      </c>
      <c r="D108" s="393" t="inlineStr">
        <is>
          <t>8858354_IPSZHRN</t>
        </is>
      </c>
      <c r="E108" s="393" t="inlineStr">
        <is>
          <t>ZOHRIRA</t>
        </is>
      </c>
      <c r="F108" s="393" t="inlineStr">
        <is>
          <t>2026-07-18 13:59:47</t>
        </is>
      </c>
      <c r="G108" s="393" t="inlineStr">
        <is>
          <t>2026-07-18 18:00:05</t>
        </is>
      </c>
      <c r="H108" s="394" t="n">
        <v>14418</v>
      </c>
      <c r="I108" s="393" t="inlineStr">
        <is>
          <t>Voice</t>
        </is>
      </c>
      <c r="J108" s="393" t="inlineStr">
        <is>
          <t>RHOUDAOT</t>
        </is>
      </c>
      <c r="K108" s="395">
        <f>DATE(VALUE(LEFT(A108,4)),VALUE(MID(A108,5,2)),VALUE(RIGHT(A108,2)))</f>
        <v/>
      </c>
      <c r="L108" s="395">
        <f>DATEVALUE(LEFT(F108,10))</f>
        <v/>
      </c>
      <c r="M108" s="396">
        <f>TIMEVALUE(MID(F108,12,8))</f>
        <v/>
      </c>
      <c r="N108" s="395">
        <f>DATEVALUE(LEFT(G108,10))</f>
        <v/>
      </c>
      <c r="O108" s="396">
        <f>TIMEVALUE(MID(G108,12,8))</f>
        <v/>
      </c>
      <c r="P108" s="396">
        <f>IFERROR(_xlfn.MINIFS($M:$M,$E:$E,$E108,$K:$K,$K108,$M:$M,"&gt;"&amp;$O108),"")</f>
        <v/>
      </c>
      <c r="Q108" s="396">
        <f>IF($P108="","",$P108-$O108)</f>
        <v/>
      </c>
    </row>
    <row r="109" ht="15" customHeight="1" s="231">
      <c r="A109" s="393" t="inlineStr">
        <is>
          <t>20260719</t>
        </is>
      </c>
      <c r="B109" s="393" t="inlineStr">
        <is>
          <t>LEADS GOOGLE</t>
        </is>
      </c>
      <c r="C109" s="393" t="inlineStr">
        <is>
          <t>RABAT</t>
        </is>
      </c>
      <c r="D109" s="393" t="inlineStr">
        <is>
          <t>8858790_IPSQSVC</t>
        </is>
      </c>
      <c r="E109" s="393" t="inlineStr">
        <is>
          <t>BENSARAN</t>
        </is>
      </c>
      <c r="F109" s="393" t="inlineStr">
        <is>
          <t>2026-07-19 09:05:34</t>
        </is>
      </c>
      <c r="G109" s="393" t="inlineStr">
        <is>
          <t>2026-07-19 13:00:09</t>
        </is>
      </c>
      <c r="H109" s="394" t="n">
        <v>14075</v>
      </c>
      <c r="I109" s="393" t="inlineStr">
        <is>
          <t>Voice</t>
        </is>
      </c>
      <c r="J109" s="393" t="inlineStr">
        <is>
          <t>HAOUACIK</t>
        </is>
      </c>
      <c r="K109" s="395">
        <f>DATE(VALUE(LEFT(A109,4)),VALUE(MID(A109,5,2)),VALUE(RIGHT(A109,2)))</f>
        <v/>
      </c>
      <c r="L109" s="395">
        <f>DATEVALUE(LEFT(F109,10))</f>
        <v/>
      </c>
      <c r="M109" s="396">
        <f>TIMEVALUE(MID(F109,12,8))</f>
        <v/>
      </c>
      <c r="N109" s="395">
        <f>DATEVALUE(LEFT(G109,10))</f>
        <v/>
      </c>
      <c r="O109" s="396">
        <f>TIMEVALUE(MID(G109,12,8))</f>
        <v/>
      </c>
      <c r="P109" s="396">
        <f>IFERROR(_xlfn.MINIFS($M:$M,$E:$E,$E109,$K:$K,$K109,$M:$M,"&gt;"&amp;$O109),"")</f>
        <v/>
      </c>
      <c r="Q109" s="396">
        <f>IF($P109="","",$P109-$O109)</f>
        <v/>
      </c>
    </row>
    <row r="110" ht="15" customHeight="1" s="231">
      <c r="A110" s="393" t="inlineStr">
        <is>
          <t>20260719</t>
        </is>
      </c>
      <c r="B110" s="393" t="inlineStr">
        <is>
          <t>LEADS GOOGLE</t>
        </is>
      </c>
      <c r="C110" s="393" t="inlineStr">
        <is>
          <t>RABAT</t>
        </is>
      </c>
      <c r="D110" s="393" t="inlineStr">
        <is>
          <t>8858790_IPSQSVC</t>
        </is>
      </c>
      <c r="E110" s="393" t="inlineStr">
        <is>
          <t>BENSARAN</t>
        </is>
      </c>
      <c r="F110" s="393" t="inlineStr">
        <is>
          <t>2026-07-19 13:59:21</t>
        </is>
      </c>
      <c r="G110" s="393" t="inlineStr">
        <is>
          <t>2026-07-19 15:58:27</t>
        </is>
      </c>
      <c r="H110" s="394" t="n">
        <v>7146</v>
      </c>
      <c r="I110" s="393" t="inlineStr">
        <is>
          <t>Voice</t>
        </is>
      </c>
      <c r="J110" s="393" t="inlineStr">
        <is>
          <t>HAOUACIK</t>
        </is>
      </c>
      <c r="K110" s="395">
        <f>DATE(VALUE(LEFT(A110,4)),VALUE(MID(A110,5,2)),VALUE(RIGHT(A110,2)))</f>
        <v/>
      </c>
      <c r="L110" s="395">
        <f>DATEVALUE(LEFT(F110,10))</f>
        <v/>
      </c>
      <c r="M110" s="396">
        <f>TIMEVALUE(MID(F110,12,8))</f>
        <v/>
      </c>
      <c r="N110" s="395">
        <f>DATEVALUE(LEFT(G110,10))</f>
        <v/>
      </c>
      <c r="O110" s="396">
        <f>TIMEVALUE(MID(G110,12,8))</f>
        <v/>
      </c>
      <c r="P110" s="396">
        <f>IFERROR(_xlfn.MINIFS($M:$M,$E:$E,$E110,$K:$K,$K110,$M:$M,"&gt;"&amp;$O110),"")</f>
        <v/>
      </c>
      <c r="Q110" s="396">
        <f>IF($P110="","",$P110-$O110)</f>
        <v/>
      </c>
    </row>
    <row r="111" ht="15" customHeight="1" s="231">
      <c r="A111" s="393" t="inlineStr">
        <is>
          <t>20260719</t>
        </is>
      </c>
      <c r="B111" s="393" t="inlineStr">
        <is>
          <t>LEADS GOOGLE</t>
        </is>
      </c>
      <c r="C111" s="393" t="inlineStr">
        <is>
          <t>RABAT</t>
        </is>
      </c>
      <c r="D111" s="393" t="inlineStr">
        <is>
          <t>8858790_IPSQSVC</t>
        </is>
      </c>
      <c r="E111" s="393" t="inlineStr">
        <is>
          <t>BENSARAN</t>
        </is>
      </c>
      <c r="F111" s="393" t="inlineStr">
        <is>
          <t>2026-07-19 15:59:19</t>
        </is>
      </c>
      <c r="G111" s="393" t="inlineStr">
        <is>
          <t>2026-07-19 17:00:13</t>
        </is>
      </c>
      <c r="H111" s="394" t="n">
        <v>3654</v>
      </c>
      <c r="I111" s="393" t="inlineStr">
        <is>
          <t>Voice</t>
        </is>
      </c>
      <c r="J111" s="393" t="inlineStr">
        <is>
          <t>HAOUACIK</t>
        </is>
      </c>
      <c r="K111" s="395">
        <f>DATE(VALUE(LEFT(A111,4)),VALUE(MID(A111,5,2)),VALUE(RIGHT(A111,2)))</f>
        <v/>
      </c>
      <c r="L111" s="395">
        <f>DATEVALUE(LEFT(F111,10))</f>
        <v/>
      </c>
      <c r="M111" s="396">
        <f>TIMEVALUE(MID(F111,12,8))</f>
        <v/>
      </c>
      <c r="N111" s="395">
        <f>DATEVALUE(LEFT(G111,10))</f>
        <v/>
      </c>
      <c r="O111" s="396">
        <f>TIMEVALUE(MID(G111,12,8))</f>
        <v/>
      </c>
      <c r="P111" s="396">
        <f>IFERROR(_xlfn.MINIFS($M:$M,$E:$E,$E111,$K:$K,$K111,$M:$M,"&gt;"&amp;$O111),"")</f>
        <v/>
      </c>
      <c r="Q111" s="396">
        <f>IF($P111="","",$P111-$O111)</f>
        <v/>
      </c>
    </row>
    <row r="112" ht="15" customHeight="1" s="231">
      <c r="A112" s="393" t="inlineStr">
        <is>
          <t>20260719</t>
        </is>
      </c>
      <c r="B112" s="393" t="inlineStr">
        <is>
          <t>LEADS GOOGLE</t>
        </is>
      </c>
      <c r="C112" s="393" t="inlineStr">
        <is>
          <t>RABAT</t>
        </is>
      </c>
      <c r="D112" s="393" t="inlineStr">
        <is>
          <t>8859309_IPSBLSL</t>
        </is>
      </c>
      <c r="E112" s="393" t="inlineStr">
        <is>
          <t>BOULHRSA</t>
        </is>
      </c>
      <c r="F112" s="393" t="inlineStr">
        <is>
          <t>2026-07-19 11:56:50</t>
        </is>
      </c>
      <c r="G112" s="393" t="inlineStr">
        <is>
          <t>2026-07-19 11:56:52</t>
        </is>
      </c>
      <c r="H112" s="394" t="n">
        <v>2</v>
      </c>
      <c r="I112" s="393" t="inlineStr">
        <is>
          <t>Voice</t>
        </is>
      </c>
      <c r="J112" s="393" t="inlineStr">
        <is>
          <t>HAOUACIK</t>
        </is>
      </c>
      <c r="K112" s="395">
        <f>DATE(VALUE(LEFT(A112,4)),VALUE(MID(A112,5,2)),VALUE(RIGHT(A112,2)))</f>
        <v/>
      </c>
      <c r="L112" s="395">
        <f>DATEVALUE(LEFT(F112,10))</f>
        <v/>
      </c>
      <c r="M112" s="396">
        <f>TIMEVALUE(MID(F112,12,8))</f>
        <v/>
      </c>
      <c r="N112" s="395">
        <f>DATEVALUE(LEFT(G112,10))</f>
        <v/>
      </c>
      <c r="O112" s="396">
        <f>TIMEVALUE(MID(G112,12,8))</f>
        <v/>
      </c>
      <c r="P112" s="396">
        <f>IFERROR(_xlfn.MINIFS($M:$M,$E:$E,$E112,$K:$K,$K112,$M:$M,"&gt;"&amp;$O112),"")</f>
        <v/>
      </c>
      <c r="Q112" s="396">
        <f>IF($P112="","",$P112-$O112)</f>
        <v/>
      </c>
    </row>
    <row r="113" ht="15" customHeight="1" s="231">
      <c r="A113" s="393" t="inlineStr">
        <is>
          <t>20260719</t>
        </is>
      </c>
      <c r="B113" s="393" t="inlineStr">
        <is>
          <t>LEADS GOOGLE</t>
        </is>
      </c>
      <c r="C113" s="393" t="inlineStr">
        <is>
          <t>RABAT</t>
        </is>
      </c>
      <c r="D113" s="393" t="inlineStr">
        <is>
          <t>8859309_IPSBLSL</t>
        </is>
      </c>
      <c r="E113" s="393" t="inlineStr">
        <is>
          <t>BOULHRSA</t>
        </is>
      </c>
      <c r="F113" s="393" t="inlineStr">
        <is>
          <t>2026-07-19 11:59:33</t>
        </is>
      </c>
      <c r="G113" s="393" t="inlineStr">
        <is>
          <t>2026-07-19 15:01:18</t>
        </is>
      </c>
      <c r="H113" s="394" t="n">
        <v>10905</v>
      </c>
      <c r="I113" s="393" t="inlineStr">
        <is>
          <t>Voice</t>
        </is>
      </c>
      <c r="J113" s="393" t="inlineStr">
        <is>
          <t>HAOUACIK</t>
        </is>
      </c>
      <c r="K113" s="395">
        <f>DATE(VALUE(LEFT(A113,4)),VALUE(MID(A113,5,2)),VALUE(RIGHT(A113,2)))</f>
        <v/>
      </c>
      <c r="L113" s="395">
        <f>DATEVALUE(LEFT(F113,10))</f>
        <v/>
      </c>
      <c r="M113" s="396">
        <f>TIMEVALUE(MID(F113,12,8))</f>
        <v/>
      </c>
      <c r="N113" s="395">
        <f>DATEVALUE(LEFT(G113,10))</f>
        <v/>
      </c>
      <c r="O113" s="396">
        <f>TIMEVALUE(MID(G113,12,8))</f>
        <v/>
      </c>
      <c r="P113" s="396">
        <f>IFERROR(_xlfn.MINIFS($M:$M,$E:$E,$E113,$K:$K,$K113,$M:$M,"&gt;"&amp;$O113),"")</f>
        <v/>
      </c>
      <c r="Q113" s="396">
        <f>IF($P113="","",$P113-$O113)</f>
        <v/>
      </c>
    </row>
    <row r="114" ht="15" customHeight="1" s="231">
      <c r="A114" s="393" t="inlineStr">
        <is>
          <t>20260719</t>
        </is>
      </c>
      <c r="B114" s="393" t="inlineStr">
        <is>
          <t>LEADS GOOGLE</t>
        </is>
      </c>
      <c r="C114" s="393" t="inlineStr">
        <is>
          <t>RABAT</t>
        </is>
      </c>
      <c r="D114" s="393" t="inlineStr">
        <is>
          <t>8859309_IPSBLSL</t>
        </is>
      </c>
      <c r="E114" s="393" t="inlineStr">
        <is>
          <t>BOULHRSA</t>
        </is>
      </c>
      <c r="F114" s="393" t="inlineStr">
        <is>
          <t>2026-07-19 15:56:38</t>
        </is>
      </c>
      <c r="G114" s="393" t="inlineStr">
        <is>
          <t>2026-07-19 15:56:42</t>
        </is>
      </c>
      <c r="H114" s="394" t="n">
        <v>4</v>
      </c>
      <c r="I114" s="393" t="inlineStr">
        <is>
          <t>Voice</t>
        </is>
      </c>
      <c r="J114" s="393" t="inlineStr">
        <is>
          <t>HAOUACIK</t>
        </is>
      </c>
      <c r="K114" s="395">
        <f>DATE(VALUE(LEFT(A114,4)),VALUE(MID(A114,5,2)),VALUE(RIGHT(A114,2)))</f>
        <v/>
      </c>
      <c r="L114" s="395">
        <f>DATEVALUE(LEFT(F114,10))</f>
        <v/>
      </c>
      <c r="M114" s="396">
        <f>TIMEVALUE(MID(F114,12,8))</f>
        <v/>
      </c>
      <c r="N114" s="395">
        <f>DATEVALUE(LEFT(G114,10))</f>
        <v/>
      </c>
      <c r="O114" s="396">
        <f>TIMEVALUE(MID(G114,12,8))</f>
        <v/>
      </c>
      <c r="P114" s="396">
        <f>IFERROR(_xlfn.MINIFS($M:$M,$E:$E,$E114,$K:$K,$K114,$M:$M,"&gt;"&amp;$O114),"")</f>
        <v/>
      </c>
      <c r="Q114" s="396">
        <f>IF($P114="","",$P114-$O114)</f>
        <v/>
      </c>
    </row>
    <row r="115" ht="15" customHeight="1" s="231">
      <c r="A115" s="393" t="inlineStr">
        <is>
          <t>20260719</t>
        </is>
      </c>
      <c r="B115" s="393" t="inlineStr">
        <is>
          <t>LEADS GOOGLE</t>
        </is>
      </c>
      <c r="C115" s="393" t="inlineStr">
        <is>
          <t>RABAT</t>
        </is>
      </c>
      <c r="D115" s="393" t="inlineStr">
        <is>
          <t>8859309_IPSBLSL</t>
        </is>
      </c>
      <c r="E115" s="393" t="inlineStr">
        <is>
          <t>BOULHRSA</t>
        </is>
      </c>
      <c r="F115" s="393" t="inlineStr">
        <is>
          <t>2026-07-19 15:59:44</t>
        </is>
      </c>
      <c r="G115" s="393" t="inlineStr">
        <is>
          <t>2026-07-19 16:29:47</t>
        </is>
      </c>
      <c r="H115" s="394" t="n">
        <v>1803</v>
      </c>
      <c r="I115" s="393" t="inlineStr">
        <is>
          <t>Voice</t>
        </is>
      </c>
      <c r="J115" s="393" t="inlineStr">
        <is>
          <t>HAOUACIK</t>
        </is>
      </c>
      <c r="K115" s="395">
        <f>DATE(VALUE(LEFT(A115,4)),VALUE(MID(A115,5,2)),VALUE(RIGHT(A115,2)))</f>
        <v/>
      </c>
      <c r="L115" s="395">
        <f>DATEVALUE(LEFT(F115,10))</f>
        <v/>
      </c>
      <c r="M115" s="396">
        <f>TIMEVALUE(MID(F115,12,8))</f>
        <v/>
      </c>
      <c r="N115" s="395">
        <f>DATEVALUE(LEFT(G115,10))</f>
        <v/>
      </c>
      <c r="O115" s="396">
        <f>TIMEVALUE(MID(G115,12,8))</f>
        <v/>
      </c>
      <c r="P115" s="396">
        <f>IFERROR(_xlfn.MINIFS($M:$M,$E:$E,$E115,$K:$K,$K115,$M:$M,"&gt;"&amp;$O115),"")</f>
        <v/>
      </c>
      <c r="Q115" s="396">
        <f>IF($P115="","",$P115-$O115)</f>
        <v/>
      </c>
    </row>
    <row r="116" ht="15" customHeight="1" s="231">
      <c r="A116" s="393" t="inlineStr">
        <is>
          <t>20260719</t>
        </is>
      </c>
      <c r="B116" s="393" t="inlineStr">
        <is>
          <t>LEADS GOOGLE</t>
        </is>
      </c>
      <c r="C116" s="393" t="inlineStr">
        <is>
          <t>RABAT</t>
        </is>
      </c>
      <c r="D116" s="393" t="inlineStr">
        <is>
          <t>8859309_IPSBLSL</t>
        </is>
      </c>
      <c r="E116" s="393" t="inlineStr">
        <is>
          <t>BOULHRSA</t>
        </is>
      </c>
      <c r="F116" s="393" t="inlineStr">
        <is>
          <t>2026-07-19 16:30:48</t>
        </is>
      </c>
      <c r="G116" s="393" t="inlineStr">
        <is>
          <t>2026-07-19 16:42:14</t>
        </is>
      </c>
      <c r="H116" s="394" t="n">
        <v>686</v>
      </c>
      <c r="I116" s="393" t="inlineStr">
        <is>
          <t>Voice</t>
        </is>
      </c>
      <c r="J116" s="393" t="inlineStr">
        <is>
          <t>HAOUACIK</t>
        </is>
      </c>
      <c r="K116" s="395">
        <f>DATE(VALUE(LEFT(A116,4)),VALUE(MID(A116,5,2)),VALUE(RIGHT(A116,2)))</f>
        <v/>
      </c>
      <c r="L116" s="395">
        <f>DATEVALUE(LEFT(F116,10))</f>
        <v/>
      </c>
      <c r="M116" s="396">
        <f>TIMEVALUE(MID(F116,12,8))</f>
        <v/>
      </c>
      <c r="N116" s="395">
        <f>DATEVALUE(LEFT(G116,10))</f>
        <v/>
      </c>
      <c r="O116" s="396">
        <f>TIMEVALUE(MID(G116,12,8))</f>
        <v/>
      </c>
      <c r="P116" s="396">
        <f>IFERROR(_xlfn.MINIFS($M:$M,$E:$E,$E116,$K:$K,$K116,$M:$M,"&gt;"&amp;$O116),"")</f>
        <v/>
      </c>
      <c r="Q116" s="396">
        <f>IF($P116="","",$P116-$O116)</f>
        <v/>
      </c>
    </row>
    <row r="117" ht="15" customHeight="1" s="231">
      <c r="A117" s="393" t="inlineStr">
        <is>
          <t>20260719</t>
        </is>
      </c>
      <c r="B117" s="393" t="inlineStr">
        <is>
          <t>LEADS GOOGLE</t>
        </is>
      </c>
      <c r="C117" s="393" t="inlineStr">
        <is>
          <t>RABAT</t>
        </is>
      </c>
      <c r="D117" s="393" t="inlineStr">
        <is>
          <t>8859309_IPSBLSL</t>
        </is>
      </c>
      <c r="E117" s="393" t="inlineStr">
        <is>
          <t>BOULHRSA</t>
        </is>
      </c>
      <c r="F117" s="393" t="inlineStr">
        <is>
          <t>2026-07-19 16:49:46</t>
        </is>
      </c>
      <c r="G117" s="393" t="inlineStr">
        <is>
          <t>2026-07-19 19:05:53</t>
        </is>
      </c>
      <c r="H117" s="394" t="n">
        <v>8167</v>
      </c>
      <c r="I117" s="393" t="inlineStr">
        <is>
          <t>Voice</t>
        </is>
      </c>
      <c r="J117" s="393" t="inlineStr">
        <is>
          <t>HAOUACIK</t>
        </is>
      </c>
      <c r="K117" s="395">
        <f>DATE(VALUE(LEFT(A117,4)),VALUE(MID(A117,5,2)),VALUE(RIGHT(A117,2)))</f>
        <v/>
      </c>
      <c r="L117" s="395">
        <f>DATEVALUE(LEFT(F117,10))</f>
        <v/>
      </c>
      <c r="M117" s="396">
        <f>TIMEVALUE(MID(F117,12,8))</f>
        <v/>
      </c>
      <c r="N117" s="395">
        <f>DATEVALUE(LEFT(G117,10))</f>
        <v/>
      </c>
      <c r="O117" s="396">
        <f>TIMEVALUE(MID(G117,12,8))</f>
        <v/>
      </c>
      <c r="P117" s="396">
        <f>IFERROR(_xlfn.MINIFS($M:$M,$E:$E,$E117,$K:$K,$K117,$M:$M,"&gt;"&amp;$O117),"")</f>
        <v/>
      </c>
      <c r="Q117" s="396">
        <f>IF($P117="","",$P117-$O117)</f>
        <v/>
      </c>
    </row>
    <row r="118" ht="15" customHeight="1" s="231">
      <c r="A118" s="393" t="inlineStr">
        <is>
          <t>20260719</t>
        </is>
      </c>
      <c r="B118" s="393" t="inlineStr">
        <is>
          <t>LEADS GOOGLE</t>
        </is>
      </c>
      <c r="C118" s="393" t="inlineStr">
        <is>
          <t>RABAT</t>
        </is>
      </c>
      <c r="D118" s="393" t="inlineStr">
        <is>
          <t>8859309_IPSBLSL</t>
        </is>
      </c>
      <c r="E118" s="393" t="inlineStr">
        <is>
          <t>BOULHRSA</t>
        </is>
      </c>
      <c r="F118" s="393" t="inlineStr">
        <is>
          <t>2026-07-19 19:10:49</t>
        </is>
      </c>
      <c r="G118" s="393" t="inlineStr">
        <is>
          <t>2026-07-19 21:00:21</t>
        </is>
      </c>
      <c r="H118" s="394" t="n">
        <v>6572</v>
      </c>
      <c r="I118" s="393" t="inlineStr">
        <is>
          <t>Voice</t>
        </is>
      </c>
      <c r="J118" s="393" t="inlineStr">
        <is>
          <t>HAOUACIK</t>
        </is>
      </c>
      <c r="K118" s="395">
        <f>DATE(VALUE(LEFT(A118,4)),VALUE(MID(A118,5,2)),VALUE(RIGHT(A118,2)))</f>
        <v/>
      </c>
      <c r="L118" s="395">
        <f>DATEVALUE(LEFT(F118,10))</f>
        <v/>
      </c>
      <c r="M118" s="396">
        <f>TIMEVALUE(MID(F118,12,8))</f>
        <v/>
      </c>
      <c r="N118" s="395">
        <f>DATEVALUE(LEFT(G118,10))</f>
        <v/>
      </c>
      <c r="O118" s="396">
        <f>TIMEVALUE(MID(G118,12,8))</f>
        <v/>
      </c>
      <c r="P118" s="396">
        <f>IFERROR(_xlfn.MINIFS($M:$M,$E:$E,$E118,$K:$K,$K118,$M:$M,"&gt;"&amp;$O118),"")</f>
        <v/>
      </c>
      <c r="Q118" s="396">
        <f>IF($P118="","",$P118-$O118)</f>
        <v/>
      </c>
    </row>
    <row r="119" ht="15" customHeight="1" s="231">
      <c r="A119" s="393" t="inlineStr">
        <is>
          <t>20260719</t>
        </is>
      </c>
      <c r="B119" s="393" t="inlineStr">
        <is>
          <t>LEADS GOOGLE</t>
        </is>
      </c>
      <c r="C119" s="393" t="inlineStr">
        <is>
          <t>RABAT</t>
        </is>
      </c>
      <c r="D119" s="393" t="inlineStr">
        <is>
          <t>8858165_IPSELSX</t>
        </is>
      </c>
      <c r="E119" s="393" t="inlineStr">
        <is>
          <t>ELHOUJSO</t>
        </is>
      </c>
      <c r="F119" s="393" t="inlineStr">
        <is>
          <t>2026-07-19 08:01:01</t>
        </is>
      </c>
      <c r="G119" s="393" t="inlineStr">
        <is>
          <t>2026-07-19 08:16:16</t>
        </is>
      </c>
      <c r="H119" s="394" t="n">
        <v>915</v>
      </c>
      <c r="I119" s="393" t="inlineStr">
        <is>
          <t>Voice</t>
        </is>
      </c>
      <c r="J119" s="393" t="inlineStr">
        <is>
          <t>OUAQERNO</t>
        </is>
      </c>
      <c r="K119" s="395">
        <f>DATE(VALUE(LEFT(A119,4)),VALUE(MID(A119,5,2)),VALUE(RIGHT(A119,2)))</f>
        <v/>
      </c>
      <c r="L119" s="395">
        <f>DATEVALUE(LEFT(F119,10))</f>
        <v/>
      </c>
      <c r="M119" s="396">
        <f>TIMEVALUE(MID(F119,12,8))</f>
        <v/>
      </c>
      <c r="N119" s="395">
        <f>DATEVALUE(LEFT(G119,10))</f>
        <v/>
      </c>
      <c r="O119" s="396">
        <f>TIMEVALUE(MID(G119,12,8))</f>
        <v/>
      </c>
      <c r="P119" s="396">
        <f>IFERROR(_xlfn.MINIFS($M:$M,$E:$E,$E119,$K:$K,$K119,$M:$M,"&gt;"&amp;$O119),"")</f>
        <v/>
      </c>
      <c r="Q119" s="396">
        <f>IF($P119="","",$P119-$O119)</f>
        <v/>
      </c>
    </row>
    <row r="120" ht="15" customHeight="1" s="231">
      <c r="A120" s="393" t="inlineStr">
        <is>
          <t>20260719</t>
        </is>
      </c>
      <c r="B120" s="393" t="inlineStr">
        <is>
          <t>LEADS GOOGLE</t>
        </is>
      </c>
      <c r="C120" s="393" t="inlineStr">
        <is>
          <t>RABAT</t>
        </is>
      </c>
      <c r="D120" s="393" t="inlineStr">
        <is>
          <t>8858165_IPSELSX</t>
        </is>
      </c>
      <c r="E120" s="393" t="inlineStr">
        <is>
          <t>ELHOUJSO</t>
        </is>
      </c>
      <c r="F120" s="393" t="inlineStr">
        <is>
          <t>2026-07-19 08:16:35</t>
        </is>
      </c>
      <c r="G120" s="393" t="inlineStr">
        <is>
          <t>2026-07-19 14:00:32</t>
        </is>
      </c>
      <c r="H120" s="394" t="n">
        <v>20637</v>
      </c>
      <c r="I120" s="393" t="inlineStr">
        <is>
          <t>Voice</t>
        </is>
      </c>
      <c r="J120" s="393" t="inlineStr">
        <is>
          <t>OUAQERNO</t>
        </is>
      </c>
      <c r="K120" s="395">
        <f>DATE(VALUE(LEFT(A120,4)),VALUE(MID(A120,5,2)),VALUE(RIGHT(A120,2)))</f>
        <v/>
      </c>
      <c r="L120" s="395">
        <f>DATEVALUE(LEFT(F120,10))</f>
        <v/>
      </c>
      <c r="M120" s="396">
        <f>TIMEVALUE(MID(F120,12,8))</f>
        <v/>
      </c>
      <c r="N120" s="395">
        <f>DATEVALUE(LEFT(G120,10))</f>
        <v/>
      </c>
      <c r="O120" s="396">
        <f>TIMEVALUE(MID(G120,12,8))</f>
        <v/>
      </c>
      <c r="P120" s="396">
        <f>IFERROR(_xlfn.MINIFS($M:$M,$E:$E,$E120,$K:$K,$K120,$M:$M,"&gt;"&amp;$O120),"")</f>
        <v/>
      </c>
      <c r="Q120" s="396">
        <f>IF($P120="","",$P120-$O120)</f>
        <v/>
      </c>
    </row>
    <row r="121" ht="15" customHeight="1" s="231">
      <c r="A121" s="393" t="inlineStr">
        <is>
          <t>20260719</t>
        </is>
      </c>
      <c r="B121" s="393" t="inlineStr">
        <is>
          <t>LEADS GOOGLE</t>
        </is>
      </c>
      <c r="C121" s="393" t="inlineStr">
        <is>
          <t>RABAT</t>
        </is>
      </c>
      <c r="D121" s="393" t="inlineStr">
        <is>
          <t>8858165_IPSELSX</t>
        </is>
      </c>
      <c r="E121" s="393" t="inlineStr">
        <is>
          <t>ELHOUJSO</t>
        </is>
      </c>
      <c r="F121" s="393" t="inlineStr">
        <is>
          <t>2026-07-19 14:01:11</t>
        </is>
      </c>
      <c r="G121" s="393" t="inlineStr">
        <is>
          <t>2026-07-19 14:50:19</t>
        </is>
      </c>
      <c r="H121" s="394" t="n">
        <v>2948</v>
      </c>
      <c r="I121" s="393" t="inlineStr">
        <is>
          <t>Voice</t>
        </is>
      </c>
      <c r="J121" s="393" t="inlineStr">
        <is>
          <t>OUAQERNO</t>
        </is>
      </c>
      <c r="K121" s="395">
        <f>DATE(VALUE(LEFT(A121,4)),VALUE(MID(A121,5,2)),VALUE(RIGHT(A121,2)))</f>
        <v/>
      </c>
      <c r="L121" s="395">
        <f>DATEVALUE(LEFT(F121,10))</f>
        <v/>
      </c>
      <c r="M121" s="396">
        <f>TIMEVALUE(MID(F121,12,8))</f>
        <v/>
      </c>
      <c r="N121" s="395">
        <f>DATEVALUE(LEFT(G121,10))</f>
        <v/>
      </c>
      <c r="O121" s="396">
        <f>TIMEVALUE(MID(G121,12,8))</f>
        <v/>
      </c>
      <c r="P121" s="396">
        <f>IFERROR(_xlfn.MINIFS($M:$M,$E:$E,$E121,$K:$K,$K121,$M:$M,"&gt;"&amp;$O121),"")</f>
        <v/>
      </c>
      <c r="Q121" s="396">
        <f>IF($P121="","",$P121-$O121)</f>
        <v/>
      </c>
    </row>
    <row r="122" ht="15" customHeight="1" s="231">
      <c r="A122" s="393" t="inlineStr">
        <is>
          <t>20260719</t>
        </is>
      </c>
      <c r="B122" s="393" t="inlineStr">
        <is>
          <t>LEADS GOOGLE</t>
        </is>
      </c>
      <c r="C122" s="393" t="inlineStr">
        <is>
          <t>RABAT</t>
        </is>
      </c>
      <c r="D122" s="393" t="inlineStr">
        <is>
          <t>8858165_IPSELSX</t>
        </is>
      </c>
      <c r="E122" s="393" t="inlineStr">
        <is>
          <t>ELHOUJSO</t>
        </is>
      </c>
      <c r="F122" s="393" t="inlineStr">
        <is>
          <t>2026-07-19 14:50:27</t>
        </is>
      </c>
      <c r="G122" s="393" t="inlineStr">
        <is>
          <t>2026-07-19 14:51:02</t>
        </is>
      </c>
      <c r="H122" s="394" t="n">
        <v>35</v>
      </c>
      <c r="I122" s="393" t="inlineStr">
        <is>
          <t>Voice</t>
        </is>
      </c>
      <c r="J122" s="393" t="inlineStr">
        <is>
          <t>OUAQERNO</t>
        </is>
      </c>
      <c r="K122" s="395">
        <f>DATE(VALUE(LEFT(A122,4)),VALUE(MID(A122,5,2)),VALUE(RIGHT(A122,2)))</f>
        <v/>
      </c>
      <c r="L122" s="395">
        <f>DATEVALUE(LEFT(F122,10))</f>
        <v/>
      </c>
      <c r="M122" s="396">
        <f>TIMEVALUE(MID(F122,12,8))</f>
        <v/>
      </c>
      <c r="N122" s="395">
        <f>DATEVALUE(LEFT(G122,10))</f>
        <v/>
      </c>
      <c r="O122" s="396">
        <f>TIMEVALUE(MID(G122,12,8))</f>
        <v/>
      </c>
      <c r="P122" s="396">
        <f>IFERROR(_xlfn.MINIFS($M:$M,$E:$E,$E122,$K:$K,$K122,$M:$M,"&gt;"&amp;$O122),"")</f>
        <v/>
      </c>
      <c r="Q122" s="396">
        <f>IF($P122="","",$P122-$O122)</f>
        <v/>
      </c>
    </row>
    <row r="123" ht="15" customHeight="1" s="231">
      <c r="A123" s="393" t="inlineStr">
        <is>
          <t>20260719</t>
        </is>
      </c>
      <c r="B123" s="393" t="inlineStr">
        <is>
          <t>LEADS GOOGLE</t>
        </is>
      </c>
      <c r="C123" s="393" t="inlineStr">
        <is>
          <t>RABAT</t>
        </is>
      </c>
      <c r="D123" s="393" t="inlineStr">
        <is>
          <t>8858165_IPSELSX</t>
        </is>
      </c>
      <c r="E123" s="393" t="inlineStr">
        <is>
          <t>ELHOUJSO</t>
        </is>
      </c>
      <c r="F123" s="393" t="inlineStr">
        <is>
          <t>2026-07-19 14:51:34</t>
        </is>
      </c>
      <c r="G123" s="393" t="inlineStr">
        <is>
          <t>2026-07-19 18:06:05</t>
        </is>
      </c>
      <c r="H123" s="394" t="n">
        <v>11671</v>
      </c>
      <c r="I123" s="393" t="inlineStr">
        <is>
          <t>Voice</t>
        </is>
      </c>
      <c r="J123" s="393" t="inlineStr">
        <is>
          <t>OUAQERNO</t>
        </is>
      </c>
      <c r="K123" s="395">
        <f>DATE(VALUE(LEFT(A123,4)),VALUE(MID(A123,5,2)),VALUE(RIGHT(A123,2)))</f>
        <v/>
      </c>
      <c r="L123" s="395">
        <f>DATEVALUE(LEFT(F123,10))</f>
        <v/>
      </c>
      <c r="M123" s="396">
        <f>TIMEVALUE(MID(F123,12,8))</f>
        <v/>
      </c>
      <c r="N123" s="395">
        <f>DATEVALUE(LEFT(G123,10))</f>
        <v/>
      </c>
      <c r="O123" s="396">
        <f>TIMEVALUE(MID(G123,12,8))</f>
        <v/>
      </c>
      <c r="P123" s="396">
        <f>IFERROR(_xlfn.MINIFS($M:$M,$E:$E,$E123,$K:$K,$K123,$M:$M,"&gt;"&amp;$O123),"")</f>
        <v/>
      </c>
      <c r="Q123" s="396">
        <f>IF($P123="","",$P123-$O123)</f>
        <v/>
      </c>
    </row>
    <row r="124" ht="15" customHeight="1" s="231">
      <c r="A124" s="393" t="inlineStr">
        <is>
          <t>20260719</t>
        </is>
      </c>
      <c r="B124" s="393" t="inlineStr">
        <is>
          <t>LEADS GOOGLE</t>
        </is>
      </c>
      <c r="C124" s="393" t="inlineStr">
        <is>
          <t>RABAT</t>
        </is>
      </c>
      <c r="D124" s="393" t="inlineStr">
        <is>
          <t>8858329_IPSGUMX</t>
        </is>
      </c>
      <c r="E124" s="393" t="inlineStr">
        <is>
          <t>GUEYEME</t>
        </is>
      </c>
      <c r="F124" s="393" t="inlineStr">
        <is>
          <t>2026-07-19 07:57:33</t>
        </is>
      </c>
      <c r="G124" s="393" t="inlineStr">
        <is>
          <t>2026-07-19 13:02:06</t>
        </is>
      </c>
      <c r="H124" s="394" t="n">
        <v>18273</v>
      </c>
      <c r="I124" s="393" t="inlineStr">
        <is>
          <t>Voice</t>
        </is>
      </c>
      <c r="J124" s="393" t="inlineStr">
        <is>
          <t>OUAQERNO</t>
        </is>
      </c>
      <c r="K124" s="395">
        <f>DATE(VALUE(LEFT(A124,4)),VALUE(MID(A124,5,2)),VALUE(RIGHT(A124,2)))</f>
        <v/>
      </c>
      <c r="L124" s="395">
        <f>DATEVALUE(LEFT(F124,10))</f>
        <v/>
      </c>
      <c r="M124" s="396">
        <f>TIMEVALUE(MID(F124,12,8))</f>
        <v/>
      </c>
      <c r="N124" s="395">
        <f>DATEVALUE(LEFT(G124,10))</f>
        <v/>
      </c>
      <c r="O124" s="396">
        <f>TIMEVALUE(MID(G124,12,8))</f>
        <v/>
      </c>
      <c r="P124" s="396">
        <f>IFERROR(_xlfn.MINIFS($M:$M,$E:$E,$E124,$K:$K,$K124,$M:$M,"&gt;"&amp;$O124),"")</f>
        <v/>
      </c>
      <c r="Q124" s="396">
        <f>IF($P124="","",$P124-$O124)</f>
        <v/>
      </c>
    </row>
    <row r="125" ht="15" customHeight="1" s="231">
      <c r="A125" s="393" t="inlineStr">
        <is>
          <t>20260719</t>
        </is>
      </c>
      <c r="B125" s="393" t="inlineStr">
        <is>
          <t>LEADS GOOGLE</t>
        </is>
      </c>
      <c r="C125" s="393" t="inlineStr">
        <is>
          <t>RABAT</t>
        </is>
      </c>
      <c r="D125" s="393" t="inlineStr">
        <is>
          <t>8858329_IPSGUMX</t>
        </is>
      </c>
      <c r="E125" s="393" t="inlineStr">
        <is>
          <t>GUEYEME</t>
        </is>
      </c>
      <c r="F125" s="393" t="inlineStr">
        <is>
          <t>2026-07-19 13:58:35</t>
        </is>
      </c>
      <c r="G125" s="393" t="inlineStr">
        <is>
          <t>2026-07-19 17:00:06</t>
        </is>
      </c>
      <c r="H125" s="394" t="n">
        <v>10891</v>
      </c>
      <c r="I125" s="393" t="inlineStr">
        <is>
          <t>Voice</t>
        </is>
      </c>
      <c r="J125" s="393" t="inlineStr">
        <is>
          <t>OUAQERNO</t>
        </is>
      </c>
      <c r="K125" s="395">
        <f>DATE(VALUE(LEFT(A125,4)),VALUE(MID(A125,5,2)),VALUE(RIGHT(A125,2)))</f>
        <v/>
      </c>
      <c r="L125" s="395">
        <f>DATEVALUE(LEFT(F125,10))</f>
        <v/>
      </c>
      <c r="M125" s="396">
        <f>TIMEVALUE(MID(F125,12,8))</f>
        <v/>
      </c>
      <c r="N125" s="395">
        <f>DATEVALUE(LEFT(G125,10))</f>
        <v/>
      </c>
      <c r="O125" s="396">
        <f>TIMEVALUE(MID(G125,12,8))</f>
        <v/>
      </c>
      <c r="P125" s="396">
        <f>IFERROR(_xlfn.MINIFS($M:$M,$E:$E,$E125,$K:$K,$K125,$M:$M,"&gt;"&amp;$O125),"")</f>
        <v/>
      </c>
      <c r="Q125" s="396">
        <f>IF($P125="","",$P125-$O125)</f>
        <v/>
      </c>
    </row>
    <row r="126" ht="15" customHeight="1" s="231">
      <c r="A126" s="393" t="inlineStr">
        <is>
          <t>20260719</t>
        </is>
      </c>
      <c r="B126" s="393" t="inlineStr">
        <is>
          <t>LEADS GOOGLE</t>
        </is>
      </c>
      <c r="C126" s="393" t="inlineStr">
        <is>
          <t>RABAT</t>
        </is>
      </c>
      <c r="D126" s="393" t="inlineStr">
        <is>
          <t>8858880_IPSMEYO</t>
        </is>
      </c>
      <c r="E126" s="393" t="inlineStr">
        <is>
          <t>MELLAHYO</t>
        </is>
      </c>
      <c r="F126" s="393" t="inlineStr">
        <is>
          <t>2026-07-19 08:00:05</t>
        </is>
      </c>
      <c r="G126" s="393" t="inlineStr">
        <is>
          <t>2026-07-19 12:50:14</t>
        </is>
      </c>
      <c r="H126" s="394" t="n">
        <v>17409</v>
      </c>
      <c r="I126" s="393" t="inlineStr">
        <is>
          <t>Voice</t>
        </is>
      </c>
      <c r="J126" s="393" t="inlineStr">
        <is>
          <t>OUAQERNO</t>
        </is>
      </c>
      <c r="K126" s="395">
        <f>DATE(VALUE(LEFT(A126,4)),VALUE(MID(A126,5,2)),VALUE(RIGHT(A126,2)))</f>
        <v/>
      </c>
      <c r="L126" s="395">
        <f>DATEVALUE(LEFT(F126,10))</f>
        <v/>
      </c>
      <c r="M126" s="396">
        <f>TIMEVALUE(MID(F126,12,8))</f>
        <v/>
      </c>
      <c r="N126" s="395">
        <f>DATEVALUE(LEFT(G126,10))</f>
        <v/>
      </c>
      <c r="O126" s="396">
        <f>TIMEVALUE(MID(G126,12,8))</f>
        <v/>
      </c>
      <c r="P126" s="396">
        <f>IFERROR(_xlfn.MINIFS($M:$M,$E:$E,$E126,$K:$K,$K126,$M:$M,"&gt;"&amp;$O126),"")</f>
        <v/>
      </c>
      <c r="Q126" s="396">
        <f>IF($P126="","",$P126-$O126)</f>
        <v/>
      </c>
    </row>
    <row r="127" ht="15" customHeight="1" s="231">
      <c r="A127" s="393" t="inlineStr">
        <is>
          <t>20260719</t>
        </is>
      </c>
      <c r="B127" s="393" t="inlineStr">
        <is>
          <t>LEADS GOOGLE</t>
        </is>
      </c>
      <c r="C127" s="393" t="inlineStr">
        <is>
          <t>RABAT</t>
        </is>
      </c>
      <c r="D127" s="393" t="inlineStr">
        <is>
          <t>8858880_IPSMEYO</t>
        </is>
      </c>
      <c r="E127" s="393" t="inlineStr">
        <is>
          <t>MELLAHYO</t>
        </is>
      </c>
      <c r="F127" s="393" t="inlineStr">
        <is>
          <t>2026-07-19 12:50:58</t>
        </is>
      </c>
      <c r="G127" s="393" t="inlineStr">
        <is>
          <t>2026-07-19 12:54:35</t>
        </is>
      </c>
      <c r="H127" s="394" t="n">
        <v>217</v>
      </c>
      <c r="I127" s="393" t="inlineStr">
        <is>
          <t>Voice</t>
        </is>
      </c>
      <c r="J127" s="393" t="inlineStr">
        <is>
          <t>OUAQERNO</t>
        </is>
      </c>
      <c r="K127" s="395">
        <f>DATE(VALUE(LEFT(A127,4)),VALUE(MID(A127,5,2)),VALUE(RIGHT(A127,2)))</f>
        <v/>
      </c>
      <c r="L127" s="395">
        <f>DATEVALUE(LEFT(F127,10))</f>
        <v/>
      </c>
      <c r="M127" s="396">
        <f>TIMEVALUE(MID(F127,12,8))</f>
        <v/>
      </c>
      <c r="N127" s="395">
        <f>DATEVALUE(LEFT(G127,10))</f>
        <v/>
      </c>
      <c r="O127" s="396">
        <f>TIMEVALUE(MID(G127,12,8))</f>
        <v/>
      </c>
      <c r="P127" s="396">
        <f>IFERROR(_xlfn.MINIFS($M:$M,$E:$E,$E127,$K:$K,$K127,$M:$M,"&gt;"&amp;$O127),"")</f>
        <v/>
      </c>
      <c r="Q127" s="396">
        <f>IF($P127="","",$P127-$O127)</f>
        <v/>
      </c>
    </row>
    <row r="128" ht="15" customHeight="1" s="231">
      <c r="A128" s="393" t="inlineStr">
        <is>
          <t>20260719</t>
        </is>
      </c>
      <c r="B128" s="393" t="inlineStr">
        <is>
          <t>LEADS GOOGLE</t>
        </is>
      </c>
      <c r="C128" s="393" t="inlineStr">
        <is>
          <t>RABAT</t>
        </is>
      </c>
      <c r="D128" s="393" t="inlineStr">
        <is>
          <t>8858880_IPSMEYO</t>
        </is>
      </c>
      <c r="E128" s="393" t="inlineStr">
        <is>
          <t>MELLAHYO</t>
        </is>
      </c>
      <c r="F128" s="393" t="inlineStr">
        <is>
          <t>2026-07-19 12:55:16</t>
        </is>
      </c>
      <c r="G128" s="393" t="inlineStr">
        <is>
          <t>2026-07-19 13:02:22</t>
        </is>
      </c>
      <c r="H128" s="394" t="n">
        <v>426</v>
      </c>
      <c r="I128" s="393" t="inlineStr">
        <is>
          <t>Voice</t>
        </is>
      </c>
      <c r="J128" s="393" t="inlineStr">
        <is>
          <t>OUAQERNO</t>
        </is>
      </c>
      <c r="K128" s="395">
        <f>DATE(VALUE(LEFT(A128,4)),VALUE(MID(A128,5,2)),VALUE(RIGHT(A128,2)))</f>
        <v/>
      </c>
      <c r="L128" s="395">
        <f>DATEVALUE(LEFT(F128,10))</f>
        <v/>
      </c>
      <c r="M128" s="396">
        <f>TIMEVALUE(MID(F128,12,8))</f>
        <v/>
      </c>
      <c r="N128" s="395">
        <f>DATEVALUE(LEFT(G128,10))</f>
        <v/>
      </c>
      <c r="O128" s="396">
        <f>TIMEVALUE(MID(G128,12,8))</f>
        <v/>
      </c>
      <c r="P128" s="396">
        <f>IFERROR(_xlfn.MINIFS($M:$M,$E:$E,$E128,$K:$K,$K128,$M:$M,"&gt;"&amp;$O128),"")</f>
        <v/>
      </c>
      <c r="Q128" s="396">
        <f>IF($P128="","",$P128-$O128)</f>
        <v/>
      </c>
    </row>
    <row r="129" ht="15" customHeight="1" s="231">
      <c r="A129" s="393" t="inlineStr">
        <is>
          <t>20260719</t>
        </is>
      </c>
      <c r="B129" s="393" t="inlineStr">
        <is>
          <t>LEADS GOOGLE</t>
        </is>
      </c>
      <c r="C129" s="393" t="inlineStr">
        <is>
          <t>RABAT</t>
        </is>
      </c>
      <c r="D129" s="393" t="inlineStr">
        <is>
          <t>8858880_IPSMEYO</t>
        </is>
      </c>
      <c r="E129" s="393" t="inlineStr">
        <is>
          <t>MELLAHYO</t>
        </is>
      </c>
      <c r="F129" s="393" t="inlineStr">
        <is>
          <t>2026-07-19 14:02:23</t>
        </is>
      </c>
      <c r="G129" s="393" t="inlineStr">
        <is>
          <t>2026-07-19 17:00:02</t>
        </is>
      </c>
      <c r="H129" s="394" t="n">
        <v>10659</v>
      </c>
      <c r="I129" s="393" t="inlineStr">
        <is>
          <t>Voice</t>
        </is>
      </c>
      <c r="J129" s="393" t="inlineStr">
        <is>
          <t>OUAQERNO</t>
        </is>
      </c>
      <c r="K129" s="395">
        <f>DATE(VALUE(LEFT(A129,4)),VALUE(MID(A129,5,2)),VALUE(RIGHT(A129,2)))</f>
        <v/>
      </c>
      <c r="L129" s="395">
        <f>DATEVALUE(LEFT(F129,10))</f>
        <v/>
      </c>
      <c r="M129" s="396">
        <f>TIMEVALUE(MID(F129,12,8))</f>
        <v/>
      </c>
      <c r="N129" s="395">
        <f>DATEVALUE(LEFT(G129,10))</f>
        <v/>
      </c>
      <c r="O129" s="396">
        <f>TIMEVALUE(MID(G129,12,8))</f>
        <v/>
      </c>
      <c r="P129" s="396">
        <f>IFERROR(_xlfn.MINIFS($M:$M,$E:$E,$E129,$K:$K,$K129,$M:$M,"&gt;"&amp;$O129),"")</f>
        <v/>
      </c>
      <c r="Q129" s="396">
        <f>IF($P129="","",$P129-$O129)</f>
        <v/>
      </c>
    </row>
    <row r="130" ht="15" customHeight="1" s="231">
      <c r="A130" s="393" t="inlineStr">
        <is>
          <t>20260719</t>
        </is>
      </c>
      <c r="B130" s="393" t="inlineStr">
        <is>
          <t>LEADS GOOGLE</t>
        </is>
      </c>
      <c r="C130" s="393" t="inlineStr">
        <is>
          <t>RABAT</t>
        </is>
      </c>
      <c r="D130" s="393" t="inlineStr">
        <is>
          <t>8859170_IPSMSSD</t>
        </is>
      </c>
      <c r="E130" s="393" t="inlineStr">
        <is>
          <t>MOUSKESI</t>
        </is>
      </c>
      <c r="F130" s="393" t="inlineStr">
        <is>
          <t>2026-07-19 10:58:43</t>
        </is>
      </c>
      <c r="G130" s="393" t="inlineStr">
        <is>
          <t>2026-07-19 15:02:45</t>
        </is>
      </c>
      <c r="H130" s="394" t="n">
        <v>14642</v>
      </c>
      <c r="I130" s="393" t="inlineStr">
        <is>
          <t>Voice</t>
        </is>
      </c>
      <c r="J130" s="393" t="inlineStr">
        <is>
          <t>OUAQERNO</t>
        </is>
      </c>
      <c r="K130" s="395">
        <f>DATE(VALUE(LEFT(A130,4)),VALUE(MID(A130,5,2)),VALUE(RIGHT(A130,2)))</f>
        <v/>
      </c>
      <c r="L130" s="395">
        <f>DATEVALUE(LEFT(F130,10))</f>
        <v/>
      </c>
      <c r="M130" s="396">
        <f>TIMEVALUE(MID(F130,12,8))</f>
        <v/>
      </c>
      <c r="N130" s="395">
        <f>DATEVALUE(LEFT(G130,10))</f>
        <v/>
      </c>
      <c r="O130" s="396">
        <f>TIMEVALUE(MID(G130,12,8))</f>
        <v/>
      </c>
      <c r="P130" s="396">
        <f>IFERROR(_xlfn.MINIFS($M:$M,$E:$E,$E130,$K:$K,$K130,$M:$M,"&gt;"&amp;$O130),"")</f>
        <v/>
      </c>
      <c r="Q130" s="396">
        <f>IF($P130="","",$P130-$O130)</f>
        <v/>
      </c>
    </row>
    <row r="131" ht="15" customHeight="1" s="231">
      <c r="A131" s="393" t="inlineStr">
        <is>
          <t>20260719</t>
        </is>
      </c>
      <c r="B131" s="393" t="inlineStr">
        <is>
          <t>LEADS GOOGLE</t>
        </is>
      </c>
      <c r="C131" s="393" t="inlineStr">
        <is>
          <t>RABAT</t>
        </is>
      </c>
      <c r="D131" s="393" t="inlineStr">
        <is>
          <t>8859170_IPSMSSD</t>
        </is>
      </c>
      <c r="E131" s="393" t="inlineStr">
        <is>
          <t>MOUSKESI</t>
        </is>
      </c>
      <c r="F131" s="393" t="inlineStr">
        <is>
          <t>2026-07-19 16:00:23</t>
        </is>
      </c>
      <c r="G131" s="393" t="inlineStr">
        <is>
          <t>2026-07-19 19:40:48</t>
        </is>
      </c>
      <c r="H131" s="394" t="n">
        <v>13225</v>
      </c>
      <c r="I131" s="393" t="inlineStr">
        <is>
          <t>Voice</t>
        </is>
      </c>
      <c r="J131" s="393" t="inlineStr">
        <is>
          <t>OUAQERNO</t>
        </is>
      </c>
      <c r="K131" s="395">
        <f>DATE(VALUE(LEFT(A131,4)),VALUE(MID(A131,5,2)),VALUE(RIGHT(A131,2)))</f>
        <v/>
      </c>
      <c r="L131" s="395">
        <f>DATEVALUE(LEFT(F131,10))</f>
        <v/>
      </c>
      <c r="M131" s="396">
        <f>TIMEVALUE(MID(F131,12,8))</f>
        <v/>
      </c>
      <c r="N131" s="395">
        <f>DATEVALUE(LEFT(G131,10))</f>
        <v/>
      </c>
      <c r="O131" s="396">
        <f>TIMEVALUE(MID(G131,12,8))</f>
        <v/>
      </c>
      <c r="P131" s="396">
        <f>IFERROR(_xlfn.MINIFS($M:$M,$E:$E,$E131,$K:$K,$K131,$M:$M,"&gt;"&amp;$O131),"")</f>
        <v/>
      </c>
      <c r="Q131" s="396">
        <f>IF($P131="","",$P131-$O131)</f>
        <v/>
      </c>
    </row>
    <row r="132" ht="15" customHeight="1" s="231">
      <c r="A132" s="393" t="inlineStr">
        <is>
          <t>20260719</t>
        </is>
      </c>
      <c r="B132" s="393" t="inlineStr">
        <is>
          <t>LEADS GOOGLE</t>
        </is>
      </c>
      <c r="C132" s="393" t="inlineStr">
        <is>
          <t>RABAT</t>
        </is>
      </c>
      <c r="D132" s="393" t="inlineStr">
        <is>
          <t>8859170_IPSMSSD</t>
        </is>
      </c>
      <c r="E132" s="393" t="inlineStr">
        <is>
          <t>MOUSKESI</t>
        </is>
      </c>
      <c r="F132" s="393" t="inlineStr">
        <is>
          <t>2026-07-19 19:47:25</t>
        </is>
      </c>
      <c r="G132" s="393" t="inlineStr">
        <is>
          <t>2026-07-19 21:00:43</t>
        </is>
      </c>
      <c r="H132" s="394" t="n">
        <v>4398</v>
      </c>
      <c r="I132" s="393" t="inlineStr">
        <is>
          <t>Voice</t>
        </is>
      </c>
      <c r="J132" s="393" t="inlineStr">
        <is>
          <t>OUAQERNO</t>
        </is>
      </c>
      <c r="K132" s="395">
        <f>DATE(VALUE(LEFT(A132,4)),VALUE(MID(A132,5,2)),VALUE(RIGHT(A132,2)))</f>
        <v/>
      </c>
      <c r="L132" s="395">
        <f>DATEVALUE(LEFT(F132,10))</f>
        <v/>
      </c>
      <c r="M132" s="396">
        <f>TIMEVALUE(MID(F132,12,8))</f>
        <v/>
      </c>
      <c r="N132" s="395">
        <f>DATEVALUE(LEFT(G132,10))</f>
        <v/>
      </c>
      <c r="O132" s="396">
        <f>TIMEVALUE(MID(G132,12,8))</f>
        <v/>
      </c>
      <c r="P132" s="396">
        <f>IFERROR(_xlfn.MINIFS($M:$M,$E:$E,$E132,$K:$K,$K132,$M:$M,"&gt;"&amp;$O132),"")</f>
        <v/>
      </c>
      <c r="Q132" s="396">
        <f>IF($P132="","",$P132-$O132)</f>
        <v/>
      </c>
    </row>
    <row r="133" ht="15" customHeight="1" s="231">
      <c r="A133" s="393" t="inlineStr">
        <is>
          <t>20260719</t>
        </is>
      </c>
      <c r="B133" s="393" t="inlineStr">
        <is>
          <t>LEADS GOOGLE</t>
        </is>
      </c>
      <c r="C133" s="393" t="inlineStr">
        <is>
          <t>RABAT</t>
        </is>
      </c>
      <c r="D133" s="393" t="inlineStr">
        <is>
          <t>8859337_IPSQRMN</t>
        </is>
      </c>
      <c r="E133" s="393" t="inlineStr">
        <is>
          <t>QARBOUAY</t>
        </is>
      </c>
      <c r="F133" s="393" t="inlineStr">
        <is>
          <t>2026-07-19 12:08:21</t>
        </is>
      </c>
      <c r="G133" s="393" t="inlineStr">
        <is>
          <t>2026-07-19 13:40:49</t>
        </is>
      </c>
      <c r="H133" s="394" t="n">
        <v>5548</v>
      </c>
      <c r="I133" s="393" t="inlineStr">
        <is>
          <t>Voice</t>
        </is>
      </c>
      <c r="J133" s="393" t="inlineStr">
        <is>
          <t>HAOUACIK</t>
        </is>
      </c>
      <c r="K133" s="395">
        <f>DATE(VALUE(LEFT(A133,4)),VALUE(MID(A133,5,2)),VALUE(RIGHT(A133,2)))</f>
        <v/>
      </c>
      <c r="L133" s="395">
        <f>DATEVALUE(LEFT(F133,10))</f>
        <v/>
      </c>
      <c r="M133" s="396">
        <f>TIMEVALUE(MID(F133,12,8))</f>
        <v/>
      </c>
      <c r="N133" s="395">
        <f>DATEVALUE(LEFT(G133,10))</f>
        <v/>
      </c>
      <c r="O133" s="396">
        <f>TIMEVALUE(MID(G133,12,8))</f>
        <v/>
      </c>
      <c r="P133" s="396">
        <f>IFERROR(_xlfn.MINIFS($M:$M,$E:$E,$E133,$K:$K,$K133,$M:$M,"&gt;"&amp;$O133),"")</f>
        <v/>
      </c>
      <c r="Q133" s="396">
        <f>IF($P133="","",$P133-$O133)</f>
        <v/>
      </c>
    </row>
    <row r="134" ht="15" customHeight="1" s="231">
      <c r="A134" s="393" t="inlineStr">
        <is>
          <t>20260719</t>
        </is>
      </c>
      <c r="B134" s="393" t="inlineStr">
        <is>
          <t>LEADS GOOGLE</t>
        </is>
      </c>
      <c r="C134" s="393" t="inlineStr">
        <is>
          <t>RABAT</t>
        </is>
      </c>
      <c r="D134" s="393" t="inlineStr">
        <is>
          <t>8859337_IPSQRMN</t>
        </is>
      </c>
      <c r="E134" s="393" t="inlineStr">
        <is>
          <t>QARBOUAY</t>
        </is>
      </c>
      <c r="F134" s="393" t="inlineStr">
        <is>
          <t>2026-07-19 13:42:55</t>
        </is>
      </c>
      <c r="G134" s="393" t="inlineStr">
        <is>
          <t>2026-07-19 15:11:50</t>
        </is>
      </c>
      <c r="H134" s="394" t="n">
        <v>5335</v>
      </c>
      <c r="I134" s="393" t="inlineStr">
        <is>
          <t>Voice</t>
        </is>
      </c>
      <c r="J134" s="393" t="inlineStr">
        <is>
          <t>HAOUACIK</t>
        </is>
      </c>
      <c r="K134" s="395">
        <f>DATE(VALUE(LEFT(A134,4)),VALUE(MID(A134,5,2)),VALUE(RIGHT(A134,2)))</f>
        <v/>
      </c>
      <c r="L134" s="395">
        <f>DATEVALUE(LEFT(F134,10))</f>
        <v/>
      </c>
      <c r="M134" s="396">
        <f>TIMEVALUE(MID(F134,12,8))</f>
        <v/>
      </c>
      <c r="N134" s="395">
        <f>DATEVALUE(LEFT(G134,10))</f>
        <v/>
      </c>
      <c r="O134" s="396">
        <f>TIMEVALUE(MID(G134,12,8))</f>
        <v/>
      </c>
      <c r="P134" s="396">
        <f>IFERROR(_xlfn.MINIFS($M:$M,$E:$E,$E134,$K:$K,$K134,$M:$M,"&gt;"&amp;$O134),"")</f>
        <v/>
      </c>
      <c r="Q134" s="396">
        <f>IF($P134="","",$P134-$O134)</f>
        <v/>
      </c>
    </row>
    <row r="135" ht="15" customHeight="1" s="231">
      <c r="A135" s="393" t="inlineStr">
        <is>
          <t>20260719</t>
        </is>
      </c>
      <c r="B135" s="393" t="inlineStr">
        <is>
          <t>LEADS GOOGLE</t>
        </is>
      </c>
      <c r="C135" s="393" t="inlineStr">
        <is>
          <t>RABAT</t>
        </is>
      </c>
      <c r="D135" s="393" t="inlineStr">
        <is>
          <t>8859337_IPSQRMN</t>
        </is>
      </c>
      <c r="E135" s="393" t="inlineStr">
        <is>
          <t>QARBOUAY</t>
        </is>
      </c>
      <c r="F135" s="393" t="inlineStr">
        <is>
          <t>2026-07-19 16:10:26</t>
        </is>
      </c>
      <c r="G135" s="393" t="inlineStr">
        <is>
          <t>2026-07-19 17:43:45</t>
        </is>
      </c>
      <c r="H135" s="394" t="n">
        <v>5599</v>
      </c>
      <c r="I135" s="393" t="inlineStr">
        <is>
          <t>Voice</t>
        </is>
      </c>
      <c r="J135" s="393" t="inlineStr">
        <is>
          <t>HAOUACIK</t>
        </is>
      </c>
      <c r="K135" s="395">
        <f>DATE(VALUE(LEFT(A135,4)),VALUE(MID(A135,5,2)),VALUE(RIGHT(A135,2)))</f>
        <v/>
      </c>
      <c r="L135" s="395">
        <f>DATEVALUE(LEFT(F135,10))</f>
        <v/>
      </c>
      <c r="M135" s="396">
        <f>TIMEVALUE(MID(F135,12,8))</f>
        <v/>
      </c>
      <c r="N135" s="395">
        <f>DATEVALUE(LEFT(G135,10))</f>
        <v/>
      </c>
      <c r="O135" s="396">
        <f>TIMEVALUE(MID(G135,12,8))</f>
        <v/>
      </c>
      <c r="P135" s="396">
        <f>IFERROR(_xlfn.MINIFS($M:$M,$E:$E,$E135,$K:$K,$K135,$M:$M,"&gt;"&amp;$O135),"")</f>
        <v/>
      </c>
      <c r="Q135" s="396">
        <f>IF($P135="","",$P135-$O135)</f>
        <v/>
      </c>
    </row>
    <row r="136" ht="15" customHeight="1" s="231">
      <c r="A136" s="393" t="inlineStr">
        <is>
          <t>20260719</t>
        </is>
      </c>
      <c r="B136" s="393" t="inlineStr">
        <is>
          <t>LEADS GOOGLE</t>
        </is>
      </c>
      <c r="C136" s="393" t="inlineStr">
        <is>
          <t>RABAT</t>
        </is>
      </c>
      <c r="D136" s="393" t="inlineStr">
        <is>
          <t>8859337_IPSQRMN</t>
        </is>
      </c>
      <c r="E136" s="393" t="inlineStr">
        <is>
          <t>QARBOUAY</t>
        </is>
      </c>
      <c r="F136" s="393" t="inlineStr">
        <is>
          <t>2026-07-19 17:44:27</t>
        </is>
      </c>
      <c r="G136" s="393" t="inlineStr">
        <is>
          <t>2026-07-19 18:45:50</t>
        </is>
      </c>
      <c r="H136" s="394" t="n">
        <v>3683</v>
      </c>
      <c r="I136" s="393" t="inlineStr">
        <is>
          <t>Voice</t>
        </is>
      </c>
      <c r="J136" s="393" t="inlineStr">
        <is>
          <t>HAOUACIK</t>
        </is>
      </c>
      <c r="K136" s="395">
        <f>DATE(VALUE(LEFT(A136,4)),VALUE(MID(A136,5,2)),VALUE(RIGHT(A136,2)))</f>
        <v/>
      </c>
      <c r="L136" s="395">
        <f>DATEVALUE(LEFT(F136,10))</f>
        <v/>
      </c>
      <c r="M136" s="396">
        <f>TIMEVALUE(MID(F136,12,8))</f>
        <v/>
      </c>
      <c r="N136" s="395">
        <f>DATEVALUE(LEFT(G136,10))</f>
        <v/>
      </c>
      <c r="O136" s="396">
        <f>TIMEVALUE(MID(G136,12,8))</f>
        <v/>
      </c>
      <c r="P136" s="396">
        <f>IFERROR(_xlfn.MINIFS($M:$M,$E:$E,$E136,$K:$K,$K136,$M:$M,"&gt;"&amp;$O136),"")</f>
        <v/>
      </c>
      <c r="Q136" s="396">
        <f>IF($P136="","",$P136-$O136)</f>
        <v/>
      </c>
    </row>
    <row r="137" ht="15" customHeight="1" s="231">
      <c r="A137" s="393" t="inlineStr">
        <is>
          <t>20260719</t>
        </is>
      </c>
      <c r="B137" s="393" t="inlineStr">
        <is>
          <t>LEADS GOOGLE</t>
        </is>
      </c>
      <c r="C137" s="393" t="inlineStr">
        <is>
          <t>RABAT</t>
        </is>
      </c>
      <c r="D137" s="393" t="inlineStr">
        <is>
          <t>8859337_IPSQRMN</t>
        </is>
      </c>
      <c r="E137" s="393" t="inlineStr">
        <is>
          <t>QARBOUAY</t>
        </is>
      </c>
      <c r="F137" s="393" t="inlineStr">
        <is>
          <t>2026-07-19 18:46:03</t>
        </is>
      </c>
      <c r="G137" s="393" t="inlineStr">
        <is>
          <t>2026-07-19 21:02:49</t>
        </is>
      </c>
      <c r="H137" s="394" t="n">
        <v>8206</v>
      </c>
      <c r="I137" s="393" t="inlineStr">
        <is>
          <t>Voice</t>
        </is>
      </c>
      <c r="J137" s="393" t="inlineStr">
        <is>
          <t>HAOUACIK</t>
        </is>
      </c>
      <c r="K137" s="395">
        <f>DATE(VALUE(LEFT(A137,4)),VALUE(MID(A137,5,2)),VALUE(RIGHT(A137,2)))</f>
        <v/>
      </c>
      <c r="L137" s="395">
        <f>DATEVALUE(LEFT(F137,10))</f>
        <v/>
      </c>
      <c r="M137" s="396">
        <f>TIMEVALUE(MID(F137,12,8))</f>
        <v/>
      </c>
      <c r="N137" s="395">
        <f>DATEVALUE(LEFT(G137,10))</f>
        <v/>
      </c>
      <c r="O137" s="396">
        <f>TIMEVALUE(MID(G137,12,8))</f>
        <v/>
      </c>
      <c r="P137" s="396">
        <f>IFERROR(_xlfn.MINIFS($M:$M,$E:$E,$E137,$K:$K,$K137,$M:$M,"&gt;"&amp;$O137),"")</f>
        <v/>
      </c>
      <c r="Q137" s="396">
        <f>IF($P137="","",$P137-$O137)</f>
        <v/>
      </c>
    </row>
    <row r="138" ht="15" customHeight="1" s="231">
      <c r="A138" s="393" t="inlineStr">
        <is>
          <t>20260719</t>
        </is>
      </c>
      <c r="B138" s="393" t="inlineStr">
        <is>
          <t>LEADS GOOGLE</t>
        </is>
      </c>
      <c r="C138" s="393" t="inlineStr">
        <is>
          <t>RABAT</t>
        </is>
      </c>
      <c r="D138" s="393" t="inlineStr">
        <is>
          <t>8858482_IPSSCDR</t>
        </is>
      </c>
      <c r="E138" s="393" t="inlineStr">
        <is>
          <t>SECKDA</t>
        </is>
      </c>
      <c r="F138" s="393" t="inlineStr">
        <is>
          <t>2026-07-19 11:02:16</t>
        </is>
      </c>
      <c r="G138" s="393" t="inlineStr">
        <is>
          <t>2026-07-19 11:14:19</t>
        </is>
      </c>
      <c r="H138" s="394" t="n">
        <v>723</v>
      </c>
      <c r="I138" s="393" t="inlineStr">
        <is>
          <t>Voice</t>
        </is>
      </c>
      <c r="J138" s="393" t="inlineStr">
        <is>
          <t>OUAQERNO</t>
        </is>
      </c>
      <c r="K138" s="395">
        <f>DATE(VALUE(LEFT(A138,4)),VALUE(MID(A138,5,2)),VALUE(RIGHT(A138,2)))</f>
        <v/>
      </c>
      <c r="L138" s="395">
        <f>DATEVALUE(LEFT(F138,10))</f>
        <v/>
      </c>
      <c r="M138" s="396">
        <f>TIMEVALUE(MID(F138,12,8))</f>
        <v/>
      </c>
      <c r="N138" s="395">
        <f>DATEVALUE(LEFT(G138,10))</f>
        <v/>
      </c>
      <c r="O138" s="396">
        <f>TIMEVALUE(MID(G138,12,8))</f>
        <v/>
      </c>
      <c r="P138" s="396">
        <f>IFERROR(_xlfn.MINIFS($M:$M,$E:$E,$E138,$K:$K,$K138,$M:$M,"&gt;"&amp;$O138),"")</f>
        <v/>
      </c>
      <c r="Q138" s="396">
        <f>IF($P138="","",$P138-$O138)</f>
        <v/>
      </c>
    </row>
    <row r="139" ht="15" customHeight="1" s="231">
      <c r="A139" s="393" t="inlineStr">
        <is>
          <t>20260719</t>
        </is>
      </c>
      <c r="B139" s="393" t="inlineStr">
        <is>
          <t>LEADS GOOGLE</t>
        </is>
      </c>
      <c r="C139" s="393" t="inlineStr">
        <is>
          <t>RABAT</t>
        </is>
      </c>
      <c r="D139" s="393" t="inlineStr">
        <is>
          <t>8858482_IPSSCDR</t>
        </is>
      </c>
      <c r="E139" s="393" t="inlineStr">
        <is>
          <t>SECKDA</t>
        </is>
      </c>
      <c r="F139" s="393" t="inlineStr">
        <is>
          <t>2026-07-19 11:59:51</t>
        </is>
      </c>
      <c r="G139" s="393" t="inlineStr">
        <is>
          <t>2026-07-19 15:00:12</t>
        </is>
      </c>
      <c r="H139" s="394" t="n">
        <v>10821</v>
      </c>
      <c r="I139" s="393" t="inlineStr">
        <is>
          <t>Voice</t>
        </is>
      </c>
      <c r="J139" s="393" t="inlineStr">
        <is>
          <t>OUAQERNO</t>
        </is>
      </c>
      <c r="K139" s="395">
        <f>DATE(VALUE(LEFT(A139,4)),VALUE(MID(A139,5,2)),VALUE(RIGHT(A139,2)))</f>
        <v/>
      </c>
      <c r="L139" s="395">
        <f>DATEVALUE(LEFT(F139,10))</f>
        <v/>
      </c>
      <c r="M139" s="396">
        <f>TIMEVALUE(MID(F139,12,8))</f>
        <v/>
      </c>
      <c r="N139" s="395">
        <f>DATEVALUE(LEFT(G139,10))</f>
        <v/>
      </c>
      <c r="O139" s="396">
        <f>TIMEVALUE(MID(G139,12,8))</f>
        <v/>
      </c>
      <c r="P139" s="396">
        <f>IFERROR(_xlfn.MINIFS($M:$M,$E:$E,$E139,$K:$K,$K139,$M:$M,"&gt;"&amp;$O139),"")</f>
        <v/>
      </c>
      <c r="Q139" s="396">
        <f>IF($P139="","",$P139-$O139)</f>
        <v/>
      </c>
    </row>
    <row r="140" ht="15" customHeight="1" s="231">
      <c r="A140" s="393" t="inlineStr">
        <is>
          <t>20260719</t>
        </is>
      </c>
      <c r="B140" s="393" t="inlineStr">
        <is>
          <t>LEADS GOOGLE</t>
        </is>
      </c>
      <c r="C140" s="393" t="inlineStr">
        <is>
          <t>RABAT</t>
        </is>
      </c>
      <c r="D140" s="393" t="inlineStr">
        <is>
          <t>8858482_IPSSCDR</t>
        </is>
      </c>
      <c r="E140" s="393" t="inlineStr">
        <is>
          <t>SECKDA</t>
        </is>
      </c>
      <c r="F140" s="393" t="inlineStr">
        <is>
          <t>2026-07-19 15:59:48</t>
        </is>
      </c>
      <c r="G140" s="393" t="inlineStr">
        <is>
          <t>2026-07-19 16:04:28</t>
        </is>
      </c>
      <c r="H140" s="394" t="n">
        <v>280</v>
      </c>
      <c r="I140" s="393" t="inlineStr">
        <is>
          <t>Voice</t>
        </is>
      </c>
      <c r="J140" s="393" t="inlineStr">
        <is>
          <t>OUAQERNO</t>
        </is>
      </c>
      <c r="K140" s="395">
        <f>DATE(VALUE(LEFT(A140,4)),VALUE(MID(A140,5,2)),VALUE(RIGHT(A140,2)))</f>
        <v/>
      </c>
      <c r="L140" s="395">
        <f>DATEVALUE(LEFT(F140,10))</f>
        <v/>
      </c>
      <c r="M140" s="396">
        <f>TIMEVALUE(MID(F140,12,8))</f>
        <v/>
      </c>
      <c r="N140" s="395">
        <f>DATEVALUE(LEFT(G140,10))</f>
        <v/>
      </c>
      <c r="O140" s="396">
        <f>TIMEVALUE(MID(G140,12,8))</f>
        <v/>
      </c>
      <c r="P140" s="396">
        <f>IFERROR(_xlfn.MINIFS($M:$M,$E:$E,$E140,$K:$K,$K140,$M:$M,"&gt;"&amp;$O140),"")</f>
        <v/>
      </c>
      <c r="Q140" s="396">
        <f>IF($P140="","",$P140-$O140)</f>
        <v/>
      </c>
    </row>
    <row r="141" ht="15" customHeight="1" s="231">
      <c r="A141" s="393" t="inlineStr">
        <is>
          <t>20260719</t>
        </is>
      </c>
      <c r="B141" s="393" t="inlineStr">
        <is>
          <t>LEADS GOOGLE</t>
        </is>
      </c>
      <c r="C141" s="393" t="inlineStr">
        <is>
          <t>RABAT</t>
        </is>
      </c>
      <c r="D141" s="393" t="inlineStr">
        <is>
          <t>8858482_IPSSCDR</t>
        </is>
      </c>
      <c r="E141" s="393" t="inlineStr">
        <is>
          <t>SECKDA</t>
        </is>
      </c>
      <c r="F141" s="393" t="inlineStr">
        <is>
          <t>2026-07-19 16:05:28</t>
        </is>
      </c>
      <c r="G141" s="393" t="inlineStr">
        <is>
          <t>2026-07-19 16:17:58</t>
        </is>
      </c>
      <c r="H141" s="394" t="n">
        <v>750</v>
      </c>
      <c r="I141" s="393" t="inlineStr">
        <is>
          <t>Voice</t>
        </is>
      </c>
      <c r="J141" s="393" t="inlineStr">
        <is>
          <t>OUAQERNO</t>
        </is>
      </c>
      <c r="K141" s="395">
        <f>DATE(VALUE(LEFT(A141,4)),VALUE(MID(A141,5,2)),VALUE(RIGHT(A141,2)))</f>
        <v/>
      </c>
      <c r="L141" s="395">
        <f>DATEVALUE(LEFT(F141,10))</f>
        <v/>
      </c>
      <c r="M141" s="396">
        <f>TIMEVALUE(MID(F141,12,8))</f>
        <v/>
      </c>
      <c r="N141" s="395">
        <f>DATEVALUE(LEFT(G141,10))</f>
        <v/>
      </c>
      <c r="O141" s="396">
        <f>TIMEVALUE(MID(G141,12,8))</f>
        <v/>
      </c>
      <c r="P141" s="396">
        <f>IFERROR(_xlfn.MINIFS($M:$M,$E:$E,$E141,$K:$K,$K141,$M:$M,"&gt;"&amp;$O141),"")</f>
        <v/>
      </c>
      <c r="Q141" s="396">
        <f>IF($P141="","",$P141-$O141)</f>
        <v/>
      </c>
    </row>
    <row r="142" ht="15" customHeight="1" s="231">
      <c r="A142" s="393" t="inlineStr">
        <is>
          <t>20260719</t>
        </is>
      </c>
      <c r="B142" s="393" t="inlineStr">
        <is>
          <t>LEADS GOOGLE</t>
        </is>
      </c>
      <c r="C142" s="393" t="inlineStr">
        <is>
          <t>RABAT</t>
        </is>
      </c>
      <c r="D142" s="393" t="inlineStr">
        <is>
          <t>8858482_IPSSCDR</t>
        </is>
      </c>
      <c r="E142" s="393" t="inlineStr">
        <is>
          <t>SECKDA</t>
        </is>
      </c>
      <c r="F142" s="393" t="inlineStr">
        <is>
          <t>2026-07-19 16:26:41</t>
        </is>
      </c>
      <c r="G142" s="393" t="inlineStr">
        <is>
          <t>2026-07-19 16:38:28</t>
        </is>
      </c>
      <c r="H142" s="394" t="n">
        <v>707</v>
      </c>
      <c r="I142" s="393" t="inlineStr">
        <is>
          <t>Voice</t>
        </is>
      </c>
      <c r="J142" s="393" t="inlineStr">
        <is>
          <t>OUAQERNO</t>
        </is>
      </c>
      <c r="K142" s="395">
        <f>DATE(VALUE(LEFT(A142,4)),VALUE(MID(A142,5,2)),VALUE(RIGHT(A142,2)))</f>
        <v/>
      </c>
      <c r="L142" s="395">
        <f>DATEVALUE(LEFT(F142,10))</f>
        <v/>
      </c>
      <c r="M142" s="396">
        <f>TIMEVALUE(MID(F142,12,8))</f>
        <v/>
      </c>
      <c r="N142" s="395">
        <f>DATEVALUE(LEFT(G142,10))</f>
        <v/>
      </c>
      <c r="O142" s="396">
        <f>TIMEVALUE(MID(G142,12,8))</f>
        <v/>
      </c>
      <c r="P142" s="396">
        <f>IFERROR(_xlfn.MINIFS($M:$M,$E:$E,$E142,$K:$K,$K142,$M:$M,"&gt;"&amp;$O142),"")</f>
        <v/>
      </c>
      <c r="Q142" s="396">
        <f>IF($P142="","",$P142-$O142)</f>
        <v/>
      </c>
    </row>
    <row r="143" ht="15" customHeight="1" s="231">
      <c r="A143" s="393" t="inlineStr">
        <is>
          <t>20260719</t>
        </is>
      </c>
      <c r="B143" s="393" t="inlineStr">
        <is>
          <t>LEADS GOOGLE</t>
        </is>
      </c>
      <c r="C143" s="393" t="inlineStr">
        <is>
          <t>RABAT</t>
        </is>
      </c>
      <c r="D143" s="393" t="inlineStr">
        <is>
          <t>8858482_IPSSCDR</t>
        </is>
      </c>
      <c r="E143" s="393" t="inlineStr">
        <is>
          <t>SECKDA</t>
        </is>
      </c>
      <c r="F143" s="393" t="inlineStr">
        <is>
          <t>2026-07-19 16:43:09</t>
        </is>
      </c>
      <c r="G143" s="393" t="inlineStr">
        <is>
          <t>2026-07-19 16:46:08</t>
        </is>
      </c>
      <c r="H143" s="394" t="n">
        <v>179</v>
      </c>
      <c r="I143" s="393" t="inlineStr">
        <is>
          <t>Voice</t>
        </is>
      </c>
      <c r="J143" s="393" t="inlineStr">
        <is>
          <t>OUAQERNO</t>
        </is>
      </c>
      <c r="K143" s="395">
        <f>DATE(VALUE(LEFT(A143,4)),VALUE(MID(A143,5,2)),VALUE(RIGHT(A143,2)))</f>
        <v/>
      </c>
      <c r="L143" s="395">
        <f>DATEVALUE(LEFT(F143,10))</f>
        <v/>
      </c>
      <c r="M143" s="396">
        <f>TIMEVALUE(MID(F143,12,8))</f>
        <v/>
      </c>
      <c r="N143" s="395">
        <f>DATEVALUE(LEFT(G143,10))</f>
        <v/>
      </c>
      <c r="O143" s="396">
        <f>TIMEVALUE(MID(G143,12,8))</f>
        <v/>
      </c>
      <c r="P143" s="396">
        <f>IFERROR(_xlfn.MINIFS($M:$M,$E:$E,$E143,$K:$K,$K143,$M:$M,"&gt;"&amp;$O143),"")</f>
        <v/>
      </c>
      <c r="Q143" s="396">
        <f>IF($P143="","",$P143-$O143)</f>
        <v/>
      </c>
    </row>
    <row r="144" ht="15" customHeight="1" s="231">
      <c r="A144" s="393" t="inlineStr">
        <is>
          <t>20260719</t>
        </is>
      </c>
      <c r="B144" s="393" t="inlineStr">
        <is>
          <t>LEADS GOOGLE</t>
        </is>
      </c>
      <c r="C144" s="393" t="inlineStr">
        <is>
          <t>RABAT</t>
        </is>
      </c>
      <c r="D144" s="393" t="inlineStr">
        <is>
          <t>8858482_IPSSCDR</t>
        </is>
      </c>
      <c r="E144" s="393" t="inlineStr">
        <is>
          <t>SECKDA</t>
        </is>
      </c>
      <c r="F144" s="393" t="inlineStr">
        <is>
          <t>2026-07-19 16:47:31</t>
        </is>
      </c>
      <c r="G144" s="393" t="inlineStr">
        <is>
          <t>2026-07-19 16:53:51</t>
        </is>
      </c>
      <c r="H144" s="394" t="n">
        <v>380</v>
      </c>
      <c r="I144" s="393" t="inlineStr">
        <is>
          <t>Voice</t>
        </is>
      </c>
      <c r="J144" s="393" t="inlineStr">
        <is>
          <t>OUAQERNO</t>
        </is>
      </c>
      <c r="K144" s="395">
        <f>DATE(VALUE(LEFT(A144,4)),VALUE(MID(A144,5,2)),VALUE(RIGHT(A144,2)))</f>
        <v/>
      </c>
      <c r="L144" s="395">
        <f>DATEVALUE(LEFT(F144,10))</f>
        <v/>
      </c>
      <c r="M144" s="396">
        <f>TIMEVALUE(MID(F144,12,8))</f>
        <v/>
      </c>
      <c r="N144" s="395">
        <f>DATEVALUE(LEFT(G144,10))</f>
        <v/>
      </c>
      <c r="O144" s="396">
        <f>TIMEVALUE(MID(G144,12,8))</f>
        <v/>
      </c>
      <c r="P144" s="396">
        <f>IFERROR(_xlfn.MINIFS($M:$M,$E:$E,$E144,$K:$K,$K144,$M:$M,"&gt;"&amp;$O144),"")</f>
        <v/>
      </c>
      <c r="Q144" s="396">
        <f>IF($P144="","",$P144-$O144)</f>
        <v/>
      </c>
    </row>
    <row r="145" ht="15" customHeight="1" s="231">
      <c r="A145" s="393" t="inlineStr">
        <is>
          <t>20260719</t>
        </is>
      </c>
      <c r="B145" s="393" t="inlineStr">
        <is>
          <t>LEADS GOOGLE</t>
        </is>
      </c>
      <c r="C145" s="393" t="inlineStr">
        <is>
          <t>RABAT</t>
        </is>
      </c>
      <c r="D145" s="393" t="inlineStr">
        <is>
          <t>8858482_IPSSCDR</t>
        </is>
      </c>
      <c r="E145" s="393" t="inlineStr">
        <is>
          <t>SECKDA</t>
        </is>
      </c>
      <c r="F145" s="393" t="inlineStr">
        <is>
          <t>2026-07-19 16:54:03</t>
        </is>
      </c>
      <c r="G145" s="393" t="inlineStr">
        <is>
          <t>2026-07-19 16:58:57</t>
        </is>
      </c>
      <c r="H145" s="394" t="n">
        <v>294</v>
      </c>
      <c r="I145" s="393" t="inlineStr">
        <is>
          <t>Voice</t>
        </is>
      </c>
      <c r="J145" s="393" t="inlineStr">
        <is>
          <t>OUAQERNO</t>
        </is>
      </c>
      <c r="K145" s="395">
        <f>DATE(VALUE(LEFT(A145,4)),VALUE(MID(A145,5,2)),VALUE(RIGHT(A145,2)))</f>
        <v/>
      </c>
      <c r="L145" s="395">
        <f>DATEVALUE(LEFT(F145,10))</f>
        <v/>
      </c>
      <c r="M145" s="396">
        <f>TIMEVALUE(MID(F145,12,8))</f>
        <v/>
      </c>
      <c r="N145" s="395">
        <f>DATEVALUE(LEFT(G145,10))</f>
        <v/>
      </c>
      <c r="O145" s="396">
        <f>TIMEVALUE(MID(G145,12,8))</f>
        <v/>
      </c>
      <c r="P145" s="396">
        <f>IFERROR(_xlfn.MINIFS($M:$M,$E:$E,$E145,$K:$K,$K145,$M:$M,"&gt;"&amp;$O145),"")</f>
        <v/>
      </c>
      <c r="Q145" s="396">
        <f>IF($P145="","",$P145-$O145)</f>
        <v/>
      </c>
    </row>
    <row r="146" ht="15" customHeight="1" s="231">
      <c r="A146" s="393" t="inlineStr">
        <is>
          <t>20260719</t>
        </is>
      </c>
      <c r="B146" s="393" t="inlineStr">
        <is>
          <t>LEADS GOOGLE</t>
        </is>
      </c>
      <c r="C146" s="393" t="inlineStr">
        <is>
          <t>RABAT</t>
        </is>
      </c>
      <c r="D146" s="393" t="inlineStr">
        <is>
          <t>8858482_IPSSCDR</t>
        </is>
      </c>
      <c r="E146" s="393" t="inlineStr">
        <is>
          <t>SECKDA</t>
        </is>
      </c>
      <c r="F146" s="393" t="inlineStr">
        <is>
          <t>2026-07-19 17:06:56</t>
        </is>
      </c>
      <c r="G146" s="393" t="inlineStr">
        <is>
          <t>2026-07-19 17:07:19</t>
        </is>
      </c>
      <c r="H146" s="394" t="n">
        <v>23</v>
      </c>
      <c r="I146" s="393" t="inlineStr">
        <is>
          <t>Voice</t>
        </is>
      </c>
      <c r="J146" s="393" t="inlineStr">
        <is>
          <t>OUAQERNO</t>
        </is>
      </c>
      <c r="K146" s="395">
        <f>DATE(VALUE(LEFT(A146,4)),VALUE(MID(A146,5,2)),VALUE(RIGHT(A146,2)))</f>
        <v/>
      </c>
      <c r="L146" s="395">
        <f>DATEVALUE(LEFT(F146,10))</f>
        <v/>
      </c>
      <c r="M146" s="396">
        <f>TIMEVALUE(MID(F146,12,8))</f>
        <v/>
      </c>
      <c r="N146" s="395">
        <f>DATEVALUE(LEFT(G146,10))</f>
        <v/>
      </c>
      <c r="O146" s="396">
        <f>TIMEVALUE(MID(G146,12,8))</f>
        <v/>
      </c>
      <c r="P146" s="396">
        <f>IFERROR(_xlfn.MINIFS($M:$M,$E:$E,$E146,$K:$K,$K146,$M:$M,"&gt;"&amp;$O146),"")</f>
        <v/>
      </c>
      <c r="Q146" s="396">
        <f>IF($P146="","",$P146-$O146)</f>
        <v/>
      </c>
    </row>
    <row r="147" ht="15" customHeight="1" s="231">
      <c r="A147" s="393" t="inlineStr">
        <is>
          <t>20260719</t>
        </is>
      </c>
      <c r="B147" s="393" t="inlineStr">
        <is>
          <t>LEADS GOOGLE</t>
        </is>
      </c>
      <c r="C147" s="393" t="inlineStr">
        <is>
          <t>RABAT</t>
        </is>
      </c>
      <c r="D147" s="393" t="inlineStr">
        <is>
          <t>8858482_IPSSCDR</t>
        </is>
      </c>
      <c r="E147" s="393" t="inlineStr">
        <is>
          <t>SECKDA</t>
        </is>
      </c>
      <c r="F147" s="393" t="inlineStr">
        <is>
          <t>2026-07-19 17:18:33</t>
        </is>
      </c>
      <c r="G147" s="393" t="inlineStr">
        <is>
          <t>2026-07-19 17:21:21</t>
        </is>
      </c>
      <c r="H147" s="394" t="n">
        <v>168</v>
      </c>
      <c r="I147" s="393" t="inlineStr">
        <is>
          <t>Voice</t>
        </is>
      </c>
      <c r="J147" s="393" t="inlineStr">
        <is>
          <t>OUAQERNO</t>
        </is>
      </c>
      <c r="K147" s="395">
        <f>DATE(VALUE(LEFT(A147,4)),VALUE(MID(A147,5,2)),VALUE(RIGHT(A147,2)))</f>
        <v/>
      </c>
      <c r="L147" s="395">
        <f>DATEVALUE(LEFT(F147,10))</f>
        <v/>
      </c>
      <c r="M147" s="396">
        <f>TIMEVALUE(MID(F147,12,8))</f>
        <v/>
      </c>
      <c r="N147" s="395">
        <f>DATEVALUE(LEFT(G147,10))</f>
        <v/>
      </c>
      <c r="O147" s="396">
        <f>TIMEVALUE(MID(G147,12,8))</f>
        <v/>
      </c>
      <c r="P147" s="396">
        <f>IFERROR(_xlfn.MINIFS($M:$M,$E:$E,$E147,$K:$K,$K147,$M:$M,"&gt;"&amp;$O147),"")</f>
        <v/>
      </c>
      <c r="Q147" s="396">
        <f>IF($P147="","",$P147-$O147)</f>
        <v/>
      </c>
    </row>
    <row r="148" ht="15" customHeight="1" s="231">
      <c r="A148" s="393" t="inlineStr">
        <is>
          <t>20260719</t>
        </is>
      </c>
      <c r="B148" s="393" t="inlineStr">
        <is>
          <t>LEADS GOOGLE</t>
        </is>
      </c>
      <c r="C148" s="393" t="inlineStr">
        <is>
          <t>RABAT</t>
        </is>
      </c>
      <c r="D148" s="393" t="inlineStr">
        <is>
          <t>8858482_IPSSCDR</t>
        </is>
      </c>
      <c r="E148" s="393" t="inlineStr">
        <is>
          <t>SECKDA</t>
        </is>
      </c>
      <c r="F148" s="393" t="inlineStr">
        <is>
          <t>2026-07-19 17:57:11</t>
        </is>
      </c>
      <c r="G148" s="393" t="inlineStr">
        <is>
          <t>2026-07-19 21:00:47</t>
        </is>
      </c>
      <c r="H148" s="394" t="n">
        <v>11016</v>
      </c>
      <c r="I148" s="393" t="inlineStr">
        <is>
          <t>Voice</t>
        </is>
      </c>
      <c r="J148" s="393" t="inlineStr">
        <is>
          <t>OUAQERNO</t>
        </is>
      </c>
      <c r="K148" s="395">
        <f>DATE(VALUE(LEFT(A148,4)),VALUE(MID(A148,5,2)),VALUE(RIGHT(A148,2)))</f>
        <v/>
      </c>
      <c r="L148" s="395">
        <f>DATEVALUE(LEFT(F148,10))</f>
        <v/>
      </c>
      <c r="M148" s="396">
        <f>TIMEVALUE(MID(F148,12,8))</f>
        <v/>
      </c>
      <c r="N148" s="395">
        <f>DATEVALUE(LEFT(G148,10))</f>
        <v/>
      </c>
      <c r="O148" s="396">
        <f>TIMEVALUE(MID(G148,12,8))</f>
        <v/>
      </c>
      <c r="P148" s="396">
        <f>IFERROR(_xlfn.MINIFS($M:$M,$E:$E,$E148,$K:$K,$K148,$M:$M,"&gt;"&amp;$O148),"")</f>
        <v/>
      </c>
      <c r="Q148" s="396">
        <f>IF($P148="","",$P148-$O148)</f>
        <v/>
      </c>
    </row>
    <row r="149" ht="15" customHeight="1" s="231">
      <c r="A149" s="393" t="inlineStr">
        <is>
          <t>20260720</t>
        </is>
      </c>
      <c r="B149" s="393" t="inlineStr">
        <is>
          <t>LEADS GOOGLE</t>
        </is>
      </c>
      <c r="C149" s="393" t="inlineStr">
        <is>
          <t>RABAT</t>
        </is>
      </c>
      <c r="D149" s="393" t="inlineStr">
        <is>
          <t>8858466_IPSBLAZ</t>
        </is>
      </c>
      <c r="E149" s="393" t="inlineStr">
        <is>
          <t>ABILLAAL</t>
        </is>
      </c>
      <c r="F149" s="393" t="inlineStr">
        <is>
          <t>2026-07-20 09:54:09</t>
        </is>
      </c>
      <c r="G149" s="393" t="inlineStr">
        <is>
          <t>2026-07-20 15:00:03</t>
        </is>
      </c>
      <c r="H149" s="394" t="n">
        <v>18354</v>
      </c>
      <c r="I149" s="393" t="inlineStr">
        <is>
          <t>Voice</t>
        </is>
      </c>
      <c r="J149" s="393" t="inlineStr">
        <is>
          <t>RHOUDAOT</t>
        </is>
      </c>
      <c r="K149" s="395">
        <f>DATE(VALUE(LEFT(A149,4)),VALUE(MID(A149,5,2)),VALUE(RIGHT(A149,2)))</f>
        <v/>
      </c>
      <c r="L149" s="395">
        <f>DATEVALUE(LEFT(F149,10))</f>
        <v/>
      </c>
      <c r="M149" s="396">
        <f>TIMEVALUE(MID(F149,12,8))</f>
        <v/>
      </c>
      <c r="N149" s="395">
        <f>DATEVALUE(LEFT(G149,10))</f>
        <v/>
      </c>
      <c r="O149" s="396">
        <f>TIMEVALUE(MID(G149,12,8))</f>
        <v/>
      </c>
      <c r="P149" s="396">
        <f>IFERROR(_xlfn.MINIFS($M:$M,$E:$E,$E149,$K:$K,$K149,$M:$M,"&gt;"&amp;$O149),"")</f>
        <v/>
      </c>
      <c r="Q149" s="396">
        <f>IF($P149="","",$P149-$O149)</f>
        <v/>
      </c>
    </row>
    <row r="150" ht="15" customHeight="1" s="231">
      <c r="A150" s="393" t="inlineStr">
        <is>
          <t>20260720</t>
        </is>
      </c>
      <c r="B150" s="393" t="inlineStr">
        <is>
          <t>LEADS GOOGLE</t>
        </is>
      </c>
      <c r="C150" s="393" t="inlineStr">
        <is>
          <t>RABAT</t>
        </is>
      </c>
      <c r="D150" s="393" t="inlineStr">
        <is>
          <t>8858466_IPSBLAZ</t>
        </is>
      </c>
      <c r="E150" s="393" t="inlineStr">
        <is>
          <t>ABILLAAL</t>
        </is>
      </c>
      <c r="F150" s="393" t="inlineStr">
        <is>
          <t>2026-07-20 16:09:55</t>
        </is>
      </c>
      <c r="G150" s="393" t="inlineStr">
        <is>
          <t>2026-07-20 16:14:28</t>
        </is>
      </c>
      <c r="H150" s="394" t="n">
        <v>273</v>
      </c>
      <c r="I150" s="393" t="inlineStr">
        <is>
          <t>Voice</t>
        </is>
      </c>
      <c r="J150" s="393" t="inlineStr">
        <is>
          <t>RHOUDAOT</t>
        </is>
      </c>
      <c r="K150" s="395">
        <f>DATE(VALUE(LEFT(A150,4)),VALUE(MID(A150,5,2)),VALUE(RIGHT(A150,2)))</f>
        <v/>
      </c>
      <c r="L150" s="395">
        <f>DATEVALUE(LEFT(F150,10))</f>
        <v/>
      </c>
      <c r="M150" s="396">
        <f>TIMEVALUE(MID(F150,12,8))</f>
        <v/>
      </c>
      <c r="N150" s="395">
        <f>DATEVALUE(LEFT(G150,10))</f>
        <v/>
      </c>
      <c r="O150" s="396">
        <f>TIMEVALUE(MID(G150,12,8))</f>
        <v/>
      </c>
      <c r="P150" s="396">
        <f>IFERROR(_xlfn.MINIFS($M:$M,$E:$E,$E150,$K:$K,$K150,$M:$M,"&gt;"&amp;$O150),"")</f>
        <v/>
      </c>
      <c r="Q150" s="396">
        <f>IF($P150="","",$P150-$O150)</f>
        <v/>
      </c>
    </row>
    <row r="151" ht="15" customHeight="1" s="231">
      <c r="A151" s="393" t="inlineStr">
        <is>
          <t>20260720</t>
        </is>
      </c>
      <c r="B151" s="393" t="inlineStr">
        <is>
          <t>LEADS GOOGLE</t>
        </is>
      </c>
      <c r="C151" s="393" t="inlineStr">
        <is>
          <t>RABAT</t>
        </is>
      </c>
      <c r="D151" s="393" t="inlineStr">
        <is>
          <t>8858466_IPSBLAZ</t>
        </is>
      </c>
      <c r="E151" s="393" t="inlineStr">
        <is>
          <t>ABILLAAL</t>
        </is>
      </c>
      <c r="F151" s="393" t="inlineStr">
        <is>
          <t>2026-07-20 16:15:32</t>
        </is>
      </c>
      <c r="G151" s="393" t="inlineStr">
        <is>
          <t>2026-07-20 17:17:56</t>
        </is>
      </c>
      <c r="H151" s="394" t="n">
        <v>3744</v>
      </c>
      <c r="I151" s="393" t="inlineStr">
        <is>
          <t>Voice</t>
        </is>
      </c>
      <c r="J151" s="393" t="inlineStr">
        <is>
          <t>RHOUDAOT</t>
        </is>
      </c>
      <c r="K151" s="395">
        <f>DATE(VALUE(LEFT(A151,4)),VALUE(MID(A151,5,2)),VALUE(RIGHT(A151,2)))</f>
        <v/>
      </c>
      <c r="L151" s="395">
        <f>DATEVALUE(LEFT(F151,10))</f>
        <v/>
      </c>
      <c r="M151" s="396">
        <f>TIMEVALUE(MID(F151,12,8))</f>
        <v/>
      </c>
      <c r="N151" s="395">
        <f>DATEVALUE(LEFT(G151,10))</f>
        <v/>
      </c>
      <c r="O151" s="396">
        <f>TIMEVALUE(MID(G151,12,8))</f>
        <v/>
      </c>
      <c r="P151" s="396">
        <f>IFERROR(_xlfn.MINIFS($M:$M,$E:$E,$E151,$K:$K,$K151,$M:$M,"&gt;"&amp;$O151),"")</f>
        <v/>
      </c>
      <c r="Q151" s="396">
        <f>IF($P151="","",$P151-$O151)</f>
        <v/>
      </c>
    </row>
    <row r="152" ht="15" customHeight="1" s="231">
      <c r="A152" s="393" t="inlineStr">
        <is>
          <t>20260720</t>
        </is>
      </c>
      <c r="B152" s="393" t="inlineStr">
        <is>
          <t>LEADS GOOGLE</t>
        </is>
      </c>
      <c r="C152" s="393" t="inlineStr">
        <is>
          <t>RABAT</t>
        </is>
      </c>
      <c r="D152" s="393" t="inlineStr">
        <is>
          <t>8858466_IPSBLAZ</t>
        </is>
      </c>
      <c r="E152" s="393" t="inlineStr">
        <is>
          <t>ABILLAAL</t>
        </is>
      </c>
      <c r="F152" s="393" t="inlineStr">
        <is>
          <t>2026-07-20 17:19:29</t>
        </is>
      </c>
      <c r="G152" s="393" t="inlineStr">
        <is>
          <t>2026-07-20 20:00:01</t>
        </is>
      </c>
      <c r="H152" s="394" t="n">
        <v>9632</v>
      </c>
      <c r="I152" s="393" t="inlineStr">
        <is>
          <t>Voice</t>
        </is>
      </c>
      <c r="J152" s="393" t="inlineStr">
        <is>
          <t>RHOUDAOT</t>
        </is>
      </c>
      <c r="K152" s="395">
        <f>DATE(VALUE(LEFT(A152,4)),VALUE(MID(A152,5,2)),VALUE(RIGHT(A152,2)))</f>
        <v/>
      </c>
      <c r="L152" s="395">
        <f>DATEVALUE(LEFT(F152,10))</f>
        <v/>
      </c>
      <c r="M152" s="396">
        <f>TIMEVALUE(MID(F152,12,8))</f>
        <v/>
      </c>
      <c r="N152" s="395">
        <f>DATEVALUE(LEFT(G152,10))</f>
        <v/>
      </c>
      <c r="O152" s="396">
        <f>TIMEVALUE(MID(G152,12,8))</f>
        <v/>
      </c>
      <c r="P152" s="396">
        <f>IFERROR(_xlfn.MINIFS($M:$M,$E:$E,$E152,$K:$K,$K152,$M:$M,"&gt;"&amp;$O152),"")</f>
        <v/>
      </c>
      <c r="Q152" s="396">
        <f>IF($P152="","",$P152-$O152)</f>
        <v/>
      </c>
    </row>
    <row r="153" ht="15" customHeight="1" s="231">
      <c r="A153" s="393" t="inlineStr">
        <is>
          <t>20260720</t>
        </is>
      </c>
      <c r="B153" s="393" t="inlineStr">
        <is>
          <t>LEADS GOOGLE</t>
        </is>
      </c>
      <c r="C153" s="393" t="inlineStr">
        <is>
          <t>RABAT</t>
        </is>
      </c>
      <c r="D153" s="393" t="inlineStr">
        <is>
          <t>8858327_IPSAIZU</t>
        </is>
      </c>
      <c r="E153" s="393" t="inlineStr">
        <is>
          <t>AINELKZI</t>
        </is>
      </c>
      <c r="F153" s="393" t="inlineStr">
        <is>
          <t>2026-07-20 10:54:04</t>
        </is>
      </c>
      <c r="G153" s="393" t="inlineStr">
        <is>
          <t>2026-07-20 10:54:14</t>
        </is>
      </c>
      <c r="H153" s="394" t="n">
        <v>10</v>
      </c>
      <c r="I153" s="393" t="inlineStr">
        <is>
          <t>Voice</t>
        </is>
      </c>
      <c r="J153" s="393" t="inlineStr">
        <is>
          <t>OUAQERNO</t>
        </is>
      </c>
      <c r="K153" s="395">
        <f>DATE(VALUE(LEFT(A153,4)),VALUE(MID(A153,5,2)),VALUE(RIGHT(A153,2)))</f>
        <v/>
      </c>
      <c r="L153" s="395">
        <f>DATEVALUE(LEFT(F153,10))</f>
        <v/>
      </c>
      <c r="M153" s="396">
        <f>TIMEVALUE(MID(F153,12,8))</f>
        <v/>
      </c>
      <c r="N153" s="395">
        <f>DATEVALUE(LEFT(G153,10))</f>
        <v/>
      </c>
      <c r="O153" s="396">
        <f>TIMEVALUE(MID(G153,12,8))</f>
        <v/>
      </c>
      <c r="P153" s="396">
        <f>IFERROR(_xlfn.MINIFS($M:$M,$E:$E,$E153,$K:$K,$K153,$M:$M,"&gt;"&amp;$O153),"")</f>
        <v/>
      </c>
      <c r="Q153" s="396">
        <f>IF($P153="","",$P153-$O153)</f>
        <v/>
      </c>
    </row>
    <row r="154" ht="15" customHeight="1" s="231">
      <c r="A154" s="393" t="inlineStr">
        <is>
          <t>20260720</t>
        </is>
      </c>
      <c r="B154" s="393" t="inlineStr">
        <is>
          <t>LEADS GOOGLE</t>
        </is>
      </c>
      <c r="C154" s="393" t="inlineStr">
        <is>
          <t>RABAT</t>
        </is>
      </c>
      <c r="D154" s="393" t="inlineStr">
        <is>
          <t>8858327_IPSAIZU</t>
        </is>
      </c>
      <c r="E154" s="393" t="inlineStr">
        <is>
          <t>AINELKZI</t>
        </is>
      </c>
      <c r="F154" s="393" t="inlineStr">
        <is>
          <t>2026-07-20 11:00:24</t>
        </is>
      </c>
      <c r="G154" s="393" t="inlineStr">
        <is>
          <t>2026-07-20 15:00:30</t>
        </is>
      </c>
      <c r="H154" s="394" t="n">
        <v>14406</v>
      </c>
      <c r="I154" s="393" t="inlineStr">
        <is>
          <t>Voice</t>
        </is>
      </c>
      <c r="J154" s="393" t="inlineStr">
        <is>
          <t>OUAQERNO</t>
        </is>
      </c>
      <c r="K154" s="395">
        <f>DATE(VALUE(LEFT(A154,4)),VALUE(MID(A154,5,2)),VALUE(RIGHT(A154,2)))</f>
        <v/>
      </c>
      <c r="L154" s="395">
        <f>DATEVALUE(LEFT(F154,10))</f>
        <v/>
      </c>
      <c r="M154" s="396">
        <f>TIMEVALUE(MID(F154,12,8))</f>
        <v/>
      </c>
      <c r="N154" s="395">
        <f>DATEVALUE(LEFT(G154,10))</f>
        <v/>
      </c>
      <c r="O154" s="396">
        <f>TIMEVALUE(MID(G154,12,8))</f>
        <v/>
      </c>
      <c r="P154" s="396">
        <f>IFERROR(_xlfn.MINIFS($M:$M,$E:$E,$E154,$K:$K,$K154,$M:$M,"&gt;"&amp;$O154),"")</f>
        <v/>
      </c>
      <c r="Q154" s="396">
        <f>IF($P154="","",$P154-$O154)</f>
        <v/>
      </c>
    </row>
    <row r="155" ht="15" customHeight="1" s="231">
      <c r="A155" s="393" t="inlineStr">
        <is>
          <t>20260720</t>
        </is>
      </c>
      <c r="B155" s="393" t="inlineStr">
        <is>
          <t>LEADS GOOGLE</t>
        </is>
      </c>
      <c r="C155" s="393" t="inlineStr">
        <is>
          <t>RABAT</t>
        </is>
      </c>
      <c r="D155" s="393" t="inlineStr">
        <is>
          <t>8858327_IPSAIZU</t>
        </is>
      </c>
      <c r="E155" s="393" t="inlineStr">
        <is>
          <t>AINELKZI</t>
        </is>
      </c>
      <c r="F155" s="393" t="inlineStr">
        <is>
          <t>2026-07-20 15:58:53</t>
        </is>
      </c>
      <c r="G155" s="393" t="inlineStr">
        <is>
          <t>2026-07-20 21:00:20</t>
        </is>
      </c>
      <c r="H155" s="394" t="n">
        <v>18087</v>
      </c>
      <c r="I155" s="393" t="inlineStr">
        <is>
          <t>Voice</t>
        </is>
      </c>
      <c r="J155" s="393" t="inlineStr">
        <is>
          <t>OUAQERNO</t>
        </is>
      </c>
      <c r="K155" s="395">
        <f>DATE(VALUE(LEFT(A155,4)),VALUE(MID(A155,5,2)),VALUE(RIGHT(A155,2)))</f>
        <v/>
      </c>
      <c r="L155" s="395">
        <f>DATEVALUE(LEFT(F155,10))</f>
        <v/>
      </c>
      <c r="M155" s="396">
        <f>TIMEVALUE(MID(F155,12,8))</f>
        <v/>
      </c>
      <c r="N155" s="395">
        <f>DATEVALUE(LEFT(G155,10))</f>
        <v/>
      </c>
      <c r="O155" s="396">
        <f>TIMEVALUE(MID(G155,12,8))</f>
        <v/>
      </c>
      <c r="P155" s="396">
        <f>IFERROR(_xlfn.MINIFS($M:$M,$E:$E,$E155,$K:$K,$K155,$M:$M,"&gt;"&amp;$O155),"")</f>
        <v/>
      </c>
      <c r="Q155" s="396">
        <f>IF($P155="","",$P155-$O155)</f>
        <v/>
      </c>
    </row>
    <row r="156" ht="15" customHeight="1" s="231">
      <c r="A156" s="393" t="inlineStr">
        <is>
          <t>20260720</t>
        </is>
      </c>
      <c r="B156" s="393" t="inlineStr">
        <is>
          <t>LEADS GOOGLE</t>
        </is>
      </c>
      <c r="C156" s="393" t="inlineStr">
        <is>
          <t>RABAT</t>
        </is>
      </c>
      <c r="D156" s="393" t="inlineStr">
        <is>
          <t>8858779_IPSAIKH</t>
        </is>
      </c>
      <c r="E156" s="393" t="inlineStr">
        <is>
          <t>AITADDKH</t>
        </is>
      </c>
      <c r="F156" s="393" t="inlineStr">
        <is>
          <t>2026-07-20 07:58:45</t>
        </is>
      </c>
      <c r="G156" s="393" t="inlineStr">
        <is>
          <t>2026-07-20 08:01:58</t>
        </is>
      </c>
      <c r="H156" s="394" t="n">
        <v>193</v>
      </c>
      <c r="I156" s="393" t="inlineStr">
        <is>
          <t>Voice</t>
        </is>
      </c>
      <c r="J156" s="393" t="inlineStr">
        <is>
          <t>OUAQERNO</t>
        </is>
      </c>
      <c r="K156" s="395">
        <f>DATE(VALUE(LEFT(A156,4)),VALUE(MID(A156,5,2)),VALUE(RIGHT(A156,2)))</f>
        <v/>
      </c>
      <c r="L156" s="395">
        <f>DATEVALUE(LEFT(F156,10))</f>
        <v/>
      </c>
      <c r="M156" s="396">
        <f>TIMEVALUE(MID(F156,12,8))</f>
        <v/>
      </c>
      <c r="N156" s="395">
        <f>DATEVALUE(LEFT(G156,10))</f>
        <v/>
      </c>
      <c r="O156" s="396">
        <f>TIMEVALUE(MID(G156,12,8))</f>
        <v/>
      </c>
      <c r="P156" s="396">
        <f>IFERROR(_xlfn.MINIFS($M:$M,$E:$E,$E156,$K:$K,$K156,$M:$M,"&gt;"&amp;$O156),"")</f>
        <v/>
      </c>
      <c r="Q156" s="396">
        <f>IF($P156="","",$P156-$O156)</f>
        <v/>
      </c>
    </row>
    <row r="157" ht="15" customHeight="1" s="231">
      <c r="A157" s="393" t="inlineStr">
        <is>
          <t>20260720</t>
        </is>
      </c>
      <c r="B157" s="393" t="inlineStr">
        <is>
          <t>LEADS GOOGLE</t>
        </is>
      </c>
      <c r="C157" s="393" t="inlineStr">
        <is>
          <t>RABAT</t>
        </is>
      </c>
      <c r="D157" s="393" t="inlineStr">
        <is>
          <t>8858779_IPSAIKH</t>
        </is>
      </c>
      <c r="E157" s="393" t="inlineStr">
        <is>
          <t>AITADDKH</t>
        </is>
      </c>
      <c r="F157" s="393" t="inlineStr">
        <is>
          <t>2026-07-20 08:02:48</t>
        </is>
      </c>
      <c r="G157" s="393" t="inlineStr">
        <is>
          <t>2026-07-20 13:00:09</t>
        </is>
      </c>
      <c r="H157" s="394" t="n">
        <v>17841</v>
      </c>
      <c r="I157" s="393" t="inlineStr">
        <is>
          <t>Voice</t>
        </is>
      </c>
      <c r="J157" s="393" t="inlineStr">
        <is>
          <t>OUAQERNO</t>
        </is>
      </c>
      <c r="K157" s="395">
        <f>DATE(VALUE(LEFT(A157,4)),VALUE(MID(A157,5,2)),VALUE(RIGHT(A157,2)))</f>
        <v/>
      </c>
      <c r="L157" s="395">
        <f>DATEVALUE(LEFT(F157,10))</f>
        <v/>
      </c>
      <c r="M157" s="396">
        <f>TIMEVALUE(MID(F157,12,8))</f>
        <v/>
      </c>
      <c r="N157" s="395">
        <f>DATEVALUE(LEFT(G157,10))</f>
        <v/>
      </c>
      <c r="O157" s="396">
        <f>TIMEVALUE(MID(G157,12,8))</f>
        <v/>
      </c>
      <c r="P157" s="396">
        <f>IFERROR(_xlfn.MINIFS($M:$M,$E:$E,$E157,$K:$K,$K157,$M:$M,"&gt;"&amp;$O157),"")</f>
        <v/>
      </c>
      <c r="Q157" s="396">
        <f>IF($P157="","",$P157-$O157)</f>
        <v/>
      </c>
    </row>
    <row r="158" ht="15" customHeight="1" s="231">
      <c r="A158" s="393" t="inlineStr">
        <is>
          <t>20260720</t>
        </is>
      </c>
      <c r="B158" s="393" t="inlineStr">
        <is>
          <t>LEADS GOOGLE</t>
        </is>
      </c>
      <c r="C158" s="393" t="inlineStr">
        <is>
          <t>RABAT</t>
        </is>
      </c>
      <c r="D158" s="393" t="inlineStr">
        <is>
          <t>8858779_IPSAIKH</t>
        </is>
      </c>
      <c r="E158" s="393" t="inlineStr">
        <is>
          <t>AITADDKH</t>
        </is>
      </c>
      <c r="F158" s="393" t="inlineStr">
        <is>
          <t>2026-07-20 13:57:44</t>
        </is>
      </c>
      <c r="G158" s="393" t="inlineStr">
        <is>
          <t>2026-07-20 16:13:43</t>
        </is>
      </c>
      <c r="H158" s="394" t="n">
        <v>8159</v>
      </c>
      <c r="I158" s="393" t="inlineStr">
        <is>
          <t>Voice</t>
        </is>
      </c>
      <c r="J158" s="393" t="inlineStr">
        <is>
          <t>OUAQERNO</t>
        </is>
      </c>
      <c r="K158" s="395">
        <f>DATE(VALUE(LEFT(A158,4)),VALUE(MID(A158,5,2)),VALUE(RIGHT(A158,2)))</f>
        <v/>
      </c>
      <c r="L158" s="395">
        <f>DATEVALUE(LEFT(F158,10))</f>
        <v/>
      </c>
      <c r="M158" s="396">
        <f>TIMEVALUE(MID(F158,12,8))</f>
        <v/>
      </c>
      <c r="N158" s="395">
        <f>DATEVALUE(LEFT(G158,10))</f>
        <v/>
      </c>
      <c r="O158" s="396">
        <f>TIMEVALUE(MID(G158,12,8))</f>
        <v/>
      </c>
      <c r="P158" s="396">
        <f>IFERROR(_xlfn.MINIFS($M:$M,$E:$E,$E158,$K:$K,$K158,$M:$M,"&gt;"&amp;$O158),"")</f>
        <v/>
      </c>
      <c r="Q158" s="396">
        <f>IF($P158="","",$P158-$O158)</f>
        <v/>
      </c>
    </row>
    <row r="159" ht="15" customHeight="1" s="231">
      <c r="A159" s="393" t="inlineStr">
        <is>
          <t>20260720</t>
        </is>
      </c>
      <c r="B159" s="393" t="inlineStr">
        <is>
          <t>LEADS GOOGLE</t>
        </is>
      </c>
      <c r="C159" s="393" t="inlineStr">
        <is>
          <t>RABAT</t>
        </is>
      </c>
      <c r="D159" s="393" t="inlineStr">
        <is>
          <t>8858779_IPSAIKH</t>
        </is>
      </c>
      <c r="E159" s="393" t="inlineStr">
        <is>
          <t>AITADDKH</t>
        </is>
      </c>
      <c r="F159" s="393" t="inlineStr">
        <is>
          <t>2026-07-20 16:15:01</t>
        </is>
      </c>
      <c r="G159" s="393" t="inlineStr">
        <is>
          <t>2026-07-20 18:00:03</t>
        </is>
      </c>
      <c r="H159" s="394" t="n">
        <v>6302</v>
      </c>
      <c r="I159" s="393" t="inlineStr">
        <is>
          <t>Voice</t>
        </is>
      </c>
      <c r="J159" s="393" t="inlineStr">
        <is>
          <t>OUAQERNO</t>
        </is>
      </c>
      <c r="K159" s="395">
        <f>DATE(VALUE(LEFT(A159,4)),VALUE(MID(A159,5,2)),VALUE(RIGHT(A159,2)))</f>
        <v/>
      </c>
      <c r="L159" s="395">
        <f>DATEVALUE(LEFT(F159,10))</f>
        <v/>
      </c>
      <c r="M159" s="396">
        <f>TIMEVALUE(MID(F159,12,8))</f>
        <v/>
      </c>
      <c r="N159" s="395">
        <f>DATEVALUE(LEFT(G159,10))</f>
        <v/>
      </c>
      <c r="O159" s="396">
        <f>TIMEVALUE(MID(G159,12,8))</f>
        <v/>
      </c>
      <c r="P159" s="396">
        <f>IFERROR(_xlfn.MINIFS($M:$M,$E:$E,$E159,$K:$K,$K159,$M:$M,"&gt;"&amp;$O159),"")</f>
        <v/>
      </c>
      <c r="Q159" s="396">
        <f>IF($P159="","",$P159-$O159)</f>
        <v/>
      </c>
    </row>
    <row r="160" ht="15" customHeight="1" s="231">
      <c r="A160" s="393" t="inlineStr">
        <is>
          <t>20260720</t>
        </is>
      </c>
      <c r="B160" s="393" t="inlineStr">
        <is>
          <t>LEADS GOOGLE</t>
        </is>
      </c>
      <c r="C160" s="393" t="inlineStr">
        <is>
          <t>RABAT</t>
        </is>
      </c>
      <c r="D160" s="393" t="inlineStr">
        <is>
          <t>8858613_IPSAIHX</t>
        </is>
      </c>
      <c r="E160" s="393" t="inlineStr">
        <is>
          <t>AITLARHD</t>
        </is>
      </c>
      <c r="F160" s="393" t="inlineStr">
        <is>
          <t>2026-07-20 08:00:24</t>
        </is>
      </c>
      <c r="G160" s="393" t="inlineStr">
        <is>
          <t>2026-07-20 08:05:52</t>
        </is>
      </c>
      <c r="H160" s="394" t="n">
        <v>328</v>
      </c>
      <c r="I160" s="393" t="inlineStr">
        <is>
          <t>Voice</t>
        </is>
      </c>
      <c r="J160" s="393" t="inlineStr">
        <is>
          <t>HAOUACIK</t>
        </is>
      </c>
      <c r="K160" s="395">
        <f>DATE(VALUE(LEFT(A160,4)),VALUE(MID(A160,5,2)),VALUE(RIGHT(A160,2)))</f>
        <v/>
      </c>
      <c r="L160" s="395">
        <f>DATEVALUE(LEFT(F160,10))</f>
        <v/>
      </c>
      <c r="M160" s="396">
        <f>TIMEVALUE(MID(F160,12,8))</f>
        <v/>
      </c>
      <c r="N160" s="395">
        <f>DATEVALUE(LEFT(G160,10))</f>
        <v/>
      </c>
      <c r="O160" s="396">
        <f>TIMEVALUE(MID(G160,12,8))</f>
        <v/>
      </c>
      <c r="P160" s="396">
        <f>IFERROR(_xlfn.MINIFS($M:$M,$E:$E,$E160,$K:$K,$K160,$M:$M,"&gt;"&amp;$O160),"")</f>
        <v/>
      </c>
      <c r="Q160" s="396">
        <f>IF($P160="","",$P160-$O160)</f>
        <v/>
      </c>
    </row>
    <row r="161" ht="15" customHeight="1" s="231">
      <c r="A161" s="393" t="inlineStr">
        <is>
          <t>20260720</t>
        </is>
      </c>
      <c r="B161" s="393" t="inlineStr">
        <is>
          <t>LEADS GOOGLE</t>
        </is>
      </c>
      <c r="C161" s="393" t="inlineStr">
        <is>
          <t>RABAT</t>
        </is>
      </c>
      <c r="D161" s="393" t="inlineStr">
        <is>
          <t>8858613_IPSAIHX</t>
        </is>
      </c>
      <c r="E161" s="393" t="inlineStr">
        <is>
          <t>AITLARHD</t>
        </is>
      </c>
      <c r="F161" s="393" t="inlineStr">
        <is>
          <t>2026-07-20 08:06:37</t>
        </is>
      </c>
      <c r="G161" s="393" t="inlineStr">
        <is>
          <t>2026-07-20 13:00:01</t>
        </is>
      </c>
      <c r="H161" s="394" t="n">
        <v>17604</v>
      </c>
      <c r="I161" s="393" t="inlineStr">
        <is>
          <t>Voice</t>
        </is>
      </c>
      <c r="J161" s="393" t="inlineStr">
        <is>
          <t>HAOUACIK</t>
        </is>
      </c>
      <c r="K161" s="395">
        <f>DATE(VALUE(LEFT(A161,4)),VALUE(MID(A161,5,2)),VALUE(RIGHT(A161,2)))</f>
        <v/>
      </c>
      <c r="L161" s="395">
        <f>DATEVALUE(LEFT(F161,10))</f>
        <v/>
      </c>
      <c r="M161" s="396">
        <f>TIMEVALUE(MID(F161,12,8))</f>
        <v/>
      </c>
      <c r="N161" s="395">
        <f>DATEVALUE(LEFT(G161,10))</f>
        <v/>
      </c>
      <c r="O161" s="396">
        <f>TIMEVALUE(MID(G161,12,8))</f>
        <v/>
      </c>
      <c r="P161" s="396">
        <f>IFERROR(_xlfn.MINIFS($M:$M,$E:$E,$E161,$K:$K,$K161,$M:$M,"&gt;"&amp;$O161),"")</f>
        <v/>
      </c>
      <c r="Q161" s="396">
        <f>IF($P161="","",$P161-$O161)</f>
        <v/>
      </c>
    </row>
    <row r="162" ht="15" customHeight="1" s="231">
      <c r="A162" s="393" t="inlineStr">
        <is>
          <t>20260720</t>
        </is>
      </c>
      <c r="B162" s="393" t="inlineStr">
        <is>
          <t>LEADS GOOGLE</t>
        </is>
      </c>
      <c r="C162" s="393" t="inlineStr">
        <is>
          <t>RABAT</t>
        </is>
      </c>
      <c r="D162" s="393" t="inlineStr">
        <is>
          <t>8858613_IPSAIHX</t>
        </is>
      </c>
      <c r="E162" s="393" t="inlineStr">
        <is>
          <t>AITLARHD</t>
        </is>
      </c>
      <c r="F162" s="393" t="inlineStr">
        <is>
          <t>2026-07-20 13:59:15</t>
        </is>
      </c>
      <c r="G162" s="393" t="inlineStr">
        <is>
          <t>2026-07-20 16:07:51</t>
        </is>
      </c>
      <c r="H162" s="394" t="n">
        <v>7716</v>
      </c>
      <c r="I162" s="393" t="inlineStr">
        <is>
          <t>Voice</t>
        </is>
      </c>
      <c r="J162" s="393" t="inlineStr">
        <is>
          <t>HAOUACIK</t>
        </is>
      </c>
      <c r="K162" s="395">
        <f>DATE(VALUE(LEFT(A162,4)),VALUE(MID(A162,5,2)),VALUE(RIGHT(A162,2)))</f>
        <v/>
      </c>
      <c r="L162" s="395">
        <f>DATEVALUE(LEFT(F162,10))</f>
        <v/>
      </c>
      <c r="M162" s="396">
        <f>TIMEVALUE(MID(F162,12,8))</f>
        <v/>
      </c>
      <c r="N162" s="395">
        <f>DATEVALUE(LEFT(G162,10))</f>
        <v/>
      </c>
      <c r="O162" s="396">
        <f>TIMEVALUE(MID(G162,12,8))</f>
        <v/>
      </c>
      <c r="P162" s="396">
        <f>IFERROR(_xlfn.MINIFS($M:$M,$E:$E,$E162,$K:$K,$K162,$M:$M,"&gt;"&amp;$O162),"")</f>
        <v/>
      </c>
      <c r="Q162" s="396">
        <f>IF($P162="","",$P162-$O162)</f>
        <v/>
      </c>
    </row>
    <row r="163" ht="15" customHeight="1" s="231">
      <c r="A163" s="393" t="inlineStr">
        <is>
          <t>20260720</t>
        </is>
      </c>
      <c r="B163" s="393" t="inlineStr">
        <is>
          <t>LEADS GOOGLE</t>
        </is>
      </c>
      <c r="C163" s="393" t="inlineStr">
        <is>
          <t>RABAT</t>
        </is>
      </c>
      <c r="D163" s="393" t="inlineStr">
        <is>
          <t>8858613_IPSAIHX</t>
        </is>
      </c>
      <c r="E163" s="393" t="inlineStr">
        <is>
          <t>AITLARHD</t>
        </is>
      </c>
      <c r="F163" s="393" t="inlineStr">
        <is>
          <t>2026-07-20 16:07:55</t>
        </is>
      </c>
      <c r="G163" s="393" t="inlineStr">
        <is>
          <t>2026-07-20 16:12:52</t>
        </is>
      </c>
      <c r="H163" s="394" t="n">
        <v>297</v>
      </c>
      <c r="I163" s="393" t="inlineStr">
        <is>
          <t>Voice</t>
        </is>
      </c>
      <c r="J163" s="393" t="inlineStr">
        <is>
          <t>HAOUACIK</t>
        </is>
      </c>
      <c r="K163" s="395">
        <f>DATE(VALUE(LEFT(A163,4)),VALUE(MID(A163,5,2)),VALUE(RIGHT(A163,2)))</f>
        <v/>
      </c>
      <c r="L163" s="395">
        <f>DATEVALUE(LEFT(F163,10))</f>
        <v/>
      </c>
      <c r="M163" s="396">
        <f>TIMEVALUE(MID(F163,12,8))</f>
        <v/>
      </c>
      <c r="N163" s="395">
        <f>DATEVALUE(LEFT(G163,10))</f>
        <v/>
      </c>
      <c r="O163" s="396">
        <f>TIMEVALUE(MID(G163,12,8))</f>
        <v/>
      </c>
      <c r="P163" s="396">
        <f>IFERROR(_xlfn.MINIFS($M:$M,$E:$E,$E163,$K:$K,$K163,$M:$M,"&gt;"&amp;$O163),"")</f>
        <v/>
      </c>
      <c r="Q163" s="396">
        <f>IF($P163="","",$P163-$O163)</f>
        <v/>
      </c>
    </row>
    <row r="164" ht="15" customHeight="1" s="231">
      <c r="A164" s="393" t="inlineStr">
        <is>
          <t>20260720</t>
        </is>
      </c>
      <c r="B164" s="393" t="inlineStr">
        <is>
          <t>LEADS GOOGLE</t>
        </is>
      </c>
      <c r="C164" s="393" t="inlineStr">
        <is>
          <t>RABAT</t>
        </is>
      </c>
      <c r="D164" s="393" t="inlineStr">
        <is>
          <t>8858613_IPSAIHX</t>
        </is>
      </c>
      <c r="E164" s="393" t="inlineStr">
        <is>
          <t>AITLARHD</t>
        </is>
      </c>
      <c r="F164" s="393" t="inlineStr">
        <is>
          <t>2026-07-20 16:13:33</t>
        </is>
      </c>
      <c r="G164" s="393" t="inlineStr">
        <is>
          <t>2026-07-20 18:00:11</t>
        </is>
      </c>
      <c r="H164" s="394" t="n">
        <v>6398</v>
      </c>
      <c r="I164" s="393" t="inlineStr">
        <is>
          <t>Voice</t>
        </is>
      </c>
      <c r="J164" s="393" t="inlineStr">
        <is>
          <t>HAOUACIK</t>
        </is>
      </c>
      <c r="K164" s="395">
        <f>DATE(VALUE(LEFT(A164,4)),VALUE(MID(A164,5,2)),VALUE(RIGHT(A164,2)))</f>
        <v/>
      </c>
      <c r="L164" s="395">
        <f>DATEVALUE(LEFT(F164,10))</f>
        <v/>
      </c>
      <c r="M164" s="396">
        <f>TIMEVALUE(MID(F164,12,8))</f>
        <v/>
      </c>
      <c r="N164" s="395">
        <f>DATEVALUE(LEFT(G164,10))</f>
        <v/>
      </c>
      <c r="O164" s="396">
        <f>TIMEVALUE(MID(G164,12,8))</f>
        <v/>
      </c>
      <c r="P164" s="396">
        <f>IFERROR(_xlfn.MINIFS($M:$M,$E:$E,$E164,$K:$K,$K164,$M:$M,"&gt;"&amp;$O164),"")</f>
        <v/>
      </c>
      <c r="Q164" s="396">
        <f>IF($P164="","",$P164-$O164)</f>
        <v/>
      </c>
    </row>
    <row r="165" ht="15" customHeight="1" s="231">
      <c r="A165" s="393" t="inlineStr">
        <is>
          <t>20260720</t>
        </is>
      </c>
      <c r="B165" s="393" t="inlineStr">
        <is>
          <t>LEADS GOOGLE</t>
        </is>
      </c>
      <c r="C165" s="393" t="inlineStr">
        <is>
          <t>RABAT</t>
        </is>
      </c>
      <c r="D165" s="393" t="inlineStr">
        <is>
          <t>8858031_IPSJMMN</t>
        </is>
      </c>
      <c r="E165" s="393" t="inlineStr">
        <is>
          <t>AJMILAMO</t>
        </is>
      </c>
      <c r="F165" s="393" t="inlineStr">
        <is>
          <t>2026-07-20 09:59:29</t>
        </is>
      </c>
      <c r="G165" s="393" t="inlineStr">
        <is>
          <t>2026-07-20 13:01:21</t>
        </is>
      </c>
      <c r="H165" s="394" t="n">
        <v>10912</v>
      </c>
      <c r="I165" s="393" t="inlineStr">
        <is>
          <t>Voice</t>
        </is>
      </c>
      <c r="J165" s="393" t="inlineStr">
        <is>
          <t>RHOUDAOT</t>
        </is>
      </c>
      <c r="K165" s="395">
        <f>DATE(VALUE(LEFT(A165,4)),VALUE(MID(A165,5,2)),VALUE(RIGHT(A165,2)))</f>
        <v/>
      </c>
      <c r="L165" s="395">
        <f>DATEVALUE(LEFT(F165,10))</f>
        <v/>
      </c>
      <c r="M165" s="396">
        <f>TIMEVALUE(MID(F165,12,8))</f>
        <v/>
      </c>
      <c r="N165" s="395">
        <f>DATEVALUE(LEFT(G165,10))</f>
        <v/>
      </c>
      <c r="O165" s="396">
        <f>TIMEVALUE(MID(G165,12,8))</f>
        <v/>
      </c>
      <c r="P165" s="396">
        <f>IFERROR(_xlfn.MINIFS($M:$M,$E:$E,$E165,$K:$K,$K165,$M:$M,"&gt;"&amp;$O165),"")</f>
        <v/>
      </c>
      <c r="Q165" s="396">
        <f>IF($P165="","",$P165-$O165)</f>
        <v/>
      </c>
    </row>
    <row r="166" ht="15" customHeight="1" s="231">
      <c r="A166" s="393" t="inlineStr">
        <is>
          <t>20260720</t>
        </is>
      </c>
      <c r="B166" s="393" t="inlineStr">
        <is>
          <t>LEADS GOOGLE</t>
        </is>
      </c>
      <c r="C166" s="393" t="inlineStr">
        <is>
          <t>RABAT</t>
        </is>
      </c>
      <c r="D166" s="393" t="inlineStr">
        <is>
          <t>8858031_IPSJMMN</t>
        </is>
      </c>
      <c r="E166" s="393" t="inlineStr">
        <is>
          <t>AJMILAMO</t>
        </is>
      </c>
      <c r="F166" s="393" t="inlineStr">
        <is>
          <t>2026-07-20 14:05:02</t>
        </is>
      </c>
      <c r="G166" s="393" t="inlineStr">
        <is>
          <t>2026-07-20 20:00:07</t>
        </is>
      </c>
      <c r="H166" s="394" t="n">
        <v>21305</v>
      </c>
      <c r="I166" s="393" t="inlineStr">
        <is>
          <t>Voice</t>
        </is>
      </c>
      <c r="J166" s="393" t="inlineStr">
        <is>
          <t>RHOUDAOT</t>
        </is>
      </c>
      <c r="K166" s="395">
        <f>DATE(VALUE(LEFT(A166,4)),VALUE(MID(A166,5,2)),VALUE(RIGHT(A166,2)))</f>
        <v/>
      </c>
      <c r="L166" s="395">
        <f>DATEVALUE(LEFT(F166,10))</f>
        <v/>
      </c>
      <c r="M166" s="396">
        <f>TIMEVALUE(MID(F166,12,8))</f>
        <v/>
      </c>
      <c r="N166" s="395">
        <f>DATEVALUE(LEFT(G166,10))</f>
        <v/>
      </c>
      <c r="O166" s="396">
        <f>TIMEVALUE(MID(G166,12,8))</f>
        <v/>
      </c>
      <c r="P166" s="396">
        <f>IFERROR(_xlfn.MINIFS($M:$M,$E:$E,$E166,$K:$K,$K166,$M:$M,"&gt;"&amp;$O166),"")</f>
        <v/>
      </c>
      <c r="Q166" s="396">
        <f>IF($P166="","",$P166-$O166)</f>
        <v/>
      </c>
    </row>
    <row r="167" ht="15" customHeight="1" s="231">
      <c r="A167" s="393" t="inlineStr">
        <is>
          <t>20260720</t>
        </is>
      </c>
      <c r="B167" s="393" t="inlineStr">
        <is>
          <t>LEADS GOOGLE</t>
        </is>
      </c>
      <c r="C167" s="393" t="inlineStr">
        <is>
          <t>RABAT</t>
        </is>
      </c>
      <c r="D167" s="393" t="inlineStr">
        <is>
          <t>8858055_IPSFFOO</t>
        </is>
      </c>
      <c r="E167" s="393" t="inlineStr">
        <is>
          <t>ANISSEMO</t>
        </is>
      </c>
      <c r="F167" s="393" t="inlineStr">
        <is>
          <t>2026-07-20 09:59:28</t>
        </is>
      </c>
      <c r="G167" s="393" t="inlineStr">
        <is>
          <t>2026-07-20 15:00:17</t>
        </is>
      </c>
      <c r="H167" s="394" t="n">
        <v>18049</v>
      </c>
      <c r="I167" s="393" t="inlineStr">
        <is>
          <t>Voice</t>
        </is>
      </c>
      <c r="J167" s="393" t="inlineStr">
        <is>
          <t>RHOUDAOT</t>
        </is>
      </c>
      <c r="K167" s="395">
        <f>DATE(VALUE(LEFT(A167,4)),VALUE(MID(A167,5,2)),VALUE(RIGHT(A167,2)))</f>
        <v/>
      </c>
      <c r="L167" s="395">
        <f>DATEVALUE(LEFT(F167,10))</f>
        <v/>
      </c>
      <c r="M167" s="396">
        <f>TIMEVALUE(MID(F167,12,8))</f>
        <v/>
      </c>
      <c r="N167" s="395">
        <f>DATEVALUE(LEFT(G167,10))</f>
        <v/>
      </c>
      <c r="O167" s="396">
        <f>TIMEVALUE(MID(G167,12,8))</f>
        <v/>
      </c>
      <c r="P167" s="396">
        <f>IFERROR(_xlfn.MINIFS($M:$M,$E:$E,$E167,$K:$K,$K167,$M:$M,"&gt;"&amp;$O167),"")</f>
        <v/>
      </c>
      <c r="Q167" s="396">
        <f>IF($P167="","",$P167-$O167)</f>
        <v/>
      </c>
    </row>
    <row r="168" ht="15" customHeight="1" s="231">
      <c r="A168" s="393" t="inlineStr">
        <is>
          <t>20260720</t>
        </is>
      </c>
      <c r="B168" s="393" t="inlineStr">
        <is>
          <t>LEADS GOOGLE</t>
        </is>
      </c>
      <c r="C168" s="393" t="inlineStr">
        <is>
          <t>RABAT</t>
        </is>
      </c>
      <c r="D168" s="393" t="inlineStr">
        <is>
          <t>8858055_IPSFFOO</t>
        </is>
      </c>
      <c r="E168" s="393" t="inlineStr">
        <is>
          <t>ANISSEMO</t>
        </is>
      </c>
      <c r="F168" s="393" t="inlineStr">
        <is>
          <t>2026-07-20 15:58:11</t>
        </is>
      </c>
      <c r="G168" s="393" t="inlineStr">
        <is>
          <t>2026-07-20 20:00:09</t>
        </is>
      </c>
      <c r="H168" s="394" t="n">
        <v>14518</v>
      </c>
      <c r="I168" s="393" t="inlineStr">
        <is>
          <t>Voice</t>
        </is>
      </c>
      <c r="J168" s="393" t="inlineStr">
        <is>
          <t>RHOUDAOT</t>
        </is>
      </c>
      <c r="K168" s="395">
        <f>DATE(VALUE(LEFT(A168,4)),VALUE(MID(A168,5,2)),VALUE(RIGHT(A168,2)))</f>
        <v/>
      </c>
      <c r="L168" s="395">
        <f>DATEVALUE(LEFT(F168,10))</f>
        <v/>
      </c>
      <c r="M168" s="396">
        <f>TIMEVALUE(MID(F168,12,8))</f>
        <v/>
      </c>
      <c r="N168" s="395">
        <f>DATEVALUE(LEFT(G168,10))</f>
        <v/>
      </c>
      <c r="O168" s="396">
        <f>TIMEVALUE(MID(G168,12,8))</f>
        <v/>
      </c>
      <c r="P168" s="396">
        <f>IFERROR(_xlfn.MINIFS($M:$M,$E:$E,$E168,$K:$K,$K168,$M:$M,"&gt;"&amp;$O168),"")</f>
        <v/>
      </c>
      <c r="Q168" s="396">
        <f>IF($P168="","",$P168-$O168)</f>
        <v/>
      </c>
    </row>
    <row r="169" ht="15" customHeight="1" s="231">
      <c r="A169" s="393" t="inlineStr">
        <is>
          <t>20260720</t>
        </is>
      </c>
      <c r="B169" s="393" t="inlineStr">
        <is>
          <t>LEADS GOOGLE</t>
        </is>
      </c>
      <c r="C169" s="393" t="inlineStr">
        <is>
          <t>RABAT</t>
        </is>
      </c>
      <c r="D169" s="393" t="inlineStr">
        <is>
          <t>8858065_IPSZHBD</t>
        </is>
      </c>
      <c r="E169" s="393" t="inlineStr">
        <is>
          <t>AZHARIAB</t>
        </is>
      </c>
      <c r="F169" s="393" t="inlineStr">
        <is>
          <t>2026-07-20 08:02:40</t>
        </is>
      </c>
      <c r="G169" s="393" t="inlineStr">
        <is>
          <t>2026-07-20 13:00:36</t>
        </is>
      </c>
      <c r="H169" s="394" t="n">
        <v>17876</v>
      </c>
      <c r="I169" s="393" t="inlineStr">
        <is>
          <t>Voice</t>
        </is>
      </c>
      <c r="J169" s="393" t="inlineStr">
        <is>
          <t>HAOUACIK</t>
        </is>
      </c>
      <c r="K169" s="395">
        <f>DATE(VALUE(LEFT(A169,4)),VALUE(MID(A169,5,2)),VALUE(RIGHT(A169,2)))</f>
        <v/>
      </c>
      <c r="L169" s="395">
        <f>DATEVALUE(LEFT(F169,10))</f>
        <v/>
      </c>
      <c r="M169" s="396">
        <f>TIMEVALUE(MID(F169,12,8))</f>
        <v/>
      </c>
      <c r="N169" s="395">
        <f>DATEVALUE(LEFT(G169,10))</f>
        <v/>
      </c>
      <c r="O169" s="396">
        <f>TIMEVALUE(MID(G169,12,8))</f>
        <v/>
      </c>
      <c r="P169" s="396">
        <f>IFERROR(_xlfn.MINIFS($M:$M,$E:$E,$E169,$K:$K,$K169,$M:$M,"&gt;"&amp;$O169),"")</f>
        <v/>
      </c>
      <c r="Q169" s="396">
        <f>IF($P169="","",$P169-$O169)</f>
        <v/>
      </c>
    </row>
    <row r="170" ht="15" customHeight="1" s="231">
      <c r="A170" s="393" t="inlineStr">
        <is>
          <t>20260720</t>
        </is>
      </c>
      <c r="B170" s="393" t="inlineStr">
        <is>
          <t>LEADS GOOGLE</t>
        </is>
      </c>
      <c r="C170" s="393" t="inlineStr">
        <is>
          <t>RABAT</t>
        </is>
      </c>
      <c r="D170" s="393" t="inlineStr">
        <is>
          <t>8858065_IPSZHBD</t>
        </is>
      </c>
      <c r="E170" s="393" t="inlineStr">
        <is>
          <t>AZHARIAB</t>
        </is>
      </c>
      <c r="F170" s="393" t="inlineStr">
        <is>
          <t>2026-07-20 14:02:08</t>
        </is>
      </c>
      <c r="G170" s="393" t="inlineStr">
        <is>
          <t>2026-07-20 17:00:08</t>
        </is>
      </c>
      <c r="H170" s="394" t="n">
        <v>10680</v>
      </c>
      <c r="I170" s="393" t="inlineStr">
        <is>
          <t>Voice</t>
        </is>
      </c>
      <c r="J170" s="393" t="inlineStr">
        <is>
          <t>HAOUACIK</t>
        </is>
      </c>
      <c r="K170" s="395">
        <f>DATE(VALUE(LEFT(A170,4)),VALUE(MID(A170,5,2)),VALUE(RIGHT(A170,2)))</f>
        <v/>
      </c>
      <c r="L170" s="395">
        <f>DATEVALUE(LEFT(F170,10))</f>
        <v/>
      </c>
      <c r="M170" s="396">
        <f>TIMEVALUE(MID(F170,12,8))</f>
        <v/>
      </c>
      <c r="N170" s="395">
        <f>DATEVALUE(LEFT(G170,10))</f>
        <v/>
      </c>
      <c r="O170" s="396">
        <f>TIMEVALUE(MID(G170,12,8))</f>
        <v/>
      </c>
      <c r="P170" s="396">
        <f>IFERROR(_xlfn.MINIFS($M:$M,$E:$E,$E170,$K:$K,$K170,$M:$M,"&gt;"&amp;$O170),"")</f>
        <v/>
      </c>
      <c r="Q170" s="396">
        <f>IF($P170="","",$P170-$O170)</f>
        <v/>
      </c>
    </row>
    <row r="171" ht="15" customHeight="1" s="231">
      <c r="A171" s="393" t="inlineStr">
        <is>
          <t>20260720</t>
        </is>
      </c>
      <c r="B171" s="393" t="inlineStr">
        <is>
          <t>LEADS GOOGLE</t>
        </is>
      </c>
      <c r="C171" s="393" t="inlineStr">
        <is>
          <t>RABAT</t>
        </is>
      </c>
      <c r="D171" s="393" t="inlineStr">
        <is>
          <t>8858325_IPSBBFA</t>
        </is>
      </c>
      <c r="E171" s="393" t="inlineStr">
        <is>
          <t>BELMEJFA</t>
        </is>
      </c>
      <c r="F171" s="393" t="inlineStr">
        <is>
          <t>2026-07-20 09:59:14</t>
        </is>
      </c>
      <c r="G171" s="393" t="inlineStr">
        <is>
          <t>2026-07-20 15:12:57</t>
        </is>
      </c>
      <c r="H171" s="394" t="n">
        <v>18823</v>
      </c>
      <c r="I171" s="393" t="inlineStr">
        <is>
          <t>CADI</t>
        </is>
      </c>
      <c r="J171" s="393" t="inlineStr">
        <is>
          <t>RHOUDAOT</t>
        </is>
      </c>
      <c r="K171" s="395">
        <f>DATE(VALUE(LEFT(A171,4)),VALUE(MID(A171,5,2)),VALUE(RIGHT(A171,2)))</f>
        <v/>
      </c>
      <c r="L171" s="395">
        <f>DATEVALUE(LEFT(F171,10))</f>
        <v/>
      </c>
      <c r="M171" s="396">
        <f>TIMEVALUE(MID(F171,12,8))</f>
        <v/>
      </c>
      <c r="N171" s="395">
        <f>DATEVALUE(LEFT(G171,10))</f>
        <v/>
      </c>
      <c r="O171" s="396">
        <f>TIMEVALUE(MID(G171,12,8))</f>
        <v/>
      </c>
      <c r="P171" s="396">
        <f>IFERROR(_xlfn.MINIFS($M:$M,$E:$E,$E171,$K:$K,$K171,$M:$M,"&gt;"&amp;$O171),"")</f>
        <v/>
      </c>
      <c r="Q171" s="396">
        <f>IF($P171="","",$P171-$O171)</f>
        <v/>
      </c>
    </row>
    <row r="172" ht="15" customHeight="1" s="231">
      <c r="A172" s="393" t="inlineStr">
        <is>
          <t>20260720</t>
        </is>
      </c>
      <c r="B172" s="393" t="inlineStr">
        <is>
          <t>LEADS GOOGLE</t>
        </is>
      </c>
      <c r="C172" s="393" t="inlineStr">
        <is>
          <t>RABAT</t>
        </is>
      </c>
      <c r="D172" s="393" t="inlineStr">
        <is>
          <t>8858325_IPSBBFA</t>
        </is>
      </c>
      <c r="E172" s="393" t="inlineStr">
        <is>
          <t>BELMEJFA</t>
        </is>
      </c>
      <c r="F172" s="393" t="inlineStr">
        <is>
          <t>2026-07-20 09:59:42</t>
        </is>
      </c>
      <c r="G172" s="393" t="inlineStr">
        <is>
          <t>2026-07-20 15:12:48</t>
        </is>
      </c>
      <c r="H172" s="394" t="n">
        <v>18786</v>
      </c>
      <c r="I172" s="393" t="inlineStr">
        <is>
          <t>Voice</t>
        </is>
      </c>
      <c r="J172" s="393" t="inlineStr">
        <is>
          <t>RHOUDAOT</t>
        </is>
      </c>
      <c r="K172" s="395">
        <f>DATE(VALUE(LEFT(A172,4)),VALUE(MID(A172,5,2)),VALUE(RIGHT(A172,2)))</f>
        <v/>
      </c>
      <c r="L172" s="395">
        <f>DATEVALUE(LEFT(F172,10))</f>
        <v/>
      </c>
      <c r="M172" s="396">
        <f>TIMEVALUE(MID(F172,12,8))</f>
        <v/>
      </c>
      <c r="N172" s="395">
        <f>DATEVALUE(LEFT(G172,10))</f>
        <v/>
      </c>
      <c r="O172" s="396">
        <f>TIMEVALUE(MID(G172,12,8))</f>
        <v/>
      </c>
      <c r="P172" s="396">
        <f>IFERROR(_xlfn.MINIFS($M:$M,$E:$E,$E172,$K:$K,$K172,$M:$M,"&gt;"&amp;$O172),"")</f>
        <v/>
      </c>
      <c r="Q172" s="396">
        <f>IF($P172="","",$P172-$O172)</f>
        <v/>
      </c>
    </row>
    <row r="173" ht="15" customHeight="1" s="231">
      <c r="A173" s="393" t="inlineStr">
        <is>
          <t>20260720</t>
        </is>
      </c>
      <c r="B173" s="393" t="inlineStr">
        <is>
          <t>LEADS GOOGLE</t>
        </is>
      </c>
      <c r="C173" s="393" t="inlineStr">
        <is>
          <t>RABAT</t>
        </is>
      </c>
      <c r="D173" s="393" t="inlineStr">
        <is>
          <t>8858325_IPSBBFA</t>
        </is>
      </c>
      <c r="E173" s="393" t="inlineStr">
        <is>
          <t>BELMEJFA</t>
        </is>
      </c>
      <c r="F173" s="393" t="inlineStr">
        <is>
          <t>2026-07-20 16:07:52</t>
        </is>
      </c>
      <c r="G173" s="393" t="inlineStr">
        <is>
          <t>2026-07-20 16:13:48</t>
        </is>
      </c>
      <c r="H173" s="394" t="n">
        <v>356</v>
      </c>
      <c r="I173" s="393" t="inlineStr">
        <is>
          <t>CADI</t>
        </is>
      </c>
      <c r="J173" s="393" t="inlineStr">
        <is>
          <t>RHOUDAOT</t>
        </is>
      </c>
      <c r="K173" s="395">
        <f>DATE(VALUE(LEFT(A173,4)),VALUE(MID(A173,5,2)),VALUE(RIGHT(A173,2)))</f>
        <v/>
      </c>
      <c r="L173" s="395">
        <f>DATEVALUE(LEFT(F173,10))</f>
        <v/>
      </c>
      <c r="M173" s="396">
        <f>TIMEVALUE(MID(F173,12,8))</f>
        <v/>
      </c>
      <c r="N173" s="395">
        <f>DATEVALUE(LEFT(G173,10))</f>
        <v/>
      </c>
      <c r="O173" s="396">
        <f>TIMEVALUE(MID(G173,12,8))</f>
        <v/>
      </c>
      <c r="P173" s="396">
        <f>IFERROR(_xlfn.MINIFS($M:$M,$E:$E,$E173,$K:$K,$K173,$M:$M,"&gt;"&amp;$O173),"")</f>
        <v/>
      </c>
      <c r="Q173" s="396">
        <f>IF($P173="","",$P173-$O173)</f>
        <v/>
      </c>
    </row>
    <row r="174" ht="15" customHeight="1" s="231">
      <c r="A174" s="393" t="inlineStr">
        <is>
          <t>20260720</t>
        </is>
      </c>
      <c r="B174" s="393" t="inlineStr">
        <is>
          <t>LEADS GOOGLE</t>
        </is>
      </c>
      <c r="C174" s="393" t="inlineStr">
        <is>
          <t>RABAT</t>
        </is>
      </c>
      <c r="D174" s="393" t="inlineStr">
        <is>
          <t>8858325_IPSBBFA</t>
        </is>
      </c>
      <c r="E174" s="393" t="inlineStr">
        <is>
          <t>BELMEJFA</t>
        </is>
      </c>
      <c r="F174" s="393" t="inlineStr">
        <is>
          <t>2026-07-20 16:08:00</t>
        </is>
      </c>
      <c r="G174" s="393" t="inlineStr">
        <is>
          <t>2026-07-20 16:13:37</t>
        </is>
      </c>
      <c r="H174" s="394" t="n">
        <v>337</v>
      </c>
      <c r="I174" s="393" t="inlineStr">
        <is>
          <t>Voice</t>
        </is>
      </c>
      <c r="J174" s="393" t="inlineStr">
        <is>
          <t>RHOUDAOT</t>
        </is>
      </c>
      <c r="K174" s="395">
        <f>DATE(VALUE(LEFT(A174,4)),VALUE(MID(A174,5,2)),VALUE(RIGHT(A174,2)))</f>
        <v/>
      </c>
      <c r="L174" s="395">
        <f>DATEVALUE(LEFT(F174,10))</f>
        <v/>
      </c>
      <c r="M174" s="396">
        <f>TIMEVALUE(MID(F174,12,8))</f>
        <v/>
      </c>
      <c r="N174" s="395">
        <f>DATEVALUE(LEFT(G174,10))</f>
        <v/>
      </c>
      <c r="O174" s="396">
        <f>TIMEVALUE(MID(G174,12,8))</f>
        <v/>
      </c>
      <c r="P174" s="396">
        <f>IFERROR(_xlfn.MINIFS($M:$M,$E:$E,$E174,$K:$K,$K174,$M:$M,"&gt;"&amp;$O174),"")</f>
        <v/>
      </c>
      <c r="Q174" s="396">
        <f>IF($P174="","",$P174-$O174)</f>
        <v/>
      </c>
    </row>
    <row r="175" ht="15" customHeight="1" s="231">
      <c r="A175" s="393" t="inlineStr">
        <is>
          <t>20260720</t>
        </is>
      </c>
      <c r="B175" s="393" t="inlineStr">
        <is>
          <t>LEADS GOOGLE</t>
        </is>
      </c>
      <c r="C175" s="393" t="inlineStr">
        <is>
          <t>RABAT</t>
        </is>
      </c>
      <c r="D175" s="393" t="inlineStr">
        <is>
          <t>8858325_IPSBBFA</t>
        </is>
      </c>
      <c r="E175" s="393" t="inlineStr">
        <is>
          <t>BELMEJFA</t>
        </is>
      </c>
      <c r="F175" s="393" t="inlineStr">
        <is>
          <t>2026-07-20 16:29:30</t>
        </is>
      </c>
      <c r="G175" s="393" t="inlineStr">
        <is>
          <t>2026-07-20 16:37:50</t>
        </is>
      </c>
      <c r="H175" s="394" t="n">
        <v>500</v>
      </c>
      <c r="I175" s="393" t="inlineStr">
        <is>
          <t>CADI</t>
        </is>
      </c>
      <c r="J175" s="393" t="inlineStr">
        <is>
          <t>RHOUDAOT</t>
        </is>
      </c>
      <c r="K175" s="395">
        <f>DATE(VALUE(LEFT(A175,4)),VALUE(MID(A175,5,2)),VALUE(RIGHT(A175,2)))</f>
        <v/>
      </c>
      <c r="L175" s="395">
        <f>DATEVALUE(LEFT(F175,10))</f>
        <v/>
      </c>
      <c r="M175" s="396">
        <f>TIMEVALUE(MID(F175,12,8))</f>
        <v/>
      </c>
      <c r="N175" s="395">
        <f>DATEVALUE(LEFT(G175,10))</f>
        <v/>
      </c>
      <c r="O175" s="396">
        <f>TIMEVALUE(MID(G175,12,8))</f>
        <v/>
      </c>
      <c r="P175" s="396">
        <f>IFERROR(_xlfn.MINIFS($M:$M,$E:$E,$E175,$K:$K,$K175,$M:$M,"&gt;"&amp;$O175),"")</f>
        <v/>
      </c>
      <c r="Q175" s="396">
        <f>IF($P175="","",$P175-$O175)</f>
        <v/>
      </c>
    </row>
    <row r="176" ht="15" customHeight="1" s="231">
      <c r="A176" s="393" t="inlineStr">
        <is>
          <t>20260720</t>
        </is>
      </c>
      <c r="B176" s="393" t="inlineStr">
        <is>
          <t>LEADS GOOGLE</t>
        </is>
      </c>
      <c r="C176" s="393" t="inlineStr">
        <is>
          <t>RABAT</t>
        </is>
      </c>
      <c r="D176" s="393" t="inlineStr">
        <is>
          <t>8858325_IPSBBFA</t>
        </is>
      </c>
      <c r="E176" s="393" t="inlineStr">
        <is>
          <t>BELMEJFA</t>
        </is>
      </c>
      <c r="F176" s="393" t="inlineStr">
        <is>
          <t>2026-07-20 16:29:36</t>
        </is>
      </c>
      <c r="G176" s="393" t="inlineStr">
        <is>
          <t>2026-07-20 16:37:50</t>
        </is>
      </c>
      <c r="H176" s="394" t="n">
        <v>494</v>
      </c>
      <c r="I176" s="393" t="inlineStr">
        <is>
          <t>Voice</t>
        </is>
      </c>
      <c r="J176" s="393" t="inlineStr">
        <is>
          <t>RHOUDAOT</t>
        </is>
      </c>
      <c r="K176" s="395">
        <f>DATE(VALUE(LEFT(A176,4)),VALUE(MID(A176,5,2)),VALUE(RIGHT(A176,2)))</f>
        <v/>
      </c>
      <c r="L176" s="395">
        <f>DATEVALUE(LEFT(F176,10))</f>
        <v/>
      </c>
      <c r="M176" s="396">
        <f>TIMEVALUE(MID(F176,12,8))</f>
        <v/>
      </c>
      <c r="N176" s="395">
        <f>DATEVALUE(LEFT(G176,10))</f>
        <v/>
      </c>
      <c r="O176" s="396">
        <f>TIMEVALUE(MID(G176,12,8))</f>
        <v/>
      </c>
      <c r="P176" s="396">
        <f>IFERROR(_xlfn.MINIFS($M:$M,$E:$E,$E176,$K:$K,$K176,$M:$M,"&gt;"&amp;$O176),"")</f>
        <v/>
      </c>
      <c r="Q176" s="396">
        <f>IF($P176="","",$P176-$O176)</f>
        <v/>
      </c>
    </row>
    <row r="177" ht="15" customHeight="1" s="231">
      <c r="A177" s="393" t="inlineStr">
        <is>
          <t>20260720</t>
        </is>
      </c>
      <c r="B177" s="393" t="inlineStr">
        <is>
          <t>LEADS GOOGLE</t>
        </is>
      </c>
      <c r="C177" s="393" t="inlineStr">
        <is>
          <t>RABAT</t>
        </is>
      </c>
      <c r="D177" s="393" t="inlineStr">
        <is>
          <t>8858325_IPSBBFA</t>
        </is>
      </c>
      <c r="E177" s="393" t="inlineStr">
        <is>
          <t>BELMEJFA</t>
        </is>
      </c>
      <c r="F177" s="393" t="inlineStr">
        <is>
          <t>2026-07-20 16:38:48</t>
        </is>
      </c>
      <c r="G177" s="393" t="inlineStr">
        <is>
          <t>2026-07-20 20:00:30</t>
        </is>
      </c>
      <c r="H177" s="394" t="n">
        <v>12102</v>
      </c>
      <c r="I177" s="393" t="inlineStr">
        <is>
          <t>CADI</t>
        </is>
      </c>
      <c r="J177" s="393" t="inlineStr">
        <is>
          <t>RHOUDAOT</t>
        </is>
      </c>
      <c r="K177" s="395">
        <f>DATE(VALUE(LEFT(A177,4)),VALUE(MID(A177,5,2)),VALUE(RIGHT(A177,2)))</f>
        <v/>
      </c>
      <c r="L177" s="395">
        <f>DATEVALUE(LEFT(F177,10))</f>
        <v/>
      </c>
      <c r="M177" s="396">
        <f>TIMEVALUE(MID(F177,12,8))</f>
        <v/>
      </c>
      <c r="N177" s="395">
        <f>DATEVALUE(LEFT(G177,10))</f>
        <v/>
      </c>
      <c r="O177" s="396">
        <f>TIMEVALUE(MID(G177,12,8))</f>
        <v/>
      </c>
      <c r="P177" s="396">
        <f>IFERROR(_xlfn.MINIFS($M:$M,$E:$E,$E177,$K:$K,$K177,$M:$M,"&gt;"&amp;$O177),"")</f>
        <v/>
      </c>
      <c r="Q177" s="396">
        <f>IF($P177="","",$P177-$O177)</f>
        <v/>
      </c>
    </row>
    <row r="178" ht="15" customHeight="1" s="231">
      <c r="A178" s="393" t="inlineStr">
        <is>
          <t>20260720</t>
        </is>
      </c>
      <c r="B178" s="393" t="inlineStr">
        <is>
          <t>LEADS GOOGLE</t>
        </is>
      </c>
      <c r="C178" s="393" t="inlineStr">
        <is>
          <t>RABAT</t>
        </is>
      </c>
      <c r="D178" s="393" t="inlineStr">
        <is>
          <t>8858325_IPSBBFA</t>
        </is>
      </c>
      <c r="E178" s="393" t="inlineStr">
        <is>
          <t>BELMEJFA</t>
        </is>
      </c>
      <c r="F178" s="393" t="inlineStr">
        <is>
          <t>2026-07-20 16:39:05</t>
        </is>
      </c>
      <c r="G178" s="393" t="inlineStr">
        <is>
          <t>2026-07-20 20:00:19</t>
        </is>
      </c>
      <c r="H178" s="394" t="n">
        <v>12074</v>
      </c>
      <c r="I178" s="393" t="inlineStr">
        <is>
          <t>Voice</t>
        </is>
      </c>
      <c r="J178" s="393" t="inlineStr">
        <is>
          <t>RHOUDAOT</t>
        </is>
      </c>
      <c r="K178" s="395">
        <f>DATE(VALUE(LEFT(A178,4)),VALUE(MID(A178,5,2)),VALUE(RIGHT(A178,2)))</f>
        <v/>
      </c>
      <c r="L178" s="395">
        <f>DATEVALUE(LEFT(F178,10))</f>
        <v/>
      </c>
      <c r="M178" s="396">
        <f>TIMEVALUE(MID(F178,12,8))</f>
        <v/>
      </c>
      <c r="N178" s="395">
        <f>DATEVALUE(LEFT(G178,10))</f>
        <v/>
      </c>
      <c r="O178" s="396">
        <f>TIMEVALUE(MID(G178,12,8))</f>
        <v/>
      </c>
      <c r="P178" s="396">
        <f>IFERROR(_xlfn.MINIFS($M:$M,$E:$E,$E178,$K:$K,$K178,$M:$M,"&gt;"&amp;$O178),"")</f>
        <v/>
      </c>
      <c r="Q178" s="396">
        <f>IF($P178="","",$P178-$O178)</f>
        <v/>
      </c>
    </row>
    <row r="179" ht="15" customHeight="1" s="231">
      <c r="A179" s="393" t="inlineStr">
        <is>
          <t>20260720</t>
        </is>
      </c>
      <c r="B179" s="393" t="inlineStr">
        <is>
          <t>LEADS GOOGLE</t>
        </is>
      </c>
      <c r="C179" s="393" t="inlineStr">
        <is>
          <t>RABAT</t>
        </is>
      </c>
      <c r="D179" s="393" t="inlineStr">
        <is>
          <t>8859173_IPSMOON</t>
        </is>
      </c>
      <c r="E179" s="393" t="inlineStr">
        <is>
          <t>BENGHAIB</t>
        </is>
      </c>
      <c r="F179" s="393" t="inlineStr">
        <is>
          <t>2026-07-20 09:57:43</t>
        </is>
      </c>
      <c r="G179" s="393" t="inlineStr">
        <is>
          <t>2026-07-20 14:00:30</t>
        </is>
      </c>
      <c r="H179" s="394" t="n">
        <v>14567</v>
      </c>
      <c r="I179" s="393" t="inlineStr">
        <is>
          <t>Voice</t>
        </is>
      </c>
      <c r="J179" s="393" t="inlineStr">
        <is>
          <t>RHOUDAOT</t>
        </is>
      </c>
      <c r="K179" s="395">
        <f>DATE(VALUE(LEFT(A179,4)),VALUE(MID(A179,5,2)),VALUE(RIGHT(A179,2)))</f>
        <v/>
      </c>
      <c r="L179" s="395">
        <f>DATEVALUE(LEFT(F179,10))</f>
        <v/>
      </c>
      <c r="M179" s="396">
        <f>TIMEVALUE(MID(F179,12,8))</f>
        <v/>
      </c>
      <c r="N179" s="395">
        <f>DATEVALUE(LEFT(G179,10))</f>
        <v/>
      </c>
      <c r="O179" s="396">
        <f>TIMEVALUE(MID(G179,12,8))</f>
        <v/>
      </c>
      <c r="P179" s="396">
        <f>IFERROR(_xlfn.MINIFS($M:$M,$E:$E,$E179,$K:$K,$K179,$M:$M,"&gt;"&amp;$O179),"")</f>
        <v/>
      </c>
      <c r="Q179" s="396">
        <f>IF($P179="","",$P179-$O179)</f>
        <v/>
      </c>
    </row>
    <row r="180" ht="15" customHeight="1" s="231">
      <c r="A180" s="393" t="inlineStr">
        <is>
          <t>20260720</t>
        </is>
      </c>
      <c r="B180" s="393" t="inlineStr">
        <is>
          <t>LEADS GOOGLE</t>
        </is>
      </c>
      <c r="C180" s="393" t="inlineStr">
        <is>
          <t>RABAT</t>
        </is>
      </c>
      <c r="D180" s="393" t="inlineStr">
        <is>
          <t>8859173_IPSMOON</t>
        </is>
      </c>
      <c r="E180" s="393" t="inlineStr">
        <is>
          <t>BENGHAIB</t>
        </is>
      </c>
      <c r="F180" s="393" t="inlineStr">
        <is>
          <t>2026-07-20 14:54:26</t>
        </is>
      </c>
      <c r="G180" s="393" t="inlineStr">
        <is>
          <t>2026-07-20 15:36:02</t>
        </is>
      </c>
      <c r="H180" s="394" t="n">
        <v>2496</v>
      </c>
      <c r="I180" s="393" t="inlineStr">
        <is>
          <t>Voice</t>
        </is>
      </c>
      <c r="J180" s="393" t="inlineStr">
        <is>
          <t>RHOUDAOT</t>
        </is>
      </c>
      <c r="K180" s="395">
        <f>DATE(VALUE(LEFT(A180,4)),VALUE(MID(A180,5,2)),VALUE(RIGHT(A180,2)))</f>
        <v/>
      </c>
      <c r="L180" s="395">
        <f>DATEVALUE(LEFT(F180,10))</f>
        <v/>
      </c>
      <c r="M180" s="396">
        <f>TIMEVALUE(MID(F180,12,8))</f>
        <v/>
      </c>
      <c r="N180" s="395">
        <f>DATEVALUE(LEFT(G180,10))</f>
        <v/>
      </c>
      <c r="O180" s="396">
        <f>TIMEVALUE(MID(G180,12,8))</f>
        <v/>
      </c>
      <c r="P180" s="396">
        <f>IFERROR(_xlfn.MINIFS($M:$M,$E:$E,$E180,$K:$K,$K180,$M:$M,"&gt;"&amp;$O180),"")</f>
        <v/>
      </c>
      <c r="Q180" s="396">
        <f>IF($P180="","",$P180-$O180)</f>
        <v/>
      </c>
    </row>
    <row r="181" ht="15" customHeight="1" s="231">
      <c r="A181" s="393" t="inlineStr">
        <is>
          <t>20260720</t>
        </is>
      </c>
      <c r="B181" s="393" t="inlineStr">
        <is>
          <t>LEADS GOOGLE</t>
        </is>
      </c>
      <c r="C181" s="393" t="inlineStr">
        <is>
          <t>RABAT</t>
        </is>
      </c>
      <c r="D181" s="393" t="inlineStr">
        <is>
          <t>8859173_IPSMOON</t>
        </is>
      </c>
      <c r="E181" s="393" t="inlineStr">
        <is>
          <t>BENGHAIB</t>
        </is>
      </c>
      <c r="F181" s="393" t="inlineStr">
        <is>
          <t>2026-07-20 16:08:07</t>
        </is>
      </c>
      <c r="G181" s="393" t="inlineStr">
        <is>
          <t>2026-07-20 20:00:03</t>
        </is>
      </c>
      <c r="H181" s="394" t="n">
        <v>13916</v>
      </c>
      <c r="I181" s="393" t="inlineStr">
        <is>
          <t>Voice</t>
        </is>
      </c>
      <c r="J181" s="393" t="inlineStr">
        <is>
          <t>RHOUDAOT</t>
        </is>
      </c>
      <c r="K181" s="395">
        <f>DATE(VALUE(LEFT(A181,4)),VALUE(MID(A181,5,2)),VALUE(RIGHT(A181,2)))</f>
        <v/>
      </c>
      <c r="L181" s="395">
        <f>DATEVALUE(LEFT(F181,10))</f>
        <v/>
      </c>
      <c r="M181" s="396">
        <f>TIMEVALUE(MID(F181,12,8))</f>
        <v/>
      </c>
      <c r="N181" s="395">
        <f>DATEVALUE(LEFT(G181,10))</f>
        <v/>
      </c>
      <c r="O181" s="396">
        <f>TIMEVALUE(MID(G181,12,8))</f>
        <v/>
      </c>
      <c r="P181" s="396">
        <f>IFERROR(_xlfn.MINIFS($M:$M,$E:$E,$E181,$K:$K,$K181,$M:$M,"&gt;"&amp;$O181),"")</f>
        <v/>
      </c>
      <c r="Q181" s="396">
        <f>IF($P181="","",$P181-$O181)</f>
        <v/>
      </c>
    </row>
    <row r="182" ht="15" customHeight="1" s="231">
      <c r="A182" s="393" t="inlineStr">
        <is>
          <t>20260720</t>
        </is>
      </c>
      <c r="B182" s="393" t="inlineStr">
        <is>
          <t>LEADS GOOGLE</t>
        </is>
      </c>
      <c r="C182" s="393" t="inlineStr">
        <is>
          <t>RABAT</t>
        </is>
      </c>
      <c r="D182" s="393" t="inlineStr">
        <is>
          <t>8859297_IPSUNNY</t>
        </is>
      </c>
      <c r="E182" s="393" t="inlineStr">
        <is>
          <t>BENGHAIM</t>
        </is>
      </c>
      <c r="F182" s="393" t="inlineStr">
        <is>
          <t>2026-07-20 09:59:09</t>
        </is>
      </c>
      <c r="G182" s="393" t="inlineStr">
        <is>
          <t>2026-07-20 15:00:04</t>
        </is>
      </c>
      <c r="H182" s="394" t="n">
        <v>18055</v>
      </c>
      <c r="I182" s="393" t="inlineStr">
        <is>
          <t>Voice</t>
        </is>
      </c>
      <c r="J182" s="393" t="inlineStr">
        <is>
          <t>RHOUDAOT</t>
        </is>
      </c>
      <c r="K182" s="395">
        <f>DATE(VALUE(LEFT(A182,4)),VALUE(MID(A182,5,2)),VALUE(RIGHT(A182,2)))</f>
        <v/>
      </c>
      <c r="L182" s="395">
        <f>DATEVALUE(LEFT(F182,10))</f>
        <v/>
      </c>
      <c r="M182" s="396">
        <f>TIMEVALUE(MID(F182,12,8))</f>
        <v/>
      </c>
      <c r="N182" s="395">
        <f>DATEVALUE(LEFT(G182,10))</f>
        <v/>
      </c>
      <c r="O182" s="396">
        <f>TIMEVALUE(MID(G182,12,8))</f>
        <v/>
      </c>
      <c r="P182" s="396">
        <f>IFERROR(_xlfn.MINIFS($M:$M,$E:$E,$E182,$K:$K,$K182,$M:$M,"&gt;"&amp;$O182),"")</f>
        <v/>
      </c>
      <c r="Q182" s="396">
        <f>IF($P182="","",$P182-$O182)</f>
        <v/>
      </c>
    </row>
    <row r="183" ht="15" customHeight="1" s="231">
      <c r="A183" s="393" t="inlineStr">
        <is>
          <t>20260720</t>
        </is>
      </c>
      <c r="B183" s="393" t="inlineStr">
        <is>
          <t>LEADS GOOGLE</t>
        </is>
      </c>
      <c r="C183" s="393" t="inlineStr">
        <is>
          <t>RABAT</t>
        </is>
      </c>
      <c r="D183" s="393" t="inlineStr">
        <is>
          <t>8859297_IPSUNNY</t>
        </is>
      </c>
      <c r="E183" s="393" t="inlineStr">
        <is>
          <t>BENGHAIM</t>
        </is>
      </c>
      <c r="F183" s="393" t="inlineStr">
        <is>
          <t>2026-07-20 16:11:39</t>
        </is>
      </c>
      <c r="G183" s="393" t="inlineStr">
        <is>
          <t>2026-07-20 20:00:03</t>
        </is>
      </c>
      <c r="H183" s="394" t="n">
        <v>13704</v>
      </c>
      <c r="I183" s="393" t="inlineStr">
        <is>
          <t>Voice</t>
        </is>
      </c>
      <c r="J183" s="393" t="inlineStr">
        <is>
          <t>RHOUDAOT</t>
        </is>
      </c>
      <c r="K183" s="395">
        <f>DATE(VALUE(LEFT(A183,4)),VALUE(MID(A183,5,2)),VALUE(RIGHT(A183,2)))</f>
        <v/>
      </c>
      <c r="L183" s="395">
        <f>DATEVALUE(LEFT(F183,10))</f>
        <v/>
      </c>
      <c r="M183" s="396">
        <f>TIMEVALUE(MID(F183,12,8))</f>
        <v/>
      </c>
      <c r="N183" s="395">
        <f>DATEVALUE(LEFT(G183,10))</f>
        <v/>
      </c>
      <c r="O183" s="396">
        <f>TIMEVALUE(MID(G183,12,8))</f>
        <v/>
      </c>
      <c r="P183" s="396">
        <f>IFERROR(_xlfn.MINIFS($M:$M,$E:$E,$E183,$K:$K,$K183,$M:$M,"&gt;"&amp;$O183),"")</f>
        <v/>
      </c>
      <c r="Q183" s="396">
        <f>IF($P183="","",$P183-$O183)</f>
        <v/>
      </c>
    </row>
    <row r="184" ht="15" customHeight="1" s="231">
      <c r="A184" s="393" t="inlineStr">
        <is>
          <t>20260720</t>
        </is>
      </c>
      <c r="B184" s="393" t="inlineStr">
        <is>
          <t>LEADS GOOGLE</t>
        </is>
      </c>
      <c r="C184" s="393" t="inlineStr">
        <is>
          <t>RABAT</t>
        </is>
      </c>
      <c r="D184" s="393" t="inlineStr">
        <is>
          <t>8858331_IPSBNSZ</t>
        </is>
      </c>
      <c r="E184" s="393" t="inlineStr">
        <is>
          <t>BENMESIS</t>
        </is>
      </c>
      <c r="F184" s="393" t="inlineStr">
        <is>
          <t>2026-07-20 09:59:10</t>
        </is>
      </c>
      <c r="G184" s="393" t="inlineStr">
        <is>
          <t>2026-07-20 15:00:32</t>
        </is>
      </c>
      <c r="H184" s="394" t="n">
        <v>18082</v>
      </c>
      <c r="I184" s="393" t="inlineStr">
        <is>
          <t>Voice</t>
        </is>
      </c>
      <c r="J184" s="393" t="inlineStr">
        <is>
          <t>RHOUDAOT</t>
        </is>
      </c>
      <c r="K184" s="395">
        <f>DATE(VALUE(LEFT(A184,4)),VALUE(MID(A184,5,2)),VALUE(RIGHT(A184,2)))</f>
        <v/>
      </c>
      <c r="L184" s="395">
        <f>DATEVALUE(LEFT(F184,10))</f>
        <v/>
      </c>
      <c r="M184" s="396">
        <f>TIMEVALUE(MID(F184,12,8))</f>
        <v/>
      </c>
      <c r="N184" s="395">
        <f>DATEVALUE(LEFT(G184,10))</f>
        <v/>
      </c>
      <c r="O184" s="396">
        <f>TIMEVALUE(MID(G184,12,8))</f>
        <v/>
      </c>
      <c r="P184" s="396">
        <f>IFERROR(_xlfn.MINIFS($M:$M,$E:$E,$E184,$K:$K,$K184,$M:$M,"&gt;"&amp;$O184),"")</f>
        <v/>
      </c>
      <c r="Q184" s="396">
        <f>IF($P184="","",$P184-$O184)</f>
        <v/>
      </c>
    </row>
    <row r="185" ht="15" customHeight="1" s="231">
      <c r="A185" s="393" t="inlineStr">
        <is>
          <t>20260720</t>
        </is>
      </c>
      <c r="B185" s="393" t="inlineStr">
        <is>
          <t>LEADS GOOGLE</t>
        </is>
      </c>
      <c r="C185" s="393" t="inlineStr">
        <is>
          <t>RABAT</t>
        </is>
      </c>
      <c r="D185" s="393" t="inlineStr">
        <is>
          <t>8858331_IPSBNSZ</t>
        </is>
      </c>
      <c r="E185" s="393" t="inlineStr">
        <is>
          <t>BENMESIS</t>
        </is>
      </c>
      <c r="F185" s="393" t="inlineStr">
        <is>
          <t>2026-07-20 15:59:59</t>
        </is>
      </c>
      <c r="G185" s="393" t="inlineStr">
        <is>
          <t>2026-07-20 20:00:04</t>
        </is>
      </c>
      <c r="H185" s="394" t="n">
        <v>14405</v>
      </c>
      <c r="I185" s="393" t="inlineStr">
        <is>
          <t>Voice</t>
        </is>
      </c>
      <c r="J185" s="393" t="inlineStr">
        <is>
          <t>RHOUDAOT</t>
        </is>
      </c>
      <c r="K185" s="395">
        <f>DATE(VALUE(LEFT(A185,4)),VALUE(MID(A185,5,2)),VALUE(RIGHT(A185,2)))</f>
        <v/>
      </c>
      <c r="L185" s="395">
        <f>DATEVALUE(LEFT(F185,10))</f>
        <v/>
      </c>
      <c r="M185" s="396">
        <f>TIMEVALUE(MID(F185,12,8))</f>
        <v/>
      </c>
      <c r="N185" s="395">
        <f>DATEVALUE(LEFT(G185,10))</f>
        <v/>
      </c>
      <c r="O185" s="396">
        <f>TIMEVALUE(MID(G185,12,8))</f>
        <v/>
      </c>
      <c r="P185" s="396">
        <f>IFERROR(_xlfn.MINIFS($M:$M,$E:$E,$E185,$K:$K,$K185,$M:$M,"&gt;"&amp;$O185),"")</f>
        <v/>
      </c>
      <c r="Q185" s="396">
        <f>IF($P185="","",$P185-$O185)</f>
        <v/>
      </c>
    </row>
    <row r="186" ht="15" customHeight="1" s="231">
      <c r="A186" s="393" t="inlineStr">
        <is>
          <t>20260720</t>
        </is>
      </c>
      <c r="B186" s="393" t="inlineStr">
        <is>
          <t>LEADS GOOGLE</t>
        </is>
      </c>
      <c r="C186" s="393" t="inlineStr">
        <is>
          <t>RABAT</t>
        </is>
      </c>
      <c r="D186" s="393" t="inlineStr">
        <is>
          <t>8858790_IPSQSVC</t>
        </is>
      </c>
      <c r="E186" s="393" t="inlineStr">
        <is>
          <t>BENSARAN</t>
        </is>
      </c>
      <c r="F186" s="393" t="inlineStr">
        <is>
          <t>2026-07-20 10:59:08</t>
        </is>
      </c>
      <c r="G186" s="393" t="inlineStr">
        <is>
          <t>2026-07-20 15:04:10</t>
        </is>
      </c>
      <c r="H186" s="394" t="n">
        <v>14702</v>
      </c>
      <c r="I186" s="393" t="inlineStr">
        <is>
          <t>Voice</t>
        </is>
      </c>
      <c r="J186" s="393" t="inlineStr">
        <is>
          <t>HAOUACIK</t>
        </is>
      </c>
      <c r="K186" s="395">
        <f>DATE(VALUE(LEFT(A186,4)),VALUE(MID(A186,5,2)),VALUE(RIGHT(A186,2)))</f>
        <v/>
      </c>
      <c r="L186" s="395">
        <f>DATEVALUE(LEFT(F186,10))</f>
        <v/>
      </c>
      <c r="M186" s="396">
        <f>TIMEVALUE(MID(F186,12,8))</f>
        <v/>
      </c>
      <c r="N186" s="395">
        <f>DATEVALUE(LEFT(G186,10))</f>
        <v/>
      </c>
      <c r="O186" s="396">
        <f>TIMEVALUE(MID(G186,12,8))</f>
        <v/>
      </c>
      <c r="P186" s="396">
        <f>IFERROR(_xlfn.MINIFS($M:$M,$E:$E,$E186,$K:$K,$K186,$M:$M,"&gt;"&amp;$O186),"")</f>
        <v/>
      </c>
      <c r="Q186" s="396">
        <f>IF($P186="","",$P186-$O186)</f>
        <v/>
      </c>
    </row>
    <row r="187" ht="15" customHeight="1" s="231">
      <c r="A187" s="393" t="inlineStr">
        <is>
          <t>20260720</t>
        </is>
      </c>
      <c r="B187" s="393" t="inlineStr">
        <is>
          <t>LEADS GOOGLE</t>
        </is>
      </c>
      <c r="C187" s="393" t="inlineStr">
        <is>
          <t>RABAT</t>
        </is>
      </c>
      <c r="D187" s="393" t="inlineStr">
        <is>
          <t>8858790_IPSQSVC</t>
        </is>
      </c>
      <c r="E187" s="393" t="inlineStr">
        <is>
          <t>BENSARAN</t>
        </is>
      </c>
      <c r="F187" s="393" t="inlineStr">
        <is>
          <t>2026-07-20 16:02:19</t>
        </is>
      </c>
      <c r="G187" s="393" t="inlineStr">
        <is>
          <t>2026-07-20 16:02:25</t>
        </is>
      </c>
      <c r="H187" s="394" t="n">
        <v>6</v>
      </c>
      <c r="I187" s="393" t="inlineStr">
        <is>
          <t>Voice</t>
        </is>
      </c>
      <c r="J187" s="393" t="inlineStr">
        <is>
          <t>HAOUACIK</t>
        </is>
      </c>
      <c r="K187" s="395">
        <f>DATE(VALUE(LEFT(A187,4)),VALUE(MID(A187,5,2)),VALUE(RIGHT(A187,2)))</f>
        <v/>
      </c>
      <c r="L187" s="395">
        <f>DATEVALUE(LEFT(F187,10))</f>
        <v/>
      </c>
      <c r="M187" s="396">
        <f>TIMEVALUE(MID(F187,12,8))</f>
        <v/>
      </c>
      <c r="N187" s="395">
        <f>DATEVALUE(LEFT(G187,10))</f>
        <v/>
      </c>
      <c r="O187" s="396">
        <f>TIMEVALUE(MID(G187,12,8))</f>
        <v/>
      </c>
      <c r="P187" s="396">
        <f>IFERROR(_xlfn.MINIFS($M:$M,$E:$E,$E187,$K:$K,$K187,$M:$M,"&gt;"&amp;$O187),"")</f>
        <v/>
      </c>
      <c r="Q187" s="396">
        <f>IF($P187="","",$P187-$O187)</f>
        <v/>
      </c>
    </row>
    <row r="188" ht="15" customHeight="1" s="231">
      <c r="A188" s="393" t="inlineStr">
        <is>
          <t>20260720</t>
        </is>
      </c>
      <c r="B188" s="393" t="inlineStr">
        <is>
          <t>LEADS GOOGLE</t>
        </is>
      </c>
      <c r="C188" s="393" t="inlineStr">
        <is>
          <t>RABAT</t>
        </is>
      </c>
      <c r="D188" s="393" t="inlineStr">
        <is>
          <t>8858790_IPSQSVC</t>
        </is>
      </c>
      <c r="E188" s="393" t="inlineStr">
        <is>
          <t>BENSARAN</t>
        </is>
      </c>
      <c r="F188" s="393" t="inlineStr">
        <is>
          <t>2026-07-20 16:03:06</t>
        </is>
      </c>
      <c r="G188" s="393" t="inlineStr">
        <is>
          <t>2026-07-20 21:03:10</t>
        </is>
      </c>
      <c r="H188" s="394" t="n">
        <v>18004</v>
      </c>
      <c r="I188" s="393" t="inlineStr">
        <is>
          <t>Voice</t>
        </is>
      </c>
      <c r="J188" s="393" t="inlineStr">
        <is>
          <t>HAOUACIK</t>
        </is>
      </c>
      <c r="K188" s="395">
        <f>DATE(VALUE(LEFT(A188,4)),VALUE(MID(A188,5,2)),VALUE(RIGHT(A188,2)))</f>
        <v/>
      </c>
      <c r="L188" s="395">
        <f>DATEVALUE(LEFT(F188,10))</f>
        <v/>
      </c>
      <c r="M188" s="396">
        <f>TIMEVALUE(MID(F188,12,8))</f>
        <v/>
      </c>
      <c r="N188" s="395">
        <f>DATEVALUE(LEFT(G188,10))</f>
        <v/>
      </c>
      <c r="O188" s="396">
        <f>TIMEVALUE(MID(G188,12,8))</f>
        <v/>
      </c>
      <c r="P188" s="396">
        <f>IFERROR(_xlfn.MINIFS($M:$M,$E:$E,$E188,$K:$K,$K188,$M:$M,"&gt;"&amp;$O188),"")</f>
        <v/>
      </c>
      <c r="Q188" s="396">
        <f>IF($P188="","",$P188-$O188)</f>
        <v/>
      </c>
    </row>
    <row r="189" ht="15" customHeight="1" s="231">
      <c r="A189" s="393" t="inlineStr">
        <is>
          <t>20260720</t>
        </is>
      </c>
      <c r="B189" s="393" t="inlineStr">
        <is>
          <t>LEADS GOOGLE</t>
        </is>
      </c>
      <c r="C189" s="393" t="inlineStr">
        <is>
          <t>RABAT</t>
        </is>
      </c>
      <c r="D189" s="393" t="inlineStr">
        <is>
          <t>8858770_IPSDOWN</t>
        </is>
      </c>
      <c r="E189" s="393" t="inlineStr">
        <is>
          <t>BOUCHANE</t>
        </is>
      </c>
      <c r="F189" s="393" t="inlineStr">
        <is>
          <t>2026-07-20 09:51:57</t>
        </is>
      </c>
      <c r="G189" s="393" t="inlineStr">
        <is>
          <t>2026-07-20 09:52:03</t>
        </is>
      </c>
      <c r="H189" s="394" t="n">
        <v>6</v>
      </c>
      <c r="I189" s="393" t="inlineStr">
        <is>
          <t>Voice</t>
        </is>
      </c>
      <c r="J189" s="393" t="inlineStr">
        <is>
          <t>RHOUDAOT</t>
        </is>
      </c>
      <c r="K189" s="395">
        <f>DATE(VALUE(LEFT(A189,4)),VALUE(MID(A189,5,2)),VALUE(RIGHT(A189,2)))</f>
        <v/>
      </c>
      <c r="L189" s="395">
        <f>DATEVALUE(LEFT(F189,10))</f>
        <v/>
      </c>
      <c r="M189" s="396">
        <f>TIMEVALUE(MID(F189,12,8))</f>
        <v/>
      </c>
      <c r="N189" s="395">
        <f>DATEVALUE(LEFT(G189,10))</f>
        <v/>
      </c>
      <c r="O189" s="396">
        <f>TIMEVALUE(MID(G189,12,8))</f>
        <v/>
      </c>
      <c r="P189" s="396">
        <f>IFERROR(_xlfn.MINIFS($M:$M,$E:$E,$E189,$K:$K,$K189,$M:$M,"&gt;"&amp;$O189),"")</f>
        <v/>
      </c>
      <c r="Q189" s="396">
        <f>IF($P189="","",$P189-$O189)</f>
        <v/>
      </c>
    </row>
    <row r="190" ht="15" customHeight="1" s="231">
      <c r="A190" s="393" t="inlineStr">
        <is>
          <t>20260720</t>
        </is>
      </c>
      <c r="B190" s="393" t="inlineStr">
        <is>
          <t>LEADS GOOGLE</t>
        </is>
      </c>
      <c r="C190" s="393" t="inlineStr">
        <is>
          <t>RABAT</t>
        </is>
      </c>
      <c r="D190" s="393" t="inlineStr">
        <is>
          <t>8858770_IPSDOWN</t>
        </is>
      </c>
      <c r="E190" s="393" t="inlineStr">
        <is>
          <t>BOUCHANE</t>
        </is>
      </c>
      <c r="F190" s="393" t="inlineStr">
        <is>
          <t>2026-07-20 09:59:04</t>
        </is>
      </c>
      <c r="G190" s="393" t="inlineStr">
        <is>
          <t>2026-07-20 15:00:18</t>
        </is>
      </c>
      <c r="H190" s="394" t="n">
        <v>18074</v>
      </c>
      <c r="I190" s="393" t="inlineStr">
        <is>
          <t>Voice</t>
        </is>
      </c>
      <c r="J190" s="393" t="inlineStr">
        <is>
          <t>RHOUDAOT</t>
        </is>
      </c>
      <c r="K190" s="395">
        <f>DATE(VALUE(LEFT(A190,4)),VALUE(MID(A190,5,2)),VALUE(RIGHT(A190,2)))</f>
        <v/>
      </c>
      <c r="L190" s="395">
        <f>DATEVALUE(LEFT(F190,10))</f>
        <v/>
      </c>
      <c r="M190" s="396">
        <f>TIMEVALUE(MID(F190,12,8))</f>
        <v/>
      </c>
      <c r="N190" s="395">
        <f>DATEVALUE(LEFT(G190,10))</f>
        <v/>
      </c>
      <c r="O190" s="396">
        <f>TIMEVALUE(MID(G190,12,8))</f>
        <v/>
      </c>
      <c r="P190" s="396">
        <f>IFERROR(_xlfn.MINIFS($M:$M,$E:$E,$E190,$K:$K,$K190,$M:$M,"&gt;"&amp;$O190),"")</f>
        <v/>
      </c>
      <c r="Q190" s="396">
        <f>IF($P190="","",$P190-$O190)</f>
        <v/>
      </c>
    </row>
    <row r="191" ht="15" customHeight="1" s="231">
      <c r="A191" s="393" t="inlineStr">
        <is>
          <t>20260720</t>
        </is>
      </c>
      <c r="B191" s="393" t="inlineStr">
        <is>
          <t>LEADS GOOGLE</t>
        </is>
      </c>
      <c r="C191" s="393" t="inlineStr">
        <is>
          <t>RABAT</t>
        </is>
      </c>
      <c r="D191" s="393" t="inlineStr">
        <is>
          <t>8858770_IPSDOWN</t>
        </is>
      </c>
      <c r="E191" s="393" t="inlineStr">
        <is>
          <t>BOUCHANE</t>
        </is>
      </c>
      <c r="F191" s="393" t="inlineStr">
        <is>
          <t>2026-07-20 15:59:49</t>
        </is>
      </c>
      <c r="G191" s="393" t="inlineStr">
        <is>
          <t>2026-07-20 16:17:42</t>
        </is>
      </c>
      <c r="H191" s="394" t="n">
        <v>1073</v>
      </c>
      <c r="I191" s="393" t="inlineStr">
        <is>
          <t>Voice</t>
        </is>
      </c>
      <c r="J191" s="393" t="inlineStr">
        <is>
          <t>RHOUDAOT</t>
        </is>
      </c>
      <c r="K191" s="395">
        <f>DATE(VALUE(LEFT(A191,4)),VALUE(MID(A191,5,2)),VALUE(RIGHT(A191,2)))</f>
        <v/>
      </c>
      <c r="L191" s="395">
        <f>DATEVALUE(LEFT(F191,10))</f>
        <v/>
      </c>
      <c r="M191" s="396">
        <f>TIMEVALUE(MID(F191,12,8))</f>
        <v/>
      </c>
      <c r="N191" s="395">
        <f>DATEVALUE(LEFT(G191,10))</f>
        <v/>
      </c>
      <c r="O191" s="396">
        <f>TIMEVALUE(MID(G191,12,8))</f>
        <v/>
      </c>
      <c r="P191" s="396">
        <f>IFERROR(_xlfn.MINIFS($M:$M,$E:$E,$E191,$K:$K,$K191,$M:$M,"&gt;"&amp;$O191),"")</f>
        <v/>
      </c>
      <c r="Q191" s="396">
        <f>IF($P191="","",$P191-$O191)</f>
        <v/>
      </c>
    </row>
    <row r="192" ht="15" customHeight="1" s="231">
      <c r="A192" s="393" t="inlineStr">
        <is>
          <t>20260720</t>
        </is>
      </c>
      <c r="B192" s="393" t="inlineStr">
        <is>
          <t>LEADS GOOGLE</t>
        </is>
      </c>
      <c r="C192" s="393" t="inlineStr">
        <is>
          <t>RABAT</t>
        </is>
      </c>
      <c r="D192" s="393" t="inlineStr">
        <is>
          <t>8858770_IPSDOWN</t>
        </is>
      </c>
      <c r="E192" s="393" t="inlineStr">
        <is>
          <t>BOUCHANE</t>
        </is>
      </c>
      <c r="F192" s="393" t="inlineStr">
        <is>
          <t>2026-07-20 16:38:14</t>
        </is>
      </c>
      <c r="G192" s="393" t="inlineStr">
        <is>
          <t>2026-07-20 20:00:03</t>
        </is>
      </c>
      <c r="H192" s="394" t="n">
        <v>12109</v>
      </c>
      <c r="I192" s="393" t="inlineStr">
        <is>
          <t>Voice</t>
        </is>
      </c>
      <c r="J192" s="393" t="inlineStr">
        <is>
          <t>RHOUDAOT</t>
        </is>
      </c>
      <c r="K192" s="395">
        <f>DATE(VALUE(LEFT(A192,4)),VALUE(MID(A192,5,2)),VALUE(RIGHT(A192,2)))</f>
        <v/>
      </c>
      <c r="L192" s="395">
        <f>DATEVALUE(LEFT(F192,10))</f>
        <v/>
      </c>
      <c r="M192" s="396">
        <f>TIMEVALUE(MID(F192,12,8))</f>
        <v/>
      </c>
      <c r="N192" s="395">
        <f>DATEVALUE(LEFT(G192,10))</f>
        <v/>
      </c>
      <c r="O192" s="396">
        <f>TIMEVALUE(MID(G192,12,8))</f>
        <v/>
      </c>
      <c r="P192" s="396">
        <f>IFERROR(_xlfn.MINIFS($M:$M,$E:$E,$E192,$K:$K,$K192,$M:$M,"&gt;"&amp;$O192),"")</f>
        <v/>
      </c>
      <c r="Q192" s="396">
        <f>IF($P192="","",$P192-$O192)</f>
        <v/>
      </c>
    </row>
    <row r="193" ht="15" customHeight="1" s="231">
      <c r="A193" s="393" t="inlineStr">
        <is>
          <t>20260720</t>
        </is>
      </c>
      <c r="B193" s="393" t="inlineStr">
        <is>
          <t>LEADS GOOGLE</t>
        </is>
      </c>
      <c r="C193" s="393" t="inlineStr">
        <is>
          <t>RABAT</t>
        </is>
      </c>
      <c r="D193" s="393" t="inlineStr">
        <is>
          <t>8859309_IPSBLSL</t>
        </is>
      </c>
      <c r="E193" s="393" t="inlineStr">
        <is>
          <t>BOULHRSA</t>
        </is>
      </c>
      <c r="F193" s="393" t="inlineStr">
        <is>
          <t>2026-07-20 07:46:25</t>
        </is>
      </c>
      <c r="G193" s="393" t="inlineStr">
        <is>
          <t>2026-07-20 07:46:28</t>
        </is>
      </c>
      <c r="H193" s="394" t="n">
        <v>3</v>
      </c>
      <c r="I193" s="393" t="inlineStr">
        <is>
          <t>Voice</t>
        </is>
      </c>
      <c r="J193" s="393" t="inlineStr">
        <is>
          <t>HAOUACIK</t>
        </is>
      </c>
      <c r="K193" s="395">
        <f>DATE(VALUE(LEFT(A193,4)),VALUE(MID(A193,5,2)),VALUE(RIGHT(A193,2)))</f>
        <v/>
      </c>
      <c r="L193" s="395">
        <f>DATEVALUE(LEFT(F193,10))</f>
        <v/>
      </c>
      <c r="M193" s="396">
        <f>TIMEVALUE(MID(F193,12,8))</f>
        <v/>
      </c>
      <c r="N193" s="395">
        <f>DATEVALUE(LEFT(G193,10))</f>
        <v/>
      </c>
      <c r="O193" s="396">
        <f>TIMEVALUE(MID(G193,12,8))</f>
        <v/>
      </c>
      <c r="P193" s="396">
        <f>IFERROR(_xlfn.MINIFS($M:$M,$E:$E,$E193,$K:$K,$K193,$M:$M,"&gt;"&amp;$O193),"")</f>
        <v/>
      </c>
      <c r="Q193" s="396">
        <f>IF($P193="","",$P193-$O193)</f>
        <v/>
      </c>
    </row>
    <row r="194" ht="15" customHeight="1" s="231">
      <c r="A194" s="393" t="inlineStr">
        <is>
          <t>20260720</t>
        </is>
      </c>
      <c r="B194" s="393" t="inlineStr">
        <is>
          <t>LEADS GOOGLE</t>
        </is>
      </c>
      <c r="C194" s="393" t="inlineStr">
        <is>
          <t>RABAT</t>
        </is>
      </c>
      <c r="D194" s="393" t="inlineStr">
        <is>
          <t>8859309_IPSBLSL</t>
        </is>
      </c>
      <c r="E194" s="393" t="inlineStr">
        <is>
          <t>BOULHRSA</t>
        </is>
      </c>
      <c r="F194" s="393" t="inlineStr">
        <is>
          <t>2026-07-20 07:59:19</t>
        </is>
      </c>
      <c r="G194" s="393" t="inlineStr">
        <is>
          <t>2026-07-20 13:08:13</t>
        </is>
      </c>
      <c r="H194" s="394" t="n">
        <v>18534</v>
      </c>
      <c r="I194" s="393" t="inlineStr">
        <is>
          <t>Voice</t>
        </is>
      </c>
      <c r="J194" s="393" t="inlineStr">
        <is>
          <t>HAOUACIK</t>
        </is>
      </c>
      <c r="K194" s="395">
        <f>DATE(VALUE(LEFT(A194,4)),VALUE(MID(A194,5,2)),VALUE(RIGHT(A194,2)))</f>
        <v/>
      </c>
      <c r="L194" s="395">
        <f>DATEVALUE(LEFT(F194,10))</f>
        <v/>
      </c>
      <c r="M194" s="396">
        <f>TIMEVALUE(MID(F194,12,8))</f>
        <v/>
      </c>
      <c r="N194" s="395">
        <f>DATEVALUE(LEFT(G194,10))</f>
        <v/>
      </c>
      <c r="O194" s="396">
        <f>TIMEVALUE(MID(G194,12,8))</f>
        <v/>
      </c>
      <c r="P194" s="396">
        <f>IFERROR(_xlfn.MINIFS($M:$M,$E:$E,$E194,$K:$K,$K194,$M:$M,"&gt;"&amp;$O194),"")</f>
        <v/>
      </c>
      <c r="Q194" s="396">
        <f>IF($P194="","",$P194-$O194)</f>
        <v/>
      </c>
    </row>
    <row r="195" ht="15" customHeight="1" s="231">
      <c r="A195" s="393" t="inlineStr">
        <is>
          <t>20260720</t>
        </is>
      </c>
      <c r="B195" s="393" t="inlineStr">
        <is>
          <t>LEADS GOOGLE</t>
        </is>
      </c>
      <c r="C195" s="393" t="inlineStr">
        <is>
          <t>RABAT</t>
        </is>
      </c>
      <c r="D195" s="393" t="inlineStr">
        <is>
          <t>8859309_IPSBLSL</t>
        </is>
      </c>
      <c r="E195" s="393" t="inlineStr">
        <is>
          <t>BOULHRSA</t>
        </is>
      </c>
      <c r="F195" s="393" t="inlineStr">
        <is>
          <t>2026-07-20 13:46:16</t>
        </is>
      </c>
      <c r="G195" s="393" t="inlineStr">
        <is>
          <t>2026-07-20 13:46:19</t>
        </is>
      </c>
      <c r="H195" s="394" t="n">
        <v>3</v>
      </c>
      <c r="I195" s="393" t="inlineStr">
        <is>
          <t>Voice</t>
        </is>
      </c>
      <c r="J195" s="393" t="inlineStr">
        <is>
          <t>HAOUACIK</t>
        </is>
      </c>
      <c r="K195" s="395">
        <f>DATE(VALUE(LEFT(A195,4)),VALUE(MID(A195,5,2)),VALUE(RIGHT(A195,2)))</f>
        <v/>
      </c>
      <c r="L195" s="395">
        <f>DATEVALUE(LEFT(F195,10))</f>
        <v/>
      </c>
      <c r="M195" s="396">
        <f>TIMEVALUE(MID(F195,12,8))</f>
        <v/>
      </c>
      <c r="N195" s="395">
        <f>DATEVALUE(LEFT(G195,10))</f>
        <v/>
      </c>
      <c r="O195" s="396">
        <f>TIMEVALUE(MID(G195,12,8))</f>
        <v/>
      </c>
      <c r="P195" s="396">
        <f>IFERROR(_xlfn.MINIFS($M:$M,$E:$E,$E195,$K:$K,$K195,$M:$M,"&gt;"&amp;$O195),"")</f>
        <v/>
      </c>
      <c r="Q195" s="396">
        <f>IF($P195="","",$P195-$O195)</f>
        <v/>
      </c>
    </row>
    <row r="196" ht="15" customHeight="1" s="231">
      <c r="A196" s="393" t="inlineStr">
        <is>
          <t>20260720</t>
        </is>
      </c>
      <c r="B196" s="393" t="inlineStr">
        <is>
          <t>LEADS GOOGLE</t>
        </is>
      </c>
      <c r="C196" s="393" t="inlineStr">
        <is>
          <t>RABAT</t>
        </is>
      </c>
      <c r="D196" s="393" t="inlineStr">
        <is>
          <t>8859309_IPSBLSL</t>
        </is>
      </c>
      <c r="E196" s="393" t="inlineStr">
        <is>
          <t>BOULHRSA</t>
        </is>
      </c>
      <c r="F196" s="393" t="inlineStr">
        <is>
          <t>2026-07-20 14:00:18</t>
        </is>
      </c>
      <c r="G196" s="393" t="inlineStr">
        <is>
          <t>2026-07-20 18:00:01</t>
        </is>
      </c>
      <c r="H196" s="394" t="n">
        <v>14383</v>
      </c>
      <c r="I196" s="393" t="inlineStr">
        <is>
          <t>Voice</t>
        </is>
      </c>
      <c r="J196" s="393" t="inlineStr">
        <is>
          <t>HAOUACIK</t>
        </is>
      </c>
      <c r="K196" s="395">
        <f>DATE(VALUE(LEFT(A196,4)),VALUE(MID(A196,5,2)),VALUE(RIGHT(A196,2)))</f>
        <v/>
      </c>
      <c r="L196" s="395">
        <f>DATEVALUE(LEFT(F196,10))</f>
        <v/>
      </c>
      <c r="M196" s="396">
        <f>TIMEVALUE(MID(F196,12,8))</f>
        <v/>
      </c>
      <c r="N196" s="395">
        <f>DATEVALUE(LEFT(G196,10))</f>
        <v/>
      </c>
      <c r="O196" s="396">
        <f>TIMEVALUE(MID(G196,12,8))</f>
        <v/>
      </c>
      <c r="P196" s="396">
        <f>IFERROR(_xlfn.MINIFS($M:$M,$E:$E,$E196,$K:$K,$K196,$M:$M,"&gt;"&amp;$O196),"")</f>
        <v/>
      </c>
      <c r="Q196" s="396">
        <f>IF($P196="","",$P196-$O196)</f>
        <v/>
      </c>
    </row>
    <row r="197" ht="15" customHeight="1" s="231">
      <c r="A197" s="393" t="inlineStr">
        <is>
          <t>20260720</t>
        </is>
      </c>
      <c r="B197" s="393" t="inlineStr">
        <is>
          <t>LEADS GOOGLE</t>
        </is>
      </c>
      <c r="C197" s="393" t="inlineStr">
        <is>
          <t>RABAT</t>
        </is>
      </c>
      <c r="D197" s="393" t="inlineStr">
        <is>
          <t>8859558_IPSBRHS</t>
        </is>
      </c>
      <c r="E197" s="393" t="inlineStr">
        <is>
          <t>BOURABHS</t>
        </is>
      </c>
      <c r="F197" s="393" t="inlineStr">
        <is>
          <t>2026-07-20 09:49:13</t>
        </is>
      </c>
      <c r="G197" s="393" t="inlineStr">
        <is>
          <t>2026-07-20 09:49:18</t>
        </is>
      </c>
      <c r="H197" s="394" t="n">
        <v>5</v>
      </c>
      <c r="I197" s="393" t="inlineStr">
        <is>
          <t>Voice</t>
        </is>
      </c>
      <c r="J197" s="393" t="inlineStr">
        <is>
          <t>HAOUACIK</t>
        </is>
      </c>
      <c r="K197" s="395">
        <f>DATE(VALUE(LEFT(A197,4)),VALUE(MID(A197,5,2)),VALUE(RIGHT(A197,2)))</f>
        <v/>
      </c>
      <c r="L197" s="395">
        <f>DATEVALUE(LEFT(F197,10))</f>
        <v/>
      </c>
      <c r="M197" s="396">
        <f>TIMEVALUE(MID(F197,12,8))</f>
        <v/>
      </c>
      <c r="N197" s="395">
        <f>DATEVALUE(LEFT(G197,10))</f>
        <v/>
      </c>
      <c r="O197" s="396">
        <f>TIMEVALUE(MID(G197,12,8))</f>
        <v/>
      </c>
      <c r="P197" s="396">
        <f>IFERROR(_xlfn.MINIFS($M:$M,$E:$E,$E197,$K:$K,$K197,$M:$M,"&gt;"&amp;$O197),"")</f>
        <v/>
      </c>
      <c r="Q197" s="396">
        <f>IF($P197="","",$P197-$O197)</f>
        <v/>
      </c>
    </row>
    <row r="198" ht="15" customHeight="1" s="231">
      <c r="A198" s="393" t="inlineStr">
        <is>
          <t>20260720</t>
        </is>
      </c>
      <c r="B198" s="393" t="inlineStr">
        <is>
          <t>LEADS GOOGLE</t>
        </is>
      </c>
      <c r="C198" s="393" t="inlineStr">
        <is>
          <t>RABAT</t>
        </is>
      </c>
      <c r="D198" s="393" t="inlineStr">
        <is>
          <t>8859558_IPSBRHS</t>
        </is>
      </c>
      <c r="E198" s="393" t="inlineStr">
        <is>
          <t>BOURABHS</t>
        </is>
      </c>
      <c r="F198" s="393" t="inlineStr">
        <is>
          <t>2026-07-20 10:00:07</t>
        </is>
      </c>
      <c r="G198" s="393" t="inlineStr">
        <is>
          <t>2026-07-20 15:00:31</t>
        </is>
      </c>
      <c r="H198" s="394" t="n">
        <v>18024</v>
      </c>
      <c r="I198" s="393" t="inlineStr">
        <is>
          <t>Voice</t>
        </is>
      </c>
      <c r="J198" s="393" t="inlineStr">
        <is>
          <t>HAOUACIK</t>
        </is>
      </c>
      <c r="K198" s="395">
        <f>DATE(VALUE(LEFT(A198,4)),VALUE(MID(A198,5,2)),VALUE(RIGHT(A198,2)))</f>
        <v/>
      </c>
      <c r="L198" s="395">
        <f>DATEVALUE(LEFT(F198,10))</f>
        <v/>
      </c>
      <c r="M198" s="396">
        <f>TIMEVALUE(MID(F198,12,8))</f>
        <v/>
      </c>
      <c r="N198" s="395">
        <f>DATEVALUE(LEFT(G198,10))</f>
        <v/>
      </c>
      <c r="O198" s="396">
        <f>TIMEVALUE(MID(G198,12,8))</f>
        <v/>
      </c>
      <c r="P198" s="396">
        <f>IFERROR(_xlfn.MINIFS($M:$M,$E:$E,$E198,$K:$K,$K198,$M:$M,"&gt;"&amp;$O198),"")</f>
        <v/>
      </c>
      <c r="Q198" s="396">
        <f>IF($P198="","",$P198-$O198)</f>
        <v/>
      </c>
    </row>
    <row r="199" ht="15" customHeight="1" s="231">
      <c r="A199" s="393" t="inlineStr">
        <is>
          <t>20260720</t>
        </is>
      </c>
      <c r="B199" s="393" t="inlineStr">
        <is>
          <t>LEADS GOOGLE</t>
        </is>
      </c>
      <c r="C199" s="393" t="inlineStr">
        <is>
          <t>RABAT</t>
        </is>
      </c>
      <c r="D199" s="393" t="inlineStr">
        <is>
          <t>8859558_IPSBRHS</t>
        </is>
      </c>
      <c r="E199" s="393" t="inlineStr">
        <is>
          <t>BOURABHS</t>
        </is>
      </c>
      <c r="F199" s="393" t="inlineStr">
        <is>
          <t>2026-07-20 15:59:19</t>
        </is>
      </c>
      <c r="G199" s="393" t="inlineStr">
        <is>
          <t>2026-07-20 16:01:57</t>
        </is>
      </c>
      <c r="H199" s="394" t="n">
        <v>158</v>
      </c>
      <c r="I199" s="393" t="inlineStr">
        <is>
          <t>Voice</t>
        </is>
      </c>
      <c r="J199" s="393" t="inlineStr">
        <is>
          <t>HAOUACIK</t>
        </is>
      </c>
      <c r="K199" s="395">
        <f>DATE(VALUE(LEFT(A199,4)),VALUE(MID(A199,5,2)),VALUE(RIGHT(A199,2)))</f>
        <v/>
      </c>
      <c r="L199" s="395">
        <f>DATEVALUE(LEFT(F199,10))</f>
        <v/>
      </c>
      <c r="M199" s="396">
        <f>TIMEVALUE(MID(F199,12,8))</f>
        <v/>
      </c>
      <c r="N199" s="395">
        <f>DATEVALUE(LEFT(G199,10))</f>
        <v/>
      </c>
      <c r="O199" s="396">
        <f>TIMEVALUE(MID(G199,12,8))</f>
        <v/>
      </c>
      <c r="P199" s="396">
        <f>IFERROR(_xlfn.MINIFS($M:$M,$E:$E,$E199,$K:$K,$K199,$M:$M,"&gt;"&amp;$O199),"")</f>
        <v/>
      </c>
      <c r="Q199" s="396">
        <f>IF($P199="","",$P199-$O199)</f>
        <v/>
      </c>
    </row>
    <row r="200" ht="15" customHeight="1" s="231">
      <c r="A200" s="393" t="inlineStr">
        <is>
          <t>20260720</t>
        </is>
      </c>
      <c r="B200" s="393" t="inlineStr">
        <is>
          <t>LEADS GOOGLE</t>
        </is>
      </c>
      <c r="C200" s="393" t="inlineStr">
        <is>
          <t>RABAT</t>
        </is>
      </c>
      <c r="D200" s="393" t="inlineStr">
        <is>
          <t>8859558_IPSBRHS</t>
        </is>
      </c>
      <c r="E200" s="393" t="inlineStr">
        <is>
          <t>BOURABHS</t>
        </is>
      </c>
      <c r="F200" s="393" t="inlineStr">
        <is>
          <t>2026-07-20 16:06:57</t>
        </is>
      </c>
      <c r="G200" s="393" t="inlineStr">
        <is>
          <t>2026-07-20 20:00:04</t>
        </is>
      </c>
      <c r="H200" s="394" t="n">
        <v>13987</v>
      </c>
      <c r="I200" s="393" t="inlineStr">
        <is>
          <t>Voice</t>
        </is>
      </c>
      <c r="J200" s="393" t="inlineStr">
        <is>
          <t>HAOUACIK</t>
        </is>
      </c>
      <c r="K200" s="395">
        <f>DATE(VALUE(LEFT(A200,4)),VALUE(MID(A200,5,2)),VALUE(RIGHT(A200,2)))</f>
        <v/>
      </c>
      <c r="L200" s="395">
        <f>DATEVALUE(LEFT(F200,10))</f>
        <v/>
      </c>
      <c r="M200" s="396">
        <f>TIMEVALUE(MID(F200,12,8))</f>
        <v/>
      </c>
      <c r="N200" s="395">
        <f>DATEVALUE(LEFT(G200,10))</f>
        <v/>
      </c>
      <c r="O200" s="396">
        <f>TIMEVALUE(MID(G200,12,8))</f>
        <v/>
      </c>
      <c r="P200" s="396">
        <f>IFERROR(_xlfn.MINIFS($M:$M,$E:$E,$E200,$K:$K,$K200,$M:$M,"&gt;"&amp;$O200),"")</f>
        <v/>
      </c>
      <c r="Q200" s="396">
        <f>IF($P200="","",$P200-$O200)</f>
        <v/>
      </c>
    </row>
    <row r="201" ht="15" customHeight="1" s="231">
      <c r="A201" s="393" t="inlineStr">
        <is>
          <t>20260720</t>
        </is>
      </c>
      <c r="B201" s="393" t="inlineStr">
        <is>
          <t>LEADS GOOGLE</t>
        </is>
      </c>
      <c r="C201" s="393" t="inlineStr">
        <is>
          <t>RABAT</t>
        </is>
      </c>
      <c r="D201" s="393" t="inlineStr">
        <is>
          <t>8859398_IPSCHSX</t>
        </is>
      </c>
      <c r="E201" s="393" t="inlineStr">
        <is>
          <t>CHAFISA</t>
        </is>
      </c>
      <c r="F201" s="393" t="inlineStr">
        <is>
          <t>2026-07-20 09:58:38</t>
        </is>
      </c>
      <c r="G201" s="393" t="inlineStr">
        <is>
          <t>2026-07-20 14:00:11</t>
        </is>
      </c>
      <c r="H201" s="394" t="n">
        <v>14493</v>
      </c>
      <c r="I201" s="393" t="inlineStr">
        <is>
          <t>Voice</t>
        </is>
      </c>
      <c r="J201" s="393" t="inlineStr">
        <is>
          <t>RHOUDAOT</t>
        </is>
      </c>
      <c r="K201" s="395">
        <f>DATE(VALUE(LEFT(A201,4)),VALUE(MID(A201,5,2)),VALUE(RIGHT(A201,2)))</f>
        <v/>
      </c>
      <c r="L201" s="395">
        <f>DATEVALUE(LEFT(F201,10))</f>
        <v/>
      </c>
      <c r="M201" s="396">
        <f>TIMEVALUE(MID(F201,12,8))</f>
        <v/>
      </c>
      <c r="N201" s="395">
        <f>DATEVALUE(LEFT(G201,10))</f>
        <v/>
      </c>
      <c r="O201" s="396">
        <f>TIMEVALUE(MID(G201,12,8))</f>
        <v/>
      </c>
      <c r="P201" s="396">
        <f>IFERROR(_xlfn.MINIFS($M:$M,$E:$E,$E201,$K:$K,$K201,$M:$M,"&gt;"&amp;$O201),"")</f>
        <v/>
      </c>
      <c r="Q201" s="396">
        <f>IF($P201="","",$P201-$O201)</f>
        <v/>
      </c>
    </row>
    <row r="202" ht="15" customHeight="1" s="231">
      <c r="A202" s="393" t="inlineStr">
        <is>
          <t>20260720</t>
        </is>
      </c>
      <c r="B202" s="393" t="inlineStr">
        <is>
          <t>LEADS GOOGLE</t>
        </is>
      </c>
      <c r="C202" s="393" t="inlineStr">
        <is>
          <t>RABAT</t>
        </is>
      </c>
      <c r="D202" s="393" t="inlineStr">
        <is>
          <t>8859398_IPSCHSX</t>
        </is>
      </c>
      <c r="E202" s="393" t="inlineStr">
        <is>
          <t>CHAFISA</t>
        </is>
      </c>
      <c r="F202" s="393" t="inlineStr">
        <is>
          <t>2026-07-20 14:58:59</t>
        </is>
      </c>
      <c r="G202" s="393" t="inlineStr">
        <is>
          <t>2026-07-20 15:53:07</t>
        </is>
      </c>
      <c r="H202" s="394" t="n">
        <v>3248</v>
      </c>
      <c r="I202" s="393" t="inlineStr">
        <is>
          <t>Voice</t>
        </is>
      </c>
      <c r="J202" s="393" t="inlineStr">
        <is>
          <t>RHOUDAOT</t>
        </is>
      </c>
      <c r="K202" s="395">
        <f>DATE(VALUE(LEFT(A202,4)),VALUE(MID(A202,5,2)),VALUE(RIGHT(A202,2)))</f>
        <v/>
      </c>
      <c r="L202" s="395">
        <f>DATEVALUE(LEFT(F202,10))</f>
        <v/>
      </c>
      <c r="M202" s="396">
        <f>TIMEVALUE(MID(F202,12,8))</f>
        <v/>
      </c>
      <c r="N202" s="395">
        <f>DATEVALUE(LEFT(G202,10))</f>
        <v/>
      </c>
      <c r="O202" s="396">
        <f>TIMEVALUE(MID(G202,12,8))</f>
        <v/>
      </c>
      <c r="P202" s="396">
        <f>IFERROR(_xlfn.MINIFS($M:$M,$E:$E,$E202,$K:$K,$K202,$M:$M,"&gt;"&amp;$O202),"")</f>
        <v/>
      </c>
      <c r="Q202" s="396">
        <f>IF($P202="","",$P202-$O202)</f>
        <v/>
      </c>
    </row>
    <row r="203" ht="15" customHeight="1" s="231">
      <c r="A203" s="393" t="inlineStr">
        <is>
          <t>20260720</t>
        </is>
      </c>
      <c r="B203" s="393" t="inlineStr">
        <is>
          <t>LEADS GOOGLE</t>
        </is>
      </c>
      <c r="C203" s="393" t="inlineStr">
        <is>
          <t>RABAT</t>
        </is>
      </c>
      <c r="D203" s="393" t="inlineStr">
        <is>
          <t>8859398_IPSCHSX</t>
        </is>
      </c>
      <c r="E203" s="393" t="inlineStr">
        <is>
          <t>CHAFISA</t>
        </is>
      </c>
      <c r="F203" s="393" t="inlineStr">
        <is>
          <t>2026-07-20 17:17:17</t>
        </is>
      </c>
      <c r="G203" s="393" t="inlineStr">
        <is>
          <t>2026-07-20 20:00:04</t>
        </is>
      </c>
      <c r="H203" s="394" t="n">
        <v>9767</v>
      </c>
      <c r="I203" s="393" t="inlineStr">
        <is>
          <t>Voice</t>
        </is>
      </c>
      <c r="J203" s="393" t="inlineStr">
        <is>
          <t>RHOUDAOT</t>
        </is>
      </c>
      <c r="K203" s="395">
        <f>DATE(VALUE(LEFT(A203,4)),VALUE(MID(A203,5,2)),VALUE(RIGHT(A203,2)))</f>
        <v/>
      </c>
      <c r="L203" s="395">
        <f>DATEVALUE(LEFT(F203,10))</f>
        <v/>
      </c>
      <c r="M203" s="396">
        <f>TIMEVALUE(MID(F203,12,8))</f>
        <v/>
      </c>
      <c r="N203" s="395">
        <f>DATEVALUE(LEFT(G203,10))</f>
        <v/>
      </c>
      <c r="O203" s="396">
        <f>TIMEVALUE(MID(G203,12,8))</f>
        <v/>
      </c>
      <c r="P203" s="396">
        <f>IFERROR(_xlfn.MINIFS($M:$M,$E:$E,$E203,$K:$K,$K203,$M:$M,"&gt;"&amp;$O203),"")</f>
        <v/>
      </c>
      <c r="Q203" s="396">
        <f>IF($P203="","",$P203-$O203)</f>
        <v/>
      </c>
    </row>
    <row r="204" ht="15" customHeight="1" s="231">
      <c r="A204" s="393" t="inlineStr">
        <is>
          <t>20260720</t>
        </is>
      </c>
      <c r="B204" s="393" t="inlineStr">
        <is>
          <t>LEADS GOOGLE</t>
        </is>
      </c>
      <c r="C204" s="393" t="inlineStr">
        <is>
          <t>RABAT</t>
        </is>
      </c>
      <c r="D204" s="393" t="inlineStr">
        <is>
          <t>8858027_IPSOUND</t>
        </is>
      </c>
      <c r="E204" s="393" t="inlineStr">
        <is>
          <t>CHOUKROB</t>
        </is>
      </c>
      <c r="F204" s="393" t="inlineStr">
        <is>
          <t>2026-07-20 09:59:29</t>
        </is>
      </c>
      <c r="G204" s="393" t="inlineStr">
        <is>
          <t>2026-07-20 13:00:07</t>
        </is>
      </c>
      <c r="H204" s="394" t="n">
        <v>10838</v>
      </c>
      <c r="I204" s="393" t="inlineStr">
        <is>
          <t>Voice</t>
        </is>
      </c>
      <c r="J204" s="393" t="inlineStr">
        <is>
          <t>RHOUDAOT</t>
        </is>
      </c>
      <c r="K204" s="395">
        <f>DATE(VALUE(LEFT(A204,4)),VALUE(MID(A204,5,2)),VALUE(RIGHT(A204,2)))</f>
        <v/>
      </c>
      <c r="L204" s="395">
        <f>DATEVALUE(LEFT(F204,10))</f>
        <v/>
      </c>
      <c r="M204" s="396">
        <f>TIMEVALUE(MID(F204,12,8))</f>
        <v/>
      </c>
      <c r="N204" s="395">
        <f>DATEVALUE(LEFT(G204,10))</f>
        <v/>
      </c>
      <c r="O204" s="396">
        <f>TIMEVALUE(MID(G204,12,8))</f>
        <v/>
      </c>
      <c r="P204" s="396">
        <f>IFERROR(_xlfn.MINIFS($M:$M,$E:$E,$E204,$K:$K,$K204,$M:$M,"&gt;"&amp;$O204),"")</f>
        <v/>
      </c>
      <c r="Q204" s="396">
        <f>IF($P204="","",$P204-$O204)</f>
        <v/>
      </c>
    </row>
    <row r="205" ht="15" customHeight="1" s="231">
      <c r="A205" s="393" t="inlineStr">
        <is>
          <t>20260720</t>
        </is>
      </c>
      <c r="B205" s="393" t="inlineStr">
        <is>
          <t>LEADS GOOGLE</t>
        </is>
      </c>
      <c r="C205" s="393" t="inlineStr">
        <is>
          <t>RABAT</t>
        </is>
      </c>
      <c r="D205" s="393" t="inlineStr">
        <is>
          <t>8858027_IPSOUND</t>
        </is>
      </c>
      <c r="E205" s="393" t="inlineStr">
        <is>
          <t>CHOUKROB</t>
        </is>
      </c>
      <c r="F205" s="393" t="inlineStr">
        <is>
          <t>2026-07-20 14:00:07</t>
        </is>
      </c>
      <c r="G205" s="393" t="inlineStr">
        <is>
          <t>2026-07-20 15:42:05</t>
        </is>
      </c>
      <c r="H205" s="394" t="n">
        <v>6118</v>
      </c>
      <c r="I205" s="393" t="inlineStr">
        <is>
          <t>Voice</t>
        </is>
      </c>
      <c r="J205" s="393" t="inlineStr">
        <is>
          <t>RHOUDAOT</t>
        </is>
      </c>
      <c r="K205" s="395">
        <f>DATE(VALUE(LEFT(A205,4)),VALUE(MID(A205,5,2)),VALUE(RIGHT(A205,2)))</f>
        <v/>
      </c>
      <c r="L205" s="395">
        <f>DATEVALUE(LEFT(F205,10))</f>
        <v/>
      </c>
      <c r="M205" s="396">
        <f>TIMEVALUE(MID(F205,12,8))</f>
        <v/>
      </c>
      <c r="N205" s="395">
        <f>DATEVALUE(LEFT(G205,10))</f>
        <v/>
      </c>
      <c r="O205" s="396">
        <f>TIMEVALUE(MID(G205,12,8))</f>
        <v/>
      </c>
      <c r="P205" s="396">
        <f>IFERROR(_xlfn.MINIFS($M:$M,$E:$E,$E205,$K:$K,$K205,$M:$M,"&gt;"&amp;$O205),"")</f>
        <v/>
      </c>
      <c r="Q205" s="396">
        <f>IF($P205="","",$P205-$O205)</f>
        <v/>
      </c>
    </row>
    <row r="206" ht="15" customHeight="1" s="231">
      <c r="A206" s="393" t="inlineStr">
        <is>
          <t>20260720</t>
        </is>
      </c>
      <c r="B206" s="393" t="inlineStr">
        <is>
          <t>LEADS GOOGLE</t>
        </is>
      </c>
      <c r="C206" s="393" t="inlineStr">
        <is>
          <t>RABAT</t>
        </is>
      </c>
      <c r="D206" s="393" t="inlineStr">
        <is>
          <t>8858027_IPSOUND</t>
        </is>
      </c>
      <c r="E206" s="393" t="inlineStr">
        <is>
          <t>CHOUKROB</t>
        </is>
      </c>
      <c r="F206" s="393" t="inlineStr">
        <is>
          <t>2026-07-20 15:54:48</t>
        </is>
      </c>
      <c r="G206" s="393" t="inlineStr">
        <is>
          <t>2026-07-20 20:00:04</t>
        </is>
      </c>
      <c r="H206" s="394" t="n">
        <v>14716</v>
      </c>
      <c r="I206" s="393" t="inlineStr">
        <is>
          <t>Voice</t>
        </is>
      </c>
      <c r="J206" s="393" t="inlineStr">
        <is>
          <t>RHOUDAOT</t>
        </is>
      </c>
      <c r="K206" s="395">
        <f>DATE(VALUE(LEFT(A206,4)),VALUE(MID(A206,5,2)),VALUE(RIGHT(A206,2)))</f>
        <v/>
      </c>
      <c r="L206" s="395">
        <f>DATEVALUE(LEFT(F206,10))</f>
        <v/>
      </c>
      <c r="M206" s="396">
        <f>TIMEVALUE(MID(F206,12,8))</f>
        <v/>
      </c>
      <c r="N206" s="395">
        <f>DATEVALUE(LEFT(G206,10))</f>
        <v/>
      </c>
      <c r="O206" s="396">
        <f>TIMEVALUE(MID(G206,12,8))</f>
        <v/>
      </c>
      <c r="P206" s="396">
        <f>IFERROR(_xlfn.MINIFS($M:$M,$E:$E,$E206,$K:$K,$K206,$M:$M,"&gt;"&amp;$O206),"")</f>
        <v/>
      </c>
      <c r="Q206" s="396">
        <f>IF($P206="","",$P206-$O206)</f>
        <v/>
      </c>
    </row>
    <row r="207" ht="15" customHeight="1" s="231">
      <c r="A207" s="393" t="inlineStr">
        <is>
          <t>20260720</t>
        </is>
      </c>
      <c r="B207" s="393" t="inlineStr">
        <is>
          <t>LEADS GOOGLE</t>
        </is>
      </c>
      <c r="C207" s="393" t="inlineStr">
        <is>
          <t>RABAT</t>
        </is>
      </c>
      <c r="D207" s="393" t="inlineStr">
        <is>
          <t>8858068_IPSDEAM</t>
        </is>
      </c>
      <c r="E207" s="393" t="inlineStr">
        <is>
          <t>DERKAOAM</t>
        </is>
      </c>
      <c r="F207" s="393" t="inlineStr">
        <is>
          <t>2026-07-20 11:18:31</t>
        </is>
      </c>
      <c r="G207" s="393" t="inlineStr">
        <is>
          <t>2026-07-20 15:00:13</t>
        </is>
      </c>
      <c r="H207" s="394" t="n">
        <v>13302</v>
      </c>
      <c r="I207" s="393" t="inlineStr">
        <is>
          <t>Voice</t>
        </is>
      </c>
      <c r="J207" s="393" t="inlineStr">
        <is>
          <t>HAOUACIK</t>
        </is>
      </c>
      <c r="K207" s="395">
        <f>DATE(VALUE(LEFT(A207,4)),VALUE(MID(A207,5,2)),VALUE(RIGHT(A207,2)))</f>
        <v/>
      </c>
      <c r="L207" s="395">
        <f>DATEVALUE(LEFT(F207,10))</f>
        <v/>
      </c>
      <c r="M207" s="396">
        <f>TIMEVALUE(MID(F207,12,8))</f>
        <v/>
      </c>
      <c r="N207" s="395">
        <f>DATEVALUE(LEFT(G207,10))</f>
        <v/>
      </c>
      <c r="O207" s="396">
        <f>TIMEVALUE(MID(G207,12,8))</f>
        <v/>
      </c>
      <c r="P207" s="396">
        <f>IFERROR(_xlfn.MINIFS($M:$M,$E:$E,$E207,$K:$K,$K207,$M:$M,"&gt;"&amp;$O207),"")</f>
        <v/>
      </c>
      <c r="Q207" s="396">
        <f>IF($P207="","",$P207-$O207)</f>
        <v/>
      </c>
    </row>
    <row r="208" ht="15" customHeight="1" s="231">
      <c r="A208" s="393" t="inlineStr">
        <is>
          <t>20260720</t>
        </is>
      </c>
      <c r="B208" s="393" t="inlineStr">
        <is>
          <t>LEADS GOOGLE</t>
        </is>
      </c>
      <c r="C208" s="393" t="inlineStr">
        <is>
          <t>RABAT</t>
        </is>
      </c>
      <c r="D208" s="393" t="inlineStr">
        <is>
          <t>8858068_IPSDEAM</t>
        </is>
      </c>
      <c r="E208" s="393" t="inlineStr">
        <is>
          <t>DERKAOAM</t>
        </is>
      </c>
      <c r="F208" s="393" t="inlineStr">
        <is>
          <t>2026-07-20 16:01:54</t>
        </is>
      </c>
      <c r="G208" s="393" t="inlineStr">
        <is>
          <t>2026-07-20 21:00:27</t>
        </is>
      </c>
      <c r="H208" s="394" t="n">
        <v>17913</v>
      </c>
      <c r="I208" s="393" t="inlineStr">
        <is>
          <t>Voice</t>
        </is>
      </c>
      <c r="J208" s="393" t="inlineStr">
        <is>
          <t>HAOUACIK</t>
        </is>
      </c>
      <c r="K208" s="395">
        <f>DATE(VALUE(LEFT(A208,4)),VALUE(MID(A208,5,2)),VALUE(RIGHT(A208,2)))</f>
        <v/>
      </c>
      <c r="L208" s="395">
        <f>DATEVALUE(LEFT(F208,10))</f>
        <v/>
      </c>
      <c r="M208" s="396">
        <f>TIMEVALUE(MID(F208,12,8))</f>
        <v/>
      </c>
      <c r="N208" s="395">
        <f>DATEVALUE(LEFT(G208,10))</f>
        <v/>
      </c>
      <c r="O208" s="396">
        <f>TIMEVALUE(MID(G208,12,8))</f>
        <v/>
      </c>
      <c r="P208" s="396">
        <f>IFERROR(_xlfn.MINIFS($M:$M,$E:$E,$E208,$K:$K,$K208,$M:$M,"&gt;"&amp;$O208),"")</f>
        <v/>
      </c>
      <c r="Q208" s="396">
        <f>IF($P208="","",$P208-$O208)</f>
        <v/>
      </c>
    </row>
    <row r="209" ht="15" customHeight="1" s="231">
      <c r="A209" s="393" t="inlineStr">
        <is>
          <t>20260720</t>
        </is>
      </c>
      <c r="B209" s="393" t="inlineStr">
        <is>
          <t>LEADS GOOGLE</t>
        </is>
      </c>
      <c r="C209" s="393" t="inlineStr">
        <is>
          <t>RABAT</t>
        </is>
      </c>
      <c r="D209" s="393" t="inlineStr">
        <is>
          <t>8859714_IPSDNSL</t>
        </is>
      </c>
      <c r="E209" s="393" t="inlineStr">
        <is>
          <t>DINISA</t>
        </is>
      </c>
      <c r="F209" s="393" t="inlineStr">
        <is>
          <t>2026-07-20 09:59:03</t>
        </is>
      </c>
      <c r="G209" s="393" t="inlineStr">
        <is>
          <t>2026-07-20 15:00:02</t>
        </is>
      </c>
      <c r="H209" s="394" t="n">
        <v>18059</v>
      </c>
      <c r="I209" s="393" t="inlineStr">
        <is>
          <t>Voice</t>
        </is>
      </c>
      <c r="J209" s="393" t="inlineStr">
        <is>
          <t>RHOUDAOT</t>
        </is>
      </c>
      <c r="K209" s="395">
        <f>DATE(VALUE(LEFT(A209,4)),VALUE(MID(A209,5,2)),VALUE(RIGHT(A209,2)))</f>
        <v/>
      </c>
      <c r="L209" s="395">
        <f>DATEVALUE(LEFT(F209,10))</f>
        <v/>
      </c>
      <c r="M209" s="396">
        <f>TIMEVALUE(MID(F209,12,8))</f>
        <v/>
      </c>
      <c r="N209" s="395">
        <f>DATEVALUE(LEFT(G209,10))</f>
        <v/>
      </c>
      <c r="O209" s="396">
        <f>TIMEVALUE(MID(G209,12,8))</f>
        <v/>
      </c>
      <c r="P209" s="396">
        <f>IFERROR(_xlfn.MINIFS($M:$M,$E:$E,$E209,$K:$K,$K209,$M:$M,"&gt;"&amp;$O209),"")</f>
        <v/>
      </c>
      <c r="Q209" s="396">
        <f>IF($P209="","",$P209-$O209)</f>
        <v/>
      </c>
    </row>
    <row r="210" ht="15" customHeight="1" s="231">
      <c r="A210" s="393" t="inlineStr">
        <is>
          <t>20260720</t>
        </is>
      </c>
      <c r="B210" s="393" t="inlineStr">
        <is>
          <t>LEADS GOOGLE</t>
        </is>
      </c>
      <c r="C210" s="393" t="inlineStr">
        <is>
          <t>RABAT</t>
        </is>
      </c>
      <c r="D210" s="393" t="inlineStr">
        <is>
          <t>8859714_IPSDNSL</t>
        </is>
      </c>
      <c r="E210" s="393" t="inlineStr">
        <is>
          <t>DINISA</t>
        </is>
      </c>
      <c r="F210" s="393" t="inlineStr">
        <is>
          <t>2026-07-20 16:04:23</t>
        </is>
      </c>
      <c r="G210" s="393" t="inlineStr">
        <is>
          <t>2026-07-20 20:00:23</t>
        </is>
      </c>
      <c r="H210" s="394" t="n">
        <v>14160</v>
      </c>
      <c r="I210" s="393" t="inlineStr">
        <is>
          <t>Voice</t>
        </is>
      </c>
      <c r="J210" s="393" t="inlineStr">
        <is>
          <t>RHOUDAOT</t>
        </is>
      </c>
      <c r="K210" s="395">
        <f>DATE(VALUE(LEFT(A210,4)),VALUE(MID(A210,5,2)),VALUE(RIGHT(A210,2)))</f>
        <v/>
      </c>
      <c r="L210" s="395">
        <f>DATEVALUE(LEFT(F210,10))</f>
        <v/>
      </c>
      <c r="M210" s="396">
        <f>TIMEVALUE(MID(F210,12,8))</f>
        <v/>
      </c>
      <c r="N210" s="395">
        <f>DATEVALUE(LEFT(G210,10))</f>
        <v/>
      </c>
      <c r="O210" s="396">
        <f>TIMEVALUE(MID(G210,12,8))</f>
        <v/>
      </c>
      <c r="P210" s="396">
        <f>IFERROR(_xlfn.MINIFS($M:$M,$E:$E,$E210,$K:$K,$K210,$M:$M,"&gt;"&amp;$O210),"")</f>
        <v/>
      </c>
      <c r="Q210" s="396">
        <f>IF($P210="","",$P210-$O210)</f>
        <v/>
      </c>
    </row>
    <row r="211" ht="15" customHeight="1" s="231">
      <c r="A211" s="393" t="inlineStr">
        <is>
          <t>20260720</t>
        </is>
      </c>
      <c r="B211" s="393" t="inlineStr">
        <is>
          <t>LEADS GOOGLE</t>
        </is>
      </c>
      <c r="C211" s="393" t="inlineStr">
        <is>
          <t>RABAT</t>
        </is>
      </c>
      <c r="D211" s="393" t="inlineStr">
        <is>
          <t>8858333_IPSDIOX</t>
        </is>
      </c>
      <c r="E211" s="393" t="inlineStr">
        <is>
          <t>DIOUFOU</t>
        </is>
      </c>
      <c r="F211" s="393" t="inlineStr">
        <is>
          <t>2026-07-20 07:57:51</t>
        </is>
      </c>
      <c r="G211" s="393" t="inlineStr">
        <is>
          <t>2026-07-20 08:50:15</t>
        </is>
      </c>
      <c r="H211" s="394" t="n">
        <v>3144</v>
      </c>
      <c r="I211" s="393" t="inlineStr">
        <is>
          <t>Voice</t>
        </is>
      </c>
      <c r="J211" s="393" t="inlineStr">
        <is>
          <t>HAOUACIK</t>
        </is>
      </c>
      <c r="K211" s="395">
        <f>DATE(VALUE(LEFT(A211,4)),VALUE(MID(A211,5,2)),VALUE(RIGHT(A211,2)))</f>
        <v/>
      </c>
      <c r="L211" s="395">
        <f>DATEVALUE(LEFT(F211,10))</f>
        <v/>
      </c>
      <c r="M211" s="396">
        <f>TIMEVALUE(MID(F211,12,8))</f>
        <v/>
      </c>
      <c r="N211" s="395">
        <f>DATEVALUE(LEFT(G211,10))</f>
        <v/>
      </c>
      <c r="O211" s="396">
        <f>TIMEVALUE(MID(G211,12,8))</f>
        <v/>
      </c>
      <c r="P211" s="396">
        <f>IFERROR(_xlfn.MINIFS($M:$M,$E:$E,$E211,$K:$K,$K211,$M:$M,"&gt;"&amp;$O211),"")</f>
        <v/>
      </c>
      <c r="Q211" s="396">
        <f>IF($P211="","",$P211-$O211)</f>
        <v/>
      </c>
    </row>
    <row r="212" ht="15" customHeight="1" s="231">
      <c r="A212" s="393" t="inlineStr">
        <is>
          <t>20260720</t>
        </is>
      </c>
      <c r="B212" s="393" t="inlineStr">
        <is>
          <t>LEADS GOOGLE</t>
        </is>
      </c>
      <c r="C212" s="393" t="inlineStr">
        <is>
          <t>RABAT</t>
        </is>
      </c>
      <c r="D212" s="393" t="inlineStr">
        <is>
          <t>8858333_IPSDIOX</t>
        </is>
      </c>
      <c r="E212" s="393" t="inlineStr">
        <is>
          <t>DIOUFOU</t>
        </is>
      </c>
      <c r="F212" s="393" t="inlineStr">
        <is>
          <t>2026-07-20 08:50:48</t>
        </is>
      </c>
      <c r="G212" s="393" t="inlineStr">
        <is>
          <t>2026-07-20 13:02:36</t>
        </is>
      </c>
      <c r="H212" s="394" t="n">
        <v>15108</v>
      </c>
      <c r="I212" s="393" t="inlineStr">
        <is>
          <t>Voice</t>
        </is>
      </c>
      <c r="J212" s="393" t="inlineStr">
        <is>
          <t>HAOUACIK</t>
        </is>
      </c>
      <c r="K212" s="395">
        <f>DATE(VALUE(LEFT(A212,4)),VALUE(MID(A212,5,2)),VALUE(RIGHT(A212,2)))</f>
        <v/>
      </c>
      <c r="L212" s="395">
        <f>DATEVALUE(LEFT(F212,10))</f>
        <v/>
      </c>
      <c r="M212" s="396">
        <f>TIMEVALUE(MID(F212,12,8))</f>
        <v/>
      </c>
      <c r="N212" s="395">
        <f>DATEVALUE(LEFT(G212,10))</f>
        <v/>
      </c>
      <c r="O212" s="396">
        <f>TIMEVALUE(MID(G212,12,8))</f>
        <v/>
      </c>
      <c r="P212" s="396">
        <f>IFERROR(_xlfn.MINIFS($M:$M,$E:$E,$E212,$K:$K,$K212,$M:$M,"&gt;"&amp;$O212),"")</f>
        <v/>
      </c>
      <c r="Q212" s="396">
        <f>IF($P212="","",$P212-$O212)</f>
        <v/>
      </c>
    </row>
    <row r="213" ht="15" customHeight="1" s="231">
      <c r="A213" s="393" t="inlineStr">
        <is>
          <t>20260720</t>
        </is>
      </c>
      <c r="B213" s="393" t="inlineStr">
        <is>
          <t>LEADS GOOGLE</t>
        </is>
      </c>
      <c r="C213" s="393" t="inlineStr">
        <is>
          <t>RABAT</t>
        </is>
      </c>
      <c r="D213" s="393" t="inlineStr">
        <is>
          <t>8858333_IPSDIOX</t>
        </is>
      </c>
      <c r="E213" s="393" t="inlineStr">
        <is>
          <t>DIOUFOU</t>
        </is>
      </c>
      <c r="F213" s="393" t="inlineStr">
        <is>
          <t>2026-07-20 14:01:35</t>
        </is>
      </c>
      <c r="G213" s="393" t="inlineStr">
        <is>
          <t>2026-07-20 18:00:08</t>
        </is>
      </c>
      <c r="H213" s="394" t="n">
        <v>14313</v>
      </c>
      <c r="I213" s="393" t="inlineStr">
        <is>
          <t>Voice</t>
        </is>
      </c>
      <c r="J213" s="393" t="inlineStr">
        <is>
          <t>HAOUACIK</t>
        </is>
      </c>
      <c r="K213" s="395">
        <f>DATE(VALUE(LEFT(A213,4)),VALUE(MID(A213,5,2)),VALUE(RIGHT(A213,2)))</f>
        <v/>
      </c>
      <c r="L213" s="395">
        <f>DATEVALUE(LEFT(F213,10))</f>
        <v/>
      </c>
      <c r="M213" s="396">
        <f>TIMEVALUE(MID(F213,12,8))</f>
        <v/>
      </c>
      <c r="N213" s="395">
        <f>DATEVALUE(LEFT(G213,10))</f>
        <v/>
      </c>
      <c r="O213" s="396">
        <f>TIMEVALUE(MID(G213,12,8))</f>
        <v/>
      </c>
      <c r="P213" s="396">
        <f>IFERROR(_xlfn.MINIFS($M:$M,$E:$E,$E213,$K:$K,$K213,$M:$M,"&gt;"&amp;$O213),"")</f>
        <v/>
      </c>
      <c r="Q213" s="396">
        <f>IF($P213="","",$P213-$O213)</f>
        <v/>
      </c>
    </row>
    <row r="214" ht="15" customHeight="1" s="231">
      <c r="A214" s="393" t="inlineStr">
        <is>
          <t>20260720</t>
        </is>
      </c>
      <c r="B214" s="393" t="inlineStr">
        <is>
          <t>LEADS GOOGLE</t>
        </is>
      </c>
      <c r="C214" s="393" t="inlineStr">
        <is>
          <t>RABAT</t>
        </is>
      </c>
      <c r="D214" s="393" t="inlineStr">
        <is>
          <t>8858053_IPSRUSH</t>
        </is>
      </c>
      <c r="E214" s="393" t="inlineStr">
        <is>
          <t>ELALAMAY</t>
        </is>
      </c>
      <c r="F214" s="393" t="inlineStr">
        <is>
          <t>2026-07-20 10:01:38</t>
        </is>
      </c>
      <c r="G214" s="393" t="inlineStr">
        <is>
          <t>2026-07-20 13:24:02</t>
        </is>
      </c>
      <c r="H214" s="394" t="n">
        <v>12144</v>
      </c>
      <c r="I214" s="393" t="inlineStr">
        <is>
          <t>Voice</t>
        </is>
      </c>
      <c r="J214" s="393" t="inlineStr">
        <is>
          <t>RHOUDAOT</t>
        </is>
      </c>
      <c r="K214" s="395">
        <f>DATE(VALUE(LEFT(A214,4)),VALUE(MID(A214,5,2)),VALUE(RIGHT(A214,2)))</f>
        <v/>
      </c>
      <c r="L214" s="395">
        <f>DATEVALUE(LEFT(F214,10))</f>
        <v/>
      </c>
      <c r="M214" s="396">
        <f>TIMEVALUE(MID(F214,12,8))</f>
        <v/>
      </c>
      <c r="N214" s="395">
        <f>DATEVALUE(LEFT(G214,10))</f>
        <v/>
      </c>
      <c r="O214" s="396">
        <f>TIMEVALUE(MID(G214,12,8))</f>
        <v/>
      </c>
      <c r="P214" s="396">
        <f>IFERROR(_xlfn.MINIFS($M:$M,$E:$E,$E214,$K:$K,$K214,$M:$M,"&gt;"&amp;$O214),"")</f>
        <v/>
      </c>
      <c r="Q214" s="396">
        <f>IF($P214="","",$P214-$O214)</f>
        <v/>
      </c>
    </row>
    <row r="215" ht="15" customHeight="1" s="231">
      <c r="A215" s="393" t="inlineStr">
        <is>
          <t>20260720</t>
        </is>
      </c>
      <c r="B215" s="393" t="inlineStr">
        <is>
          <t>LEADS GOOGLE</t>
        </is>
      </c>
      <c r="C215" s="393" t="inlineStr">
        <is>
          <t>RABAT</t>
        </is>
      </c>
      <c r="D215" s="393" t="inlineStr">
        <is>
          <t>8858053_IPSRUSH</t>
        </is>
      </c>
      <c r="E215" s="393" t="inlineStr">
        <is>
          <t>ELALAMAY</t>
        </is>
      </c>
      <c r="F215" s="393" t="inlineStr">
        <is>
          <t>2026-07-20 14:26:10</t>
        </is>
      </c>
      <c r="G215" s="393" t="inlineStr">
        <is>
          <t>2026-07-20 15:52:18</t>
        </is>
      </c>
      <c r="H215" s="394" t="n">
        <v>5168</v>
      </c>
      <c r="I215" s="393" t="inlineStr">
        <is>
          <t>Voice</t>
        </is>
      </c>
      <c r="J215" s="393" t="inlineStr">
        <is>
          <t>RHOUDAOT</t>
        </is>
      </c>
      <c r="K215" s="395">
        <f>DATE(VALUE(LEFT(A215,4)),VALUE(MID(A215,5,2)),VALUE(RIGHT(A215,2)))</f>
        <v/>
      </c>
      <c r="L215" s="395">
        <f>DATEVALUE(LEFT(F215,10))</f>
        <v/>
      </c>
      <c r="M215" s="396">
        <f>TIMEVALUE(MID(F215,12,8))</f>
        <v/>
      </c>
      <c r="N215" s="395">
        <f>DATEVALUE(LEFT(G215,10))</f>
        <v/>
      </c>
      <c r="O215" s="396">
        <f>TIMEVALUE(MID(G215,12,8))</f>
        <v/>
      </c>
      <c r="P215" s="396">
        <f>IFERROR(_xlfn.MINIFS($M:$M,$E:$E,$E215,$K:$K,$K215,$M:$M,"&gt;"&amp;$O215),"")</f>
        <v/>
      </c>
      <c r="Q215" s="396">
        <f>IF($P215="","",$P215-$O215)</f>
        <v/>
      </c>
    </row>
    <row r="216" ht="15" customHeight="1" s="231">
      <c r="A216" s="393" t="inlineStr">
        <is>
          <t>20260720</t>
        </is>
      </c>
      <c r="B216" s="393" t="inlineStr">
        <is>
          <t>LEADS GOOGLE</t>
        </is>
      </c>
      <c r="C216" s="393" t="inlineStr">
        <is>
          <t>RABAT</t>
        </is>
      </c>
      <c r="D216" s="393" t="inlineStr">
        <is>
          <t>8858053_IPSRUSH</t>
        </is>
      </c>
      <c r="E216" s="393" t="inlineStr">
        <is>
          <t>ELALAMAY</t>
        </is>
      </c>
      <c r="F216" s="393" t="inlineStr">
        <is>
          <t>2026-07-20 15:52:20</t>
        </is>
      </c>
      <c r="G216" s="393" t="inlineStr">
        <is>
          <t>2026-07-20 16:14:36</t>
        </is>
      </c>
      <c r="H216" s="394" t="n">
        <v>1336</v>
      </c>
      <c r="I216" s="393" t="inlineStr">
        <is>
          <t>Voice</t>
        </is>
      </c>
      <c r="J216" s="393" t="inlineStr">
        <is>
          <t>RHOUDAOT</t>
        </is>
      </c>
      <c r="K216" s="395">
        <f>DATE(VALUE(LEFT(A216,4)),VALUE(MID(A216,5,2)),VALUE(RIGHT(A216,2)))</f>
        <v/>
      </c>
      <c r="L216" s="395">
        <f>DATEVALUE(LEFT(F216,10))</f>
        <v/>
      </c>
      <c r="M216" s="396">
        <f>TIMEVALUE(MID(F216,12,8))</f>
        <v/>
      </c>
      <c r="N216" s="395">
        <f>DATEVALUE(LEFT(G216,10))</f>
        <v/>
      </c>
      <c r="O216" s="396">
        <f>TIMEVALUE(MID(G216,12,8))</f>
        <v/>
      </c>
      <c r="P216" s="396">
        <f>IFERROR(_xlfn.MINIFS($M:$M,$E:$E,$E216,$K:$K,$K216,$M:$M,"&gt;"&amp;$O216),"")</f>
        <v/>
      </c>
      <c r="Q216" s="396">
        <f>IF($P216="","",$P216-$O216)</f>
        <v/>
      </c>
    </row>
    <row r="217" ht="15" customHeight="1" s="231">
      <c r="A217" s="393" t="inlineStr">
        <is>
          <t>20260720</t>
        </is>
      </c>
      <c r="B217" s="393" t="inlineStr">
        <is>
          <t>LEADS GOOGLE</t>
        </is>
      </c>
      <c r="C217" s="393" t="inlineStr">
        <is>
          <t>RABAT</t>
        </is>
      </c>
      <c r="D217" s="393" t="inlineStr">
        <is>
          <t>8858053_IPSRUSH</t>
        </is>
      </c>
      <c r="E217" s="393" t="inlineStr">
        <is>
          <t>ELALAMAY</t>
        </is>
      </c>
      <c r="F217" s="393" t="inlineStr">
        <is>
          <t>2026-07-20 16:26:30</t>
        </is>
      </c>
      <c r="G217" s="393" t="inlineStr">
        <is>
          <t>2026-07-20 16:49:47</t>
        </is>
      </c>
      <c r="H217" s="394" t="n">
        <v>1397</v>
      </c>
      <c r="I217" s="393" t="inlineStr">
        <is>
          <t>Voice</t>
        </is>
      </c>
      <c r="J217" s="393" t="inlineStr">
        <is>
          <t>RHOUDAOT</t>
        </is>
      </c>
      <c r="K217" s="395">
        <f>DATE(VALUE(LEFT(A217,4)),VALUE(MID(A217,5,2)),VALUE(RIGHT(A217,2)))</f>
        <v/>
      </c>
      <c r="L217" s="395">
        <f>DATEVALUE(LEFT(F217,10))</f>
        <v/>
      </c>
      <c r="M217" s="396">
        <f>TIMEVALUE(MID(F217,12,8))</f>
        <v/>
      </c>
      <c r="N217" s="395">
        <f>DATEVALUE(LEFT(G217,10))</f>
        <v/>
      </c>
      <c r="O217" s="396">
        <f>TIMEVALUE(MID(G217,12,8))</f>
        <v/>
      </c>
      <c r="P217" s="396">
        <f>IFERROR(_xlfn.MINIFS($M:$M,$E:$E,$E217,$K:$K,$K217,$M:$M,"&gt;"&amp;$O217),"")</f>
        <v/>
      </c>
      <c r="Q217" s="396">
        <f>IF($P217="","",$P217-$O217)</f>
        <v/>
      </c>
    </row>
    <row r="218" ht="15" customHeight="1" s="231">
      <c r="A218" s="393" t="inlineStr">
        <is>
          <t>20260720</t>
        </is>
      </c>
      <c r="B218" s="393" t="inlineStr">
        <is>
          <t>LEADS GOOGLE</t>
        </is>
      </c>
      <c r="C218" s="393" t="inlineStr">
        <is>
          <t>RABAT</t>
        </is>
      </c>
      <c r="D218" s="393" t="inlineStr">
        <is>
          <t>8858053_IPSRUSH</t>
        </is>
      </c>
      <c r="E218" s="393" t="inlineStr">
        <is>
          <t>ELALAMAY</t>
        </is>
      </c>
      <c r="F218" s="393" t="inlineStr">
        <is>
          <t>2026-07-20 16:56:41</t>
        </is>
      </c>
      <c r="G218" s="393" t="inlineStr">
        <is>
          <t>2026-07-20 20:00:05</t>
        </is>
      </c>
      <c r="H218" s="394" t="n">
        <v>11004</v>
      </c>
      <c r="I218" s="393" t="inlineStr">
        <is>
          <t>Voice</t>
        </is>
      </c>
      <c r="J218" s="393" t="inlineStr">
        <is>
          <t>RHOUDAOT</t>
        </is>
      </c>
      <c r="K218" s="395">
        <f>DATE(VALUE(LEFT(A218,4)),VALUE(MID(A218,5,2)),VALUE(RIGHT(A218,2)))</f>
        <v/>
      </c>
      <c r="L218" s="395">
        <f>DATEVALUE(LEFT(F218,10))</f>
        <v/>
      </c>
      <c r="M218" s="396">
        <f>TIMEVALUE(MID(F218,12,8))</f>
        <v/>
      </c>
      <c r="N218" s="395">
        <f>DATEVALUE(LEFT(G218,10))</f>
        <v/>
      </c>
      <c r="O218" s="396">
        <f>TIMEVALUE(MID(G218,12,8))</f>
        <v/>
      </c>
      <c r="P218" s="396">
        <f>IFERROR(_xlfn.MINIFS($M:$M,$E:$E,$E218,$K:$K,$K218,$M:$M,"&gt;"&amp;$O218),"")</f>
        <v/>
      </c>
      <c r="Q218" s="396">
        <f>IF($P218="","",$P218-$O218)</f>
        <v/>
      </c>
    </row>
    <row r="219" ht="15" customHeight="1" s="231">
      <c r="A219" s="393" t="inlineStr">
        <is>
          <t>20260720</t>
        </is>
      </c>
      <c r="B219" s="393" t="inlineStr">
        <is>
          <t>LEADS GOOGLE</t>
        </is>
      </c>
      <c r="C219" s="393" t="inlineStr">
        <is>
          <t>RABAT</t>
        </is>
      </c>
      <c r="D219" s="393" t="inlineStr">
        <is>
          <t>8858337_IPSELML</t>
        </is>
      </c>
      <c r="E219" s="393" t="inlineStr">
        <is>
          <t>ELANAZAA</t>
        </is>
      </c>
      <c r="F219" s="393" t="inlineStr">
        <is>
          <t>2026-07-20 10:02:25</t>
        </is>
      </c>
      <c r="G219" s="393" t="inlineStr">
        <is>
          <t>2026-07-20 15:02:34</t>
        </is>
      </c>
      <c r="H219" s="394" t="n">
        <v>18009</v>
      </c>
      <c r="I219" s="393" t="inlineStr">
        <is>
          <t>Voice</t>
        </is>
      </c>
      <c r="J219" s="393" t="inlineStr">
        <is>
          <t>RHOUDAOT</t>
        </is>
      </c>
      <c r="K219" s="395">
        <f>DATE(VALUE(LEFT(A219,4)),VALUE(MID(A219,5,2)),VALUE(RIGHT(A219,2)))</f>
        <v/>
      </c>
      <c r="L219" s="395">
        <f>DATEVALUE(LEFT(F219,10))</f>
        <v/>
      </c>
      <c r="M219" s="396">
        <f>TIMEVALUE(MID(F219,12,8))</f>
        <v/>
      </c>
      <c r="N219" s="395">
        <f>DATEVALUE(LEFT(G219,10))</f>
        <v/>
      </c>
      <c r="O219" s="396">
        <f>TIMEVALUE(MID(G219,12,8))</f>
        <v/>
      </c>
      <c r="P219" s="396">
        <f>IFERROR(_xlfn.MINIFS($M:$M,$E:$E,$E219,$K:$K,$K219,$M:$M,"&gt;"&amp;$O219),"")</f>
        <v/>
      </c>
      <c r="Q219" s="396">
        <f>IF($P219="","",$P219-$O219)</f>
        <v/>
      </c>
    </row>
    <row r="220" ht="15" customHeight="1" s="231">
      <c r="A220" s="393" t="inlineStr">
        <is>
          <t>20260720</t>
        </is>
      </c>
      <c r="B220" s="393" t="inlineStr">
        <is>
          <t>LEADS GOOGLE</t>
        </is>
      </c>
      <c r="C220" s="393" t="inlineStr">
        <is>
          <t>RABAT</t>
        </is>
      </c>
      <c r="D220" s="393" t="inlineStr">
        <is>
          <t>8858337_IPSELML</t>
        </is>
      </c>
      <c r="E220" s="393" t="inlineStr">
        <is>
          <t>ELANAZAA</t>
        </is>
      </c>
      <c r="F220" s="393" t="inlineStr">
        <is>
          <t>2026-07-20 15:58:07</t>
        </is>
      </c>
      <c r="G220" s="393" t="inlineStr">
        <is>
          <t>2026-07-20 20:00:07</t>
        </is>
      </c>
      <c r="H220" s="394" t="n">
        <v>14520</v>
      </c>
      <c r="I220" s="393" t="inlineStr">
        <is>
          <t>Voice</t>
        </is>
      </c>
      <c r="J220" s="393" t="inlineStr">
        <is>
          <t>RHOUDAOT</t>
        </is>
      </c>
      <c r="K220" s="395">
        <f>DATE(VALUE(LEFT(A220,4)),VALUE(MID(A220,5,2)),VALUE(RIGHT(A220,2)))</f>
        <v/>
      </c>
      <c r="L220" s="395">
        <f>DATEVALUE(LEFT(F220,10))</f>
        <v/>
      </c>
      <c r="M220" s="396">
        <f>TIMEVALUE(MID(F220,12,8))</f>
        <v/>
      </c>
      <c r="N220" s="395">
        <f>DATEVALUE(LEFT(G220,10))</f>
        <v/>
      </c>
      <c r="O220" s="396">
        <f>TIMEVALUE(MID(G220,12,8))</f>
        <v/>
      </c>
      <c r="P220" s="396">
        <f>IFERROR(_xlfn.MINIFS($M:$M,$E:$E,$E220,$K:$K,$K220,$M:$M,"&gt;"&amp;$O220),"")</f>
        <v/>
      </c>
      <c r="Q220" s="396">
        <f>IF($P220="","",$P220-$O220)</f>
        <v/>
      </c>
    </row>
    <row r="221" ht="15" customHeight="1" s="231">
      <c r="A221" s="393" t="inlineStr">
        <is>
          <t>20260720</t>
        </is>
      </c>
      <c r="B221" s="393" t="inlineStr">
        <is>
          <t>LEADS GOOGLE</t>
        </is>
      </c>
      <c r="C221" s="393" t="inlineStr">
        <is>
          <t>RABAT</t>
        </is>
      </c>
      <c r="D221" s="393" t="inlineStr">
        <is>
          <t>8858069_IPSERCI</t>
        </is>
      </c>
      <c r="E221" s="393" t="inlineStr">
        <is>
          <t>ELHARRCA</t>
        </is>
      </c>
      <c r="F221" s="393" t="inlineStr">
        <is>
          <t>2026-07-20 10:57:24</t>
        </is>
      </c>
      <c r="G221" s="393" t="inlineStr">
        <is>
          <t>2026-07-20 15:00:17</t>
        </is>
      </c>
      <c r="H221" s="394" t="n">
        <v>14573</v>
      </c>
      <c r="I221" s="393" t="inlineStr">
        <is>
          <t>Voice</t>
        </is>
      </c>
      <c r="J221" s="393" t="inlineStr">
        <is>
          <t>OUAQERNO</t>
        </is>
      </c>
      <c r="K221" s="395">
        <f>DATE(VALUE(LEFT(A221,4)),VALUE(MID(A221,5,2)),VALUE(RIGHT(A221,2)))</f>
        <v/>
      </c>
      <c r="L221" s="395">
        <f>DATEVALUE(LEFT(F221,10))</f>
        <v/>
      </c>
      <c r="M221" s="396">
        <f>TIMEVALUE(MID(F221,12,8))</f>
        <v/>
      </c>
      <c r="N221" s="395">
        <f>DATEVALUE(LEFT(G221,10))</f>
        <v/>
      </c>
      <c r="O221" s="396">
        <f>TIMEVALUE(MID(G221,12,8))</f>
        <v/>
      </c>
      <c r="P221" s="396">
        <f>IFERROR(_xlfn.MINIFS($M:$M,$E:$E,$E221,$K:$K,$K221,$M:$M,"&gt;"&amp;$O221),"")</f>
        <v/>
      </c>
      <c r="Q221" s="396">
        <f>IF($P221="","",$P221-$O221)</f>
        <v/>
      </c>
    </row>
    <row r="222" ht="15" customHeight="1" s="231">
      <c r="A222" s="393" t="inlineStr">
        <is>
          <t>20260720</t>
        </is>
      </c>
      <c r="B222" s="393" t="inlineStr">
        <is>
          <t>LEADS GOOGLE</t>
        </is>
      </c>
      <c r="C222" s="393" t="inlineStr">
        <is>
          <t>RABAT</t>
        </is>
      </c>
      <c r="D222" s="393" t="inlineStr">
        <is>
          <t>8858069_IPSERCI</t>
        </is>
      </c>
      <c r="E222" s="393" t="inlineStr">
        <is>
          <t>ELHARRCA</t>
        </is>
      </c>
      <c r="F222" s="393" t="inlineStr">
        <is>
          <t>2026-07-20 15:58:29</t>
        </is>
      </c>
      <c r="G222" s="393" t="inlineStr">
        <is>
          <t>2026-07-20 21:00:06</t>
        </is>
      </c>
      <c r="H222" s="394" t="n">
        <v>18097</v>
      </c>
      <c r="I222" s="393" t="inlineStr">
        <is>
          <t>Voice</t>
        </is>
      </c>
      <c r="J222" s="393" t="inlineStr">
        <is>
          <t>OUAQERNO</t>
        </is>
      </c>
      <c r="K222" s="395">
        <f>DATE(VALUE(LEFT(A222,4)),VALUE(MID(A222,5,2)),VALUE(RIGHT(A222,2)))</f>
        <v/>
      </c>
      <c r="L222" s="395">
        <f>DATEVALUE(LEFT(F222,10))</f>
        <v/>
      </c>
      <c r="M222" s="396">
        <f>TIMEVALUE(MID(F222,12,8))</f>
        <v/>
      </c>
      <c r="N222" s="395">
        <f>DATEVALUE(LEFT(G222,10))</f>
        <v/>
      </c>
      <c r="O222" s="396">
        <f>TIMEVALUE(MID(G222,12,8))</f>
        <v/>
      </c>
      <c r="P222" s="396">
        <f>IFERROR(_xlfn.MINIFS($M:$M,$E:$E,$E222,$K:$K,$K222,$M:$M,"&gt;"&amp;$O222),"")</f>
        <v/>
      </c>
      <c r="Q222" s="396">
        <f>IF($P222="","",$P222-$O222)</f>
        <v/>
      </c>
    </row>
    <row r="223" ht="15" customHeight="1" s="231">
      <c r="A223" s="393" t="inlineStr">
        <is>
          <t>20260720</t>
        </is>
      </c>
      <c r="B223" s="393" t="inlineStr">
        <is>
          <t>LEADS GOOGLE</t>
        </is>
      </c>
      <c r="C223" s="393" t="inlineStr">
        <is>
          <t>RABAT</t>
        </is>
      </c>
      <c r="D223" s="393" t="inlineStr">
        <is>
          <t>8858421_IPSEHHD</t>
        </is>
      </c>
      <c r="E223" s="393" t="inlineStr">
        <is>
          <t>ELHOUSHD</t>
        </is>
      </c>
      <c r="F223" s="393" t="inlineStr">
        <is>
          <t>2026-07-20 11:00:47</t>
        </is>
      </c>
      <c r="G223" s="393" t="inlineStr">
        <is>
          <t>2026-07-20 15:00:14</t>
        </is>
      </c>
      <c r="H223" s="394" t="n">
        <v>14367</v>
      </c>
      <c r="I223" s="393" t="inlineStr">
        <is>
          <t>Voice</t>
        </is>
      </c>
      <c r="J223" s="393" t="inlineStr">
        <is>
          <t>HAOUACIK</t>
        </is>
      </c>
      <c r="K223" s="395">
        <f>DATE(VALUE(LEFT(A223,4)),VALUE(MID(A223,5,2)),VALUE(RIGHT(A223,2)))</f>
        <v/>
      </c>
      <c r="L223" s="395">
        <f>DATEVALUE(LEFT(F223,10))</f>
        <v/>
      </c>
      <c r="M223" s="396">
        <f>TIMEVALUE(MID(F223,12,8))</f>
        <v/>
      </c>
      <c r="N223" s="395">
        <f>DATEVALUE(LEFT(G223,10))</f>
        <v/>
      </c>
      <c r="O223" s="396">
        <f>TIMEVALUE(MID(G223,12,8))</f>
        <v/>
      </c>
      <c r="P223" s="396">
        <f>IFERROR(_xlfn.MINIFS($M:$M,$E:$E,$E223,$K:$K,$K223,$M:$M,"&gt;"&amp;$O223),"")</f>
        <v/>
      </c>
      <c r="Q223" s="396">
        <f>IF($P223="","",$P223-$O223)</f>
        <v/>
      </c>
    </row>
    <row r="224" ht="15" customHeight="1" s="231">
      <c r="A224" s="393" t="inlineStr">
        <is>
          <t>20260720</t>
        </is>
      </c>
      <c r="B224" s="393" t="inlineStr">
        <is>
          <t>LEADS GOOGLE</t>
        </is>
      </c>
      <c r="C224" s="393" t="inlineStr">
        <is>
          <t>RABAT</t>
        </is>
      </c>
      <c r="D224" s="393" t="inlineStr">
        <is>
          <t>8858421_IPSEHHD</t>
        </is>
      </c>
      <c r="E224" s="393" t="inlineStr">
        <is>
          <t>ELHOUSHD</t>
        </is>
      </c>
      <c r="F224" s="393" t="inlineStr">
        <is>
          <t>2026-07-20 15:57:11</t>
        </is>
      </c>
      <c r="G224" s="393" t="inlineStr">
        <is>
          <t>2026-07-20 19:28:01</t>
        </is>
      </c>
      <c r="H224" s="394" t="n">
        <v>12650</v>
      </c>
      <c r="I224" s="393" t="inlineStr">
        <is>
          <t>Voice</t>
        </is>
      </c>
      <c r="J224" s="393" t="inlineStr">
        <is>
          <t>HAOUACIK</t>
        </is>
      </c>
      <c r="K224" s="395">
        <f>DATE(VALUE(LEFT(A224,4)),VALUE(MID(A224,5,2)),VALUE(RIGHT(A224,2)))</f>
        <v/>
      </c>
      <c r="L224" s="395">
        <f>DATEVALUE(LEFT(F224,10))</f>
        <v/>
      </c>
      <c r="M224" s="396">
        <f>TIMEVALUE(MID(F224,12,8))</f>
        <v/>
      </c>
      <c r="N224" s="395">
        <f>DATEVALUE(LEFT(G224,10))</f>
        <v/>
      </c>
      <c r="O224" s="396">
        <f>TIMEVALUE(MID(G224,12,8))</f>
        <v/>
      </c>
      <c r="P224" s="396">
        <f>IFERROR(_xlfn.MINIFS($M:$M,$E:$E,$E224,$K:$K,$K224,$M:$M,"&gt;"&amp;$O224),"")</f>
        <v/>
      </c>
      <c r="Q224" s="396">
        <f>IF($P224="","",$P224-$O224)</f>
        <v/>
      </c>
    </row>
    <row r="225" ht="15" customHeight="1" s="231">
      <c r="A225" s="393" t="inlineStr">
        <is>
          <t>20260720</t>
        </is>
      </c>
      <c r="B225" s="393" t="inlineStr">
        <is>
          <t>LEADS GOOGLE</t>
        </is>
      </c>
      <c r="C225" s="393" t="inlineStr">
        <is>
          <t>RABAT</t>
        </is>
      </c>
      <c r="D225" s="393" t="inlineStr">
        <is>
          <t>8858421_IPSEHHD</t>
        </is>
      </c>
      <c r="E225" s="393" t="inlineStr">
        <is>
          <t>ELHOUSHD</t>
        </is>
      </c>
      <c r="F225" s="393" t="inlineStr">
        <is>
          <t>2026-07-20 19:28:38</t>
        </is>
      </c>
      <c r="G225" s="393" t="inlineStr">
        <is>
          <t>2026-07-20 20:43:42</t>
        </is>
      </c>
      <c r="H225" s="394" t="n">
        <v>4504</v>
      </c>
      <c r="I225" s="393" t="inlineStr">
        <is>
          <t>Voice</t>
        </is>
      </c>
      <c r="J225" s="393" t="inlineStr">
        <is>
          <t>HAOUACIK</t>
        </is>
      </c>
      <c r="K225" s="395">
        <f>DATE(VALUE(LEFT(A225,4)),VALUE(MID(A225,5,2)),VALUE(RIGHT(A225,2)))</f>
        <v/>
      </c>
      <c r="L225" s="395">
        <f>DATEVALUE(LEFT(F225,10))</f>
        <v/>
      </c>
      <c r="M225" s="396">
        <f>TIMEVALUE(MID(F225,12,8))</f>
        <v/>
      </c>
      <c r="N225" s="395">
        <f>DATEVALUE(LEFT(G225,10))</f>
        <v/>
      </c>
      <c r="O225" s="396">
        <f>TIMEVALUE(MID(G225,12,8))</f>
        <v/>
      </c>
      <c r="P225" s="396">
        <f>IFERROR(_xlfn.MINIFS($M:$M,$E:$E,$E225,$K:$K,$K225,$M:$M,"&gt;"&amp;$O225),"")</f>
        <v/>
      </c>
      <c r="Q225" s="396">
        <f>IF($P225="","",$P225-$O225)</f>
        <v/>
      </c>
    </row>
    <row r="226" ht="15" customHeight="1" s="231">
      <c r="A226" s="393" t="inlineStr">
        <is>
          <t>20260720</t>
        </is>
      </c>
      <c r="B226" s="393" t="inlineStr">
        <is>
          <t>LEADS GOOGLE</t>
        </is>
      </c>
      <c r="C226" s="393" t="inlineStr">
        <is>
          <t>RABAT</t>
        </is>
      </c>
      <c r="D226" s="393" t="inlineStr">
        <is>
          <t>8858421_IPSEHHD</t>
        </is>
      </c>
      <c r="E226" s="393" t="inlineStr">
        <is>
          <t>ELHOUSHD</t>
        </is>
      </c>
      <c r="F226" s="393" t="inlineStr">
        <is>
          <t>2026-07-20 20:44:12</t>
        </is>
      </c>
      <c r="G226" s="393" t="inlineStr">
        <is>
          <t>2026-07-20 21:00:10</t>
        </is>
      </c>
      <c r="H226" s="394" t="n">
        <v>958</v>
      </c>
      <c r="I226" s="393" t="inlineStr">
        <is>
          <t>Voice</t>
        </is>
      </c>
      <c r="J226" s="393" t="inlineStr">
        <is>
          <t>HAOUACIK</t>
        </is>
      </c>
      <c r="K226" s="395">
        <f>DATE(VALUE(LEFT(A226,4)),VALUE(MID(A226,5,2)),VALUE(RIGHT(A226,2)))</f>
        <v/>
      </c>
      <c r="L226" s="395">
        <f>DATEVALUE(LEFT(F226,10))</f>
        <v/>
      </c>
      <c r="M226" s="396">
        <f>TIMEVALUE(MID(F226,12,8))</f>
        <v/>
      </c>
      <c r="N226" s="395">
        <f>DATEVALUE(LEFT(G226,10))</f>
        <v/>
      </c>
      <c r="O226" s="396">
        <f>TIMEVALUE(MID(G226,12,8))</f>
        <v/>
      </c>
      <c r="P226" s="396">
        <f>IFERROR(_xlfn.MINIFS($M:$M,$E:$E,$E226,$K:$K,$K226,$M:$M,"&gt;"&amp;$O226),"")</f>
        <v/>
      </c>
      <c r="Q226" s="396">
        <f>IF($P226="","",$P226-$O226)</f>
        <v/>
      </c>
    </row>
    <row r="227" ht="15" customHeight="1" s="231">
      <c r="A227" s="393" t="inlineStr">
        <is>
          <t>20260720</t>
        </is>
      </c>
      <c r="B227" s="393" t="inlineStr">
        <is>
          <t>LEADS GOOGLE</t>
        </is>
      </c>
      <c r="C227" s="393" t="inlineStr">
        <is>
          <t>RABAT</t>
        </is>
      </c>
      <c r="D227" s="393" t="inlineStr">
        <is>
          <t>8858427_IPSTUNT</t>
        </is>
      </c>
      <c r="E227" s="393" t="inlineStr">
        <is>
          <t>ENNOURAY</t>
        </is>
      </c>
      <c r="F227" s="393" t="inlineStr">
        <is>
          <t>2026-07-20 10:01:54</t>
        </is>
      </c>
      <c r="G227" s="393" t="inlineStr">
        <is>
          <t>2026-07-20 13:00:15</t>
        </is>
      </c>
      <c r="H227" s="394" t="n">
        <v>10701</v>
      </c>
      <c r="I227" s="393" t="inlineStr">
        <is>
          <t>Voice</t>
        </is>
      </c>
      <c r="J227" s="393" t="inlineStr">
        <is>
          <t>RHOUDAOT</t>
        </is>
      </c>
      <c r="K227" s="395">
        <f>DATE(VALUE(LEFT(A227,4)),VALUE(MID(A227,5,2)),VALUE(RIGHT(A227,2)))</f>
        <v/>
      </c>
      <c r="L227" s="395">
        <f>DATEVALUE(LEFT(F227,10))</f>
        <v/>
      </c>
      <c r="M227" s="396">
        <f>TIMEVALUE(MID(F227,12,8))</f>
        <v/>
      </c>
      <c r="N227" s="395">
        <f>DATEVALUE(LEFT(G227,10))</f>
        <v/>
      </c>
      <c r="O227" s="396">
        <f>TIMEVALUE(MID(G227,12,8))</f>
        <v/>
      </c>
      <c r="P227" s="396">
        <f>IFERROR(_xlfn.MINIFS($M:$M,$E:$E,$E227,$K:$K,$K227,$M:$M,"&gt;"&amp;$O227),"")</f>
        <v/>
      </c>
      <c r="Q227" s="396">
        <f>IF($P227="","",$P227-$O227)</f>
        <v/>
      </c>
    </row>
    <row r="228" ht="15" customHeight="1" s="231">
      <c r="A228" s="393" t="inlineStr">
        <is>
          <t>20260720</t>
        </is>
      </c>
      <c r="B228" s="393" t="inlineStr">
        <is>
          <t>LEADS GOOGLE</t>
        </is>
      </c>
      <c r="C228" s="393" t="inlineStr">
        <is>
          <t>RABAT</t>
        </is>
      </c>
      <c r="D228" s="393" t="inlineStr">
        <is>
          <t>8858427_IPSTUNT</t>
        </is>
      </c>
      <c r="E228" s="393" t="inlineStr">
        <is>
          <t>ENNOURAY</t>
        </is>
      </c>
      <c r="F228" s="393" t="inlineStr">
        <is>
          <t>2026-07-20 13:59:34</t>
        </is>
      </c>
      <c r="G228" s="393" t="inlineStr">
        <is>
          <t>2026-07-20 15:36:04</t>
        </is>
      </c>
      <c r="H228" s="394" t="n">
        <v>5790</v>
      </c>
      <c r="I228" s="393" t="inlineStr">
        <is>
          <t>Voice</t>
        </is>
      </c>
      <c r="J228" s="393" t="inlineStr">
        <is>
          <t>RHOUDAOT</t>
        </is>
      </c>
      <c r="K228" s="395">
        <f>DATE(VALUE(LEFT(A228,4)),VALUE(MID(A228,5,2)),VALUE(RIGHT(A228,2)))</f>
        <v/>
      </c>
      <c r="L228" s="395">
        <f>DATEVALUE(LEFT(F228,10))</f>
        <v/>
      </c>
      <c r="M228" s="396">
        <f>TIMEVALUE(MID(F228,12,8))</f>
        <v/>
      </c>
      <c r="N228" s="395">
        <f>DATEVALUE(LEFT(G228,10))</f>
        <v/>
      </c>
      <c r="O228" s="396">
        <f>TIMEVALUE(MID(G228,12,8))</f>
        <v/>
      </c>
      <c r="P228" s="396">
        <f>IFERROR(_xlfn.MINIFS($M:$M,$E:$E,$E228,$K:$K,$K228,$M:$M,"&gt;"&amp;$O228),"")</f>
        <v/>
      </c>
      <c r="Q228" s="396">
        <f>IF($P228="","",$P228-$O228)</f>
        <v/>
      </c>
    </row>
    <row r="229" ht="15" customHeight="1" s="231">
      <c r="A229" s="393" t="inlineStr">
        <is>
          <t>20260720</t>
        </is>
      </c>
      <c r="B229" s="393" t="inlineStr">
        <is>
          <t>LEADS GOOGLE</t>
        </is>
      </c>
      <c r="C229" s="393" t="inlineStr">
        <is>
          <t>RABAT</t>
        </is>
      </c>
      <c r="D229" s="393" t="inlineStr">
        <is>
          <t>8858427_IPSTUNT</t>
        </is>
      </c>
      <c r="E229" s="393" t="inlineStr">
        <is>
          <t>ENNOURAY</t>
        </is>
      </c>
      <c r="F229" s="393" t="inlineStr">
        <is>
          <t>2026-07-20 16:08:06</t>
        </is>
      </c>
      <c r="G229" s="393" t="inlineStr">
        <is>
          <t>2026-07-20 16:08:08</t>
        </is>
      </c>
      <c r="H229" s="394" t="n">
        <v>2</v>
      </c>
      <c r="I229" s="393" t="inlineStr">
        <is>
          <t>Voice</t>
        </is>
      </c>
      <c r="J229" s="393" t="inlineStr">
        <is>
          <t>RHOUDAOT</t>
        </is>
      </c>
      <c r="K229" s="395">
        <f>DATE(VALUE(LEFT(A229,4)),VALUE(MID(A229,5,2)),VALUE(RIGHT(A229,2)))</f>
        <v/>
      </c>
      <c r="L229" s="395">
        <f>DATEVALUE(LEFT(F229,10))</f>
        <v/>
      </c>
      <c r="M229" s="396">
        <f>TIMEVALUE(MID(F229,12,8))</f>
        <v/>
      </c>
      <c r="N229" s="395">
        <f>DATEVALUE(LEFT(G229,10))</f>
        <v/>
      </c>
      <c r="O229" s="396">
        <f>TIMEVALUE(MID(G229,12,8))</f>
        <v/>
      </c>
      <c r="P229" s="396">
        <f>IFERROR(_xlfn.MINIFS($M:$M,$E:$E,$E229,$K:$K,$K229,$M:$M,"&gt;"&amp;$O229),"")</f>
        <v/>
      </c>
      <c r="Q229" s="396">
        <f>IF($P229="","",$P229-$O229)</f>
        <v/>
      </c>
    </row>
    <row r="230" ht="15" customHeight="1" s="231">
      <c r="A230" s="393" t="inlineStr">
        <is>
          <t>20260720</t>
        </is>
      </c>
      <c r="B230" s="393" t="inlineStr">
        <is>
          <t>LEADS GOOGLE</t>
        </is>
      </c>
      <c r="C230" s="393" t="inlineStr">
        <is>
          <t>RABAT</t>
        </is>
      </c>
      <c r="D230" s="393" t="inlineStr">
        <is>
          <t>8858427_IPSTUNT</t>
        </is>
      </c>
      <c r="E230" s="393" t="inlineStr">
        <is>
          <t>ENNOURAY</t>
        </is>
      </c>
      <c r="F230" s="393" t="inlineStr">
        <is>
          <t>2026-07-20 16:08:39</t>
        </is>
      </c>
      <c r="G230" s="393" t="inlineStr">
        <is>
          <t>2026-07-20 20:00:06</t>
        </is>
      </c>
      <c r="H230" s="394" t="n">
        <v>13887</v>
      </c>
      <c r="I230" s="393" t="inlineStr">
        <is>
          <t>Voice</t>
        </is>
      </c>
      <c r="J230" s="393" t="inlineStr">
        <is>
          <t>RHOUDAOT</t>
        </is>
      </c>
      <c r="K230" s="395">
        <f>DATE(VALUE(LEFT(A230,4)),VALUE(MID(A230,5,2)),VALUE(RIGHT(A230,2)))</f>
        <v/>
      </c>
      <c r="L230" s="395">
        <f>DATEVALUE(LEFT(F230,10))</f>
        <v/>
      </c>
      <c r="M230" s="396">
        <f>TIMEVALUE(MID(F230,12,8))</f>
        <v/>
      </c>
      <c r="N230" s="395">
        <f>DATEVALUE(LEFT(G230,10))</f>
        <v/>
      </c>
      <c r="O230" s="396">
        <f>TIMEVALUE(MID(G230,12,8))</f>
        <v/>
      </c>
      <c r="P230" s="396">
        <f>IFERROR(_xlfn.MINIFS($M:$M,$E:$E,$E230,$K:$K,$K230,$M:$M,"&gt;"&amp;$O230),"")</f>
        <v/>
      </c>
      <c r="Q230" s="396">
        <f>IF($P230="","",$P230-$O230)</f>
        <v/>
      </c>
    </row>
    <row r="231" ht="15" customHeight="1" s="231">
      <c r="A231" s="393" t="inlineStr">
        <is>
          <t>20260720</t>
        </is>
      </c>
      <c r="B231" s="393" t="inlineStr">
        <is>
          <t>LEADS GOOGLE</t>
        </is>
      </c>
      <c r="C231" s="393" t="inlineStr">
        <is>
          <t>RABAT</t>
        </is>
      </c>
      <c r="D231" s="393" t="inlineStr">
        <is>
          <t>8859561_IPSRBSL</t>
        </is>
      </c>
      <c r="E231" s="393" t="inlineStr">
        <is>
          <t>ERBATISA</t>
        </is>
      </c>
      <c r="F231" s="393" t="inlineStr">
        <is>
          <t>2026-07-20 10:00:39</t>
        </is>
      </c>
      <c r="G231" s="393" t="inlineStr">
        <is>
          <t>2026-07-20 13:00:30</t>
        </is>
      </c>
      <c r="H231" s="394" t="n">
        <v>10791</v>
      </c>
      <c r="I231" s="393" t="inlineStr">
        <is>
          <t>Voice</t>
        </is>
      </c>
      <c r="J231" s="393" t="inlineStr">
        <is>
          <t>RHOUDAOT</t>
        </is>
      </c>
      <c r="K231" s="395">
        <f>DATE(VALUE(LEFT(A231,4)),VALUE(MID(A231,5,2)),VALUE(RIGHT(A231,2)))</f>
        <v/>
      </c>
      <c r="L231" s="395">
        <f>DATEVALUE(LEFT(F231,10))</f>
        <v/>
      </c>
      <c r="M231" s="396">
        <f>TIMEVALUE(MID(F231,12,8))</f>
        <v/>
      </c>
      <c r="N231" s="395">
        <f>DATEVALUE(LEFT(G231,10))</f>
        <v/>
      </c>
      <c r="O231" s="396">
        <f>TIMEVALUE(MID(G231,12,8))</f>
        <v/>
      </c>
      <c r="P231" s="396">
        <f>IFERROR(_xlfn.MINIFS($M:$M,$E:$E,$E231,$K:$K,$K231,$M:$M,"&gt;"&amp;$O231),"")</f>
        <v/>
      </c>
      <c r="Q231" s="396">
        <f>IF($P231="","",$P231-$O231)</f>
        <v/>
      </c>
    </row>
    <row r="232" ht="15" customHeight="1" s="231">
      <c r="A232" s="393" t="inlineStr">
        <is>
          <t>20260720</t>
        </is>
      </c>
      <c r="B232" s="393" t="inlineStr">
        <is>
          <t>LEADS GOOGLE</t>
        </is>
      </c>
      <c r="C232" s="393" t="inlineStr">
        <is>
          <t>RABAT</t>
        </is>
      </c>
      <c r="D232" s="393" t="inlineStr">
        <is>
          <t>8859561_IPSRBSL</t>
        </is>
      </c>
      <c r="E232" s="393" t="inlineStr">
        <is>
          <t>ERBATISA</t>
        </is>
      </c>
      <c r="F232" s="393" t="inlineStr">
        <is>
          <t>2026-07-20 14:05:31</t>
        </is>
      </c>
      <c r="G232" s="393" t="inlineStr">
        <is>
          <t>2026-07-20 20:00:31</t>
        </is>
      </c>
      <c r="H232" s="394" t="n">
        <v>21300</v>
      </c>
      <c r="I232" s="393" t="inlineStr">
        <is>
          <t>Voice</t>
        </is>
      </c>
      <c r="J232" s="393" t="inlineStr">
        <is>
          <t>RHOUDAOT</t>
        </is>
      </c>
      <c r="K232" s="395">
        <f>DATE(VALUE(LEFT(A232,4)),VALUE(MID(A232,5,2)),VALUE(RIGHT(A232,2)))</f>
        <v/>
      </c>
      <c r="L232" s="395">
        <f>DATEVALUE(LEFT(F232,10))</f>
        <v/>
      </c>
      <c r="M232" s="396">
        <f>TIMEVALUE(MID(F232,12,8))</f>
        <v/>
      </c>
      <c r="N232" s="395">
        <f>DATEVALUE(LEFT(G232,10))</f>
        <v/>
      </c>
      <c r="O232" s="396">
        <f>TIMEVALUE(MID(G232,12,8))</f>
        <v/>
      </c>
      <c r="P232" s="396">
        <f>IFERROR(_xlfn.MINIFS($M:$M,$E:$E,$E232,$K:$K,$K232,$M:$M,"&gt;"&amp;$O232),"")</f>
        <v/>
      </c>
      <c r="Q232" s="396">
        <f>IF($P232="","",$P232-$O232)</f>
        <v/>
      </c>
    </row>
    <row r="233" ht="15" customHeight="1" s="231">
      <c r="A233" s="393" t="inlineStr">
        <is>
          <t>20260720</t>
        </is>
      </c>
      <c r="B233" s="393" t="inlineStr">
        <is>
          <t>LEADS GOOGLE</t>
        </is>
      </c>
      <c r="C233" s="393" t="inlineStr">
        <is>
          <t>RABAT</t>
        </is>
      </c>
      <c r="D233" s="393" t="inlineStr">
        <is>
          <t>8859100_IPSTOUR</t>
        </is>
      </c>
      <c r="E233" s="393" t="inlineStr">
        <is>
          <t>EZZAMEMA</t>
        </is>
      </c>
      <c r="F233" s="393" t="inlineStr">
        <is>
          <t>2026-07-20 09:59:06</t>
        </is>
      </c>
      <c r="G233" s="393" t="inlineStr">
        <is>
          <t>2026-07-20 14:00:21</t>
        </is>
      </c>
      <c r="H233" s="394" t="n">
        <v>14475</v>
      </c>
      <c r="I233" s="393" t="inlineStr">
        <is>
          <t>Voice</t>
        </is>
      </c>
      <c r="J233" s="393" t="inlineStr">
        <is>
          <t>RHOUDAOT</t>
        </is>
      </c>
      <c r="K233" s="395">
        <f>DATE(VALUE(LEFT(A233,4)),VALUE(MID(A233,5,2)),VALUE(RIGHT(A233,2)))</f>
        <v/>
      </c>
      <c r="L233" s="395">
        <f>DATEVALUE(LEFT(F233,10))</f>
        <v/>
      </c>
      <c r="M233" s="396">
        <f>TIMEVALUE(MID(F233,12,8))</f>
        <v/>
      </c>
      <c r="N233" s="395">
        <f>DATEVALUE(LEFT(G233,10))</f>
        <v/>
      </c>
      <c r="O233" s="396">
        <f>TIMEVALUE(MID(G233,12,8))</f>
        <v/>
      </c>
      <c r="P233" s="396">
        <f>IFERROR(_xlfn.MINIFS($M:$M,$E:$E,$E233,$K:$K,$K233,$M:$M,"&gt;"&amp;$O233),"")</f>
        <v/>
      </c>
      <c r="Q233" s="396">
        <f>IF($P233="","",$P233-$O233)</f>
        <v/>
      </c>
    </row>
    <row r="234" ht="15" customHeight="1" s="231">
      <c r="A234" s="393" t="inlineStr">
        <is>
          <t>20260720</t>
        </is>
      </c>
      <c r="B234" s="393" t="inlineStr">
        <is>
          <t>LEADS GOOGLE</t>
        </is>
      </c>
      <c r="C234" s="393" t="inlineStr">
        <is>
          <t>RABAT</t>
        </is>
      </c>
      <c r="D234" s="393" t="inlineStr">
        <is>
          <t>8859100_IPSTOUR</t>
        </is>
      </c>
      <c r="E234" s="393" t="inlineStr">
        <is>
          <t>EZZAMEMA</t>
        </is>
      </c>
      <c r="F234" s="393" t="inlineStr">
        <is>
          <t>2026-07-20 14:51:39</t>
        </is>
      </c>
      <c r="G234" s="393" t="inlineStr">
        <is>
          <t>2026-07-20 15:37:19</t>
        </is>
      </c>
      <c r="H234" s="394" t="n">
        <v>2740</v>
      </c>
      <c r="I234" s="393" t="inlineStr">
        <is>
          <t>Voice</t>
        </is>
      </c>
      <c r="J234" s="393" t="inlineStr">
        <is>
          <t>RHOUDAOT</t>
        </is>
      </c>
      <c r="K234" s="395">
        <f>DATE(VALUE(LEFT(A234,4)),VALUE(MID(A234,5,2)),VALUE(RIGHT(A234,2)))</f>
        <v/>
      </c>
      <c r="L234" s="395">
        <f>DATEVALUE(LEFT(F234,10))</f>
        <v/>
      </c>
      <c r="M234" s="396">
        <f>TIMEVALUE(MID(F234,12,8))</f>
        <v/>
      </c>
      <c r="N234" s="395">
        <f>DATEVALUE(LEFT(G234,10))</f>
        <v/>
      </c>
      <c r="O234" s="396">
        <f>TIMEVALUE(MID(G234,12,8))</f>
        <v/>
      </c>
      <c r="P234" s="396">
        <f>IFERROR(_xlfn.MINIFS($M:$M,$E:$E,$E234,$K:$K,$K234,$M:$M,"&gt;"&amp;$O234),"")</f>
        <v/>
      </c>
      <c r="Q234" s="396">
        <f>IF($P234="","",$P234-$O234)</f>
        <v/>
      </c>
    </row>
    <row r="235" ht="15" customHeight="1" s="231">
      <c r="A235" s="393" t="inlineStr">
        <is>
          <t>20260720</t>
        </is>
      </c>
      <c r="B235" s="393" t="inlineStr">
        <is>
          <t>LEADS GOOGLE</t>
        </is>
      </c>
      <c r="C235" s="393" t="inlineStr">
        <is>
          <t>RABAT</t>
        </is>
      </c>
      <c r="D235" s="393" t="inlineStr">
        <is>
          <t>8859100_IPSTOUR</t>
        </is>
      </c>
      <c r="E235" s="393" t="inlineStr">
        <is>
          <t>EZZAMEMA</t>
        </is>
      </c>
      <c r="F235" s="393" t="inlineStr">
        <is>
          <t>2026-07-20 16:00:58</t>
        </is>
      </c>
      <c r="G235" s="393" t="inlineStr">
        <is>
          <t>2026-07-20 20:00:11</t>
        </is>
      </c>
      <c r="H235" s="394" t="n">
        <v>14353</v>
      </c>
      <c r="I235" s="393" t="inlineStr">
        <is>
          <t>Voice</t>
        </is>
      </c>
      <c r="J235" s="393" t="inlineStr">
        <is>
          <t>RHOUDAOT</t>
        </is>
      </c>
      <c r="K235" s="395">
        <f>DATE(VALUE(LEFT(A235,4)),VALUE(MID(A235,5,2)),VALUE(RIGHT(A235,2)))</f>
        <v/>
      </c>
      <c r="L235" s="395">
        <f>DATEVALUE(LEFT(F235,10))</f>
        <v/>
      </c>
      <c r="M235" s="396">
        <f>TIMEVALUE(MID(F235,12,8))</f>
        <v/>
      </c>
      <c r="N235" s="395">
        <f>DATEVALUE(LEFT(G235,10))</f>
        <v/>
      </c>
      <c r="O235" s="396">
        <f>TIMEVALUE(MID(G235,12,8))</f>
        <v/>
      </c>
      <c r="P235" s="396">
        <f>IFERROR(_xlfn.MINIFS($M:$M,$E:$E,$E235,$K:$K,$K235,$M:$M,"&gt;"&amp;$O235),"")</f>
        <v/>
      </c>
      <c r="Q235" s="396">
        <f>IF($P235="","",$P235-$O235)</f>
        <v/>
      </c>
    </row>
    <row r="236" ht="15" customHeight="1" s="231">
      <c r="A236" s="393" t="inlineStr">
        <is>
          <t>20260720</t>
        </is>
      </c>
      <c r="B236" s="393" t="inlineStr">
        <is>
          <t>LEADS GOOGLE</t>
        </is>
      </c>
      <c r="C236" s="393" t="inlineStr">
        <is>
          <t>RABAT</t>
        </is>
      </c>
      <c r="D236" s="393" t="inlineStr">
        <is>
          <t>8858677_IPSGUGO</t>
        </is>
      </c>
      <c r="E236" s="393" t="inlineStr">
        <is>
          <t>GUEYEGO</t>
        </is>
      </c>
      <c r="F236" s="393" t="inlineStr">
        <is>
          <t>2026-07-20 07:58:55</t>
        </is>
      </c>
      <c r="G236" s="393" t="inlineStr">
        <is>
          <t>2026-07-20 13:03:49</t>
        </is>
      </c>
      <c r="H236" s="394" t="n">
        <v>18294</v>
      </c>
      <c r="I236" s="393" t="inlineStr">
        <is>
          <t>Voice</t>
        </is>
      </c>
      <c r="J236" s="393" t="inlineStr">
        <is>
          <t>HAOUACIK</t>
        </is>
      </c>
      <c r="K236" s="395">
        <f>DATE(VALUE(LEFT(A236,4)),VALUE(MID(A236,5,2)),VALUE(RIGHT(A236,2)))</f>
        <v/>
      </c>
      <c r="L236" s="395">
        <f>DATEVALUE(LEFT(F236,10))</f>
        <v/>
      </c>
      <c r="M236" s="396">
        <f>TIMEVALUE(MID(F236,12,8))</f>
        <v/>
      </c>
      <c r="N236" s="395">
        <f>DATEVALUE(LEFT(G236,10))</f>
        <v/>
      </c>
      <c r="O236" s="396">
        <f>TIMEVALUE(MID(G236,12,8))</f>
        <v/>
      </c>
      <c r="P236" s="396">
        <f>IFERROR(_xlfn.MINIFS($M:$M,$E:$E,$E236,$K:$K,$K236,$M:$M,"&gt;"&amp;$O236),"")</f>
        <v/>
      </c>
      <c r="Q236" s="396">
        <f>IF($P236="","",$P236-$O236)</f>
        <v/>
      </c>
    </row>
    <row r="237" ht="15" customHeight="1" s="231">
      <c r="A237" s="393" t="inlineStr">
        <is>
          <t>20260720</t>
        </is>
      </c>
      <c r="B237" s="393" t="inlineStr">
        <is>
          <t>LEADS GOOGLE</t>
        </is>
      </c>
      <c r="C237" s="393" t="inlineStr">
        <is>
          <t>RABAT</t>
        </is>
      </c>
      <c r="D237" s="393" t="inlineStr">
        <is>
          <t>8858677_IPSGUGO</t>
        </is>
      </c>
      <c r="E237" s="393" t="inlineStr">
        <is>
          <t>GUEYEGO</t>
        </is>
      </c>
      <c r="F237" s="393" t="inlineStr">
        <is>
          <t>2026-07-20 14:03:00</t>
        </is>
      </c>
      <c r="G237" s="393" t="inlineStr">
        <is>
          <t>2026-07-20 18:02:08</t>
        </is>
      </c>
      <c r="H237" s="394" t="n">
        <v>14348</v>
      </c>
      <c r="I237" s="393" t="inlineStr">
        <is>
          <t>Voice</t>
        </is>
      </c>
      <c r="J237" s="393" t="inlineStr">
        <is>
          <t>HAOUACIK</t>
        </is>
      </c>
      <c r="K237" s="395">
        <f>DATE(VALUE(LEFT(A237,4)),VALUE(MID(A237,5,2)),VALUE(RIGHT(A237,2)))</f>
        <v/>
      </c>
      <c r="L237" s="395">
        <f>DATEVALUE(LEFT(F237,10))</f>
        <v/>
      </c>
      <c r="M237" s="396">
        <f>TIMEVALUE(MID(F237,12,8))</f>
        <v/>
      </c>
      <c r="N237" s="395">
        <f>DATEVALUE(LEFT(G237,10))</f>
        <v/>
      </c>
      <c r="O237" s="396">
        <f>TIMEVALUE(MID(G237,12,8))</f>
        <v/>
      </c>
      <c r="P237" s="396">
        <f>IFERROR(_xlfn.MINIFS($M:$M,$E:$E,$E237,$K:$K,$K237,$M:$M,"&gt;"&amp;$O237),"")</f>
        <v/>
      </c>
      <c r="Q237" s="396">
        <f>IF($P237="","",$P237-$O237)</f>
        <v/>
      </c>
    </row>
    <row r="238" ht="15" customHeight="1" s="231">
      <c r="A238" s="393" t="inlineStr">
        <is>
          <t>20260720</t>
        </is>
      </c>
      <c r="B238" s="393" t="inlineStr">
        <is>
          <t>LEADS GOOGLE</t>
        </is>
      </c>
      <c r="C238" s="393" t="inlineStr">
        <is>
          <t>RABAT</t>
        </is>
      </c>
      <c r="D238" s="393" t="inlineStr">
        <is>
          <t>8858329_IPSGUMX</t>
        </is>
      </c>
      <c r="E238" s="393" t="inlineStr">
        <is>
          <t>GUEYEME</t>
        </is>
      </c>
      <c r="F238" s="393" t="inlineStr">
        <is>
          <t>2026-07-20 07:59:53</t>
        </is>
      </c>
      <c r="G238" s="393" t="inlineStr">
        <is>
          <t>2026-07-20 08:08:57</t>
        </is>
      </c>
      <c r="H238" s="394" t="n">
        <v>544</v>
      </c>
      <c r="I238" s="393" t="inlineStr">
        <is>
          <t>Voice</t>
        </is>
      </c>
      <c r="J238" s="393" t="inlineStr">
        <is>
          <t>OUAQERNO</t>
        </is>
      </c>
      <c r="K238" s="395">
        <f>DATE(VALUE(LEFT(A238,4)),VALUE(MID(A238,5,2)),VALUE(RIGHT(A238,2)))</f>
        <v/>
      </c>
      <c r="L238" s="395">
        <f>DATEVALUE(LEFT(F238,10))</f>
        <v/>
      </c>
      <c r="M238" s="396">
        <f>TIMEVALUE(MID(F238,12,8))</f>
        <v/>
      </c>
      <c r="N238" s="395">
        <f>DATEVALUE(LEFT(G238,10))</f>
        <v/>
      </c>
      <c r="O238" s="396">
        <f>TIMEVALUE(MID(G238,12,8))</f>
        <v/>
      </c>
      <c r="P238" s="396">
        <f>IFERROR(_xlfn.MINIFS($M:$M,$E:$E,$E238,$K:$K,$K238,$M:$M,"&gt;"&amp;$O238),"")</f>
        <v/>
      </c>
      <c r="Q238" s="396">
        <f>IF($P238="","",$P238-$O238)</f>
        <v/>
      </c>
    </row>
    <row r="239" ht="15" customHeight="1" s="231">
      <c r="A239" s="393" t="inlineStr">
        <is>
          <t>20260720</t>
        </is>
      </c>
      <c r="B239" s="393" t="inlineStr">
        <is>
          <t>LEADS GOOGLE</t>
        </is>
      </c>
      <c r="C239" s="393" t="inlineStr">
        <is>
          <t>RABAT</t>
        </is>
      </c>
      <c r="D239" s="393" t="inlineStr">
        <is>
          <t>8858329_IPSGUMX</t>
        </is>
      </c>
      <c r="E239" s="393" t="inlineStr">
        <is>
          <t>GUEYEME</t>
        </is>
      </c>
      <c r="F239" s="393" t="inlineStr">
        <is>
          <t>2026-07-20 08:09:26</t>
        </is>
      </c>
      <c r="G239" s="393" t="inlineStr">
        <is>
          <t>2026-07-20 13:04:12</t>
        </is>
      </c>
      <c r="H239" s="394" t="n">
        <v>17686</v>
      </c>
      <c r="I239" s="393" t="inlineStr">
        <is>
          <t>Voice</t>
        </is>
      </c>
      <c r="J239" s="393" t="inlineStr">
        <is>
          <t>OUAQERNO</t>
        </is>
      </c>
      <c r="K239" s="395">
        <f>DATE(VALUE(LEFT(A239,4)),VALUE(MID(A239,5,2)),VALUE(RIGHT(A239,2)))</f>
        <v/>
      </c>
      <c r="L239" s="395">
        <f>DATEVALUE(LEFT(F239,10))</f>
        <v/>
      </c>
      <c r="M239" s="396">
        <f>TIMEVALUE(MID(F239,12,8))</f>
        <v/>
      </c>
      <c r="N239" s="395">
        <f>DATEVALUE(LEFT(G239,10))</f>
        <v/>
      </c>
      <c r="O239" s="396">
        <f>TIMEVALUE(MID(G239,12,8))</f>
        <v/>
      </c>
      <c r="P239" s="396">
        <f>IFERROR(_xlfn.MINIFS($M:$M,$E:$E,$E239,$K:$K,$K239,$M:$M,"&gt;"&amp;$O239),"")</f>
        <v/>
      </c>
      <c r="Q239" s="396">
        <f>IF($P239="","",$P239-$O239)</f>
        <v/>
      </c>
    </row>
    <row r="240" ht="15" customHeight="1" s="231">
      <c r="A240" s="393" t="inlineStr">
        <is>
          <t>20260720</t>
        </is>
      </c>
      <c r="B240" s="393" t="inlineStr">
        <is>
          <t>LEADS GOOGLE</t>
        </is>
      </c>
      <c r="C240" s="393" t="inlineStr">
        <is>
          <t>RABAT</t>
        </is>
      </c>
      <c r="D240" s="393" t="inlineStr">
        <is>
          <t>8858329_IPSGUMX</t>
        </is>
      </c>
      <c r="E240" s="393" t="inlineStr">
        <is>
          <t>GUEYEME</t>
        </is>
      </c>
      <c r="F240" s="393" t="inlineStr">
        <is>
          <t>2026-07-20 14:00:48</t>
        </is>
      </c>
      <c r="G240" s="393" t="inlineStr">
        <is>
          <t>2026-07-20 18:00:10</t>
        </is>
      </c>
      <c r="H240" s="394" t="n">
        <v>14362</v>
      </c>
      <c r="I240" s="393" t="inlineStr">
        <is>
          <t>Voice</t>
        </is>
      </c>
      <c r="J240" s="393" t="inlineStr">
        <is>
          <t>OUAQERNO</t>
        </is>
      </c>
      <c r="K240" s="395">
        <f>DATE(VALUE(LEFT(A240,4)),VALUE(MID(A240,5,2)),VALUE(RIGHT(A240,2)))</f>
        <v/>
      </c>
      <c r="L240" s="395">
        <f>DATEVALUE(LEFT(F240,10))</f>
        <v/>
      </c>
      <c r="M240" s="396">
        <f>TIMEVALUE(MID(F240,12,8))</f>
        <v/>
      </c>
      <c r="N240" s="395">
        <f>DATEVALUE(LEFT(G240,10))</f>
        <v/>
      </c>
      <c r="O240" s="396">
        <f>TIMEVALUE(MID(G240,12,8))</f>
        <v/>
      </c>
      <c r="P240" s="396">
        <f>IFERROR(_xlfn.MINIFS($M:$M,$E:$E,$E240,$K:$K,$K240,$M:$M,"&gt;"&amp;$O240),"")</f>
        <v/>
      </c>
      <c r="Q240" s="396">
        <f>IF($P240="","",$P240-$O240)</f>
        <v/>
      </c>
    </row>
    <row r="241" ht="15" customHeight="1" s="231">
      <c r="A241" s="393" t="inlineStr">
        <is>
          <t>20260720</t>
        </is>
      </c>
      <c r="B241" s="393" t="inlineStr">
        <is>
          <t>LEADS GOOGLE</t>
        </is>
      </c>
      <c r="C241" s="393" t="inlineStr">
        <is>
          <t>RABAT</t>
        </is>
      </c>
      <c r="D241" s="393" t="inlineStr">
        <is>
          <t>8859245_IPSGROL</t>
        </is>
      </c>
      <c r="E241" s="393" t="inlineStr">
        <is>
          <t>HAJIMYA</t>
        </is>
      </c>
      <c r="F241" s="393" t="inlineStr">
        <is>
          <t>2026-07-20 09:59:26</t>
        </is>
      </c>
      <c r="G241" s="393" t="inlineStr">
        <is>
          <t>2026-07-20 13:00:04</t>
        </is>
      </c>
      <c r="H241" s="394" t="n">
        <v>10838</v>
      </c>
      <c r="I241" s="393" t="inlineStr">
        <is>
          <t>Voice</t>
        </is>
      </c>
      <c r="J241" s="393" t="inlineStr">
        <is>
          <t>RHOUDAOT</t>
        </is>
      </c>
      <c r="K241" s="395">
        <f>DATE(VALUE(LEFT(A241,4)),VALUE(MID(A241,5,2)),VALUE(RIGHT(A241,2)))</f>
        <v/>
      </c>
      <c r="L241" s="395">
        <f>DATEVALUE(LEFT(F241,10))</f>
        <v/>
      </c>
      <c r="M241" s="396">
        <f>TIMEVALUE(MID(F241,12,8))</f>
        <v/>
      </c>
      <c r="N241" s="395">
        <f>DATEVALUE(LEFT(G241,10))</f>
        <v/>
      </c>
      <c r="O241" s="396">
        <f>TIMEVALUE(MID(G241,12,8))</f>
        <v/>
      </c>
      <c r="P241" s="396">
        <f>IFERROR(_xlfn.MINIFS($M:$M,$E:$E,$E241,$K:$K,$K241,$M:$M,"&gt;"&amp;$O241),"")</f>
        <v/>
      </c>
      <c r="Q241" s="396">
        <f>IF($P241="","",$P241-$O241)</f>
        <v/>
      </c>
    </row>
    <row r="242" ht="15" customHeight="1" s="231">
      <c r="A242" s="393" t="inlineStr">
        <is>
          <t>20260720</t>
        </is>
      </c>
      <c r="B242" s="393" t="inlineStr">
        <is>
          <t>LEADS GOOGLE</t>
        </is>
      </c>
      <c r="C242" s="393" t="inlineStr">
        <is>
          <t>RABAT</t>
        </is>
      </c>
      <c r="D242" s="393" t="inlineStr">
        <is>
          <t>8859245_IPSGROL</t>
        </is>
      </c>
      <c r="E242" s="393" t="inlineStr">
        <is>
          <t>HAJIMYA</t>
        </is>
      </c>
      <c r="F242" s="393" t="inlineStr">
        <is>
          <t>2026-07-20 14:00:04</t>
        </is>
      </c>
      <c r="G242" s="393" t="inlineStr">
        <is>
          <t>2026-07-20 20:00:12</t>
        </is>
      </c>
      <c r="H242" s="394" t="n">
        <v>21608</v>
      </c>
      <c r="I242" s="393" t="inlineStr">
        <is>
          <t>Voice</t>
        </is>
      </c>
      <c r="J242" s="393" t="inlineStr">
        <is>
          <t>RHOUDAOT</t>
        </is>
      </c>
      <c r="K242" s="395">
        <f>DATE(VALUE(LEFT(A242,4)),VALUE(MID(A242,5,2)),VALUE(RIGHT(A242,2)))</f>
        <v/>
      </c>
      <c r="L242" s="395">
        <f>DATEVALUE(LEFT(F242,10))</f>
        <v/>
      </c>
      <c r="M242" s="396">
        <f>TIMEVALUE(MID(F242,12,8))</f>
        <v/>
      </c>
      <c r="N242" s="395">
        <f>DATEVALUE(LEFT(G242,10))</f>
        <v/>
      </c>
      <c r="O242" s="396">
        <f>TIMEVALUE(MID(G242,12,8))</f>
        <v/>
      </c>
      <c r="P242" s="396">
        <f>IFERROR(_xlfn.MINIFS($M:$M,$E:$E,$E242,$K:$K,$K242,$M:$M,"&gt;"&amp;$O242),"")</f>
        <v/>
      </c>
      <c r="Q242" s="396">
        <f>IF($P242="","",$P242-$O242)</f>
        <v/>
      </c>
    </row>
    <row r="243" ht="15" customHeight="1" s="231">
      <c r="A243" s="393" t="inlineStr">
        <is>
          <t>20260720</t>
        </is>
      </c>
      <c r="B243" s="393" t="inlineStr">
        <is>
          <t>LEADS GOOGLE</t>
        </is>
      </c>
      <c r="C243" s="393" t="inlineStr">
        <is>
          <t>RABAT</t>
        </is>
      </c>
      <c r="D243" s="393" t="inlineStr">
        <is>
          <t>8858775_IPSAINT</t>
        </is>
      </c>
      <c r="E243" s="393" t="inlineStr">
        <is>
          <t>KINANAWD</t>
        </is>
      </c>
      <c r="F243" s="393" t="inlineStr">
        <is>
          <t>2026-07-20 09:57:30</t>
        </is>
      </c>
      <c r="G243" s="393" t="inlineStr">
        <is>
          <t>2026-07-20 14:01:18</t>
        </is>
      </c>
      <c r="H243" s="394" t="n">
        <v>14628</v>
      </c>
      <c r="I243" s="393" t="inlineStr">
        <is>
          <t>Voice</t>
        </is>
      </c>
      <c r="J243" s="393" t="inlineStr">
        <is>
          <t>RHOUDAOT</t>
        </is>
      </c>
      <c r="K243" s="395">
        <f>DATE(VALUE(LEFT(A243,4)),VALUE(MID(A243,5,2)),VALUE(RIGHT(A243,2)))</f>
        <v/>
      </c>
      <c r="L243" s="395">
        <f>DATEVALUE(LEFT(F243,10))</f>
        <v/>
      </c>
      <c r="M243" s="396">
        <f>TIMEVALUE(MID(F243,12,8))</f>
        <v/>
      </c>
      <c r="N243" s="395">
        <f>DATEVALUE(LEFT(G243,10))</f>
        <v/>
      </c>
      <c r="O243" s="396">
        <f>TIMEVALUE(MID(G243,12,8))</f>
        <v/>
      </c>
      <c r="P243" s="396">
        <f>IFERROR(_xlfn.MINIFS($M:$M,$E:$E,$E243,$K:$K,$K243,$M:$M,"&gt;"&amp;$O243),"")</f>
        <v/>
      </c>
      <c r="Q243" s="396">
        <f>IF($P243="","",$P243-$O243)</f>
        <v/>
      </c>
    </row>
    <row r="244" ht="15" customHeight="1" s="231">
      <c r="A244" s="393" t="inlineStr">
        <is>
          <t>20260720</t>
        </is>
      </c>
      <c r="B244" s="393" t="inlineStr">
        <is>
          <t>LEADS GOOGLE</t>
        </is>
      </c>
      <c r="C244" s="393" t="inlineStr">
        <is>
          <t>RABAT</t>
        </is>
      </c>
      <c r="D244" s="393" t="inlineStr">
        <is>
          <t>8858775_IPSAINT</t>
        </is>
      </c>
      <c r="E244" s="393" t="inlineStr">
        <is>
          <t>KINANAWD</t>
        </is>
      </c>
      <c r="F244" s="393" t="inlineStr">
        <is>
          <t>2026-07-20 15:00:05</t>
        </is>
      </c>
      <c r="G244" s="393" t="inlineStr">
        <is>
          <t>2026-07-20 20:00:07</t>
        </is>
      </c>
      <c r="H244" s="394" t="n">
        <v>18002</v>
      </c>
      <c r="I244" s="393" t="inlineStr">
        <is>
          <t>Voice</t>
        </is>
      </c>
      <c r="J244" s="393" t="inlineStr">
        <is>
          <t>RHOUDAOT</t>
        </is>
      </c>
      <c r="K244" s="395">
        <f>DATE(VALUE(LEFT(A244,4)),VALUE(MID(A244,5,2)),VALUE(RIGHT(A244,2)))</f>
        <v/>
      </c>
      <c r="L244" s="395">
        <f>DATEVALUE(LEFT(F244,10))</f>
        <v/>
      </c>
      <c r="M244" s="396">
        <f>TIMEVALUE(MID(F244,12,8))</f>
        <v/>
      </c>
      <c r="N244" s="395">
        <f>DATEVALUE(LEFT(G244,10))</f>
        <v/>
      </c>
      <c r="O244" s="396">
        <f>TIMEVALUE(MID(G244,12,8))</f>
        <v/>
      </c>
      <c r="P244" s="396">
        <f>IFERROR(_xlfn.MINIFS($M:$M,$E:$E,$E244,$K:$K,$K244,$M:$M,"&gt;"&amp;$O244),"")</f>
        <v/>
      </c>
      <c r="Q244" s="396">
        <f>IF($P244="","",$P244-$O244)</f>
        <v/>
      </c>
    </row>
    <row r="245" ht="15" customHeight="1" s="231">
      <c r="A245" s="393" t="inlineStr">
        <is>
          <t>20260720</t>
        </is>
      </c>
      <c r="B245" s="393" t="inlineStr">
        <is>
          <t>LEADS GOOGLE</t>
        </is>
      </c>
      <c r="C245" s="393" t="inlineStr">
        <is>
          <t>RABAT</t>
        </is>
      </c>
      <c r="D245" s="393" t="inlineStr">
        <is>
          <t>8858695_IPSLFND</t>
        </is>
      </c>
      <c r="E245" s="393" t="inlineStr">
        <is>
          <t>LAFDILND</t>
        </is>
      </c>
      <c r="F245" s="393" t="inlineStr">
        <is>
          <t>2026-07-20 10:54:21</t>
        </is>
      </c>
      <c r="G245" s="393" t="inlineStr">
        <is>
          <t>2026-07-20 15:00:42</t>
        </is>
      </c>
      <c r="H245" s="394" t="n">
        <v>14781</v>
      </c>
      <c r="I245" s="393" t="inlineStr">
        <is>
          <t>Voice</t>
        </is>
      </c>
      <c r="J245" s="393" t="inlineStr">
        <is>
          <t>HAOUACIK</t>
        </is>
      </c>
      <c r="K245" s="395">
        <f>DATE(VALUE(LEFT(A245,4)),VALUE(MID(A245,5,2)),VALUE(RIGHT(A245,2)))</f>
        <v/>
      </c>
      <c r="L245" s="395">
        <f>DATEVALUE(LEFT(F245,10))</f>
        <v/>
      </c>
      <c r="M245" s="396">
        <f>TIMEVALUE(MID(F245,12,8))</f>
        <v/>
      </c>
      <c r="N245" s="395">
        <f>DATEVALUE(LEFT(G245,10))</f>
        <v/>
      </c>
      <c r="O245" s="396">
        <f>TIMEVALUE(MID(G245,12,8))</f>
        <v/>
      </c>
      <c r="P245" s="396">
        <f>IFERROR(_xlfn.MINIFS($M:$M,$E:$E,$E245,$K:$K,$K245,$M:$M,"&gt;"&amp;$O245),"")</f>
        <v/>
      </c>
      <c r="Q245" s="396">
        <f>IF($P245="","",$P245-$O245)</f>
        <v/>
      </c>
    </row>
    <row r="246" ht="15" customHeight="1" s="231">
      <c r="A246" s="393" t="inlineStr">
        <is>
          <t>20260720</t>
        </is>
      </c>
      <c r="B246" s="393" t="inlineStr">
        <is>
          <t>LEADS GOOGLE</t>
        </is>
      </c>
      <c r="C246" s="393" t="inlineStr">
        <is>
          <t>RABAT</t>
        </is>
      </c>
      <c r="D246" s="393" t="inlineStr">
        <is>
          <t>8858695_IPSLFND</t>
        </is>
      </c>
      <c r="E246" s="393" t="inlineStr">
        <is>
          <t>LAFDILND</t>
        </is>
      </c>
      <c r="F246" s="393" t="inlineStr">
        <is>
          <t>2026-07-20 15:59:14</t>
        </is>
      </c>
      <c r="G246" s="393" t="inlineStr">
        <is>
          <t>2026-07-20 21:00:05</t>
        </is>
      </c>
      <c r="H246" s="394" t="n">
        <v>18051</v>
      </c>
      <c r="I246" s="393" t="inlineStr">
        <is>
          <t>Voice</t>
        </is>
      </c>
      <c r="J246" s="393" t="inlineStr">
        <is>
          <t>HAOUACIK</t>
        </is>
      </c>
      <c r="K246" s="395">
        <f>DATE(VALUE(LEFT(A246,4)),VALUE(MID(A246,5,2)),VALUE(RIGHT(A246,2)))</f>
        <v/>
      </c>
      <c r="L246" s="395">
        <f>DATEVALUE(LEFT(F246,10))</f>
        <v/>
      </c>
      <c r="M246" s="396">
        <f>TIMEVALUE(MID(F246,12,8))</f>
        <v/>
      </c>
      <c r="N246" s="395">
        <f>DATEVALUE(LEFT(G246,10))</f>
        <v/>
      </c>
      <c r="O246" s="396">
        <f>TIMEVALUE(MID(G246,12,8))</f>
        <v/>
      </c>
      <c r="P246" s="396">
        <f>IFERROR(_xlfn.MINIFS($M:$M,$E:$E,$E246,$K:$K,$K246,$M:$M,"&gt;"&amp;$O246),"")</f>
        <v/>
      </c>
      <c r="Q246" s="396">
        <f>IF($P246="","",$P246-$O246)</f>
        <v/>
      </c>
    </row>
    <row r="247" ht="15" customHeight="1" s="231">
      <c r="A247" s="393" t="inlineStr">
        <is>
          <t>20260720</t>
        </is>
      </c>
      <c r="B247" s="393" t="inlineStr">
        <is>
          <t>LEADS GOOGLE</t>
        </is>
      </c>
      <c r="C247" s="393" t="inlineStr">
        <is>
          <t>RABAT</t>
        </is>
      </c>
      <c r="D247" s="393" t="inlineStr">
        <is>
          <t>8858084_IPSPACE</t>
        </is>
      </c>
      <c r="E247" s="393" t="inlineStr">
        <is>
          <t>LYACOUHO</t>
        </is>
      </c>
      <c r="F247" s="393" t="inlineStr">
        <is>
          <t>2026-07-20 09:48:10</t>
        </is>
      </c>
      <c r="G247" s="393" t="inlineStr">
        <is>
          <t>2026-07-20 14:00:48</t>
        </is>
      </c>
      <c r="H247" s="394" t="n">
        <v>15158</v>
      </c>
      <c r="I247" s="393" t="inlineStr">
        <is>
          <t>Voice</t>
        </is>
      </c>
      <c r="J247" s="393" t="inlineStr">
        <is>
          <t>RHOUDAOT</t>
        </is>
      </c>
      <c r="K247" s="395">
        <f>DATE(VALUE(LEFT(A247,4)),VALUE(MID(A247,5,2)),VALUE(RIGHT(A247,2)))</f>
        <v/>
      </c>
      <c r="L247" s="395">
        <f>DATEVALUE(LEFT(F247,10))</f>
        <v/>
      </c>
      <c r="M247" s="396">
        <f>TIMEVALUE(MID(F247,12,8))</f>
        <v/>
      </c>
      <c r="N247" s="395">
        <f>DATEVALUE(LEFT(G247,10))</f>
        <v/>
      </c>
      <c r="O247" s="396">
        <f>TIMEVALUE(MID(G247,12,8))</f>
        <v/>
      </c>
      <c r="P247" s="396">
        <f>IFERROR(_xlfn.MINIFS($M:$M,$E:$E,$E247,$K:$K,$K247,$M:$M,"&gt;"&amp;$O247),"")</f>
        <v/>
      </c>
      <c r="Q247" s="396">
        <f>IF($P247="","",$P247-$O247)</f>
        <v/>
      </c>
    </row>
    <row r="248" ht="15" customHeight="1" s="231">
      <c r="A248" s="393" t="inlineStr">
        <is>
          <t>20260720</t>
        </is>
      </c>
      <c r="B248" s="393" t="inlineStr">
        <is>
          <t>LEADS GOOGLE</t>
        </is>
      </c>
      <c r="C248" s="393" t="inlineStr">
        <is>
          <t>RABAT</t>
        </is>
      </c>
      <c r="D248" s="393" t="inlineStr">
        <is>
          <t>8858084_IPSPACE</t>
        </is>
      </c>
      <c r="E248" s="393" t="inlineStr">
        <is>
          <t>LYACOUHO</t>
        </is>
      </c>
      <c r="F248" s="393" t="inlineStr">
        <is>
          <t>2026-07-20 14:54:36</t>
        </is>
      </c>
      <c r="G248" s="393" t="inlineStr">
        <is>
          <t>2026-07-20 16:14:23</t>
        </is>
      </c>
      <c r="H248" s="394" t="n">
        <v>4787</v>
      </c>
      <c r="I248" s="393" t="inlineStr">
        <is>
          <t>Voice</t>
        </is>
      </c>
      <c r="J248" s="393" t="inlineStr">
        <is>
          <t>RHOUDAOT</t>
        </is>
      </c>
      <c r="K248" s="395">
        <f>DATE(VALUE(LEFT(A248,4)),VALUE(MID(A248,5,2)),VALUE(RIGHT(A248,2)))</f>
        <v/>
      </c>
      <c r="L248" s="395">
        <f>DATEVALUE(LEFT(F248,10))</f>
        <v/>
      </c>
      <c r="M248" s="396">
        <f>TIMEVALUE(MID(F248,12,8))</f>
        <v/>
      </c>
      <c r="N248" s="395">
        <f>DATEVALUE(LEFT(G248,10))</f>
        <v/>
      </c>
      <c r="O248" s="396">
        <f>TIMEVALUE(MID(G248,12,8))</f>
        <v/>
      </c>
      <c r="P248" s="396">
        <f>IFERROR(_xlfn.MINIFS($M:$M,$E:$E,$E248,$K:$K,$K248,$M:$M,"&gt;"&amp;$O248),"")</f>
        <v/>
      </c>
      <c r="Q248" s="396">
        <f>IF($P248="","",$P248-$O248)</f>
        <v/>
      </c>
    </row>
    <row r="249" ht="15" customHeight="1" s="231">
      <c r="A249" s="393" t="inlineStr">
        <is>
          <t>20260720</t>
        </is>
      </c>
      <c r="B249" s="393" t="inlineStr">
        <is>
          <t>LEADS GOOGLE</t>
        </is>
      </c>
      <c r="C249" s="393" t="inlineStr">
        <is>
          <t>RABAT</t>
        </is>
      </c>
      <c r="D249" s="393" t="inlineStr">
        <is>
          <t>8858084_IPSPACE</t>
        </is>
      </c>
      <c r="E249" s="393" t="inlineStr">
        <is>
          <t>LYACOUHO</t>
        </is>
      </c>
      <c r="F249" s="393" t="inlineStr">
        <is>
          <t>2026-07-20 16:24:18</t>
        </is>
      </c>
      <c r="G249" s="393" t="inlineStr">
        <is>
          <t>2026-07-20 20:00:01</t>
        </is>
      </c>
      <c r="H249" s="394" t="n">
        <v>12943</v>
      </c>
      <c r="I249" s="393" t="inlineStr">
        <is>
          <t>Voice</t>
        </is>
      </c>
      <c r="J249" s="393" t="inlineStr">
        <is>
          <t>RHOUDAOT</t>
        </is>
      </c>
      <c r="K249" s="395">
        <f>DATE(VALUE(LEFT(A249,4)),VALUE(MID(A249,5,2)),VALUE(RIGHT(A249,2)))</f>
        <v/>
      </c>
      <c r="L249" s="395">
        <f>DATEVALUE(LEFT(F249,10))</f>
        <v/>
      </c>
      <c r="M249" s="396">
        <f>TIMEVALUE(MID(F249,12,8))</f>
        <v/>
      </c>
      <c r="N249" s="395">
        <f>DATEVALUE(LEFT(G249,10))</f>
        <v/>
      </c>
      <c r="O249" s="396">
        <f>TIMEVALUE(MID(G249,12,8))</f>
        <v/>
      </c>
      <c r="P249" s="396">
        <f>IFERROR(_xlfn.MINIFS($M:$M,$E:$E,$E249,$K:$K,$K249,$M:$M,"&gt;"&amp;$O249),"")</f>
        <v/>
      </c>
      <c r="Q249" s="396">
        <f>IF($P249="","",$P249-$O249)</f>
        <v/>
      </c>
    </row>
    <row r="250" ht="15" customHeight="1" s="231">
      <c r="A250" s="393" t="inlineStr">
        <is>
          <t>20260720</t>
        </is>
      </c>
      <c r="B250" s="393" t="inlineStr">
        <is>
          <t>LEADS GOOGLE</t>
        </is>
      </c>
      <c r="C250" s="393" t="inlineStr">
        <is>
          <t>RABAT</t>
        </is>
      </c>
      <c r="D250" s="393" t="inlineStr">
        <is>
          <t>8858880_IPSMEYO</t>
        </is>
      </c>
      <c r="E250" s="393" t="inlineStr">
        <is>
          <t>MELLAHYO</t>
        </is>
      </c>
      <c r="F250" s="393" t="inlineStr">
        <is>
          <t>2026-07-20 08:01:46</t>
        </is>
      </c>
      <c r="G250" s="393" t="inlineStr">
        <is>
          <t>2026-07-20 08:08:33</t>
        </is>
      </c>
      <c r="H250" s="394" t="n">
        <v>407</v>
      </c>
      <c r="I250" s="393" t="inlineStr">
        <is>
          <t>Voice</t>
        </is>
      </c>
      <c r="J250" s="393" t="inlineStr">
        <is>
          <t>OUAQERNO</t>
        </is>
      </c>
      <c r="K250" s="395">
        <f>DATE(VALUE(LEFT(A250,4)),VALUE(MID(A250,5,2)),VALUE(RIGHT(A250,2)))</f>
        <v/>
      </c>
      <c r="L250" s="395">
        <f>DATEVALUE(LEFT(F250,10))</f>
        <v/>
      </c>
      <c r="M250" s="396">
        <f>TIMEVALUE(MID(F250,12,8))</f>
        <v/>
      </c>
      <c r="N250" s="395">
        <f>DATEVALUE(LEFT(G250,10))</f>
        <v/>
      </c>
      <c r="O250" s="396">
        <f>TIMEVALUE(MID(G250,12,8))</f>
        <v/>
      </c>
      <c r="P250" s="396">
        <f>IFERROR(_xlfn.MINIFS($M:$M,$E:$E,$E250,$K:$K,$K250,$M:$M,"&gt;"&amp;$O250),"")</f>
        <v/>
      </c>
      <c r="Q250" s="396">
        <f>IF($P250="","",$P250-$O250)</f>
        <v/>
      </c>
    </row>
    <row r="251" ht="15" customHeight="1" s="231">
      <c r="A251" s="393" t="inlineStr">
        <is>
          <t>20260720</t>
        </is>
      </c>
      <c r="B251" s="393" t="inlineStr">
        <is>
          <t>LEADS GOOGLE</t>
        </is>
      </c>
      <c r="C251" s="393" t="inlineStr">
        <is>
          <t>RABAT</t>
        </is>
      </c>
      <c r="D251" s="393" t="inlineStr">
        <is>
          <t>8858880_IPSMEYO</t>
        </is>
      </c>
      <c r="E251" s="393" t="inlineStr">
        <is>
          <t>MELLAHYO</t>
        </is>
      </c>
      <c r="F251" s="393" t="inlineStr">
        <is>
          <t>2026-07-20 08:09:56</t>
        </is>
      </c>
      <c r="G251" s="393" t="inlineStr">
        <is>
          <t>2026-07-20 13:00:04</t>
        </is>
      </c>
      <c r="H251" s="394" t="n">
        <v>17408</v>
      </c>
      <c r="I251" s="393" t="inlineStr">
        <is>
          <t>Voice</t>
        </is>
      </c>
      <c r="J251" s="393" t="inlineStr">
        <is>
          <t>OUAQERNO</t>
        </is>
      </c>
      <c r="K251" s="395">
        <f>DATE(VALUE(LEFT(A251,4)),VALUE(MID(A251,5,2)),VALUE(RIGHT(A251,2)))</f>
        <v/>
      </c>
      <c r="L251" s="395">
        <f>DATEVALUE(LEFT(F251,10))</f>
        <v/>
      </c>
      <c r="M251" s="396">
        <f>TIMEVALUE(MID(F251,12,8))</f>
        <v/>
      </c>
      <c r="N251" s="395">
        <f>DATEVALUE(LEFT(G251,10))</f>
        <v/>
      </c>
      <c r="O251" s="396">
        <f>TIMEVALUE(MID(G251,12,8))</f>
        <v/>
      </c>
      <c r="P251" s="396">
        <f>IFERROR(_xlfn.MINIFS($M:$M,$E:$E,$E251,$K:$K,$K251,$M:$M,"&gt;"&amp;$O251),"")</f>
        <v/>
      </c>
      <c r="Q251" s="396">
        <f>IF($P251="","",$P251-$O251)</f>
        <v/>
      </c>
    </row>
    <row r="252" ht="15" customHeight="1" s="231">
      <c r="A252" s="393" t="inlineStr">
        <is>
          <t>20260720</t>
        </is>
      </c>
      <c r="B252" s="393" t="inlineStr">
        <is>
          <t>LEADS GOOGLE</t>
        </is>
      </c>
      <c r="C252" s="393" t="inlineStr">
        <is>
          <t>RABAT</t>
        </is>
      </c>
      <c r="D252" s="393" t="inlineStr">
        <is>
          <t>8858880_IPSMEYO</t>
        </is>
      </c>
      <c r="E252" s="393" t="inlineStr">
        <is>
          <t>MELLAHYO</t>
        </is>
      </c>
      <c r="F252" s="393" t="inlineStr">
        <is>
          <t>2026-07-20 14:00:46</t>
        </is>
      </c>
      <c r="G252" s="393" t="inlineStr">
        <is>
          <t>2026-07-20 16:14:37</t>
        </is>
      </c>
      <c r="H252" s="394" t="n">
        <v>8031</v>
      </c>
      <c r="I252" s="393" t="inlineStr">
        <is>
          <t>Voice</t>
        </is>
      </c>
      <c r="J252" s="393" t="inlineStr">
        <is>
          <t>OUAQERNO</t>
        </is>
      </c>
      <c r="K252" s="395">
        <f>DATE(VALUE(LEFT(A252,4)),VALUE(MID(A252,5,2)),VALUE(RIGHT(A252,2)))</f>
        <v/>
      </c>
      <c r="L252" s="395">
        <f>DATEVALUE(LEFT(F252,10))</f>
        <v/>
      </c>
      <c r="M252" s="396">
        <f>TIMEVALUE(MID(F252,12,8))</f>
        <v/>
      </c>
      <c r="N252" s="395">
        <f>DATEVALUE(LEFT(G252,10))</f>
        <v/>
      </c>
      <c r="O252" s="396">
        <f>TIMEVALUE(MID(G252,12,8))</f>
        <v/>
      </c>
      <c r="P252" s="396">
        <f>IFERROR(_xlfn.MINIFS($M:$M,$E:$E,$E252,$K:$K,$K252,$M:$M,"&gt;"&amp;$O252),"")</f>
        <v/>
      </c>
      <c r="Q252" s="396">
        <f>IF($P252="","",$P252-$O252)</f>
        <v/>
      </c>
    </row>
    <row r="253" ht="15" customHeight="1" s="231">
      <c r="A253" s="393" t="inlineStr">
        <is>
          <t>20260720</t>
        </is>
      </c>
      <c r="B253" s="393" t="inlineStr">
        <is>
          <t>LEADS GOOGLE</t>
        </is>
      </c>
      <c r="C253" s="393" t="inlineStr">
        <is>
          <t>RABAT</t>
        </is>
      </c>
      <c r="D253" s="393" t="inlineStr">
        <is>
          <t>8858880_IPSMEYO</t>
        </is>
      </c>
      <c r="E253" s="393" t="inlineStr">
        <is>
          <t>MELLAHYO</t>
        </is>
      </c>
      <c r="F253" s="393" t="inlineStr">
        <is>
          <t>2026-07-20 16:16:15</t>
        </is>
      </c>
      <c r="G253" s="393" t="inlineStr">
        <is>
          <t>2026-07-20 18:00:02</t>
        </is>
      </c>
      <c r="H253" s="394" t="n">
        <v>6227</v>
      </c>
      <c r="I253" s="393" t="inlineStr">
        <is>
          <t>Voice</t>
        </is>
      </c>
      <c r="J253" s="393" t="inlineStr">
        <is>
          <t>OUAQERNO</t>
        </is>
      </c>
      <c r="K253" s="395">
        <f>DATE(VALUE(LEFT(A253,4)),VALUE(MID(A253,5,2)),VALUE(RIGHT(A253,2)))</f>
        <v/>
      </c>
      <c r="L253" s="395">
        <f>DATEVALUE(LEFT(F253,10))</f>
        <v/>
      </c>
      <c r="M253" s="396">
        <f>TIMEVALUE(MID(F253,12,8))</f>
        <v/>
      </c>
      <c r="N253" s="395">
        <f>DATEVALUE(LEFT(G253,10))</f>
        <v/>
      </c>
      <c r="O253" s="396">
        <f>TIMEVALUE(MID(G253,12,8))</f>
        <v/>
      </c>
      <c r="P253" s="396">
        <f>IFERROR(_xlfn.MINIFS($M:$M,$E:$E,$E253,$K:$K,$K253,$M:$M,"&gt;"&amp;$O253),"")</f>
        <v/>
      </c>
      <c r="Q253" s="396">
        <f>IF($P253="","",$P253-$O253)</f>
        <v/>
      </c>
    </row>
    <row r="254" ht="15" customHeight="1" s="231">
      <c r="A254" s="393" t="inlineStr">
        <is>
          <t>20260720</t>
        </is>
      </c>
      <c r="B254" s="393" t="inlineStr">
        <is>
          <t>LEADS GOOGLE</t>
        </is>
      </c>
      <c r="C254" s="393" t="inlineStr">
        <is>
          <t>RABAT</t>
        </is>
      </c>
      <c r="D254" s="393" t="inlineStr">
        <is>
          <t>8859439_IPSNAKE</t>
        </is>
      </c>
      <c r="E254" s="393" t="inlineStr">
        <is>
          <t>NAKHLAAY</t>
        </is>
      </c>
      <c r="F254" s="393" t="inlineStr">
        <is>
          <t>2026-07-20 09:59:52</t>
        </is>
      </c>
      <c r="G254" s="393" t="inlineStr">
        <is>
          <t>2026-07-20 10:12:33</t>
        </is>
      </c>
      <c r="H254" s="394" t="n">
        <v>761</v>
      </c>
      <c r="I254" s="393" t="inlineStr">
        <is>
          <t>Voice</t>
        </is>
      </c>
      <c r="J254" s="393" t="inlineStr">
        <is>
          <t>RHOUDAOT</t>
        </is>
      </c>
      <c r="K254" s="395">
        <f>DATE(VALUE(LEFT(A254,4)),VALUE(MID(A254,5,2)),VALUE(RIGHT(A254,2)))</f>
        <v/>
      </c>
      <c r="L254" s="395">
        <f>DATEVALUE(LEFT(F254,10))</f>
        <v/>
      </c>
      <c r="M254" s="396">
        <f>TIMEVALUE(MID(F254,12,8))</f>
        <v/>
      </c>
      <c r="N254" s="395">
        <f>DATEVALUE(LEFT(G254,10))</f>
        <v/>
      </c>
      <c r="O254" s="396">
        <f>TIMEVALUE(MID(G254,12,8))</f>
        <v/>
      </c>
      <c r="P254" s="396">
        <f>IFERROR(_xlfn.MINIFS($M:$M,$E:$E,$E254,$K:$K,$K254,$M:$M,"&gt;"&amp;$O254),"")</f>
        <v/>
      </c>
      <c r="Q254" s="396">
        <f>IF($P254="","",$P254-$O254)</f>
        <v/>
      </c>
    </row>
    <row r="255" ht="15" customHeight="1" s="231">
      <c r="A255" s="393" t="inlineStr">
        <is>
          <t>20260720</t>
        </is>
      </c>
      <c r="B255" s="393" t="inlineStr">
        <is>
          <t>LEADS GOOGLE</t>
        </is>
      </c>
      <c r="C255" s="393" t="inlineStr">
        <is>
          <t>RABAT</t>
        </is>
      </c>
      <c r="D255" s="393" t="inlineStr">
        <is>
          <t>8859439_IPSNAKE</t>
        </is>
      </c>
      <c r="E255" s="393" t="inlineStr">
        <is>
          <t>NAKHLAAY</t>
        </is>
      </c>
      <c r="F255" s="393" t="inlineStr">
        <is>
          <t>2026-07-20 10:13:08</t>
        </is>
      </c>
      <c r="G255" s="393" t="inlineStr">
        <is>
          <t>2026-07-20 13:00:04</t>
        </is>
      </c>
      <c r="H255" s="394" t="n">
        <v>10016</v>
      </c>
      <c r="I255" s="393" t="inlineStr">
        <is>
          <t>Voice</t>
        </is>
      </c>
      <c r="J255" s="393" t="inlineStr">
        <is>
          <t>RHOUDAOT</t>
        </is>
      </c>
      <c r="K255" s="395">
        <f>DATE(VALUE(LEFT(A255,4)),VALUE(MID(A255,5,2)),VALUE(RIGHT(A255,2)))</f>
        <v/>
      </c>
      <c r="L255" s="395">
        <f>DATEVALUE(LEFT(F255,10))</f>
        <v/>
      </c>
      <c r="M255" s="396">
        <f>TIMEVALUE(MID(F255,12,8))</f>
        <v/>
      </c>
      <c r="N255" s="395">
        <f>DATEVALUE(LEFT(G255,10))</f>
        <v/>
      </c>
      <c r="O255" s="396">
        <f>TIMEVALUE(MID(G255,12,8))</f>
        <v/>
      </c>
      <c r="P255" s="396">
        <f>IFERROR(_xlfn.MINIFS($M:$M,$E:$E,$E255,$K:$K,$K255,$M:$M,"&gt;"&amp;$O255),"")</f>
        <v/>
      </c>
      <c r="Q255" s="396">
        <f>IF($P255="","",$P255-$O255)</f>
        <v/>
      </c>
    </row>
    <row r="256" ht="15" customHeight="1" s="231">
      <c r="A256" s="393" t="inlineStr">
        <is>
          <t>20260720</t>
        </is>
      </c>
      <c r="B256" s="393" t="inlineStr">
        <is>
          <t>LEADS GOOGLE</t>
        </is>
      </c>
      <c r="C256" s="393" t="inlineStr">
        <is>
          <t>RABAT</t>
        </is>
      </c>
      <c r="D256" s="393" t="inlineStr">
        <is>
          <t>8859439_IPSNAKE</t>
        </is>
      </c>
      <c r="E256" s="393" t="inlineStr">
        <is>
          <t>NAKHLAAY</t>
        </is>
      </c>
      <c r="F256" s="393" t="inlineStr">
        <is>
          <t>2026-07-20 13:59:26</t>
        </is>
      </c>
      <c r="G256" s="393" t="inlineStr">
        <is>
          <t>2026-07-20 15:35:47</t>
        </is>
      </c>
      <c r="H256" s="394" t="n">
        <v>5781</v>
      </c>
      <c r="I256" s="393" t="inlineStr">
        <is>
          <t>Voice</t>
        </is>
      </c>
      <c r="J256" s="393" t="inlineStr">
        <is>
          <t>RHOUDAOT</t>
        </is>
      </c>
      <c r="K256" s="395">
        <f>DATE(VALUE(LEFT(A256,4)),VALUE(MID(A256,5,2)),VALUE(RIGHT(A256,2)))</f>
        <v/>
      </c>
      <c r="L256" s="395">
        <f>DATEVALUE(LEFT(F256,10))</f>
        <v/>
      </c>
      <c r="M256" s="396">
        <f>TIMEVALUE(MID(F256,12,8))</f>
        <v/>
      </c>
      <c r="N256" s="395">
        <f>DATEVALUE(LEFT(G256,10))</f>
        <v/>
      </c>
      <c r="O256" s="396">
        <f>TIMEVALUE(MID(G256,12,8))</f>
        <v/>
      </c>
      <c r="P256" s="396">
        <f>IFERROR(_xlfn.MINIFS($M:$M,$E:$E,$E256,$K:$K,$K256,$M:$M,"&gt;"&amp;$O256),"")</f>
        <v/>
      </c>
      <c r="Q256" s="396">
        <f>IF($P256="","",$P256-$O256)</f>
        <v/>
      </c>
    </row>
    <row r="257" ht="15" customHeight="1" s="231">
      <c r="A257" s="393" t="inlineStr">
        <is>
          <t>20260720</t>
        </is>
      </c>
      <c r="B257" s="393" t="inlineStr">
        <is>
          <t>LEADS GOOGLE</t>
        </is>
      </c>
      <c r="C257" s="393" t="inlineStr">
        <is>
          <t>RABAT</t>
        </is>
      </c>
      <c r="D257" s="393" t="inlineStr">
        <is>
          <t>8859439_IPSNAKE</t>
        </is>
      </c>
      <c r="E257" s="393" t="inlineStr">
        <is>
          <t>NAKHLAAY</t>
        </is>
      </c>
      <c r="F257" s="393" t="inlineStr">
        <is>
          <t>2026-07-20 15:43:41</t>
        </is>
      </c>
      <c r="G257" s="393" t="inlineStr">
        <is>
          <t>2026-07-20 15:43:47</t>
        </is>
      </c>
      <c r="H257" s="394" t="n">
        <v>6</v>
      </c>
      <c r="I257" s="393" t="inlineStr">
        <is>
          <t>Voice</t>
        </is>
      </c>
      <c r="J257" s="393" t="inlineStr">
        <is>
          <t>RHOUDAOT</t>
        </is>
      </c>
      <c r="K257" s="395">
        <f>DATE(VALUE(LEFT(A257,4)),VALUE(MID(A257,5,2)),VALUE(RIGHT(A257,2)))</f>
        <v/>
      </c>
      <c r="L257" s="395">
        <f>DATEVALUE(LEFT(F257,10))</f>
        <v/>
      </c>
      <c r="M257" s="396">
        <f>TIMEVALUE(MID(F257,12,8))</f>
        <v/>
      </c>
      <c r="N257" s="395">
        <f>DATEVALUE(LEFT(G257,10))</f>
        <v/>
      </c>
      <c r="O257" s="396">
        <f>TIMEVALUE(MID(G257,12,8))</f>
        <v/>
      </c>
      <c r="P257" s="396">
        <f>IFERROR(_xlfn.MINIFS($M:$M,$E:$E,$E257,$K:$K,$K257,$M:$M,"&gt;"&amp;$O257),"")</f>
        <v/>
      </c>
      <c r="Q257" s="396">
        <f>IF($P257="","",$P257-$O257)</f>
        <v/>
      </c>
    </row>
    <row r="258" ht="15" customHeight="1" s="231">
      <c r="A258" s="393" t="inlineStr">
        <is>
          <t>20260720</t>
        </is>
      </c>
      <c r="B258" s="393" t="inlineStr">
        <is>
          <t>LEADS GOOGLE</t>
        </is>
      </c>
      <c r="C258" s="393" t="inlineStr">
        <is>
          <t>RABAT</t>
        </is>
      </c>
      <c r="D258" s="393" t="inlineStr">
        <is>
          <t>8859439_IPSNAKE</t>
        </is>
      </c>
      <c r="E258" s="393" t="inlineStr">
        <is>
          <t>NAKHLAAY</t>
        </is>
      </c>
      <c r="F258" s="393" t="inlineStr">
        <is>
          <t>2026-07-20 16:09:43</t>
        </is>
      </c>
      <c r="G258" s="393" t="inlineStr">
        <is>
          <t>2026-07-20 20:00:03</t>
        </is>
      </c>
      <c r="H258" s="394" t="n">
        <v>13820</v>
      </c>
      <c r="I258" s="393" t="inlineStr">
        <is>
          <t>Voice</t>
        </is>
      </c>
      <c r="J258" s="393" t="inlineStr">
        <is>
          <t>RHOUDAOT</t>
        </is>
      </c>
      <c r="K258" s="395">
        <f>DATE(VALUE(LEFT(A258,4)),VALUE(MID(A258,5,2)),VALUE(RIGHT(A258,2)))</f>
        <v/>
      </c>
      <c r="L258" s="395">
        <f>DATEVALUE(LEFT(F258,10))</f>
        <v/>
      </c>
      <c r="M258" s="396">
        <f>TIMEVALUE(MID(F258,12,8))</f>
        <v/>
      </c>
      <c r="N258" s="395">
        <f>DATEVALUE(LEFT(G258,10))</f>
        <v/>
      </c>
      <c r="O258" s="396">
        <f>TIMEVALUE(MID(G258,12,8))</f>
        <v/>
      </c>
      <c r="P258" s="396">
        <f>IFERROR(_xlfn.MINIFS($M:$M,$E:$E,$E258,$K:$K,$K258,$M:$M,"&gt;"&amp;$O258),"")</f>
        <v/>
      </c>
      <c r="Q258" s="396">
        <f>IF($P258="","",$P258-$O258)</f>
        <v/>
      </c>
    </row>
    <row r="259" ht="15" customHeight="1" s="231">
      <c r="A259" s="393" t="inlineStr">
        <is>
          <t>20260720</t>
        </is>
      </c>
      <c r="B259" s="393" t="inlineStr">
        <is>
          <t>LEADS GOOGLE</t>
        </is>
      </c>
      <c r="C259" s="393" t="inlineStr">
        <is>
          <t>RABAT</t>
        </is>
      </c>
      <c r="D259" s="393" t="inlineStr">
        <is>
          <t>8858831_IPSNMMN</t>
        </is>
      </c>
      <c r="E259" s="393" t="inlineStr">
        <is>
          <t>NEMMAOMO</t>
        </is>
      </c>
      <c r="F259" s="393" t="inlineStr">
        <is>
          <t>2026-07-20 10:54:28</t>
        </is>
      </c>
      <c r="G259" s="393" t="inlineStr">
        <is>
          <t>2026-07-20 10:54:34</t>
        </is>
      </c>
      <c r="H259" s="394" t="n">
        <v>6</v>
      </c>
      <c r="I259" s="393" t="inlineStr">
        <is>
          <t>Voice</t>
        </is>
      </c>
      <c r="J259" s="393" t="inlineStr">
        <is>
          <t>HAOUACIK</t>
        </is>
      </c>
      <c r="K259" s="395">
        <f>DATE(VALUE(LEFT(A259,4)),VALUE(MID(A259,5,2)),VALUE(RIGHT(A259,2)))</f>
        <v/>
      </c>
      <c r="L259" s="395">
        <f>DATEVALUE(LEFT(F259,10))</f>
        <v/>
      </c>
      <c r="M259" s="396">
        <f>TIMEVALUE(MID(F259,12,8))</f>
        <v/>
      </c>
      <c r="N259" s="395">
        <f>DATEVALUE(LEFT(G259,10))</f>
        <v/>
      </c>
      <c r="O259" s="396">
        <f>TIMEVALUE(MID(G259,12,8))</f>
        <v/>
      </c>
      <c r="P259" s="396">
        <f>IFERROR(_xlfn.MINIFS($M:$M,$E:$E,$E259,$K:$K,$K259,$M:$M,"&gt;"&amp;$O259),"")</f>
        <v/>
      </c>
      <c r="Q259" s="396">
        <f>IF($P259="","",$P259-$O259)</f>
        <v/>
      </c>
    </row>
    <row r="260" ht="15" customHeight="1" s="231">
      <c r="A260" s="393" t="inlineStr">
        <is>
          <t>20260720</t>
        </is>
      </c>
      <c r="B260" s="393" t="inlineStr">
        <is>
          <t>LEADS GOOGLE</t>
        </is>
      </c>
      <c r="C260" s="393" t="inlineStr">
        <is>
          <t>RABAT</t>
        </is>
      </c>
      <c r="D260" s="393" t="inlineStr">
        <is>
          <t>8858831_IPSNMMN</t>
        </is>
      </c>
      <c r="E260" s="393" t="inlineStr">
        <is>
          <t>NEMMAOMO</t>
        </is>
      </c>
      <c r="F260" s="393" t="inlineStr">
        <is>
          <t>2026-07-20 10:57:53</t>
        </is>
      </c>
      <c r="G260" s="393" t="inlineStr">
        <is>
          <t>2026-07-20 15:07:33</t>
        </is>
      </c>
      <c r="H260" s="394" t="n">
        <v>14980</v>
      </c>
      <c r="I260" s="393" t="inlineStr">
        <is>
          <t>Voice</t>
        </is>
      </c>
      <c r="J260" s="393" t="inlineStr">
        <is>
          <t>HAOUACIK</t>
        </is>
      </c>
      <c r="K260" s="395">
        <f>DATE(VALUE(LEFT(A260,4)),VALUE(MID(A260,5,2)),VALUE(RIGHT(A260,2)))</f>
        <v/>
      </c>
      <c r="L260" s="395">
        <f>DATEVALUE(LEFT(F260,10))</f>
        <v/>
      </c>
      <c r="M260" s="396">
        <f>TIMEVALUE(MID(F260,12,8))</f>
        <v/>
      </c>
      <c r="N260" s="395">
        <f>DATEVALUE(LEFT(G260,10))</f>
        <v/>
      </c>
      <c r="O260" s="396">
        <f>TIMEVALUE(MID(G260,12,8))</f>
        <v/>
      </c>
      <c r="P260" s="396">
        <f>IFERROR(_xlfn.MINIFS($M:$M,$E:$E,$E260,$K:$K,$K260,$M:$M,"&gt;"&amp;$O260),"")</f>
        <v/>
      </c>
      <c r="Q260" s="396">
        <f>IF($P260="","",$P260-$O260)</f>
        <v/>
      </c>
    </row>
    <row r="261" ht="15" customHeight="1" s="231">
      <c r="A261" s="393" t="inlineStr">
        <is>
          <t>20260720</t>
        </is>
      </c>
      <c r="B261" s="393" t="inlineStr">
        <is>
          <t>LEADS GOOGLE</t>
        </is>
      </c>
      <c r="C261" s="393" t="inlineStr">
        <is>
          <t>RABAT</t>
        </is>
      </c>
      <c r="D261" s="393" t="inlineStr">
        <is>
          <t>8858831_IPSNMMN</t>
        </is>
      </c>
      <c r="E261" s="393" t="inlineStr">
        <is>
          <t>NEMMAOMO</t>
        </is>
      </c>
      <c r="F261" s="393" t="inlineStr">
        <is>
          <t>2026-07-20 16:05:11</t>
        </is>
      </c>
      <c r="G261" s="393" t="inlineStr">
        <is>
          <t>2026-07-20 21:00:01</t>
        </is>
      </c>
      <c r="H261" s="394" t="n">
        <v>17690</v>
      </c>
      <c r="I261" s="393" t="inlineStr">
        <is>
          <t>Voice</t>
        </is>
      </c>
      <c r="J261" s="393" t="inlineStr">
        <is>
          <t>HAOUACIK</t>
        </is>
      </c>
      <c r="K261" s="395">
        <f>DATE(VALUE(LEFT(A261,4)),VALUE(MID(A261,5,2)),VALUE(RIGHT(A261,2)))</f>
        <v/>
      </c>
      <c r="L261" s="395">
        <f>DATEVALUE(LEFT(F261,10))</f>
        <v/>
      </c>
      <c r="M261" s="396">
        <f>TIMEVALUE(MID(F261,12,8))</f>
        <v/>
      </c>
      <c r="N261" s="395">
        <f>DATEVALUE(LEFT(G261,10))</f>
        <v/>
      </c>
      <c r="O261" s="396">
        <f>TIMEVALUE(MID(G261,12,8))</f>
        <v/>
      </c>
      <c r="P261" s="396">
        <f>IFERROR(_xlfn.MINIFS($M:$M,$E:$E,$E261,$K:$K,$K261,$M:$M,"&gt;"&amp;$O261),"")</f>
        <v/>
      </c>
      <c r="Q261" s="396">
        <f>IF($P261="","",$P261-$O261)</f>
        <v/>
      </c>
    </row>
    <row r="262" ht="15" customHeight="1" s="231">
      <c r="A262" s="393" t="inlineStr">
        <is>
          <t>20260720</t>
        </is>
      </c>
      <c r="B262" s="393" t="inlineStr">
        <is>
          <t>LEADS GOOGLE</t>
        </is>
      </c>
      <c r="C262" s="393" t="inlineStr">
        <is>
          <t>RABAT</t>
        </is>
      </c>
      <c r="D262" s="393" t="inlineStr">
        <is>
          <t>8858093_IPSNINA</t>
        </is>
      </c>
      <c r="E262" s="393" t="inlineStr">
        <is>
          <t>NIANGNY</t>
        </is>
      </c>
      <c r="F262" s="393" t="inlineStr">
        <is>
          <t>2026-07-20 07:58:38</t>
        </is>
      </c>
      <c r="G262" s="393" t="inlineStr">
        <is>
          <t>2026-07-20 13:05:21</t>
        </is>
      </c>
      <c r="H262" s="394" t="n">
        <v>18403</v>
      </c>
      <c r="I262" s="393" t="inlineStr">
        <is>
          <t>Voice</t>
        </is>
      </c>
      <c r="J262" s="393" t="inlineStr">
        <is>
          <t>HAOUACIK</t>
        </is>
      </c>
      <c r="K262" s="395">
        <f>DATE(VALUE(LEFT(A262,4)),VALUE(MID(A262,5,2)),VALUE(RIGHT(A262,2)))</f>
        <v/>
      </c>
      <c r="L262" s="395">
        <f>DATEVALUE(LEFT(F262,10))</f>
        <v/>
      </c>
      <c r="M262" s="396">
        <f>TIMEVALUE(MID(F262,12,8))</f>
        <v/>
      </c>
      <c r="N262" s="395">
        <f>DATEVALUE(LEFT(G262,10))</f>
        <v/>
      </c>
      <c r="O262" s="396">
        <f>TIMEVALUE(MID(G262,12,8))</f>
        <v/>
      </c>
      <c r="P262" s="396">
        <f>IFERROR(_xlfn.MINIFS($M:$M,$E:$E,$E262,$K:$K,$K262,$M:$M,"&gt;"&amp;$O262),"")</f>
        <v/>
      </c>
      <c r="Q262" s="396">
        <f>IF($P262="","",$P262-$O262)</f>
        <v/>
      </c>
    </row>
    <row r="263" ht="15" customHeight="1" s="231">
      <c r="A263" s="393" t="inlineStr">
        <is>
          <t>20260720</t>
        </is>
      </c>
      <c r="B263" s="393" t="inlineStr">
        <is>
          <t>LEADS GOOGLE</t>
        </is>
      </c>
      <c r="C263" s="393" t="inlineStr">
        <is>
          <t>RABAT</t>
        </is>
      </c>
      <c r="D263" s="393" t="inlineStr">
        <is>
          <t>8858093_IPSNINA</t>
        </is>
      </c>
      <c r="E263" s="393" t="inlineStr">
        <is>
          <t>NIANGNY</t>
        </is>
      </c>
      <c r="F263" s="393" t="inlineStr">
        <is>
          <t>2026-07-20 13:07:42</t>
        </is>
      </c>
      <c r="G263" s="393" t="inlineStr">
        <is>
          <t>2026-07-20 13:07:52</t>
        </is>
      </c>
      <c r="H263" s="394" t="n">
        <v>10</v>
      </c>
      <c r="I263" s="393" t="inlineStr">
        <is>
          <t>Voice</t>
        </is>
      </c>
      <c r="J263" s="393" t="inlineStr">
        <is>
          <t>HAOUACIK</t>
        </is>
      </c>
      <c r="K263" s="395">
        <f>DATE(VALUE(LEFT(A263,4)),VALUE(MID(A263,5,2)),VALUE(RIGHT(A263,2)))</f>
        <v/>
      </c>
      <c r="L263" s="395">
        <f>DATEVALUE(LEFT(F263,10))</f>
        <v/>
      </c>
      <c r="M263" s="396">
        <f>TIMEVALUE(MID(F263,12,8))</f>
        <v/>
      </c>
      <c r="N263" s="395">
        <f>DATEVALUE(LEFT(G263,10))</f>
        <v/>
      </c>
      <c r="O263" s="396">
        <f>TIMEVALUE(MID(G263,12,8))</f>
        <v/>
      </c>
      <c r="P263" s="396">
        <f>IFERROR(_xlfn.MINIFS($M:$M,$E:$E,$E263,$K:$K,$K263,$M:$M,"&gt;"&amp;$O263),"")</f>
        <v/>
      </c>
      <c r="Q263" s="396">
        <f>IF($P263="","",$P263-$O263)</f>
        <v/>
      </c>
    </row>
    <row r="264" ht="15" customHeight="1" s="231">
      <c r="A264" s="393" t="inlineStr">
        <is>
          <t>20260720</t>
        </is>
      </c>
      <c r="B264" s="393" t="inlineStr">
        <is>
          <t>LEADS GOOGLE</t>
        </is>
      </c>
      <c r="C264" s="393" t="inlineStr">
        <is>
          <t>RABAT</t>
        </is>
      </c>
      <c r="D264" s="393" t="inlineStr">
        <is>
          <t>8858093_IPSNINA</t>
        </is>
      </c>
      <c r="E264" s="393" t="inlineStr">
        <is>
          <t>NIANGNY</t>
        </is>
      </c>
      <c r="F264" s="393" t="inlineStr">
        <is>
          <t>2026-07-20 14:04:23</t>
        </is>
      </c>
      <c r="G264" s="393" t="inlineStr">
        <is>
          <t>2026-07-20 18:00:59</t>
        </is>
      </c>
      <c r="H264" s="394" t="n">
        <v>14196</v>
      </c>
      <c r="I264" s="393" t="inlineStr">
        <is>
          <t>Voice</t>
        </is>
      </c>
      <c r="J264" s="393" t="inlineStr">
        <is>
          <t>HAOUACIK</t>
        </is>
      </c>
      <c r="K264" s="395">
        <f>DATE(VALUE(LEFT(A264,4)),VALUE(MID(A264,5,2)),VALUE(RIGHT(A264,2)))</f>
        <v/>
      </c>
      <c r="L264" s="395">
        <f>DATEVALUE(LEFT(F264,10))</f>
        <v/>
      </c>
      <c r="M264" s="396">
        <f>TIMEVALUE(MID(F264,12,8))</f>
        <v/>
      </c>
      <c r="N264" s="395">
        <f>DATEVALUE(LEFT(G264,10))</f>
        <v/>
      </c>
      <c r="O264" s="396">
        <f>TIMEVALUE(MID(G264,12,8))</f>
        <v/>
      </c>
      <c r="P264" s="396">
        <f>IFERROR(_xlfn.MINIFS($M:$M,$E:$E,$E264,$K:$K,$K264,$M:$M,"&gt;"&amp;$O264),"")</f>
        <v/>
      </c>
      <c r="Q264" s="396">
        <f>IF($P264="","",$P264-$O264)</f>
        <v/>
      </c>
    </row>
    <row r="265" ht="15" customHeight="1" s="231">
      <c r="A265" s="393" t="inlineStr">
        <is>
          <t>20260720</t>
        </is>
      </c>
      <c r="B265" s="393" t="inlineStr">
        <is>
          <t>LEADS GOOGLE</t>
        </is>
      </c>
      <c r="C265" s="393" t="inlineStr">
        <is>
          <t>RABAT</t>
        </is>
      </c>
      <c r="D265" s="393" t="inlineStr">
        <is>
          <t>8858074_IPSNNLB</t>
        </is>
      </c>
      <c r="E265" s="393" t="inlineStr">
        <is>
          <t>NUNEZLU</t>
        </is>
      </c>
      <c r="F265" s="393" t="inlineStr">
        <is>
          <t>2026-07-20 08:02:59</t>
        </is>
      </c>
      <c r="G265" s="393" t="inlineStr">
        <is>
          <t>2026-07-20 11:09:56</t>
        </is>
      </c>
      <c r="H265" s="394" t="n">
        <v>11217</v>
      </c>
      <c r="I265" s="393" t="inlineStr">
        <is>
          <t>Voice</t>
        </is>
      </c>
      <c r="J265" s="393" t="inlineStr">
        <is>
          <t>HAOUACIK</t>
        </is>
      </c>
      <c r="K265" s="395">
        <f>DATE(VALUE(LEFT(A265,4)),VALUE(MID(A265,5,2)),VALUE(RIGHT(A265,2)))</f>
        <v/>
      </c>
      <c r="L265" s="395">
        <f>DATEVALUE(LEFT(F265,10))</f>
        <v/>
      </c>
      <c r="M265" s="396">
        <f>TIMEVALUE(MID(F265,12,8))</f>
        <v/>
      </c>
      <c r="N265" s="395">
        <f>DATEVALUE(LEFT(G265,10))</f>
        <v/>
      </c>
      <c r="O265" s="396">
        <f>TIMEVALUE(MID(G265,12,8))</f>
        <v/>
      </c>
      <c r="P265" s="396">
        <f>IFERROR(_xlfn.MINIFS($M:$M,$E:$E,$E265,$K:$K,$K265,$M:$M,"&gt;"&amp;$O265),"")</f>
        <v/>
      </c>
      <c r="Q265" s="396">
        <f>IF($P265="","",$P265-$O265)</f>
        <v/>
      </c>
    </row>
    <row r="266" ht="15" customHeight="1" s="231">
      <c r="A266" s="393" t="inlineStr">
        <is>
          <t>20260720</t>
        </is>
      </c>
      <c r="B266" s="393" t="inlineStr">
        <is>
          <t>LEADS GOOGLE</t>
        </is>
      </c>
      <c r="C266" s="393" t="inlineStr">
        <is>
          <t>RABAT</t>
        </is>
      </c>
      <c r="D266" s="393" t="inlineStr">
        <is>
          <t>8858074_IPSNNLB</t>
        </is>
      </c>
      <c r="E266" s="393" t="inlineStr">
        <is>
          <t>NUNEZLU</t>
        </is>
      </c>
      <c r="F266" s="393" t="inlineStr">
        <is>
          <t>2026-07-20 11:18:42</t>
        </is>
      </c>
      <c r="G266" s="393" t="inlineStr">
        <is>
          <t>2026-07-20 11:45:05</t>
        </is>
      </c>
      <c r="H266" s="394" t="n">
        <v>1583</v>
      </c>
      <c r="I266" s="393" t="inlineStr">
        <is>
          <t>Voice</t>
        </is>
      </c>
      <c r="J266" s="393" t="inlineStr">
        <is>
          <t>HAOUACIK</t>
        </is>
      </c>
      <c r="K266" s="395">
        <f>DATE(VALUE(LEFT(A266,4)),VALUE(MID(A266,5,2)),VALUE(RIGHT(A266,2)))</f>
        <v/>
      </c>
      <c r="L266" s="395">
        <f>DATEVALUE(LEFT(F266,10))</f>
        <v/>
      </c>
      <c r="M266" s="396">
        <f>TIMEVALUE(MID(F266,12,8))</f>
        <v/>
      </c>
      <c r="N266" s="395">
        <f>DATEVALUE(LEFT(G266,10))</f>
        <v/>
      </c>
      <c r="O266" s="396">
        <f>TIMEVALUE(MID(G266,12,8))</f>
        <v/>
      </c>
      <c r="P266" s="396">
        <f>IFERROR(_xlfn.MINIFS($M:$M,$E:$E,$E266,$K:$K,$K266,$M:$M,"&gt;"&amp;$O266),"")</f>
        <v/>
      </c>
      <c r="Q266" s="396">
        <f>IF($P266="","",$P266-$O266)</f>
        <v/>
      </c>
    </row>
    <row r="267" ht="15" customHeight="1" s="231">
      <c r="A267" s="393" t="inlineStr">
        <is>
          <t>20260720</t>
        </is>
      </c>
      <c r="B267" s="393" t="inlineStr">
        <is>
          <t>LEADS GOOGLE</t>
        </is>
      </c>
      <c r="C267" s="393" t="inlineStr">
        <is>
          <t>RABAT</t>
        </is>
      </c>
      <c r="D267" s="393" t="inlineStr">
        <is>
          <t>8858074_IPSNNLB</t>
        </is>
      </c>
      <c r="E267" s="393" t="inlineStr">
        <is>
          <t>NUNEZLU</t>
        </is>
      </c>
      <c r="F267" s="393" t="inlineStr">
        <is>
          <t>2026-07-20 11:45:58</t>
        </is>
      </c>
      <c r="G267" s="393" t="inlineStr">
        <is>
          <t>2026-07-20 12:02:46</t>
        </is>
      </c>
      <c r="H267" s="394" t="n">
        <v>1008</v>
      </c>
      <c r="I267" s="393" t="inlineStr">
        <is>
          <t>Voice</t>
        </is>
      </c>
      <c r="J267" s="393" t="inlineStr">
        <is>
          <t>HAOUACIK</t>
        </is>
      </c>
      <c r="K267" s="395">
        <f>DATE(VALUE(LEFT(A267,4)),VALUE(MID(A267,5,2)),VALUE(RIGHT(A267,2)))</f>
        <v/>
      </c>
      <c r="L267" s="395">
        <f>DATEVALUE(LEFT(F267,10))</f>
        <v/>
      </c>
      <c r="M267" s="396">
        <f>TIMEVALUE(MID(F267,12,8))</f>
        <v/>
      </c>
      <c r="N267" s="395">
        <f>DATEVALUE(LEFT(G267,10))</f>
        <v/>
      </c>
      <c r="O267" s="396">
        <f>TIMEVALUE(MID(G267,12,8))</f>
        <v/>
      </c>
      <c r="P267" s="396">
        <f>IFERROR(_xlfn.MINIFS($M:$M,$E:$E,$E267,$K:$K,$K267,$M:$M,"&gt;"&amp;$O267),"")</f>
        <v/>
      </c>
      <c r="Q267" s="396">
        <f>IF($P267="","",$P267-$O267)</f>
        <v/>
      </c>
    </row>
    <row r="268" ht="15" customHeight="1" s="231">
      <c r="A268" s="393" t="inlineStr">
        <is>
          <t>20260720</t>
        </is>
      </c>
      <c r="B268" s="393" t="inlineStr">
        <is>
          <t>LEADS GOOGLE</t>
        </is>
      </c>
      <c r="C268" s="393" t="inlineStr">
        <is>
          <t>RABAT</t>
        </is>
      </c>
      <c r="D268" s="393" t="inlineStr">
        <is>
          <t>8858074_IPSNNLB</t>
        </is>
      </c>
      <c r="E268" s="393" t="inlineStr">
        <is>
          <t>NUNEZLU</t>
        </is>
      </c>
      <c r="F268" s="393" t="inlineStr">
        <is>
          <t>2026-07-20 12:03:43</t>
        </is>
      </c>
      <c r="G268" s="393" t="inlineStr">
        <is>
          <t>2026-07-20 12:34:34</t>
        </is>
      </c>
      <c r="H268" s="394" t="n">
        <v>1851</v>
      </c>
      <c r="I268" s="393" t="inlineStr">
        <is>
          <t>Voice</t>
        </is>
      </c>
      <c r="J268" s="393" t="inlineStr">
        <is>
          <t>HAOUACIK</t>
        </is>
      </c>
      <c r="K268" s="395">
        <f>DATE(VALUE(LEFT(A268,4)),VALUE(MID(A268,5,2)),VALUE(RIGHT(A268,2)))</f>
        <v/>
      </c>
      <c r="L268" s="395">
        <f>DATEVALUE(LEFT(F268,10))</f>
        <v/>
      </c>
      <c r="M268" s="396">
        <f>TIMEVALUE(MID(F268,12,8))</f>
        <v/>
      </c>
      <c r="N268" s="395">
        <f>DATEVALUE(LEFT(G268,10))</f>
        <v/>
      </c>
      <c r="O268" s="396">
        <f>TIMEVALUE(MID(G268,12,8))</f>
        <v/>
      </c>
      <c r="P268" s="396">
        <f>IFERROR(_xlfn.MINIFS($M:$M,$E:$E,$E268,$K:$K,$K268,$M:$M,"&gt;"&amp;$O268),"")</f>
        <v/>
      </c>
      <c r="Q268" s="396">
        <f>IF($P268="","",$P268-$O268)</f>
        <v/>
      </c>
    </row>
    <row r="269" ht="15" customHeight="1" s="231">
      <c r="A269" s="393" t="inlineStr">
        <is>
          <t>20260720</t>
        </is>
      </c>
      <c r="B269" s="393" t="inlineStr">
        <is>
          <t>LEADS GOOGLE</t>
        </is>
      </c>
      <c r="C269" s="393" t="inlineStr">
        <is>
          <t>RABAT</t>
        </is>
      </c>
      <c r="D269" s="393" t="inlineStr">
        <is>
          <t>8858074_IPSNNLB</t>
        </is>
      </c>
      <c r="E269" s="393" t="inlineStr">
        <is>
          <t>NUNEZLU</t>
        </is>
      </c>
      <c r="F269" s="393" t="inlineStr">
        <is>
          <t>2026-07-20 12:52:44</t>
        </is>
      </c>
      <c r="G269" s="393" t="inlineStr">
        <is>
          <t>2026-07-20 12:52:51</t>
        </is>
      </c>
      <c r="H269" s="394" t="n">
        <v>7</v>
      </c>
      <c r="I269" s="393" t="inlineStr">
        <is>
          <t>Voice</t>
        </is>
      </c>
      <c r="J269" s="393" t="inlineStr">
        <is>
          <t>HAOUACIK</t>
        </is>
      </c>
      <c r="K269" s="395">
        <f>DATE(VALUE(LEFT(A269,4)),VALUE(MID(A269,5,2)),VALUE(RIGHT(A269,2)))</f>
        <v/>
      </c>
      <c r="L269" s="395">
        <f>DATEVALUE(LEFT(F269,10))</f>
        <v/>
      </c>
      <c r="M269" s="396">
        <f>TIMEVALUE(MID(F269,12,8))</f>
        <v/>
      </c>
      <c r="N269" s="395">
        <f>DATEVALUE(LEFT(G269,10))</f>
        <v/>
      </c>
      <c r="O269" s="396">
        <f>TIMEVALUE(MID(G269,12,8))</f>
        <v/>
      </c>
      <c r="P269" s="396">
        <f>IFERROR(_xlfn.MINIFS($M:$M,$E:$E,$E269,$K:$K,$K269,$M:$M,"&gt;"&amp;$O269),"")</f>
        <v/>
      </c>
      <c r="Q269" s="396">
        <f>IF($P269="","",$P269-$O269)</f>
        <v/>
      </c>
    </row>
    <row r="270" ht="15" customHeight="1" s="231">
      <c r="A270" s="393" t="inlineStr">
        <is>
          <t>20260720</t>
        </is>
      </c>
      <c r="B270" s="393" t="inlineStr">
        <is>
          <t>LEADS GOOGLE</t>
        </is>
      </c>
      <c r="C270" s="393" t="inlineStr">
        <is>
          <t>RABAT</t>
        </is>
      </c>
      <c r="D270" s="393" t="inlineStr">
        <is>
          <t>8858074_IPSNNLB</t>
        </is>
      </c>
      <c r="E270" s="393" t="inlineStr">
        <is>
          <t>NUNEZLU</t>
        </is>
      </c>
      <c r="F270" s="393" t="inlineStr">
        <is>
          <t>2026-07-20 12:52:53</t>
        </is>
      </c>
      <c r="G270" s="393" t="inlineStr">
        <is>
          <t>2026-07-20 13:02:55</t>
        </is>
      </c>
      <c r="H270" s="394" t="n">
        <v>602</v>
      </c>
      <c r="I270" s="393" t="inlineStr">
        <is>
          <t>Voice</t>
        </is>
      </c>
      <c r="J270" s="393" t="inlineStr">
        <is>
          <t>HAOUACIK</t>
        </is>
      </c>
      <c r="K270" s="395">
        <f>DATE(VALUE(LEFT(A270,4)),VALUE(MID(A270,5,2)),VALUE(RIGHT(A270,2)))</f>
        <v/>
      </c>
      <c r="L270" s="395">
        <f>DATEVALUE(LEFT(F270,10))</f>
        <v/>
      </c>
      <c r="M270" s="396">
        <f>TIMEVALUE(MID(F270,12,8))</f>
        <v/>
      </c>
      <c r="N270" s="395">
        <f>DATEVALUE(LEFT(G270,10))</f>
        <v/>
      </c>
      <c r="O270" s="396">
        <f>TIMEVALUE(MID(G270,12,8))</f>
        <v/>
      </c>
      <c r="P270" s="396">
        <f>IFERROR(_xlfn.MINIFS($M:$M,$E:$E,$E270,$K:$K,$K270,$M:$M,"&gt;"&amp;$O270),"")</f>
        <v/>
      </c>
      <c r="Q270" s="396">
        <f>IF($P270="","",$P270-$O270)</f>
        <v/>
      </c>
    </row>
    <row r="271" ht="15" customHeight="1" s="231">
      <c r="A271" s="393" t="inlineStr">
        <is>
          <t>20260720</t>
        </is>
      </c>
      <c r="B271" s="393" t="inlineStr">
        <is>
          <t>LEADS GOOGLE</t>
        </is>
      </c>
      <c r="C271" s="393" t="inlineStr">
        <is>
          <t>RABAT</t>
        </is>
      </c>
      <c r="D271" s="393" t="inlineStr">
        <is>
          <t>8858074_IPSNNLB</t>
        </is>
      </c>
      <c r="E271" s="393" t="inlineStr">
        <is>
          <t>NUNEZLU</t>
        </is>
      </c>
      <c r="F271" s="393" t="inlineStr">
        <is>
          <t>2026-07-20 14:02:06</t>
        </is>
      </c>
      <c r="G271" s="393" t="inlineStr">
        <is>
          <t>2026-07-20 17:26:25</t>
        </is>
      </c>
      <c r="H271" s="394" t="n">
        <v>12259</v>
      </c>
      <c r="I271" s="393" t="inlineStr">
        <is>
          <t>Voice</t>
        </is>
      </c>
      <c r="J271" s="393" t="inlineStr">
        <is>
          <t>HAOUACIK</t>
        </is>
      </c>
      <c r="K271" s="395">
        <f>DATE(VALUE(LEFT(A271,4)),VALUE(MID(A271,5,2)),VALUE(RIGHT(A271,2)))</f>
        <v/>
      </c>
      <c r="L271" s="395">
        <f>DATEVALUE(LEFT(F271,10))</f>
        <v/>
      </c>
      <c r="M271" s="396">
        <f>TIMEVALUE(MID(F271,12,8))</f>
        <v/>
      </c>
      <c r="N271" s="395">
        <f>DATEVALUE(LEFT(G271,10))</f>
        <v/>
      </c>
      <c r="O271" s="396">
        <f>TIMEVALUE(MID(G271,12,8))</f>
        <v/>
      </c>
      <c r="P271" s="396">
        <f>IFERROR(_xlfn.MINIFS($M:$M,$E:$E,$E271,$K:$K,$K271,$M:$M,"&gt;"&amp;$O271),"")</f>
        <v/>
      </c>
      <c r="Q271" s="396">
        <f>IF($P271="","",$P271-$O271)</f>
        <v/>
      </c>
    </row>
    <row r="272" ht="15" customHeight="1" s="231">
      <c r="A272" s="393" t="inlineStr">
        <is>
          <t>20260720</t>
        </is>
      </c>
      <c r="B272" s="393" t="inlineStr">
        <is>
          <t>LEADS GOOGLE</t>
        </is>
      </c>
      <c r="C272" s="393" t="inlineStr">
        <is>
          <t>RABAT</t>
        </is>
      </c>
      <c r="D272" s="393" t="inlineStr">
        <is>
          <t>8858074_IPSNNLB</t>
        </is>
      </c>
      <c r="E272" s="393" t="inlineStr">
        <is>
          <t>NUNEZLU</t>
        </is>
      </c>
      <c r="F272" s="393" t="inlineStr">
        <is>
          <t>2026-07-20 17:41:20</t>
        </is>
      </c>
      <c r="G272" s="393" t="inlineStr">
        <is>
          <t>2026-07-20 18:05:00</t>
        </is>
      </c>
      <c r="H272" s="394" t="n">
        <v>1420</v>
      </c>
      <c r="I272" s="393" t="inlineStr">
        <is>
          <t>Voice</t>
        </is>
      </c>
      <c r="J272" s="393" t="inlineStr">
        <is>
          <t>HAOUACIK</t>
        </is>
      </c>
      <c r="K272" s="395">
        <f>DATE(VALUE(LEFT(A272,4)),VALUE(MID(A272,5,2)),VALUE(RIGHT(A272,2)))</f>
        <v/>
      </c>
      <c r="L272" s="395">
        <f>DATEVALUE(LEFT(F272,10))</f>
        <v/>
      </c>
      <c r="M272" s="396">
        <f>TIMEVALUE(MID(F272,12,8))</f>
        <v/>
      </c>
      <c r="N272" s="395">
        <f>DATEVALUE(LEFT(G272,10))</f>
        <v/>
      </c>
      <c r="O272" s="396">
        <f>TIMEVALUE(MID(G272,12,8))</f>
        <v/>
      </c>
      <c r="P272" s="396">
        <f>IFERROR(_xlfn.MINIFS($M:$M,$E:$E,$E272,$K:$K,$K272,$M:$M,"&gt;"&amp;$O272),"")</f>
        <v/>
      </c>
      <c r="Q272" s="396">
        <f>IF($P272="","",$P272-$O272)</f>
        <v/>
      </c>
    </row>
    <row r="273" ht="15" customHeight="1" s="231">
      <c r="A273" s="393" t="inlineStr">
        <is>
          <t>20260720</t>
        </is>
      </c>
      <c r="B273" s="393" t="inlineStr">
        <is>
          <t>LEADS GOOGLE</t>
        </is>
      </c>
      <c r="C273" s="393" t="inlineStr">
        <is>
          <t>RABAT</t>
        </is>
      </c>
      <c r="D273" s="393" t="inlineStr">
        <is>
          <t>8859337_IPSQRMN</t>
        </is>
      </c>
      <c r="E273" s="393" t="inlineStr">
        <is>
          <t>QARBOUAY</t>
        </is>
      </c>
      <c r="F273" s="393" t="inlineStr">
        <is>
          <t>2026-07-20 10:59:56</t>
        </is>
      </c>
      <c r="G273" s="393" t="inlineStr">
        <is>
          <t>2026-07-20 11:02:03</t>
        </is>
      </c>
      <c r="H273" s="394" t="n">
        <v>127</v>
      </c>
      <c r="I273" s="393" t="inlineStr">
        <is>
          <t>Voice</t>
        </is>
      </c>
      <c r="J273" s="393" t="inlineStr">
        <is>
          <t>HAOUACIK</t>
        </is>
      </c>
      <c r="K273" s="395">
        <f>DATE(VALUE(LEFT(A273,4)),VALUE(MID(A273,5,2)),VALUE(RIGHT(A273,2)))</f>
        <v/>
      </c>
      <c r="L273" s="395">
        <f>DATEVALUE(LEFT(F273,10))</f>
        <v/>
      </c>
      <c r="M273" s="396">
        <f>TIMEVALUE(MID(F273,12,8))</f>
        <v/>
      </c>
      <c r="N273" s="395">
        <f>DATEVALUE(LEFT(G273,10))</f>
        <v/>
      </c>
      <c r="O273" s="396">
        <f>TIMEVALUE(MID(G273,12,8))</f>
        <v/>
      </c>
      <c r="P273" s="396">
        <f>IFERROR(_xlfn.MINIFS($M:$M,$E:$E,$E273,$K:$K,$K273,$M:$M,"&gt;"&amp;$O273),"")</f>
        <v/>
      </c>
      <c r="Q273" s="396">
        <f>IF($P273="","",$P273-$O273)</f>
        <v/>
      </c>
    </row>
    <row r="274" ht="15" customHeight="1" s="231">
      <c r="A274" s="393" t="inlineStr">
        <is>
          <t>20260720</t>
        </is>
      </c>
      <c r="B274" s="393" t="inlineStr">
        <is>
          <t>LEADS GOOGLE</t>
        </is>
      </c>
      <c r="C274" s="393" t="inlineStr">
        <is>
          <t>RABAT</t>
        </is>
      </c>
      <c r="D274" s="393" t="inlineStr">
        <is>
          <t>8859337_IPSQRMN</t>
        </is>
      </c>
      <c r="E274" s="393" t="inlineStr">
        <is>
          <t>QARBOUAY</t>
        </is>
      </c>
      <c r="F274" s="393" t="inlineStr">
        <is>
          <t>2026-07-20 11:06:27</t>
        </is>
      </c>
      <c r="G274" s="393" t="inlineStr">
        <is>
          <t>2026-07-20 15:08:01</t>
        </is>
      </c>
      <c r="H274" s="394" t="n">
        <v>14494</v>
      </c>
      <c r="I274" s="393" t="inlineStr">
        <is>
          <t>Voice</t>
        </is>
      </c>
      <c r="J274" s="393" t="inlineStr">
        <is>
          <t>HAOUACIK</t>
        </is>
      </c>
      <c r="K274" s="395">
        <f>DATE(VALUE(LEFT(A274,4)),VALUE(MID(A274,5,2)),VALUE(RIGHT(A274,2)))</f>
        <v/>
      </c>
      <c r="L274" s="395">
        <f>DATEVALUE(LEFT(F274,10))</f>
        <v/>
      </c>
      <c r="M274" s="396">
        <f>TIMEVALUE(MID(F274,12,8))</f>
        <v/>
      </c>
      <c r="N274" s="395">
        <f>DATEVALUE(LEFT(G274,10))</f>
        <v/>
      </c>
      <c r="O274" s="396">
        <f>TIMEVALUE(MID(G274,12,8))</f>
        <v/>
      </c>
      <c r="P274" s="396">
        <f>IFERROR(_xlfn.MINIFS($M:$M,$E:$E,$E274,$K:$K,$K274,$M:$M,"&gt;"&amp;$O274),"")</f>
        <v/>
      </c>
      <c r="Q274" s="396">
        <f>IF($P274="","",$P274-$O274)</f>
        <v/>
      </c>
    </row>
    <row r="275" ht="15" customHeight="1" s="231">
      <c r="A275" s="393" t="inlineStr">
        <is>
          <t>20260720</t>
        </is>
      </c>
      <c r="B275" s="393" t="inlineStr">
        <is>
          <t>LEADS GOOGLE</t>
        </is>
      </c>
      <c r="C275" s="393" t="inlineStr">
        <is>
          <t>RABAT</t>
        </is>
      </c>
      <c r="D275" s="393" t="inlineStr">
        <is>
          <t>8859337_IPSQRMN</t>
        </is>
      </c>
      <c r="E275" s="393" t="inlineStr">
        <is>
          <t>QARBOUAY</t>
        </is>
      </c>
      <c r="F275" s="393" t="inlineStr">
        <is>
          <t>2026-07-20 16:05:22</t>
        </is>
      </c>
      <c r="G275" s="393" t="inlineStr">
        <is>
          <t>2026-07-20 21:00:04</t>
        </is>
      </c>
      <c r="H275" s="394" t="n">
        <v>17682</v>
      </c>
      <c r="I275" s="393" t="inlineStr">
        <is>
          <t>Voice</t>
        </is>
      </c>
      <c r="J275" s="393" t="inlineStr">
        <is>
          <t>HAOUACIK</t>
        </is>
      </c>
      <c r="K275" s="395">
        <f>DATE(VALUE(LEFT(A275,4)),VALUE(MID(A275,5,2)),VALUE(RIGHT(A275,2)))</f>
        <v/>
      </c>
      <c r="L275" s="395">
        <f>DATEVALUE(LEFT(F275,10))</f>
        <v/>
      </c>
      <c r="M275" s="396">
        <f>TIMEVALUE(MID(F275,12,8))</f>
        <v/>
      </c>
      <c r="N275" s="395">
        <f>DATEVALUE(LEFT(G275,10))</f>
        <v/>
      </c>
      <c r="O275" s="396">
        <f>TIMEVALUE(MID(G275,12,8))</f>
        <v/>
      </c>
      <c r="P275" s="396">
        <f>IFERROR(_xlfn.MINIFS($M:$M,$E:$E,$E275,$K:$K,$K275,$M:$M,"&gt;"&amp;$O275),"")</f>
        <v/>
      </c>
      <c r="Q275" s="396">
        <f>IF($P275="","",$P275-$O275)</f>
        <v/>
      </c>
    </row>
    <row r="276" ht="15" customHeight="1" s="231">
      <c r="A276" s="393" t="inlineStr">
        <is>
          <t>20260720</t>
        </is>
      </c>
      <c r="B276" s="393" t="inlineStr">
        <is>
          <t>LEADS GOOGLE</t>
        </is>
      </c>
      <c r="C276" s="393" t="inlineStr">
        <is>
          <t>RABAT</t>
        </is>
      </c>
      <c r="D276" s="393" t="inlineStr">
        <is>
          <t>8858743_IPSRANW</t>
        </is>
      </c>
      <c r="E276" s="393" t="inlineStr">
        <is>
          <t>RACHADNW</t>
        </is>
      </c>
      <c r="F276" s="393" t="inlineStr">
        <is>
          <t>2026-07-20 10:56:19</t>
        </is>
      </c>
      <c r="G276" s="393" t="inlineStr">
        <is>
          <t>2026-07-20 15:00:28</t>
        </is>
      </c>
      <c r="H276" s="394" t="n">
        <v>14649</v>
      </c>
      <c r="I276" s="393" t="inlineStr">
        <is>
          <t>Voice</t>
        </is>
      </c>
      <c r="J276" s="393" t="inlineStr">
        <is>
          <t>OUAQERNO</t>
        </is>
      </c>
      <c r="K276" s="395">
        <f>DATE(VALUE(LEFT(A276,4)),VALUE(MID(A276,5,2)),VALUE(RIGHT(A276,2)))</f>
        <v/>
      </c>
      <c r="L276" s="395">
        <f>DATEVALUE(LEFT(F276,10))</f>
        <v/>
      </c>
      <c r="M276" s="396">
        <f>TIMEVALUE(MID(F276,12,8))</f>
        <v/>
      </c>
      <c r="N276" s="395">
        <f>DATEVALUE(LEFT(G276,10))</f>
        <v/>
      </c>
      <c r="O276" s="396">
        <f>TIMEVALUE(MID(G276,12,8))</f>
        <v/>
      </c>
      <c r="P276" s="396">
        <f>IFERROR(_xlfn.MINIFS($M:$M,$E:$E,$E276,$K:$K,$K276,$M:$M,"&gt;"&amp;$O276),"")</f>
        <v/>
      </c>
      <c r="Q276" s="396">
        <f>IF($P276="","",$P276-$O276)</f>
        <v/>
      </c>
    </row>
    <row r="277" ht="15" customHeight="1" s="231">
      <c r="A277" s="393" t="inlineStr">
        <is>
          <t>20260720</t>
        </is>
      </c>
      <c r="B277" s="393" t="inlineStr">
        <is>
          <t>LEADS GOOGLE</t>
        </is>
      </c>
      <c r="C277" s="393" t="inlineStr">
        <is>
          <t>RABAT</t>
        </is>
      </c>
      <c r="D277" s="393" t="inlineStr">
        <is>
          <t>8858743_IPSRANW</t>
        </is>
      </c>
      <c r="E277" s="393" t="inlineStr">
        <is>
          <t>RACHADNW</t>
        </is>
      </c>
      <c r="F277" s="393" t="inlineStr">
        <is>
          <t>2026-07-20 16:00:58</t>
        </is>
      </c>
      <c r="G277" s="393" t="inlineStr">
        <is>
          <t>2026-07-20 21:00:19</t>
        </is>
      </c>
      <c r="H277" s="394" t="n">
        <v>17961</v>
      </c>
      <c r="I277" s="393" t="inlineStr">
        <is>
          <t>Voice</t>
        </is>
      </c>
      <c r="J277" s="393" t="inlineStr">
        <is>
          <t>OUAQERNO</t>
        </is>
      </c>
      <c r="K277" s="395">
        <f>DATE(VALUE(LEFT(A277,4)),VALUE(MID(A277,5,2)),VALUE(RIGHT(A277,2)))</f>
        <v/>
      </c>
      <c r="L277" s="395">
        <f>DATEVALUE(LEFT(F277,10))</f>
        <v/>
      </c>
      <c r="M277" s="396">
        <f>TIMEVALUE(MID(F277,12,8))</f>
        <v/>
      </c>
      <c r="N277" s="395">
        <f>DATEVALUE(LEFT(G277,10))</f>
        <v/>
      </c>
      <c r="O277" s="396">
        <f>TIMEVALUE(MID(G277,12,8))</f>
        <v/>
      </c>
      <c r="P277" s="396">
        <f>IFERROR(_xlfn.MINIFS($M:$M,$E:$E,$E277,$K:$K,$K277,$M:$M,"&gt;"&amp;$O277),"")</f>
        <v/>
      </c>
      <c r="Q277" s="396">
        <f>IF($P277="","",$P277-$O277)</f>
        <v/>
      </c>
    </row>
    <row r="278" ht="15" customHeight="1" s="231">
      <c r="A278" s="393" t="inlineStr">
        <is>
          <t>20260720</t>
        </is>
      </c>
      <c r="B278" s="393" t="inlineStr">
        <is>
          <t>LEADS GOOGLE</t>
        </is>
      </c>
      <c r="C278" s="393" t="inlineStr">
        <is>
          <t>RABAT</t>
        </is>
      </c>
      <c r="D278" s="393" t="inlineStr">
        <is>
          <t>8858482_IPSSCDR</t>
        </is>
      </c>
      <c r="E278" s="393" t="inlineStr">
        <is>
          <t>SECKDA</t>
        </is>
      </c>
      <c r="F278" s="393" t="inlineStr">
        <is>
          <t>2026-07-20 07:56:52</t>
        </is>
      </c>
      <c r="G278" s="393" t="inlineStr">
        <is>
          <t>2026-07-20 08:18:31</t>
        </is>
      </c>
      <c r="H278" s="394" t="n">
        <v>1299</v>
      </c>
      <c r="I278" s="393" t="inlineStr">
        <is>
          <t>Voice</t>
        </is>
      </c>
      <c r="J278" s="393" t="inlineStr">
        <is>
          <t>OUAQERNO</t>
        </is>
      </c>
      <c r="K278" s="395">
        <f>DATE(VALUE(LEFT(A278,4)),VALUE(MID(A278,5,2)),VALUE(RIGHT(A278,2)))</f>
        <v/>
      </c>
      <c r="L278" s="395">
        <f>DATEVALUE(LEFT(F278,10))</f>
        <v/>
      </c>
      <c r="M278" s="396">
        <f>TIMEVALUE(MID(F278,12,8))</f>
        <v/>
      </c>
      <c r="N278" s="395">
        <f>DATEVALUE(LEFT(G278,10))</f>
        <v/>
      </c>
      <c r="O278" s="396">
        <f>TIMEVALUE(MID(G278,12,8))</f>
        <v/>
      </c>
      <c r="P278" s="396">
        <f>IFERROR(_xlfn.MINIFS($M:$M,$E:$E,$E278,$K:$K,$K278,$M:$M,"&gt;"&amp;$O278),"")</f>
        <v/>
      </c>
      <c r="Q278" s="396">
        <f>IF($P278="","",$P278-$O278)</f>
        <v/>
      </c>
    </row>
    <row r="279" ht="15" customHeight="1" s="231">
      <c r="A279" s="393" t="inlineStr">
        <is>
          <t>20260720</t>
        </is>
      </c>
      <c r="B279" s="393" t="inlineStr">
        <is>
          <t>LEADS GOOGLE</t>
        </is>
      </c>
      <c r="C279" s="393" t="inlineStr">
        <is>
          <t>RABAT</t>
        </is>
      </c>
      <c r="D279" s="393" t="inlineStr">
        <is>
          <t>8858482_IPSSCDR</t>
        </is>
      </c>
      <c r="E279" s="393" t="inlineStr">
        <is>
          <t>SECKDA</t>
        </is>
      </c>
      <c r="F279" s="393" t="inlineStr">
        <is>
          <t>2026-07-20 08:21:09</t>
        </is>
      </c>
      <c r="G279" s="393" t="inlineStr">
        <is>
          <t>2026-07-20 08:21:11</t>
        </is>
      </c>
      <c r="H279" s="394" t="n">
        <v>2</v>
      </c>
      <c r="I279" s="393" t="inlineStr">
        <is>
          <t>Voice</t>
        </is>
      </c>
      <c r="J279" s="393" t="inlineStr">
        <is>
          <t>OUAQERNO</t>
        </is>
      </c>
      <c r="K279" s="395">
        <f>DATE(VALUE(LEFT(A279,4)),VALUE(MID(A279,5,2)),VALUE(RIGHT(A279,2)))</f>
        <v/>
      </c>
      <c r="L279" s="395">
        <f>DATEVALUE(LEFT(F279,10))</f>
        <v/>
      </c>
      <c r="M279" s="396">
        <f>TIMEVALUE(MID(F279,12,8))</f>
        <v/>
      </c>
      <c r="N279" s="395">
        <f>DATEVALUE(LEFT(G279,10))</f>
        <v/>
      </c>
      <c r="O279" s="396">
        <f>TIMEVALUE(MID(G279,12,8))</f>
        <v/>
      </c>
      <c r="P279" s="396">
        <f>IFERROR(_xlfn.MINIFS($M:$M,$E:$E,$E279,$K:$K,$K279,$M:$M,"&gt;"&amp;$O279),"")</f>
        <v/>
      </c>
      <c r="Q279" s="396">
        <f>IF($P279="","",$P279-$O279)</f>
        <v/>
      </c>
    </row>
    <row r="280" ht="15" customHeight="1" s="231">
      <c r="A280" s="393" t="inlineStr">
        <is>
          <t>20260720</t>
        </is>
      </c>
      <c r="B280" s="393" t="inlineStr">
        <is>
          <t>LEADS GOOGLE</t>
        </is>
      </c>
      <c r="C280" s="393" t="inlineStr">
        <is>
          <t>RABAT</t>
        </is>
      </c>
      <c r="D280" s="393" t="inlineStr">
        <is>
          <t>8858482_IPSSCDR</t>
        </is>
      </c>
      <c r="E280" s="393" t="inlineStr">
        <is>
          <t>SECKDA</t>
        </is>
      </c>
      <c r="F280" s="393" t="inlineStr">
        <is>
          <t>2026-07-20 08:21:38</t>
        </is>
      </c>
      <c r="G280" s="393" t="inlineStr">
        <is>
          <t>2026-07-20 13:00:18</t>
        </is>
      </c>
      <c r="H280" s="394" t="n">
        <v>16720</v>
      </c>
      <c r="I280" s="393" t="inlineStr">
        <is>
          <t>Voice</t>
        </is>
      </c>
      <c r="J280" s="393" t="inlineStr">
        <is>
          <t>OUAQERNO</t>
        </is>
      </c>
      <c r="K280" s="395">
        <f>DATE(VALUE(LEFT(A280,4)),VALUE(MID(A280,5,2)),VALUE(RIGHT(A280,2)))</f>
        <v/>
      </c>
      <c r="L280" s="395">
        <f>DATEVALUE(LEFT(F280,10))</f>
        <v/>
      </c>
      <c r="M280" s="396">
        <f>TIMEVALUE(MID(F280,12,8))</f>
        <v/>
      </c>
      <c r="N280" s="395">
        <f>DATEVALUE(LEFT(G280,10))</f>
        <v/>
      </c>
      <c r="O280" s="396">
        <f>TIMEVALUE(MID(G280,12,8))</f>
        <v/>
      </c>
      <c r="P280" s="396">
        <f>IFERROR(_xlfn.MINIFS($M:$M,$E:$E,$E280,$K:$K,$K280,$M:$M,"&gt;"&amp;$O280),"")</f>
        <v/>
      </c>
      <c r="Q280" s="396">
        <f>IF($P280="","",$P280-$O280)</f>
        <v/>
      </c>
    </row>
    <row r="281" ht="15" customHeight="1" s="231">
      <c r="A281" s="393" t="inlineStr">
        <is>
          <t>20260720</t>
        </is>
      </c>
      <c r="B281" s="393" t="inlineStr">
        <is>
          <t>LEADS GOOGLE</t>
        </is>
      </c>
      <c r="C281" s="393" t="inlineStr">
        <is>
          <t>RABAT</t>
        </is>
      </c>
      <c r="D281" s="393" t="inlineStr">
        <is>
          <t>8858482_IPSSCDR</t>
        </is>
      </c>
      <c r="E281" s="393" t="inlineStr">
        <is>
          <t>SECKDA</t>
        </is>
      </c>
      <c r="F281" s="393" t="inlineStr">
        <is>
          <t>2026-07-20 13:57:07</t>
        </is>
      </c>
      <c r="G281" s="393" t="inlineStr">
        <is>
          <t>2026-07-20 18:03:33</t>
        </is>
      </c>
      <c r="H281" s="394" t="n">
        <v>14786</v>
      </c>
      <c r="I281" s="393" t="inlineStr">
        <is>
          <t>Voice</t>
        </is>
      </c>
      <c r="J281" s="393" t="inlineStr">
        <is>
          <t>OUAQERNO</t>
        </is>
      </c>
      <c r="K281" s="395">
        <f>DATE(VALUE(LEFT(A281,4)),VALUE(MID(A281,5,2)),VALUE(RIGHT(A281,2)))</f>
        <v/>
      </c>
      <c r="L281" s="395">
        <f>DATEVALUE(LEFT(F281,10))</f>
        <v/>
      </c>
      <c r="M281" s="396">
        <f>TIMEVALUE(MID(F281,12,8))</f>
        <v/>
      </c>
      <c r="N281" s="395">
        <f>DATEVALUE(LEFT(G281,10))</f>
        <v/>
      </c>
      <c r="O281" s="396">
        <f>TIMEVALUE(MID(G281,12,8))</f>
        <v/>
      </c>
      <c r="P281" s="396">
        <f>IFERROR(_xlfn.MINIFS($M:$M,$E:$E,$E281,$K:$K,$K281,$M:$M,"&gt;"&amp;$O281),"")</f>
        <v/>
      </c>
      <c r="Q281" s="396">
        <f>IF($P281="","",$P281-$O281)</f>
        <v/>
      </c>
    </row>
    <row r="282" ht="15" customHeight="1" s="231">
      <c r="A282" s="393" t="inlineStr">
        <is>
          <t>20260720</t>
        </is>
      </c>
      <c r="B282" s="393" t="inlineStr">
        <is>
          <t>LEADS GOOGLE</t>
        </is>
      </c>
      <c r="C282" s="393" t="inlineStr">
        <is>
          <t>RABAT</t>
        </is>
      </c>
      <c r="D282" s="393" t="inlineStr">
        <is>
          <t>8859413_IPSSOZA</t>
        </is>
      </c>
      <c r="E282" s="393" t="inlineStr">
        <is>
          <t>SOUOUDZA</t>
        </is>
      </c>
      <c r="F282" s="393" t="inlineStr">
        <is>
          <t>2026-07-20 07:55:39</t>
        </is>
      </c>
      <c r="G282" s="393" t="inlineStr">
        <is>
          <t>2026-07-20 11:34:28</t>
        </is>
      </c>
      <c r="H282" s="394" t="n">
        <v>13129</v>
      </c>
      <c r="I282" s="393" t="inlineStr">
        <is>
          <t>Voice</t>
        </is>
      </c>
      <c r="J282" s="393" t="inlineStr">
        <is>
          <t>OUAQERNO</t>
        </is>
      </c>
      <c r="K282" s="395">
        <f>DATE(VALUE(LEFT(A282,4)),VALUE(MID(A282,5,2)),VALUE(RIGHT(A282,2)))</f>
        <v/>
      </c>
      <c r="L282" s="395">
        <f>DATEVALUE(LEFT(F282,10))</f>
        <v/>
      </c>
      <c r="M282" s="396">
        <f>TIMEVALUE(MID(F282,12,8))</f>
        <v/>
      </c>
      <c r="N282" s="395">
        <f>DATEVALUE(LEFT(G282,10))</f>
        <v/>
      </c>
      <c r="O282" s="396">
        <f>TIMEVALUE(MID(G282,12,8))</f>
        <v/>
      </c>
      <c r="P282" s="396">
        <f>IFERROR(_xlfn.MINIFS($M:$M,$E:$E,$E282,$K:$K,$K282,$M:$M,"&gt;"&amp;$O282),"")</f>
        <v/>
      </c>
      <c r="Q282" s="396">
        <f>IF($P282="","",$P282-$O282)</f>
        <v/>
      </c>
    </row>
    <row r="283" ht="15" customHeight="1" s="231">
      <c r="A283" s="393" t="inlineStr">
        <is>
          <t>20260720</t>
        </is>
      </c>
      <c r="B283" s="393" t="inlineStr">
        <is>
          <t>LEADS GOOGLE</t>
        </is>
      </c>
      <c r="C283" s="393" t="inlineStr">
        <is>
          <t>RABAT</t>
        </is>
      </c>
      <c r="D283" s="393" t="inlineStr">
        <is>
          <t>8859413_IPSSOZA</t>
        </is>
      </c>
      <c r="E283" s="393" t="inlineStr">
        <is>
          <t>SOUOUDZA</t>
        </is>
      </c>
      <c r="F283" s="393" t="inlineStr">
        <is>
          <t>2026-07-20 11:39:47</t>
        </is>
      </c>
      <c r="G283" s="393" t="inlineStr">
        <is>
          <t>2026-07-20 13:04:10</t>
        </is>
      </c>
      <c r="H283" s="394" t="n">
        <v>5063</v>
      </c>
      <c r="I283" s="393" t="inlineStr">
        <is>
          <t>Voice</t>
        </is>
      </c>
      <c r="J283" s="393" t="inlineStr">
        <is>
          <t>OUAQERNO</t>
        </is>
      </c>
      <c r="K283" s="395">
        <f>DATE(VALUE(LEFT(A283,4)),VALUE(MID(A283,5,2)),VALUE(RIGHT(A283,2)))</f>
        <v/>
      </c>
      <c r="L283" s="395">
        <f>DATEVALUE(LEFT(F283,10))</f>
        <v/>
      </c>
      <c r="M283" s="396">
        <f>TIMEVALUE(MID(F283,12,8))</f>
        <v/>
      </c>
      <c r="N283" s="395">
        <f>DATEVALUE(LEFT(G283,10))</f>
        <v/>
      </c>
      <c r="O283" s="396">
        <f>TIMEVALUE(MID(G283,12,8))</f>
        <v/>
      </c>
      <c r="P283" s="396">
        <f>IFERROR(_xlfn.MINIFS($M:$M,$E:$E,$E283,$K:$K,$K283,$M:$M,"&gt;"&amp;$O283),"")</f>
        <v/>
      </c>
      <c r="Q283" s="396">
        <f>IF($P283="","",$P283-$O283)</f>
        <v/>
      </c>
    </row>
    <row r="284" ht="15" customHeight="1" s="231">
      <c r="A284" s="393" t="inlineStr">
        <is>
          <t>20260720</t>
        </is>
      </c>
      <c r="B284" s="393" t="inlineStr">
        <is>
          <t>LEADS GOOGLE</t>
        </is>
      </c>
      <c r="C284" s="393" t="inlineStr">
        <is>
          <t>RABAT</t>
        </is>
      </c>
      <c r="D284" s="393" t="inlineStr">
        <is>
          <t>8859413_IPSSOZA</t>
        </is>
      </c>
      <c r="E284" s="393" t="inlineStr">
        <is>
          <t>SOUOUDZA</t>
        </is>
      </c>
      <c r="F284" s="393" t="inlineStr">
        <is>
          <t>2026-07-20 14:02:03</t>
        </is>
      </c>
      <c r="G284" s="393" t="inlineStr">
        <is>
          <t>2026-07-20 15:03:02</t>
        </is>
      </c>
      <c r="H284" s="394" t="n">
        <v>3659</v>
      </c>
      <c r="I284" s="393" t="inlineStr">
        <is>
          <t>Voice</t>
        </is>
      </c>
      <c r="J284" s="393" t="inlineStr">
        <is>
          <t>OUAQERNO</t>
        </is>
      </c>
      <c r="K284" s="395">
        <f>DATE(VALUE(LEFT(A284,4)),VALUE(MID(A284,5,2)),VALUE(RIGHT(A284,2)))</f>
        <v/>
      </c>
      <c r="L284" s="395">
        <f>DATEVALUE(LEFT(F284,10))</f>
        <v/>
      </c>
      <c r="M284" s="396">
        <f>TIMEVALUE(MID(F284,12,8))</f>
        <v/>
      </c>
      <c r="N284" s="395">
        <f>DATEVALUE(LEFT(G284,10))</f>
        <v/>
      </c>
      <c r="O284" s="396">
        <f>TIMEVALUE(MID(G284,12,8))</f>
        <v/>
      </c>
      <c r="P284" s="396">
        <f>IFERROR(_xlfn.MINIFS($M:$M,$E:$E,$E284,$K:$K,$K284,$M:$M,"&gt;"&amp;$O284),"")</f>
        <v/>
      </c>
      <c r="Q284" s="396">
        <f>IF($P284="","",$P284-$O284)</f>
        <v/>
      </c>
    </row>
    <row r="285" ht="15" customHeight="1" s="231">
      <c r="A285" s="393" t="inlineStr">
        <is>
          <t>20260720</t>
        </is>
      </c>
      <c r="B285" s="393" t="inlineStr">
        <is>
          <t>LEADS GOOGLE</t>
        </is>
      </c>
      <c r="C285" s="393" t="inlineStr">
        <is>
          <t>RABAT</t>
        </is>
      </c>
      <c r="D285" s="393" t="inlineStr">
        <is>
          <t>8859413_IPSSOZA</t>
        </is>
      </c>
      <c r="E285" s="393" t="inlineStr">
        <is>
          <t>SOUOUDZA</t>
        </is>
      </c>
      <c r="F285" s="393" t="inlineStr">
        <is>
          <t>2026-07-20 15:03:31</t>
        </is>
      </c>
      <c r="G285" s="393" t="inlineStr">
        <is>
          <t>2026-07-20 18:04:32</t>
        </is>
      </c>
      <c r="H285" s="394" t="n">
        <v>10861</v>
      </c>
      <c r="I285" s="393" t="inlineStr">
        <is>
          <t>Voice</t>
        </is>
      </c>
      <c r="J285" s="393" t="inlineStr">
        <is>
          <t>OUAQERNO</t>
        </is>
      </c>
      <c r="K285" s="395">
        <f>DATE(VALUE(LEFT(A285,4)),VALUE(MID(A285,5,2)),VALUE(RIGHT(A285,2)))</f>
        <v/>
      </c>
      <c r="L285" s="395">
        <f>DATEVALUE(LEFT(F285,10))</f>
        <v/>
      </c>
      <c r="M285" s="396">
        <f>TIMEVALUE(MID(F285,12,8))</f>
        <v/>
      </c>
      <c r="N285" s="395">
        <f>DATEVALUE(LEFT(G285,10))</f>
        <v/>
      </c>
      <c r="O285" s="396">
        <f>TIMEVALUE(MID(G285,12,8))</f>
        <v/>
      </c>
      <c r="P285" s="396">
        <f>IFERROR(_xlfn.MINIFS($M:$M,$E:$E,$E285,$K:$K,$K285,$M:$M,"&gt;"&amp;$O285),"")</f>
        <v/>
      </c>
      <c r="Q285" s="396">
        <f>IF($P285="","",$P285-$O285)</f>
        <v/>
      </c>
    </row>
    <row r="286" ht="15" customHeight="1" s="231">
      <c r="A286" s="393" t="inlineStr">
        <is>
          <t>20260720</t>
        </is>
      </c>
      <c r="B286" s="393" t="inlineStr">
        <is>
          <t>LEADS GOOGLE</t>
        </is>
      </c>
      <c r="C286" s="393" t="inlineStr">
        <is>
          <t>RABAT</t>
        </is>
      </c>
      <c r="D286" s="393" t="inlineStr">
        <is>
          <t>8858827_IPSTOAB</t>
        </is>
      </c>
      <c r="E286" s="393" t="inlineStr">
        <is>
          <t>TOUREAB</t>
        </is>
      </c>
      <c r="F286" s="393" t="inlineStr">
        <is>
          <t>2026-07-20 09:57:45</t>
        </is>
      </c>
      <c r="G286" s="393" t="inlineStr">
        <is>
          <t>2026-07-20 15:00:02</t>
        </is>
      </c>
      <c r="H286" s="394" t="n">
        <v>18137</v>
      </c>
      <c r="I286" s="393" t="inlineStr">
        <is>
          <t>Voice</t>
        </is>
      </c>
      <c r="J286" s="393" t="inlineStr">
        <is>
          <t>HAOUACIK</t>
        </is>
      </c>
      <c r="K286" s="395">
        <f>DATE(VALUE(LEFT(A286,4)),VALUE(MID(A286,5,2)),VALUE(RIGHT(A286,2)))</f>
        <v/>
      </c>
      <c r="L286" s="395">
        <f>DATEVALUE(LEFT(F286,10))</f>
        <v/>
      </c>
      <c r="M286" s="396">
        <f>TIMEVALUE(MID(F286,12,8))</f>
        <v/>
      </c>
      <c r="N286" s="395">
        <f>DATEVALUE(LEFT(G286,10))</f>
        <v/>
      </c>
      <c r="O286" s="396">
        <f>TIMEVALUE(MID(G286,12,8))</f>
        <v/>
      </c>
      <c r="P286" s="396">
        <f>IFERROR(_xlfn.MINIFS($M:$M,$E:$E,$E286,$K:$K,$K286,$M:$M,"&gt;"&amp;$O286),"")</f>
        <v/>
      </c>
      <c r="Q286" s="396">
        <f>IF($P286="","",$P286-$O286)</f>
        <v/>
      </c>
    </row>
    <row r="287" ht="15" customHeight="1" s="231">
      <c r="A287" s="393" t="inlineStr">
        <is>
          <t>20260720</t>
        </is>
      </c>
      <c r="B287" s="393" t="inlineStr">
        <is>
          <t>LEADS GOOGLE</t>
        </is>
      </c>
      <c r="C287" s="393" t="inlineStr">
        <is>
          <t>RABAT</t>
        </is>
      </c>
      <c r="D287" s="393" t="inlineStr">
        <is>
          <t>8858827_IPSTOAB</t>
        </is>
      </c>
      <c r="E287" s="393" t="inlineStr">
        <is>
          <t>TOUREAB</t>
        </is>
      </c>
      <c r="F287" s="393" t="inlineStr">
        <is>
          <t>2026-07-20 16:00:14</t>
        </is>
      </c>
      <c r="G287" s="393" t="inlineStr">
        <is>
          <t>2026-07-20 20:00:11</t>
        </is>
      </c>
      <c r="H287" s="394" t="n">
        <v>14397</v>
      </c>
      <c r="I287" s="393" t="inlineStr">
        <is>
          <t>Voice</t>
        </is>
      </c>
      <c r="J287" s="393" t="inlineStr">
        <is>
          <t>HAOUACIK</t>
        </is>
      </c>
      <c r="K287" s="395">
        <f>DATE(VALUE(LEFT(A287,4)),VALUE(MID(A287,5,2)),VALUE(RIGHT(A287,2)))</f>
        <v/>
      </c>
      <c r="L287" s="395">
        <f>DATEVALUE(LEFT(F287,10))</f>
        <v/>
      </c>
      <c r="M287" s="396">
        <f>TIMEVALUE(MID(F287,12,8))</f>
        <v/>
      </c>
      <c r="N287" s="395">
        <f>DATEVALUE(LEFT(G287,10))</f>
        <v/>
      </c>
      <c r="O287" s="396">
        <f>TIMEVALUE(MID(G287,12,8))</f>
        <v/>
      </c>
      <c r="P287" s="396">
        <f>IFERROR(_xlfn.MINIFS($M:$M,$E:$E,$E287,$K:$K,$K287,$M:$M,"&gt;"&amp;$O287),"")</f>
        <v/>
      </c>
      <c r="Q287" s="396">
        <f>IF($P287="","",$P287-$O287)</f>
        <v/>
      </c>
    </row>
    <row r="288" ht="15" customHeight="1" s="231">
      <c r="A288" s="393" t="inlineStr">
        <is>
          <t>20260720</t>
        </is>
      </c>
      <c r="B288" s="393" t="inlineStr">
        <is>
          <t>LEADS GOOGLE</t>
        </is>
      </c>
      <c r="C288" s="393" t="inlineStr">
        <is>
          <t>RABAT</t>
        </is>
      </c>
      <c r="D288" s="393" t="inlineStr">
        <is>
          <t>8858445_IPSYOHT</t>
        </is>
      </c>
      <c r="E288" s="393" t="inlineStr">
        <is>
          <t>YOUSFIHY</t>
        </is>
      </c>
      <c r="F288" s="393" t="inlineStr">
        <is>
          <t>2026-07-20 09:58:21</t>
        </is>
      </c>
      <c r="G288" s="393" t="inlineStr">
        <is>
          <t>2026-07-20 14:00:08</t>
        </is>
      </c>
      <c r="H288" s="394" t="n">
        <v>14507</v>
      </c>
      <c r="I288" s="393" t="inlineStr">
        <is>
          <t>Voice</t>
        </is>
      </c>
      <c r="J288" s="393" t="inlineStr">
        <is>
          <t>RHOUDAOT</t>
        </is>
      </c>
      <c r="K288" s="395">
        <f>DATE(VALUE(LEFT(A288,4)),VALUE(MID(A288,5,2)),VALUE(RIGHT(A288,2)))</f>
        <v/>
      </c>
      <c r="L288" s="395">
        <f>DATEVALUE(LEFT(F288,10))</f>
        <v/>
      </c>
      <c r="M288" s="396">
        <f>TIMEVALUE(MID(F288,12,8))</f>
        <v/>
      </c>
      <c r="N288" s="395">
        <f>DATEVALUE(LEFT(G288,10))</f>
        <v/>
      </c>
      <c r="O288" s="396">
        <f>TIMEVALUE(MID(G288,12,8))</f>
        <v/>
      </c>
      <c r="P288" s="396">
        <f>IFERROR(_xlfn.MINIFS($M:$M,$E:$E,$E288,$K:$K,$K288,$M:$M,"&gt;"&amp;$O288),"")</f>
        <v/>
      </c>
      <c r="Q288" s="396">
        <f>IF($P288="","",$P288-$O288)</f>
        <v/>
      </c>
    </row>
    <row r="289" ht="15" customHeight="1" s="231">
      <c r="A289" s="393" t="inlineStr">
        <is>
          <t>20260720</t>
        </is>
      </c>
      <c r="B289" s="393" t="inlineStr">
        <is>
          <t>LEADS GOOGLE</t>
        </is>
      </c>
      <c r="C289" s="393" t="inlineStr">
        <is>
          <t>RABAT</t>
        </is>
      </c>
      <c r="D289" s="393" t="inlineStr">
        <is>
          <t>8858445_IPSYOHT</t>
        </is>
      </c>
      <c r="E289" s="393" t="inlineStr">
        <is>
          <t>YOUSFIHY</t>
        </is>
      </c>
      <c r="F289" s="393" t="inlineStr">
        <is>
          <t>2026-07-20 14:59:24</t>
        </is>
      </c>
      <c r="G289" s="393" t="inlineStr">
        <is>
          <t>2026-07-20 20:00:08</t>
        </is>
      </c>
      <c r="H289" s="394" t="n">
        <v>18044</v>
      </c>
      <c r="I289" s="393" t="inlineStr">
        <is>
          <t>Voice</t>
        </is>
      </c>
      <c r="J289" s="393" t="inlineStr">
        <is>
          <t>RHOUDAOT</t>
        </is>
      </c>
      <c r="K289" s="395">
        <f>DATE(VALUE(LEFT(A289,4)),VALUE(MID(A289,5,2)),VALUE(RIGHT(A289,2)))</f>
        <v/>
      </c>
      <c r="L289" s="395">
        <f>DATEVALUE(LEFT(F289,10))</f>
        <v/>
      </c>
      <c r="M289" s="396">
        <f>TIMEVALUE(MID(F289,12,8))</f>
        <v/>
      </c>
      <c r="N289" s="395">
        <f>DATEVALUE(LEFT(G289,10))</f>
        <v/>
      </c>
      <c r="O289" s="396">
        <f>TIMEVALUE(MID(G289,12,8))</f>
        <v/>
      </c>
      <c r="P289" s="396">
        <f>IFERROR(_xlfn.MINIFS($M:$M,$E:$E,$E289,$K:$K,$K289,$M:$M,"&gt;"&amp;$O289),"")</f>
        <v/>
      </c>
      <c r="Q289" s="396">
        <f>IF($P289="","",$P289-$O289)</f>
        <v/>
      </c>
    </row>
    <row r="290" ht="15" customHeight="1" s="231">
      <c r="A290" s="393" t="inlineStr">
        <is>
          <t>20260720</t>
        </is>
      </c>
      <c r="B290" s="393" t="inlineStr">
        <is>
          <t>LEADS GOOGLE</t>
        </is>
      </c>
      <c r="C290" s="393" t="inlineStr">
        <is>
          <t>RABAT</t>
        </is>
      </c>
      <c r="D290" s="393" t="inlineStr">
        <is>
          <t>8858438_IPSZOMA</t>
        </is>
      </c>
      <c r="E290" s="393" t="inlineStr">
        <is>
          <t>ZAKIOM</t>
        </is>
      </c>
      <c r="F290" s="393" t="inlineStr">
        <is>
          <t>2026-07-20 08:00:05</t>
        </is>
      </c>
      <c r="G290" s="393" t="inlineStr">
        <is>
          <t>2026-07-20 13:02:27</t>
        </is>
      </c>
      <c r="H290" s="394" t="n">
        <v>18142</v>
      </c>
      <c r="I290" s="393" t="inlineStr">
        <is>
          <t>Voice</t>
        </is>
      </c>
      <c r="J290" s="393" t="inlineStr">
        <is>
          <t>OUAQERNO</t>
        </is>
      </c>
      <c r="K290" s="395">
        <f>DATE(VALUE(LEFT(A290,4)),VALUE(MID(A290,5,2)),VALUE(RIGHT(A290,2)))</f>
        <v/>
      </c>
      <c r="L290" s="395">
        <f>DATEVALUE(LEFT(F290,10))</f>
        <v/>
      </c>
      <c r="M290" s="396">
        <f>TIMEVALUE(MID(F290,12,8))</f>
        <v/>
      </c>
      <c r="N290" s="395">
        <f>DATEVALUE(LEFT(G290,10))</f>
        <v/>
      </c>
      <c r="O290" s="396">
        <f>TIMEVALUE(MID(G290,12,8))</f>
        <v/>
      </c>
      <c r="P290" s="396">
        <f>IFERROR(_xlfn.MINIFS($M:$M,$E:$E,$E290,$K:$K,$K290,$M:$M,"&gt;"&amp;$O290),"")</f>
        <v/>
      </c>
      <c r="Q290" s="396">
        <f>IF($P290="","",$P290-$O290)</f>
        <v/>
      </c>
    </row>
    <row r="291" ht="15" customHeight="1" s="231">
      <c r="A291" s="393" t="inlineStr">
        <is>
          <t>20260720</t>
        </is>
      </c>
      <c r="B291" s="393" t="inlineStr">
        <is>
          <t>LEADS GOOGLE</t>
        </is>
      </c>
      <c r="C291" s="393" t="inlineStr">
        <is>
          <t>RABAT</t>
        </is>
      </c>
      <c r="D291" s="393" t="inlineStr">
        <is>
          <t>8858438_IPSZOMA</t>
        </is>
      </c>
      <c r="E291" s="393" t="inlineStr">
        <is>
          <t>ZAKIOM</t>
        </is>
      </c>
      <c r="F291" s="393" t="inlineStr">
        <is>
          <t>2026-07-20 14:02:03</t>
        </is>
      </c>
      <c r="G291" s="393" t="inlineStr">
        <is>
          <t>2026-07-20 17:00:02</t>
        </is>
      </c>
      <c r="H291" s="394" t="n">
        <v>10679</v>
      </c>
      <c r="I291" s="393" t="inlineStr">
        <is>
          <t>Voice</t>
        </is>
      </c>
      <c r="J291" s="393" t="inlineStr">
        <is>
          <t>OUAQERNO</t>
        </is>
      </c>
      <c r="K291" s="395">
        <f>DATE(VALUE(LEFT(A291,4)),VALUE(MID(A291,5,2)),VALUE(RIGHT(A291,2)))</f>
        <v/>
      </c>
      <c r="L291" s="395">
        <f>DATEVALUE(LEFT(F291,10))</f>
        <v/>
      </c>
      <c r="M291" s="396">
        <f>TIMEVALUE(MID(F291,12,8))</f>
        <v/>
      </c>
      <c r="N291" s="395">
        <f>DATEVALUE(LEFT(G291,10))</f>
        <v/>
      </c>
      <c r="O291" s="396">
        <f>TIMEVALUE(MID(G291,12,8))</f>
        <v/>
      </c>
      <c r="P291" s="396">
        <f>IFERROR(_xlfn.MINIFS($M:$M,$E:$E,$E291,$K:$K,$K291,$M:$M,"&gt;"&amp;$O291),"")</f>
        <v/>
      </c>
      <c r="Q291" s="396">
        <f>IF($P291="","",$P291-$O291)</f>
        <v/>
      </c>
    </row>
    <row r="292" ht="15" customHeight="1" s="231">
      <c r="A292" s="393" t="inlineStr">
        <is>
          <t>20260720</t>
        </is>
      </c>
      <c r="B292" s="393" t="inlineStr">
        <is>
          <t>LEADS GOOGLE</t>
        </is>
      </c>
      <c r="C292" s="393" t="inlineStr">
        <is>
          <t>RABAT</t>
        </is>
      </c>
      <c r="D292" s="393" t="inlineStr">
        <is>
          <t>8858354_IPSZHRN</t>
        </is>
      </c>
      <c r="E292" s="393" t="inlineStr">
        <is>
          <t>ZOHRIRA</t>
        </is>
      </c>
      <c r="F292" s="393" t="inlineStr">
        <is>
          <t>2026-07-20 09:59:43</t>
        </is>
      </c>
      <c r="G292" s="393" t="inlineStr">
        <is>
          <t>2026-07-20 13:00:15</t>
        </is>
      </c>
      <c r="H292" s="394" t="n">
        <v>10832</v>
      </c>
      <c r="I292" s="393" t="inlineStr">
        <is>
          <t>Voice</t>
        </is>
      </c>
      <c r="J292" s="393" t="inlineStr">
        <is>
          <t>RHOUDAOT</t>
        </is>
      </c>
      <c r="K292" s="395">
        <f>DATE(VALUE(LEFT(A292,4)),VALUE(MID(A292,5,2)),VALUE(RIGHT(A292,2)))</f>
        <v/>
      </c>
      <c r="L292" s="395">
        <f>DATEVALUE(LEFT(F292,10))</f>
        <v/>
      </c>
      <c r="M292" s="396">
        <f>TIMEVALUE(MID(F292,12,8))</f>
        <v/>
      </c>
      <c r="N292" s="395">
        <f>DATEVALUE(LEFT(G292,10))</f>
        <v/>
      </c>
      <c r="O292" s="396">
        <f>TIMEVALUE(MID(G292,12,8))</f>
        <v/>
      </c>
      <c r="P292" s="396">
        <f>IFERROR(_xlfn.MINIFS($M:$M,$E:$E,$E292,$K:$K,$K292,$M:$M,"&gt;"&amp;$O292),"")</f>
        <v/>
      </c>
      <c r="Q292" s="396">
        <f>IF($P292="","",$P292-$O292)</f>
        <v/>
      </c>
    </row>
    <row r="293" ht="15" customHeight="1" s="231">
      <c r="A293" s="393" t="inlineStr">
        <is>
          <t>20260720</t>
        </is>
      </c>
      <c r="B293" s="393" t="inlineStr">
        <is>
          <t>LEADS GOOGLE</t>
        </is>
      </c>
      <c r="C293" s="393" t="inlineStr">
        <is>
          <t>RABAT</t>
        </is>
      </c>
      <c r="D293" s="393" t="inlineStr">
        <is>
          <t>8858354_IPSZHRN</t>
        </is>
      </c>
      <c r="E293" s="393" t="inlineStr">
        <is>
          <t>ZOHRIRA</t>
        </is>
      </c>
      <c r="F293" s="393" t="inlineStr">
        <is>
          <t>2026-07-20 14:00:11</t>
        </is>
      </c>
      <c r="G293" s="393" t="inlineStr">
        <is>
          <t>2026-07-20 16:08:32</t>
        </is>
      </c>
      <c r="H293" s="394" t="n">
        <v>7701</v>
      </c>
      <c r="I293" s="393" t="inlineStr">
        <is>
          <t>Voice</t>
        </is>
      </c>
      <c r="J293" s="393" t="inlineStr">
        <is>
          <t>RHOUDAOT</t>
        </is>
      </c>
      <c r="K293" s="395">
        <f>DATE(VALUE(LEFT(A293,4)),VALUE(MID(A293,5,2)),VALUE(RIGHT(A293,2)))</f>
        <v/>
      </c>
      <c r="L293" s="395">
        <f>DATEVALUE(LEFT(F293,10))</f>
        <v/>
      </c>
      <c r="M293" s="396">
        <f>TIMEVALUE(MID(F293,12,8))</f>
        <v/>
      </c>
      <c r="N293" s="395">
        <f>DATEVALUE(LEFT(G293,10))</f>
        <v/>
      </c>
      <c r="O293" s="396">
        <f>TIMEVALUE(MID(G293,12,8))</f>
        <v/>
      </c>
      <c r="P293" s="396">
        <f>IFERROR(_xlfn.MINIFS($M:$M,$E:$E,$E293,$K:$K,$K293,$M:$M,"&gt;"&amp;$O293),"")</f>
        <v/>
      </c>
      <c r="Q293" s="396">
        <f>IF($P293="","",$P293-$O293)</f>
        <v/>
      </c>
    </row>
    <row r="294" ht="15" customHeight="1" s="231">
      <c r="A294" s="393" t="inlineStr">
        <is>
          <t>20260720</t>
        </is>
      </c>
      <c r="B294" s="393" t="inlineStr">
        <is>
          <t>LEADS GOOGLE</t>
        </is>
      </c>
      <c r="C294" s="393" t="inlineStr">
        <is>
          <t>RABAT</t>
        </is>
      </c>
      <c r="D294" s="393" t="inlineStr">
        <is>
          <t>8858354_IPSZHRN</t>
        </is>
      </c>
      <c r="E294" s="393" t="inlineStr">
        <is>
          <t>ZOHRIRA</t>
        </is>
      </c>
      <c r="F294" s="393" t="inlineStr">
        <is>
          <t>2026-07-20 16:36:40</t>
        </is>
      </c>
      <c r="G294" s="393" t="inlineStr">
        <is>
          <t>2026-07-20 19:05:07</t>
        </is>
      </c>
      <c r="H294" s="394" t="n">
        <v>8907</v>
      </c>
      <c r="I294" s="393" t="inlineStr">
        <is>
          <t>Voice</t>
        </is>
      </c>
      <c r="J294" s="393" t="inlineStr">
        <is>
          <t>RHOUDAOT</t>
        </is>
      </c>
      <c r="K294" s="395">
        <f>DATE(VALUE(LEFT(A294,4)),VALUE(MID(A294,5,2)),VALUE(RIGHT(A294,2)))</f>
        <v/>
      </c>
      <c r="L294" s="395">
        <f>DATEVALUE(LEFT(F294,10))</f>
        <v/>
      </c>
      <c r="M294" s="396">
        <f>TIMEVALUE(MID(F294,12,8))</f>
        <v/>
      </c>
      <c r="N294" s="395">
        <f>DATEVALUE(LEFT(G294,10))</f>
        <v/>
      </c>
      <c r="O294" s="396">
        <f>TIMEVALUE(MID(G294,12,8))</f>
        <v/>
      </c>
      <c r="P294" s="396">
        <f>IFERROR(_xlfn.MINIFS($M:$M,$E:$E,$E294,$K:$K,$K294,$M:$M,"&gt;"&amp;$O294),"")</f>
        <v/>
      </c>
      <c r="Q294" s="396">
        <f>IF($P294="","",$P294-$O294)</f>
        <v/>
      </c>
    </row>
    <row r="295" ht="15" customHeight="1" s="231">
      <c r="A295" s="393" t="inlineStr">
        <is>
          <t>20260720</t>
        </is>
      </c>
      <c r="B295" s="393" t="inlineStr">
        <is>
          <t>LEADS GOOGLE</t>
        </is>
      </c>
      <c r="C295" s="393" t="inlineStr">
        <is>
          <t>RABAT</t>
        </is>
      </c>
      <c r="D295" s="393" t="inlineStr">
        <is>
          <t>8858354_IPSZHRN</t>
        </is>
      </c>
      <c r="E295" s="393" t="inlineStr">
        <is>
          <t>ZOHRIRA</t>
        </is>
      </c>
      <c r="F295" s="393" t="inlineStr">
        <is>
          <t>2026-07-20 19:19:59</t>
        </is>
      </c>
      <c r="G295" s="393" t="inlineStr">
        <is>
          <t>2026-07-20 20:00:03</t>
        </is>
      </c>
      <c r="H295" s="394" t="n">
        <v>2404</v>
      </c>
      <c r="I295" s="393" t="inlineStr">
        <is>
          <t>Voice</t>
        </is>
      </c>
      <c r="J295" s="393" t="inlineStr">
        <is>
          <t>RHOUDAOT</t>
        </is>
      </c>
      <c r="K295" s="395">
        <f>DATE(VALUE(LEFT(A295,4)),VALUE(MID(A295,5,2)),VALUE(RIGHT(A295,2)))</f>
        <v/>
      </c>
      <c r="L295" s="395">
        <f>DATEVALUE(LEFT(F295,10))</f>
        <v/>
      </c>
      <c r="M295" s="396">
        <f>TIMEVALUE(MID(F295,12,8))</f>
        <v/>
      </c>
      <c r="N295" s="395">
        <f>DATEVALUE(LEFT(G295,10))</f>
        <v/>
      </c>
      <c r="O295" s="396">
        <f>TIMEVALUE(MID(G295,12,8))</f>
        <v/>
      </c>
      <c r="P295" s="396">
        <f>IFERROR(_xlfn.MINIFS($M:$M,$E:$E,$E295,$K:$K,$K295,$M:$M,"&gt;"&amp;$O295),"")</f>
        <v/>
      </c>
      <c r="Q295" s="396">
        <f>IF($P295="","",$P295-$O295)</f>
        <v/>
      </c>
    </row>
    <row r="296" ht="15" customHeight="1" s="231">
      <c r="A296" s="397" t="n"/>
      <c r="B296" s="397" t="n"/>
      <c r="C296" s="397" t="n"/>
      <c r="D296" s="397" t="n"/>
      <c r="E296" s="397" t="n"/>
      <c r="F296" s="397" t="n"/>
      <c r="G296" s="397" t="n"/>
      <c r="I296" s="397" t="n"/>
      <c r="J296" s="397" t="n"/>
      <c r="K296" s="395">
        <f>DATE(VALUE(LEFT(A296,4)),VALUE(MID(A296,5,2)),VALUE(RIGHT(A296,2)))</f>
        <v/>
      </c>
      <c r="L296" s="395">
        <f>DATEVALUE(LEFT(F296,10))</f>
        <v/>
      </c>
      <c r="M296" s="396">
        <f>TIMEVALUE(MID(F296,12,8))</f>
        <v/>
      </c>
      <c r="N296" s="395">
        <f>DATEVALUE(LEFT(G296,10))</f>
        <v/>
      </c>
      <c r="O296" s="396">
        <f>TIMEVALUE(MID(G296,12,8))</f>
        <v/>
      </c>
      <c r="P296" s="396">
        <f>IFERROR(_xlfn.MINIFS($M:$M,$E:$E,$E296,$K:$K,$K296,$M:$M,"&gt;"&amp;$O296),"")</f>
        <v/>
      </c>
      <c r="Q296" s="396">
        <f>IF($P296="","",$P296-$O296)</f>
        <v/>
      </c>
    </row>
    <row r="297" ht="15" customHeight="1" s="231">
      <c r="A297" s="397" t="n"/>
      <c r="B297" s="397" t="n"/>
      <c r="C297" s="397" t="n"/>
      <c r="D297" s="397" t="n"/>
      <c r="E297" s="397" t="n"/>
      <c r="F297" s="397" t="n"/>
      <c r="G297" s="397" t="n"/>
      <c r="I297" s="397" t="n"/>
      <c r="J297" s="397" t="n"/>
      <c r="K297" s="395">
        <f>DATE(VALUE(LEFT(A297,4)),VALUE(MID(A297,5,2)),VALUE(RIGHT(A297,2)))</f>
        <v/>
      </c>
      <c r="L297" s="395">
        <f>DATEVALUE(LEFT(F297,10))</f>
        <v/>
      </c>
      <c r="M297" s="396">
        <f>TIMEVALUE(MID(F297,12,8))</f>
        <v/>
      </c>
      <c r="N297" s="395">
        <f>DATEVALUE(LEFT(G297,10))</f>
        <v/>
      </c>
      <c r="O297" s="396">
        <f>TIMEVALUE(MID(G297,12,8))</f>
        <v/>
      </c>
      <c r="P297" s="396">
        <f>IFERROR(_xlfn.MINIFS($M:$M,$E:$E,$E297,$K:$K,$K297,$M:$M,"&gt;"&amp;$O297),"")</f>
        <v/>
      </c>
      <c r="Q297" s="396">
        <f>IF($P297="","",$P297-$O297)</f>
        <v/>
      </c>
    </row>
    <row r="298" ht="15" customHeight="1" s="231">
      <c r="A298" s="397" t="n"/>
      <c r="B298" s="397" t="n"/>
      <c r="C298" s="397" t="n"/>
      <c r="D298" s="397" t="n"/>
      <c r="E298" s="397" t="n"/>
      <c r="F298" s="397" t="n"/>
      <c r="G298" s="397" t="n"/>
      <c r="I298" s="397" t="n"/>
      <c r="J298" s="397" t="n"/>
      <c r="K298" s="395">
        <f>DATE(VALUE(LEFT(A298,4)),VALUE(MID(A298,5,2)),VALUE(RIGHT(A298,2)))</f>
        <v/>
      </c>
      <c r="L298" s="395">
        <f>DATEVALUE(LEFT(F298,10))</f>
        <v/>
      </c>
      <c r="M298" s="396">
        <f>TIMEVALUE(MID(F298,12,8))</f>
        <v/>
      </c>
      <c r="N298" s="395">
        <f>DATEVALUE(LEFT(G298,10))</f>
        <v/>
      </c>
      <c r="O298" s="396">
        <f>TIMEVALUE(MID(G298,12,8))</f>
        <v/>
      </c>
      <c r="P298" s="396">
        <f>IFERROR(_xlfn.MINIFS($M:$M,$E:$E,$E298,$K:$K,$K298,$M:$M,"&gt;"&amp;$O298),"")</f>
        <v/>
      </c>
      <c r="Q298" s="396">
        <f>IF($P298="","",$P298-$O298)</f>
        <v/>
      </c>
    </row>
    <row r="299" ht="15" customHeight="1" s="231">
      <c r="A299" s="397" t="n"/>
      <c r="B299" s="397" t="n"/>
      <c r="C299" s="397" t="n"/>
      <c r="D299" s="397" t="n"/>
      <c r="E299" s="397" t="n"/>
      <c r="F299" s="397" t="n"/>
      <c r="G299" s="397" t="n"/>
      <c r="I299" s="397" t="n"/>
      <c r="J299" s="397" t="n"/>
      <c r="K299" s="395">
        <f>DATE(VALUE(LEFT(A299,4)),VALUE(MID(A299,5,2)),VALUE(RIGHT(A299,2)))</f>
        <v/>
      </c>
      <c r="L299" s="395">
        <f>DATEVALUE(LEFT(F299,10))</f>
        <v/>
      </c>
      <c r="M299" s="396">
        <f>TIMEVALUE(MID(F299,12,8))</f>
        <v/>
      </c>
      <c r="N299" s="395">
        <f>DATEVALUE(LEFT(G299,10))</f>
        <v/>
      </c>
      <c r="O299" s="396">
        <f>TIMEVALUE(MID(G299,12,8))</f>
        <v/>
      </c>
      <c r="P299" s="396">
        <f>IFERROR(_xlfn.MINIFS($M:$M,$E:$E,$E299,$K:$K,$K299,$M:$M,"&gt;"&amp;$O299),"")</f>
        <v/>
      </c>
      <c r="Q299" s="396">
        <f>IF($P299="","",$P299-$O299)</f>
        <v/>
      </c>
    </row>
    <row r="300" ht="15" customHeight="1" s="231">
      <c r="A300" s="397" t="n"/>
      <c r="B300" s="397" t="n"/>
      <c r="C300" s="397" t="n"/>
      <c r="D300" s="397" t="n"/>
      <c r="E300" s="397" t="n"/>
      <c r="F300" s="397" t="n"/>
      <c r="G300" s="397" t="n"/>
      <c r="I300" s="397" t="n"/>
      <c r="J300" s="397" t="n"/>
      <c r="K300" s="395">
        <f>DATE(VALUE(LEFT(A300,4)),VALUE(MID(A300,5,2)),VALUE(RIGHT(A300,2)))</f>
        <v/>
      </c>
      <c r="L300" s="395">
        <f>DATEVALUE(LEFT(F300,10))</f>
        <v/>
      </c>
      <c r="M300" s="396">
        <f>TIMEVALUE(MID(F300,12,8))</f>
        <v/>
      </c>
      <c r="N300" s="395">
        <f>DATEVALUE(LEFT(G300,10))</f>
        <v/>
      </c>
      <c r="O300" s="396">
        <f>TIMEVALUE(MID(G300,12,8))</f>
        <v/>
      </c>
      <c r="P300" s="396">
        <f>IFERROR(_xlfn.MINIFS($M:$M,$E:$E,$E300,$K:$K,$K300,$M:$M,"&gt;"&amp;$O300),"")</f>
        <v/>
      </c>
      <c r="Q300" s="396">
        <f>IF($P300="","",$P300-$O300)</f>
        <v/>
      </c>
    </row>
    <row r="301" ht="15" customHeight="1" s="231">
      <c r="A301" s="397" t="n"/>
      <c r="B301" s="397" t="n"/>
      <c r="C301" s="397" t="n"/>
      <c r="D301" s="397" t="n"/>
      <c r="E301" s="397" t="n"/>
      <c r="F301" s="397" t="n"/>
      <c r="G301" s="397" t="n"/>
      <c r="I301" s="397" t="n"/>
      <c r="J301" s="397" t="n"/>
      <c r="K301" s="395">
        <f>DATE(VALUE(LEFT(A301,4)),VALUE(MID(A301,5,2)),VALUE(RIGHT(A301,2)))</f>
        <v/>
      </c>
      <c r="L301" s="395">
        <f>DATEVALUE(LEFT(F301,10))</f>
        <v/>
      </c>
      <c r="M301" s="396">
        <f>TIMEVALUE(MID(F301,12,8))</f>
        <v/>
      </c>
      <c r="N301" s="395">
        <f>DATEVALUE(LEFT(G301,10))</f>
        <v/>
      </c>
      <c r="O301" s="396">
        <f>TIMEVALUE(MID(G301,12,8))</f>
        <v/>
      </c>
      <c r="P301" s="396">
        <f>IFERROR(_xlfn.MINIFS($M:$M,$E:$E,$E301,$K:$K,$K301,$M:$M,"&gt;"&amp;$O301),"")</f>
        <v/>
      </c>
      <c r="Q301" s="396">
        <f>IF($P301="","",$P301-$O301)</f>
        <v/>
      </c>
    </row>
    <row r="302" ht="15" customHeight="1" s="231">
      <c r="A302" s="397" t="n"/>
      <c r="B302" s="397" t="n"/>
      <c r="C302" s="397" t="n"/>
      <c r="D302" s="397" t="n"/>
      <c r="E302" s="397" t="n"/>
      <c r="F302" s="397" t="n"/>
      <c r="G302" s="397" t="n"/>
      <c r="I302" s="397" t="n"/>
      <c r="J302" s="397" t="n"/>
      <c r="K302" s="395">
        <f>DATE(VALUE(LEFT(A302,4)),VALUE(MID(A302,5,2)),VALUE(RIGHT(A302,2)))</f>
        <v/>
      </c>
      <c r="L302" s="395">
        <f>DATEVALUE(LEFT(F302,10))</f>
        <v/>
      </c>
      <c r="M302" s="396">
        <f>TIMEVALUE(MID(F302,12,8))</f>
        <v/>
      </c>
      <c r="N302" s="395">
        <f>DATEVALUE(LEFT(G302,10))</f>
        <v/>
      </c>
      <c r="O302" s="396">
        <f>TIMEVALUE(MID(G302,12,8))</f>
        <v/>
      </c>
      <c r="P302" s="396">
        <f>IFERROR(_xlfn.MINIFS($M:$M,$E:$E,$E302,$K:$K,$K302,$M:$M,"&gt;"&amp;$O302),"")</f>
        <v/>
      </c>
      <c r="Q302" s="396">
        <f>IF($P302="","",$P302-$O302)</f>
        <v/>
      </c>
    </row>
    <row r="303" ht="15" customHeight="1" s="231">
      <c r="A303" s="397" t="n"/>
      <c r="B303" s="397" t="n"/>
      <c r="C303" s="397" t="n"/>
      <c r="D303" s="397" t="n"/>
      <c r="E303" s="397" t="n"/>
      <c r="F303" s="397" t="n"/>
      <c r="G303" s="397" t="n"/>
      <c r="I303" s="397" t="n"/>
      <c r="J303" s="397" t="n"/>
      <c r="K303" s="395">
        <f>DATE(VALUE(LEFT(A303,4)),VALUE(MID(A303,5,2)),VALUE(RIGHT(A303,2)))</f>
        <v/>
      </c>
      <c r="L303" s="395">
        <f>DATEVALUE(LEFT(F303,10))</f>
        <v/>
      </c>
      <c r="M303" s="396">
        <f>TIMEVALUE(MID(F303,12,8))</f>
        <v/>
      </c>
      <c r="N303" s="395">
        <f>DATEVALUE(LEFT(G303,10))</f>
        <v/>
      </c>
      <c r="O303" s="396">
        <f>TIMEVALUE(MID(G303,12,8))</f>
        <v/>
      </c>
      <c r="P303" s="396">
        <f>IFERROR(_xlfn.MINIFS($M:$M,$E:$E,$E303,$K:$K,$K303,$M:$M,"&gt;"&amp;$O303),"")</f>
        <v/>
      </c>
      <c r="Q303" s="396">
        <f>IF($P303="","",$P303-$O303)</f>
        <v/>
      </c>
    </row>
    <row r="304" ht="15" customHeight="1" s="231">
      <c r="A304" s="397" t="n"/>
      <c r="B304" s="397" t="n"/>
      <c r="C304" s="397" t="n"/>
      <c r="D304" s="397" t="n"/>
      <c r="E304" s="397" t="n"/>
      <c r="F304" s="397" t="n"/>
      <c r="G304" s="397" t="n"/>
      <c r="I304" s="397" t="n"/>
      <c r="J304" s="397" t="n"/>
      <c r="K304" s="395">
        <f>DATE(VALUE(LEFT(A304,4)),VALUE(MID(A304,5,2)),VALUE(RIGHT(A304,2)))</f>
        <v/>
      </c>
      <c r="L304" s="395">
        <f>DATEVALUE(LEFT(F304,10))</f>
        <v/>
      </c>
      <c r="M304" s="396">
        <f>TIMEVALUE(MID(F304,12,8))</f>
        <v/>
      </c>
      <c r="N304" s="395">
        <f>DATEVALUE(LEFT(G304,10))</f>
        <v/>
      </c>
      <c r="O304" s="396">
        <f>TIMEVALUE(MID(G304,12,8))</f>
        <v/>
      </c>
      <c r="P304" s="396">
        <f>IFERROR(_xlfn.MINIFS($M:$M,$E:$E,$E304,$K:$K,$K304,$M:$M,"&gt;"&amp;$O304),"")</f>
        <v/>
      </c>
      <c r="Q304" s="396">
        <f>IF($P304="","",$P304-$O304)</f>
        <v/>
      </c>
    </row>
    <row r="305" ht="15" customHeight="1" s="231">
      <c r="A305" s="397" t="n"/>
      <c r="B305" s="397" t="n"/>
      <c r="C305" s="397" t="n"/>
      <c r="D305" s="397" t="n"/>
      <c r="E305" s="397" t="n"/>
      <c r="F305" s="397" t="n"/>
      <c r="G305" s="397" t="n"/>
      <c r="I305" s="397" t="n"/>
      <c r="J305" s="397" t="n"/>
      <c r="K305" s="395">
        <f>DATE(VALUE(LEFT(A305,4)),VALUE(MID(A305,5,2)),VALUE(RIGHT(A305,2)))</f>
        <v/>
      </c>
      <c r="L305" s="395">
        <f>DATEVALUE(LEFT(F305,10))</f>
        <v/>
      </c>
      <c r="M305" s="396">
        <f>TIMEVALUE(MID(F305,12,8))</f>
        <v/>
      </c>
      <c r="N305" s="395">
        <f>DATEVALUE(LEFT(G305,10))</f>
        <v/>
      </c>
      <c r="O305" s="396">
        <f>TIMEVALUE(MID(G305,12,8))</f>
        <v/>
      </c>
      <c r="P305" s="396">
        <f>IFERROR(_xlfn.MINIFS($M:$M,$E:$E,$E305,$K:$K,$K305,$M:$M,"&gt;"&amp;$O305),"")</f>
        <v/>
      </c>
      <c r="Q305" s="396">
        <f>IF($P305="","",$P305-$O305)</f>
        <v/>
      </c>
    </row>
    <row r="306" ht="15" customHeight="1" s="231">
      <c r="A306" s="397" t="n"/>
      <c r="B306" s="397" t="n"/>
      <c r="C306" s="397" t="n"/>
      <c r="D306" s="397" t="n"/>
      <c r="E306" s="397" t="n"/>
      <c r="F306" s="397" t="n"/>
      <c r="G306" s="397" t="n"/>
      <c r="I306" s="397" t="n"/>
      <c r="J306" s="397" t="n"/>
      <c r="K306" s="395">
        <f>DATE(VALUE(LEFT(A306,4)),VALUE(MID(A306,5,2)),VALUE(RIGHT(A306,2)))</f>
        <v/>
      </c>
      <c r="L306" s="395">
        <f>DATEVALUE(LEFT(F306,10))</f>
        <v/>
      </c>
      <c r="M306" s="396">
        <f>TIMEVALUE(MID(F306,12,8))</f>
        <v/>
      </c>
      <c r="N306" s="395">
        <f>DATEVALUE(LEFT(G306,10))</f>
        <v/>
      </c>
      <c r="O306" s="396">
        <f>TIMEVALUE(MID(G306,12,8))</f>
        <v/>
      </c>
      <c r="P306" s="396">
        <f>IFERROR(_xlfn.MINIFS($M:$M,$E:$E,$E306,$K:$K,$K306,$M:$M,"&gt;"&amp;$O306),"")</f>
        <v/>
      </c>
      <c r="Q306" s="396">
        <f>IF($P306="","",$P306-$O306)</f>
        <v/>
      </c>
    </row>
    <row r="307" ht="15" customHeight="1" s="231">
      <c r="A307" s="397" t="n"/>
      <c r="B307" s="397" t="n"/>
      <c r="C307" s="397" t="n"/>
      <c r="D307" s="397" t="n"/>
      <c r="E307" s="397" t="n"/>
      <c r="F307" s="397" t="n"/>
      <c r="G307" s="397" t="n"/>
      <c r="I307" s="397" t="n"/>
      <c r="J307" s="397" t="n"/>
      <c r="K307" s="395">
        <f>DATE(VALUE(LEFT(A307,4)),VALUE(MID(A307,5,2)),VALUE(RIGHT(A307,2)))</f>
        <v/>
      </c>
      <c r="L307" s="395">
        <f>DATEVALUE(LEFT(F307,10))</f>
        <v/>
      </c>
      <c r="M307" s="396">
        <f>TIMEVALUE(MID(F307,12,8))</f>
        <v/>
      </c>
      <c r="N307" s="395">
        <f>DATEVALUE(LEFT(G307,10))</f>
        <v/>
      </c>
      <c r="O307" s="396">
        <f>TIMEVALUE(MID(G307,12,8))</f>
        <v/>
      </c>
      <c r="P307" s="396">
        <f>IFERROR(_xlfn.MINIFS($M:$M,$E:$E,$E307,$K:$K,$K307,$M:$M,"&gt;"&amp;$O307),"")</f>
        <v/>
      </c>
      <c r="Q307" s="396">
        <f>IF($P307="","",$P307-$O307)</f>
        <v/>
      </c>
    </row>
    <row r="308" ht="15" customHeight="1" s="231">
      <c r="A308" s="397" t="n"/>
      <c r="B308" s="397" t="n"/>
      <c r="C308" s="397" t="n"/>
      <c r="D308" s="397" t="n"/>
      <c r="E308" s="397" t="n"/>
      <c r="F308" s="397" t="n"/>
      <c r="G308" s="397" t="n"/>
      <c r="I308" s="397" t="n"/>
      <c r="J308" s="397" t="n"/>
      <c r="K308" s="395">
        <f>DATE(VALUE(LEFT(A308,4)),VALUE(MID(A308,5,2)),VALUE(RIGHT(A308,2)))</f>
        <v/>
      </c>
      <c r="L308" s="395">
        <f>DATEVALUE(LEFT(F308,10))</f>
        <v/>
      </c>
      <c r="M308" s="396">
        <f>TIMEVALUE(MID(F308,12,8))</f>
        <v/>
      </c>
      <c r="N308" s="395">
        <f>DATEVALUE(LEFT(G308,10))</f>
        <v/>
      </c>
      <c r="O308" s="396">
        <f>TIMEVALUE(MID(G308,12,8))</f>
        <v/>
      </c>
      <c r="P308" s="396">
        <f>IFERROR(_xlfn.MINIFS($M:$M,$E:$E,$E308,$K:$K,$K308,$M:$M,"&gt;"&amp;$O308),"")</f>
        <v/>
      </c>
      <c r="Q308" s="396">
        <f>IF($P308="","",$P308-$O308)</f>
        <v/>
      </c>
    </row>
    <row r="309" ht="15" customHeight="1" s="231">
      <c r="A309" s="397" t="n"/>
      <c r="B309" s="397" t="n"/>
      <c r="C309" s="397" t="n"/>
      <c r="D309" s="397" t="n"/>
      <c r="E309" s="397" t="n"/>
      <c r="F309" s="397" t="n"/>
      <c r="G309" s="397" t="n"/>
      <c r="I309" s="397" t="n"/>
      <c r="J309" s="397" t="n"/>
      <c r="K309" s="395">
        <f>DATE(VALUE(LEFT(A309,4)),VALUE(MID(A309,5,2)),VALUE(RIGHT(A309,2)))</f>
        <v/>
      </c>
      <c r="L309" s="395">
        <f>DATEVALUE(LEFT(F309,10))</f>
        <v/>
      </c>
      <c r="M309" s="396">
        <f>TIMEVALUE(MID(F309,12,8))</f>
        <v/>
      </c>
      <c r="N309" s="395">
        <f>DATEVALUE(LEFT(G309,10))</f>
        <v/>
      </c>
      <c r="O309" s="396">
        <f>TIMEVALUE(MID(G309,12,8))</f>
        <v/>
      </c>
      <c r="P309" s="396">
        <f>IFERROR(_xlfn.MINIFS($M:$M,$E:$E,$E309,$K:$K,$K309,$M:$M,"&gt;"&amp;$O309),"")</f>
        <v/>
      </c>
      <c r="Q309" s="396">
        <f>IF($P309="","",$P309-$O309)</f>
        <v/>
      </c>
    </row>
    <row r="310" ht="15" customHeight="1" s="231">
      <c r="A310" s="397" t="n"/>
      <c r="B310" s="397" t="n"/>
      <c r="C310" s="397" t="n"/>
      <c r="D310" s="397" t="n"/>
      <c r="E310" s="397" t="n"/>
      <c r="F310" s="397" t="n"/>
      <c r="G310" s="397" t="n"/>
      <c r="I310" s="397" t="n"/>
      <c r="J310" s="397" t="n"/>
      <c r="K310" s="395">
        <f>DATE(VALUE(LEFT(A310,4)),VALUE(MID(A310,5,2)),VALUE(RIGHT(A310,2)))</f>
        <v/>
      </c>
      <c r="L310" s="395">
        <f>DATEVALUE(LEFT(F310,10))</f>
        <v/>
      </c>
      <c r="M310" s="396">
        <f>TIMEVALUE(MID(F310,12,8))</f>
        <v/>
      </c>
      <c r="N310" s="395">
        <f>DATEVALUE(LEFT(G310,10))</f>
        <v/>
      </c>
      <c r="O310" s="396">
        <f>TIMEVALUE(MID(G310,12,8))</f>
        <v/>
      </c>
      <c r="P310" s="396">
        <f>IFERROR(_xlfn.MINIFS($M:$M,$E:$E,$E310,$K:$K,$K310,$M:$M,"&gt;"&amp;$O310),"")</f>
        <v/>
      </c>
      <c r="Q310" s="396">
        <f>IF($P310="","",$P310-$O310)</f>
        <v/>
      </c>
    </row>
    <row r="311" ht="15" customHeight="1" s="231">
      <c r="A311" s="397" t="n"/>
      <c r="B311" s="397" t="n"/>
      <c r="C311" s="397" t="n"/>
      <c r="D311" s="397" t="n"/>
      <c r="E311" s="397" t="n"/>
      <c r="F311" s="397" t="n"/>
      <c r="G311" s="397" t="n"/>
      <c r="I311" s="397" t="n"/>
      <c r="J311" s="397" t="n"/>
      <c r="K311" s="395">
        <f>DATE(VALUE(LEFT(A311,4)),VALUE(MID(A311,5,2)),VALUE(RIGHT(A311,2)))</f>
        <v/>
      </c>
      <c r="L311" s="395">
        <f>DATEVALUE(LEFT(F311,10))</f>
        <v/>
      </c>
      <c r="M311" s="396">
        <f>TIMEVALUE(MID(F311,12,8))</f>
        <v/>
      </c>
      <c r="N311" s="395">
        <f>DATEVALUE(LEFT(G311,10))</f>
        <v/>
      </c>
      <c r="O311" s="396">
        <f>TIMEVALUE(MID(G311,12,8))</f>
        <v/>
      </c>
      <c r="P311" s="396">
        <f>IFERROR(_xlfn.MINIFS($M:$M,$E:$E,$E311,$K:$K,$K311,$M:$M,"&gt;"&amp;$O311),"")</f>
        <v/>
      </c>
      <c r="Q311" s="396">
        <f>IF($P311="","",$P311-$O311)</f>
        <v/>
      </c>
    </row>
    <row r="312" ht="15" customHeight="1" s="231">
      <c r="A312" s="397" t="n"/>
      <c r="B312" s="397" t="n"/>
      <c r="C312" s="397" t="n"/>
      <c r="D312" s="397" t="n"/>
      <c r="E312" s="397" t="n"/>
      <c r="F312" s="397" t="n"/>
      <c r="G312" s="397" t="n"/>
      <c r="I312" s="397" t="n"/>
      <c r="J312" s="397" t="n"/>
      <c r="K312" s="395">
        <f>DATE(VALUE(LEFT(A312,4)),VALUE(MID(A312,5,2)),VALUE(RIGHT(A312,2)))</f>
        <v/>
      </c>
      <c r="L312" s="395">
        <f>DATEVALUE(LEFT(F312,10))</f>
        <v/>
      </c>
      <c r="M312" s="396">
        <f>TIMEVALUE(MID(F312,12,8))</f>
        <v/>
      </c>
      <c r="N312" s="395">
        <f>DATEVALUE(LEFT(G312,10))</f>
        <v/>
      </c>
      <c r="O312" s="396">
        <f>TIMEVALUE(MID(G312,12,8))</f>
        <v/>
      </c>
      <c r="P312" s="396">
        <f>IFERROR(_xlfn.MINIFS($M:$M,$E:$E,$E312,$K:$K,$K312,$M:$M,"&gt;"&amp;$O312),"")</f>
        <v/>
      </c>
      <c r="Q312" s="396">
        <f>IF($P312="","",$P312-$O312)</f>
        <v/>
      </c>
    </row>
    <row r="313" ht="15" customHeight="1" s="231">
      <c r="A313" s="397" t="n"/>
      <c r="B313" s="397" t="n"/>
      <c r="C313" s="397" t="n"/>
      <c r="D313" s="397" t="n"/>
      <c r="E313" s="397" t="n"/>
      <c r="F313" s="397" t="n"/>
      <c r="G313" s="397" t="n"/>
      <c r="I313" s="397" t="n"/>
      <c r="J313" s="397" t="n"/>
      <c r="K313" s="395">
        <f>DATE(VALUE(LEFT(A313,4)),VALUE(MID(A313,5,2)),VALUE(RIGHT(A313,2)))</f>
        <v/>
      </c>
      <c r="L313" s="395">
        <f>DATEVALUE(LEFT(F313,10))</f>
        <v/>
      </c>
      <c r="M313" s="396">
        <f>TIMEVALUE(MID(F313,12,8))</f>
        <v/>
      </c>
      <c r="N313" s="395">
        <f>DATEVALUE(LEFT(G313,10))</f>
        <v/>
      </c>
      <c r="O313" s="396">
        <f>TIMEVALUE(MID(G313,12,8))</f>
        <v/>
      </c>
      <c r="P313" s="396">
        <f>IFERROR(_xlfn.MINIFS($M:$M,$E:$E,$E313,$K:$K,$K313,$M:$M,"&gt;"&amp;$O313),"")</f>
        <v/>
      </c>
      <c r="Q313" s="396">
        <f>IF($P313="","",$P313-$O313)</f>
        <v/>
      </c>
    </row>
    <row r="314" ht="15" customHeight="1" s="231">
      <c r="A314" s="397" t="n"/>
      <c r="B314" s="397" t="n"/>
      <c r="C314" s="397" t="n"/>
      <c r="D314" s="397" t="n"/>
      <c r="E314" s="397" t="n"/>
      <c r="F314" s="397" t="n"/>
      <c r="G314" s="397" t="n"/>
      <c r="I314" s="397" t="n"/>
      <c r="J314" s="397" t="n"/>
      <c r="K314" s="395">
        <f>DATE(VALUE(LEFT(A314,4)),VALUE(MID(A314,5,2)),VALUE(RIGHT(A314,2)))</f>
        <v/>
      </c>
      <c r="L314" s="395">
        <f>DATEVALUE(LEFT(F314,10))</f>
        <v/>
      </c>
      <c r="M314" s="396">
        <f>TIMEVALUE(MID(F314,12,8))</f>
        <v/>
      </c>
      <c r="N314" s="395">
        <f>DATEVALUE(LEFT(G314,10))</f>
        <v/>
      </c>
      <c r="O314" s="396">
        <f>TIMEVALUE(MID(G314,12,8))</f>
        <v/>
      </c>
      <c r="P314" s="396">
        <f>IFERROR(_xlfn.MINIFS($M:$M,$E:$E,$E314,$K:$K,$K314,$M:$M,"&gt;"&amp;$O314),"")</f>
        <v/>
      </c>
      <c r="Q314" s="396">
        <f>IF($P314="","",$P314-$O314)</f>
        <v/>
      </c>
    </row>
    <row r="315" ht="15" customHeight="1" s="231">
      <c r="A315" s="397" t="n"/>
      <c r="B315" s="397" t="n"/>
      <c r="C315" s="397" t="n"/>
      <c r="D315" s="397" t="n"/>
      <c r="E315" s="397" t="n"/>
      <c r="F315" s="397" t="n"/>
      <c r="G315" s="397" t="n"/>
      <c r="I315" s="397" t="n"/>
      <c r="J315" s="397" t="n"/>
      <c r="K315" s="395">
        <f>DATE(VALUE(LEFT(A315,4)),VALUE(MID(A315,5,2)),VALUE(RIGHT(A315,2)))</f>
        <v/>
      </c>
      <c r="L315" s="395">
        <f>DATEVALUE(LEFT(F315,10))</f>
        <v/>
      </c>
      <c r="M315" s="396">
        <f>TIMEVALUE(MID(F315,12,8))</f>
        <v/>
      </c>
      <c r="N315" s="395">
        <f>DATEVALUE(LEFT(G315,10))</f>
        <v/>
      </c>
      <c r="O315" s="396">
        <f>TIMEVALUE(MID(G315,12,8))</f>
        <v/>
      </c>
      <c r="P315" s="396">
        <f>IFERROR(_xlfn.MINIFS($M:$M,$E:$E,$E315,$K:$K,$K315,$M:$M,"&gt;"&amp;$O315),"")</f>
        <v/>
      </c>
      <c r="Q315" s="396">
        <f>IF($P315="","",$P315-$O315)</f>
        <v/>
      </c>
    </row>
    <row r="316" ht="15" customHeight="1" s="231">
      <c r="A316" s="397" t="n"/>
      <c r="B316" s="397" t="n"/>
      <c r="C316" s="397" t="n"/>
      <c r="D316" s="397" t="n"/>
      <c r="E316" s="397" t="n"/>
      <c r="F316" s="397" t="n"/>
      <c r="G316" s="397" t="n"/>
      <c r="I316" s="397" t="n"/>
      <c r="J316" s="397" t="n"/>
      <c r="K316" s="395">
        <f>DATE(VALUE(LEFT(A316,4)),VALUE(MID(A316,5,2)),VALUE(RIGHT(A316,2)))</f>
        <v/>
      </c>
      <c r="L316" s="395">
        <f>DATEVALUE(LEFT(F316,10))</f>
        <v/>
      </c>
      <c r="M316" s="396">
        <f>TIMEVALUE(MID(F316,12,8))</f>
        <v/>
      </c>
      <c r="N316" s="395">
        <f>DATEVALUE(LEFT(G316,10))</f>
        <v/>
      </c>
      <c r="O316" s="396">
        <f>TIMEVALUE(MID(G316,12,8))</f>
        <v/>
      </c>
      <c r="P316" s="396">
        <f>IFERROR(_xlfn.MINIFS($M:$M,$E:$E,$E316,$K:$K,$K316,$M:$M,"&gt;"&amp;$O316),"")</f>
        <v/>
      </c>
      <c r="Q316" s="396">
        <f>IF($P316="","",$P316-$O316)</f>
        <v/>
      </c>
    </row>
    <row r="317" ht="15" customHeight="1" s="231">
      <c r="A317" s="397" t="n"/>
      <c r="B317" s="397" t="n"/>
      <c r="C317" s="397" t="n"/>
      <c r="D317" s="397" t="n"/>
      <c r="E317" s="397" t="n"/>
      <c r="F317" s="397" t="n"/>
      <c r="G317" s="397" t="n"/>
      <c r="I317" s="397" t="n"/>
      <c r="J317" s="397" t="n"/>
      <c r="K317" s="395">
        <f>DATE(VALUE(LEFT(A317,4)),VALUE(MID(A317,5,2)),VALUE(RIGHT(A317,2)))</f>
        <v/>
      </c>
      <c r="L317" s="395">
        <f>DATEVALUE(LEFT(F317,10))</f>
        <v/>
      </c>
      <c r="M317" s="396">
        <f>TIMEVALUE(MID(F317,12,8))</f>
        <v/>
      </c>
      <c r="N317" s="395">
        <f>DATEVALUE(LEFT(G317,10))</f>
        <v/>
      </c>
      <c r="O317" s="396">
        <f>TIMEVALUE(MID(G317,12,8))</f>
        <v/>
      </c>
      <c r="P317" s="396">
        <f>IFERROR(_xlfn.MINIFS($M:$M,$E:$E,$E317,$K:$K,$K317,$M:$M,"&gt;"&amp;$O317),"")</f>
        <v/>
      </c>
      <c r="Q317" s="396">
        <f>IF($P317="","",$P317-$O317)</f>
        <v/>
      </c>
    </row>
    <row r="318" ht="15" customHeight="1" s="231">
      <c r="A318" s="397" t="n"/>
      <c r="B318" s="397" t="n"/>
      <c r="C318" s="397" t="n"/>
      <c r="D318" s="397" t="n"/>
      <c r="E318" s="397" t="n"/>
      <c r="F318" s="397" t="n"/>
      <c r="G318" s="397" t="n"/>
      <c r="I318" s="397" t="n"/>
      <c r="J318" s="397" t="n"/>
      <c r="K318" s="395">
        <f>DATE(VALUE(LEFT(A318,4)),VALUE(MID(A318,5,2)),VALUE(RIGHT(A318,2)))</f>
        <v/>
      </c>
      <c r="L318" s="395">
        <f>DATEVALUE(LEFT(F318,10))</f>
        <v/>
      </c>
      <c r="M318" s="396">
        <f>TIMEVALUE(MID(F318,12,8))</f>
        <v/>
      </c>
      <c r="N318" s="395">
        <f>DATEVALUE(LEFT(G318,10))</f>
        <v/>
      </c>
      <c r="O318" s="396">
        <f>TIMEVALUE(MID(G318,12,8))</f>
        <v/>
      </c>
      <c r="P318" s="396">
        <f>IFERROR(_xlfn.MINIFS($M:$M,$E:$E,$E318,$K:$K,$K318,$M:$M,"&gt;"&amp;$O318),"")</f>
        <v/>
      </c>
      <c r="Q318" s="396">
        <f>IF($P318="","",$P318-$O318)</f>
        <v/>
      </c>
    </row>
    <row r="319" ht="15" customHeight="1" s="231">
      <c r="A319" s="397" t="n"/>
      <c r="B319" s="397" t="n"/>
      <c r="C319" s="397" t="n"/>
      <c r="D319" s="397" t="n"/>
      <c r="E319" s="397" t="n"/>
      <c r="F319" s="397" t="n"/>
      <c r="G319" s="397" t="n"/>
      <c r="I319" s="397" t="n"/>
      <c r="J319" s="397" t="n"/>
      <c r="K319" s="395">
        <f>DATE(VALUE(LEFT(A319,4)),VALUE(MID(A319,5,2)),VALUE(RIGHT(A319,2)))</f>
        <v/>
      </c>
      <c r="L319" s="395">
        <f>DATEVALUE(LEFT(F319,10))</f>
        <v/>
      </c>
      <c r="M319" s="396">
        <f>TIMEVALUE(MID(F319,12,8))</f>
        <v/>
      </c>
      <c r="N319" s="395">
        <f>DATEVALUE(LEFT(G319,10))</f>
        <v/>
      </c>
      <c r="O319" s="396">
        <f>TIMEVALUE(MID(G319,12,8))</f>
        <v/>
      </c>
      <c r="P319" s="396">
        <f>IFERROR(_xlfn.MINIFS($M:$M,$E:$E,$E319,$K:$K,$K319,$M:$M,"&gt;"&amp;$O319),"")</f>
        <v/>
      </c>
      <c r="Q319" s="396">
        <f>IF($P319="","",$P319-$O319)</f>
        <v/>
      </c>
    </row>
    <row r="320" ht="15" customHeight="1" s="231">
      <c r="A320" s="397" t="n"/>
      <c r="B320" s="397" t="n"/>
      <c r="C320" s="397" t="n"/>
      <c r="D320" s="397" t="n"/>
      <c r="E320" s="397" t="n"/>
      <c r="F320" s="397" t="n"/>
      <c r="G320" s="397" t="n"/>
      <c r="I320" s="397" t="n"/>
      <c r="J320" s="397" t="n"/>
      <c r="K320" s="395">
        <f>DATE(VALUE(LEFT(A320,4)),VALUE(MID(A320,5,2)),VALUE(RIGHT(A320,2)))</f>
        <v/>
      </c>
      <c r="L320" s="395">
        <f>DATEVALUE(LEFT(F320,10))</f>
        <v/>
      </c>
      <c r="M320" s="396">
        <f>TIMEVALUE(MID(F320,12,8))</f>
        <v/>
      </c>
      <c r="N320" s="395">
        <f>DATEVALUE(LEFT(G320,10))</f>
        <v/>
      </c>
      <c r="O320" s="396">
        <f>TIMEVALUE(MID(G320,12,8))</f>
        <v/>
      </c>
      <c r="P320" s="396">
        <f>IFERROR(_xlfn.MINIFS($M:$M,$E:$E,$E320,$K:$K,$K320,$M:$M,"&gt;"&amp;$O320),"")</f>
        <v/>
      </c>
      <c r="Q320" s="396">
        <f>IF($P320="","",$P320-$O320)</f>
        <v/>
      </c>
    </row>
    <row r="321" ht="15" customHeight="1" s="231">
      <c r="A321" s="397" t="n"/>
      <c r="B321" s="397" t="n"/>
      <c r="C321" s="397" t="n"/>
      <c r="D321" s="397" t="n"/>
      <c r="E321" s="397" t="n"/>
      <c r="F321" s="397" t="n"/>
      <c r="G321" s="397" t="n"/>
      <c r="I321" s="397" t="n"/>
      <c r="J321" s="397" t="n"/>
      <c r="K321" s="395">
        <f>DATE(VALUE(LEFT(A321,4)),VALUE(MID(A321,5,2)),VALUE(RIGHT(A321,2)))</f>
        <v/>
      </c>
      <c r="L321" s="395">
        <f>DATEVALUE(LEFT(F321,10))</f>
        <v/>
      </c>
      <c r="M321" s="396">
        <f>TIMEVALUE(MID(F321,12,8))</f>
        <v/>
      </c>
      <c r="N321" s="395">
        <f>DATEVALUE(LEFT(G321,10))</f>
        <v/>
      </c>
      <c r="O321" s="396">
        <f>TIMEVALUE(MID(G321,12,8))</f>
        <v/>
      </c>
      <c r="P321" s="396">
        <f>IFERROR(_xlfn.MINIFS($M:$M,$E:$E,$E321,$K:$K,$K321,$M:$M,"&gt;"&amp;$O321),"")</f>
        <v/>
      </c>
      <c r="Q321" s="396">
        <f>IF($P321="","",$P321-$O321)</f>
        <v/>
      </c>
    </row>
    <row r="322" ht="15" customHeight="1" s="231">
      <c r="A322" s="397" t="n"/>
      <c r="B322" s="397" t="n"/>
      <c r="C322" s="397" t="n"/>
      <c r="D322" s="397" t="n"/>
      <c r="E322" s="397" t="n"/>
      <c r="F322" s="397" t="n"/>
      <c r="G322" s="397" t="n"/>
      <c r="I322" s="397" t="n"/>
      <c r="J322" s="397" t="n"/>
      <c r="K322" s="395">
        <f>DATE(VALUE(LEFT(A322,4)),VALUE(MID(A322,5,2)),VALUE(RIGHT(A322,2)))</f>
        <v/>
      </c>
      <c r="L322" s="395">
        <f>DATEVALUE(LEFT(F322,10))</f>
        <v/>
      </c>
      <c r="M322" s="396">
        <f>TIMEVALUE(MID(F322,12,8))</f>
        <v/>
      </c>
      <c r="N322" s="395">
        <f>DATEVALUE(LEFT(G322,10))</f>
        <v/>
      </c>
      <c r="O322" s="396">
        <f>TIMEVALUE(MID(G322,12,8))</f>
        <v/>
      </c>
      <c r="P322" s="396">
        <f>IFERROR(_xlfn.MINIFS($M:$M,$E:$E,$E322,$K:$K,$K322,$M:$M,"&gt;"&amp;$O322),"")</f>
        <v/>
      </c>
      <c r="Q322" s="396">
        <f>IF($P322="","",$P322-$O322)</f>
        <v/>
      </c>
    </row>
    <row r="323" ht="15" customHeight="1" s="231">
      <c r="A323" s="397" t="n"/>
      <c r="B323" s="397" t="n"/>
      <c r="C323" s="397" t="n"/>
      <c r="D323" s="397" t="n"/>
      <c r="E323" s="397" t="n"/>
      <c r="F323" s="397" t="n"/>
      <c r="G323" s="397" t="n"/>
      <c r="I323" s="397" t="n"/>
      <c r="J323" s="397" t="n"/>
      <c r="K323" s="395">
        <f>DATE(VALUE(LEFT(A323,4)),VALUE(MID(A323,5,2)),VALUE(RIGHT(A323,2)))</f>
        <v/>
      </c>
      <c r="L323" s="395">
        <f>DATEVALUE(LEFT(F323,10))</f>
        <v/>
      </c>
      <c r="M323" s="396">
        <f>TIMEVALUE(MID(F323,12,8))</f>
        <v/>
      </c>
      <c r="N323" s="395">
        <f>DATEVALUE(LEFT(G323,10))</f>
        <v/>
      </c>
      <c r="O323" s="396">
        <f>TIMEVALUE(MID(G323,12,8))</f>
        <v/>
      </c>
      <c r="P323" s="396">
        <f>IFERROR(_xlfn.MINIFS($M:$M,$E:$E,$E323,$K:$K,$K323,$M:$M,"&gt;"&amp;$O323),"")</f>
        <v/>
      </c>
      <c r="Q323" s="396">
        <f>IF($P323="","",$P323-$O323)</f>
        <v/>
      </c>
    </row>
    <row r="324" ht="15" customHeight="1" s="231">
      <c r="A324" s="397" t="n"/>
      <c r="B324" s="397" t="n"/>
      <c r="C324" s="397" t="n"/>
      <c r="D324" s="397" t="n"/>
      <c r="E324" s="397" t="n"/>
      <c r="F324" s="397" t="n"/>
      <c r="G324" s="397" t="n"/>
      <c r="I324" s="397" t="n"/>
      <c r="J324" s="397" t="n"/>
      <c r="K324" s="395">
        <f>DATE(VALUE(LEFT(A324,4)),VALUE(MID(A324,5,2)),VALUE(RIGHT(A324,2)))</f>
        <v/>
      </c>
      <c r="L324" s="395">
        <f>DATEVALUE(LEFT(F324,10))</f>
        <v/>
      </c>
      <c r="M324" s="396">
        <f>TIMEVALUE(MID(F324,12,8))</f>
        <v/>
      </c>
      <c r="N324" s="395">
        <f>DATEVALUE(LEFT(G324,10))</f>
        <v/>
      </c>
      <c r="O324" s="396">
        <f>TIMEVALUE(MID(G324,12,8))</f>
        <v/>
      </c>
      <c r="P324" s="396">
        <f>IFERROR(_xlfn.MINIFS($M:$M,$E:$E,$E324,$K:$K,$K324,$M:$M,"&gt;"&amp;$O324),"")</f>
        <v/>
      </c>
      <c r="Q324" s="396">
        <f>IF($P324="","",$P324-$O324)</f>
        <v/>
      </c>
    </row>
    <row r="325" ht="15" customHeight="1" s="231">
      <c r="A325" s="397" t="n"/>
      <c r="B325" s="397" t="n"/>
      <c r="C325" s="397" t="n"/>
      <c r="D325" s="397" t="n"/>
      <c r="E325" s="397" t="n"/>
      <c r="F325" s="397" t="n"/>
      <c r="G325" s="397" t="n"/>
      <c r="I325" s="397" t="n"/>
      <c r="J325" s="397" t="n"/>
      <c r="K325" s="395">
        <f>DATE(VALUE(LEFT(A325,4)),VALUE(MID(A325,5,2)),VALUE(RIGHT(A325,2)))</f>
        <v/>
      </c>
      <c r="L325" s="395">
        <f>DATEVALUE(LEFT(F325,10))</f>
        <v/>
      </c>
      <c r="M325" s="396">
        <f>TIMEVALUE(MID(F325,12,8))</f>
        <v/>
      </c>
      <c r="N325" s="395">
        <f>DATEVALUE(LEFT(G325,10))</f>
        <v/>
      </c>
      <c r="O325" s="396">
        <f>TIMEVALUE(MID(G325,12,8))</f>
        <v/>
      </c>
      <c r="P325" s="396">
        <f>IFERROR(_xlfn.MINIFS($M:$M,$E:$E,$E325,$K:$K,$K325,$M:$M,"&gt;"&amp;$O325),"")</f>
        <v/>
      </c>
      <c r="Q325" s="396">
        <f>IF($P325="","",$P325-$O325)</f>
        <v/>
      </c>
    </row>
    <row r="326" ht="15" customHeight="1" s="231">
      <c r="A326" s="397" t="n"/>
      <c r="B326" s="397" t="n"/>
      <c r="C326" s="397" t="n"/>
      <c r="D326" s="397" t="n"/>
      <c r="E326" s="397" t="n"/>
      <c r="F326" s="397" t="n"/>
      <c r="G326" s="397" t="n"/>
      <c r="I326" s="397" t="n"/>
      <c r="J326" s="397" t="n"/>
      <c r="K326" s="395">
        <f>DATE(VALUE(LEFT(A326,4)),VALUE(MID(A326,5,2)),VALUE(RIGHT(A326,2)))</f>
        <v/>
      </c>
      <c r="L326" s="395">
        <f>DATEVALUE(LEFT(F326,10))</f>
        <v/>
      </c>
      <c r="M326" s="396">
        <f>TIMEVALUE(MID(F326,12,8))</f>
        <v/>
      </c>
      <c r="N326" s="395">
        <f>DATEVALUE(LEFT(G326,10))</f>
        <v/>
      </c>
      <c r="O326" s="396">
        <f>TIMEVALUE(MID(G326,12,8))</f>
        <v/>
      </c>
      <c r="P326" s="396">
        <f>IFERROR(_xlfn.MINIFS($M:$M,$E:$E,$E326,$K:$K,$K326,$M:$M,"&gt;"&amp;$O326),"")</f>
        <v/>
      </c>
      <c r="Q326" s="396">
        <f>IF($P326="","",$P326-$O326)</f>
        <v/>
      </c>
    </row>
    <row r="327" ht="15" customHeight="1" s="231">
      <c r="A327" s="397" t="n"/>
      <c r="B327" s="397" t="n"/>
      <c r="C327" s="397" t="n"/>
      <c r="D327" s="397" t="n"/>
      <c r="E327" s="397" t="n"/>
      <c r="F327" s="397" t="n"/>
      <c r="G327" s="397" t="n"/>
      <c r="I327" s="397" t="n"/>
      <c r="J327" s="397" t="n"/>
      <c r="K327" s="395">
        <f>DATE(VALUE(LEFT(A327,4)),VALUE(MID(A327,5,2)),VALUE(RIGHT(A327,2)))</f>
        <v/>
      </c>
      <c r="L327" s="395">
        <f>DATEVALUE(LEFT(F327,10))</f>
        <v/>
      </c>
      <c r="M327" s="396">
        <f>TIMEVALUE(MID(F327,12,8))</f>
        <v/>
      </c>
      <c r="N327" s="395">
        <f>DATEVALUE(LEFT(G327,10))</f>
        <v/>
      </c>
      <c r="O327" s="396">
        <f>TIMEVALUE(MID(G327,12,8))</f>
        <v/>
      </c>
      <c r="P327" s="396">
        <f>IFERROR(_xlfn.MINIFS($M:$M,$E:$E,$E327,$K:$K,$K327,$M:$M,"&gt;"&amp;$O327),"")</f>
        <v/>
      </c>
      <c r="Q327" s="396">
        <f>IF($P327="","",$P327-$O327)</f>
        <v/>
      </c>
    </row>
    <row r="328" ht="15" customHeight="1" s="231">
      <c r="A328" s="397" t="n"/>
      <c r="B328" s="397" t="n"/>
      <c r="C328" s="397" t="n"/>
      <c r="D328" s="397" t="n"/>
      <c r="E328" s="397" t="n"/>
      <c r="F328" s="397" t="n"/>
      <c r="G328" s="397" t="n"/>
      <c r="I328" s="397" t="n"/>
      <c r="J328" s="397" t="n"/>
      <c r="K328" s="395">
        <f>DATE(VALUE(LEFT(A328,4)),VALUE(MID(A328,5,2)),VALUE(RIGHT(A328,2)))</f>
        <v/>
      </c>
      <c r="L328" s="395">
        <f>DATEVALUE(LEFT(F328,10))</f>
        <v/>
      </c>
      <c r="M328" s="396">
        <f>TIMEVALUE(MID(F328,12,8))</f>
        <v/>
      </c>
      <c r="N328" s="395">
        <f>DATEVALUE(LEFT(G328,10))</f>
        <v/>
      </c>
      <c r="O328" s="396">
        <f>TIMEVALUE(MID(G328,12,8))</f>
        <v/>
      </c>
      <c r="P328" s="396">
        <f>IFERROR(_xlfn.MINIFS($M:$M,$E:$E,$E328,$K:$K,$K328,$M:$M,"&gt;"&amp;$O328),"")</f>
        <v/>
      </c>
      <c r="Q328" s="396">
        <f>IF($P328="","",$P328-$O328)</f>
        <v/>
      </c>
    </row>
    <row r="329" ht="15" customHeight="1" s="231">
      <c r="A329" s="397" t="n"/>
      <c r="B329" s="397" t="n"/>
      <c r="C329" s="397" t="n"/>
      <c r="D329" s="397" t="n"/>
      <c r="E329" s="397" t="n"/>
      <c r="F329" s="397" t="n"/>
      <c r="G329" s="397" t="n"/>
      <c r="I329" s="397" t="n"/>
      <c r="J329" s="397" t="n"/>
      <c r="K329" s="395">
        <f>DATE(VALUE(LEFT(A329,4)),VALUE(MID(A329,5,2)),VALUE(RIGHT(A329,2)))</f>
        <v/>
      </c>
      <c r="L329" s="395">
        <f>DATEVALUE(LEFT(F329,10))</f>
        <v/>
      </c>
      <c r="M329" s="396">
        <f>TIMEVALUE(MID(F329,12,8))</f>
        <v/>
      </c>
      <c r="N329" s="395">
        <f>DATEVALUE(LEFT(G329,10))</f>
        <v/>
      </c>
      <c r="O329" s="396">
        <f>TIMEVALUE(MID(G329,12,8))</f>
        <v/>
      </c>
      <c r="P329" s="396">
        <f>IFERROR(_xlfn.MINIFS($M:$M,$E:$E,$E329,$K:$K,$K329,$M:$M,"&gt;"&amp;$O329),"")</f>
        <v/>
      </c>
      <c r="Q329" s="396">
        <f>IF($P329="","",$P329-$O329)</f>
        <v/>
      </c>
    </row>
    <row r="330" ht="15" customHeight="1" s="231">
      <c r="A330" s="397" t="n"/>
      <c r="B330" s="397" t="n"/>
      <c r="C330" s="397" t="n"/>
      <c r="D330" s="397" t="n"/>
      <c r="E330" s="397" t="n"/>
      <c r="F330" s="397" t="n"/>
      <c r="G330" s="397" t="n"/>
      <c r="I330" s="397" t="n"/>
      <c r="J330" s="397" t="n"/>
      <c r="K330" s="395">
        <f>DATE(VALUE(LEFT(A330,4)),VALUE(MID(A330,5,2)),VALUE(RIGHT(A330,2)))</f>
        <v/>
      </c>
      <c r="L330" s="395">
        <f>DATEVALUE(LEFT(F330,10))</f>
        <v/>
      </c>
      <c r="M330" s="396">
        <f>TIMEVALUE(MID(F330,12,8))</f>
        <v/>
      </c>
      <c r="N330" s="395">
        <f>DATEVALUE(LEFT(G330,10))</f>
        <v/>
      </c>
      <c r="O330" s="396">
        <f>TIMEVALUE(MID(G330,12,8))</f>
        <v/>
      </c>
      <c r="P330" s="396">
        <f>IFERROR(_xlfn.MINIFS($M:$M,$E:$E,$E330,$K:$K,$K330,$M:$M,"&gt;"&amp;$O330),"")</f>
        <v/>
      </c>
      <c r="Q330" s="396">
        <f>IF($P330="","",$P330-$O330)</f>
        <v/>
      </c>
    </row>
    <row r="331" ht="15" customHeight="1" s="231">
      <c r="A331" s="397" t="n"/>
      <c r="B331" s="397" t="n"/>
      <c r="C331" s="397" t="n"/>
      <c r="D331" s="397" t="n"/>
      <c r="E331" s="397" t="n"/>
      <c r="F331" s="397" t="n"/>
      <c r="G331" s="397" t="n"/>
      <c r="I331" s="397" t="n"/>
      <c r="J331" s="397" t="n"/>
      <c r="K331" s="395">
        <f>DATE(VALUE(LEFT(A331,4)),VALUE(MID(A331,5,2)),VALUE(RIGHT(A331,2)))</f>
        <v/>
      </c>
      <c r="L331" s="395">
        <f>DATEVALUE(LEFT(F331,10))</f>
        <v/>
      </c>
      <c r="M331" s="396">
        <f>TIMEVALUE(MID(F331,12,8))</f>
        <v/>
      </c>
      <c r="N331" s="395">
        <f>DATEVALUE(LEFT(G331,10))</f>
        <v/>
      </c>
      <c r="O331" s="396">
        <f>TIMEVALUE(MID(G331,12,8))</f>
        <v/>
      </c>
      <c r="P331" s="396">
        <f>IFERROR(_xlfn.MINIFS($M:$M,$E:$E,$E331,$K:$K,$K331,$M:$M,"&gt;"&amp;$O331),"")</f>
        <v/>
      </c>
      <c r="Q331" s="396">
        <f>IF($P331="","",$P331-$O331)</f>
        <v/>
      </c>
    </row>
    <row r="332" ht="15" customHeight="1" s="231">
      <c r="A332" s="397" t="n"/>
      <c r="B332" s="397" t="n"/>
      <c r="C332" s="397" t="n"/>
      <c r="D332" s="397" t="n"/>
      <c r="E332" s="397" t="n"/>
      <c r="F332" s="397" t="n"/>
      <c r="G332" s="397" t="n"/>
      <c r="I332" s="397" t="n"/>
      <c r="J332" s="397" t="n"/>
      <c r="K332" s="395">
        <f>DATE(VALUE(LEFT(A332,4)),VALUE(MID(A332,5,2)),VALUE(RIGHT(A332,2)))</f>
        <v/>
      </c>
      <c r="L332" s="395">
        <f>DATEVALUE(LEFT(F332,10))</f>
        <v/>
      </c>
      <c r="M332" s="396">
        <f>TIMEVALUE(MID(F332,12,8))</f>
        <v/>
      </c>
      <c r="N332" s="395">
        <f>DATEVALUE(LEFT(G332,10))</f>
        <v/>
      </c>
      <c r="O332" s="396">
        <f>TIMEVALUE(MID(G332,12,8))</f>
        <v/>
      </c>
      <c r="P332" s="396">
        <f>IFERROR(_xlfn.MINIFS($M:$M,$E:$E,$E332,$K:$K,$K332,$M:$M,"&gt;"&amp;$O332),"")</f>
        <v/>
      </c>
      <c r="Q332" s="396">
        <f>IF($P332="","",$P332-$O332)</f>
        <v/>
      </c>
    </row>
    <row r="333" ht="15" customHeight="1" s="231">
      <c r="A333" s="397" t="n"/>
      <c r="B333" s="397" t="n"/>
      <c r="C333" s="397" t="n"/>
      <c r="D333" s="397" t="n"/>
      <c r="E333" s="397" t="n"/>
      <c r="F333" s="397" t="n"/>
      <c r="G333" s="397" t="n"/>
      <c r="I333" s="397" t="n"/>
      <c r="J333" s="397" t="n"/>
      <c r="K333" s="395">
        <f>DATE(VALUE(LEFT(A333,4)),VALUE(MID(A333,5,2)),VALUE(RIGHT(A333,2)))</f>
        <v/>
      </c>
      <c r="L333" s="395">
        <f>DATEVALUE(LEFT(F333,10))</f>
        <v/>
      </c>
      <c r="M333" s="396">
        <f>TIMEVALUE(MID(F333,12,8))</f>
        <v/>
      </c>
      <c r="N333" s="395">
        <f>DATEVALUE(LEFT(G333,10))</f>
        <v/>
      </c>
      <c r="O333" s="396">
        <f>TIMEVALUE(MID(G333,12,8))</f>
        <v/>
      </c>
      <c r="P333" s="396">
        <f>IFERROR(_xlfn.MINIFS($M:$M,$E:$E,$E333,$K:$K,$K333,$M:$M,"&gt;"&amp;$O333),"")</f>
        <v/>
      </c>
      <c r="Q333" s="396">
        <f>IF($P333="","",$P333-$O333)</f>
        <v/>
      </c>
    </row>
    <row r="334" ht="15" customHeight="1" s="231">
      <c r="A334" s="397" t="n"/>
      <c r="B334" s="397" t="n"/>
      <c r="C334" s="397" t="n"/>
      <c r="D334" s="397" t="n"/>
      <c r="E334" s="397" t="n"/>
      <c r="F334" s="397" t="n"/>
      <c r="G334" s="397" t="n"/>
      <c r="I334" s="397" t="n"/>
      <c r="J334" s="397" t="n"/>
      <c r="K334" s="395">
        <f>DATE(VALUE(LEFT(A334,4)),VALUE(MID(A334,5,2)),VALUE(RIGHT(A334,2)))</f>
        <v/>
      </c>
      <c r="L334" s="395">
        <f>DATEVALUE(LEFT(F334,10))</f>
        <v/>
      </c>
      <c r="M334" s="396">
        <f>TIMEVALUE(MID(F334,12,8))</f>
        <v/>
      </c>
      <c r="N334" s="395">
        <f>DATEVALUE(LEFT(G334,10))</f>
        <v/>
      </c>
      <c r="O334" s="396">
        <f>TIMEVALUE(MID(G334,12,8))</f>
        <v/>
      </c>
      <c r="P334" s="396">
        <f>IFERROR(_xlfn.MINIFS($M:$M,$E:$E,$E334,$K:$K,$K334,$M:$M,"&gt;"&amp;$O334),"")</f>
        <v/>
      </c>
      <c r="Q334" s="396">
        <f>IF($P334="","",$P334-$O334)</f>
        <v/>
      </c>
    </row>
    <row r="335" ht="15" customHeight="1" s="231">
      <c r="A335" s="397" t="n"/>
      <c r="B335" s="397" t="n"/>
      <c r="C335" s="397" t="n"/>
      <c r="D335" s="397" t="n"/>
      <c r="E335" s="397" t="n"/>
      <c r="F335" s="397" t="n"/>
      <c r="G335" s="397" t="n"/>
      <c r="I335" s="397" t="n"/>
      <c r="J335" s="397" t="n"/>
      <c r="K335" s="395">
        <f>DATE(VALUE(LEFT(A335,4)),VALUE(MID(A335,5,2)),VALUE(RIGHT(A335,2)))</f>
        <v/>
      </c>
      <c r="L335" s="395">
        <f>DATEVALUE(LEFT(F335,10))</f>
        <v/>
      </c>
      <c r="M335" s="396">
        <f>TIMEVALUE(MID(F335,12,8))</f>
        <v/>
      </c>
      <c r="N335" s="395">
        <f>DATEVALUE(LEFT(G335,10))</f>
        <v/>
      </c>
      <c r="O335" s="396">
        <f>TIMEVALUE(MID(G335,12,8))</f>
        <v/>
      </c>
      <c r="P335" s="396">
        <f>IFERROR(_xlfn.MINIFS($M:$M,$E:$E,$E335,$K:$K,$K335,$M:$M,"&gt;"&amp;$O335),"")</f>
        <v/>
      </c>
      <c r="Q335" s="396">
        <f>IF($P335="","",$P335-$O335)</f>
        <v/>
      </c>
    </row>
    <row r="336" ht="15" customHeight="1" s="231">
      <c r="A336" s="397" t="n"/>
      <c r="B336" s="397" t="n"/>
      <c r="C336" s="397" t="n"/>
      <c r="D336" s="397" t="n"/>
      <c r="E336" s="397" t="n"/>
      <c r="F336" s="397" t="n"/>
      <c r="G336" s="397" t="n"/>
      <c r="I336" s="397" t="n"/>
      <c r="J336" s="397" t="n"/>
      <c r="K336" s="395">
        <f>DATE(VALUE(LEFT(A336,4)),VALUE(MID(A336,5,2)),VALUE(RIGHT(A336,2)))</f>
        <v/>
      </c>
      <c r="L336" s="395">
        <f>DATEVALUE(LEFT(F336,10))</f>
        <v/>
      </c>
      <c r="M336" s="396">
        <f>TIMEVALUE(MID(F336,12,8))</f>
        <v/>
      </c>
      <c r="N336" s="395">
        <f>DATEVALUE(LEFT(G336,10))</f>
        <v/>
      </c>
      <c r="O336" s="396">
        <f>TIMEVALUE(MID(G336,12,8))</f>
        <v/>
      </c>
      <c r="P336" s="396">
        <f>IFERROR(_xlfn.MINIFS($M:$M,$E:$E,$E336,$K:$K,$K336,$M:$M,"&gt;"&amp;$O336),"")</f>
        <v/>
      </c>
      <c r="Q336" s="396">
        <f>IF($P336="","",$P336-$O336)</f>
        <v/>
      </c>
    </row>
    <row r="337" ht="15" customHeight="1" s="231">
      <c r="A337" s="397" t="n"/>
      <c r="B337" s="397" t="n"/>
      <c r="C337" s="397" t="n"/>
      <c r="D337" s="397" t="n"/>
      <c r="E337" s="397" t="n"/>
      <c r="F337" s="397" t="n"/>
      <c r="G337" s="397" t="n"/>
      <c r="I337" s="397" t="n"/>
      <c r="J337" s="397" t="n"/>
      <c r="K337" s="395">
        <f>DATE(VALUE(LEFT(A337,4)),VALUE(MID(A337,5,2)),VALUE(RIGHT(A337,2)))</f>
        <v/>
      </c>
      <c r="L337" s="395">
        <f>DATEVALUE(LEFT(F337,10))</f>
        <v/>
      </c>
      <c r="M337" s="396">
        <f>TIMEVALUE(MID(F337,12,8))</f>
        <v/>
      </c>
      <c r="N337" s="395">
        <f>DATEVALUE(LEFT(G337,10))</f>
        <v/>
      </c>
      <c r="O337" s="396">
        <f>TIMEVALUE(MID(G337,12,8))</f>
        <v/>
      </c>
      <c r="P337" s="396">
        <f>IFERROR(_xlfn.MINIFS($M:$M,$E:$E,$E337,$K:$K,$K337,$M:$M,"&gt;"&amp;$O337),"")</f>
        <v/>
      </c>
      <c r="Q337" s="396">
        <f>IF($P337="","",$P337-$O337)</f>
        <v/>
      </c>
    </row>
    <row r="338" ht="15" customHeight="1" s="231">
      <c r="A338" s="397" t="n"/>
      <c r="B338" s="397" t="n"/>
      <c r="C338" s="397" t="n"/>
      <c r="D338" s="397" t="n"/>
      <c r="E338" s="397" t="n"/>
      <c r="F338" s="397" t="n"/>
      <c r="G338" s="397" t="n"/>
      <c r="I338" s="397" t="n"/>
      <c r="J338" s="397" t="n"/>
      <c r="K338" s="395">
        <f>DATE(VALUE(LEFT(A338,4)),VALUE(MID(A338,5,2)),VALUE(RIGHT(A338,2)))</f>
        <v/>
      </c>
      <c r="L338" s="395">
        <f>DATEVALUE(LEFT(F338,10))</f>
        <v/>
      </c>
      <c r="M338" s="396">
        <f>TIMEVALUE(MID(F338,12,8))</f>
        <v/>
      </c>
      <c r="N338" s="395">
        <f>DATEVALUE(LEFT(G338,10))</f>
        <v/>
      </c>
      <c r="O338" s="396">
        <f>TIMEVALUE(MID(G338,12,8))</f>
        <v/>
      </c>
      <c r="P338" s="396">
        <f>IFERROR(_xlfn.MINIFS($M:$M,$E:$E,$E338,$K:$K,$K338,$M:$M,"&gt;"&amp;$O338),"")</f>
        <v/>
      </c>
      <c r="Q338" s="396">
        <f>IF($P338="","",$P338-$O338)</f>
        <v/>
      </c>
    </row>
    <row r="339" ht="15" customHeight="1" s="231">
      <c r="A339" s="397" t="n"/>
      <c r="B339" s="397" t="n"/>
      <c r="C339" s="397" t="n"/>
      <c r="D339" s="397" t="n"/>
      <c r="E339" s="397" t="n"/>
      <c r="F339" s="397" t="n"/>
      <c r="G339" s="397" t="n"/>
      <c r="I339" s="397" t="n"/>
      <c r="J339" s="397" t="n"/>
      <c r="K339" s="395">
        <f>DATE(VALUE(LEFT(A339,4)),VALUE(MID(A339,5,2)),VALUE(RIGHT(A339,2)))</f>
        <v/>
      </c>
      <c r="L339" s="395">
        <f>DATEVALUE(LEFT(F339,10))</f>
        <v/>
      </c>
      <c r="M339" s="396">
        <f>TIMEVALUE(MID(F339,12,8))</f>
        <v/>
      </c>
      <c r="N339" s="395">
        <f>DATEVALUE(LEFT(G339,10))</f>
        <v/>
      </c>
      <c r="O339" s="396">
        <f>TIMEVALUE(MID(G339,12,8))</f>
        <v/>
      </c>
      <c r="P339" s="396">
        <f>IFERROR(_xlfn.MINIFS($M:$M,$E:$E,$E339,$K:$K,$K339,$M:$M,"&gt;"&amp;$O339),"")</f>
        <v/>
      </c>
      <c r="Q339" s="396">
        <f>IF($P339="","",$P339-$O339)</f>
        <v/>
      </c>
    </row>
    <row r="340" ht="15" customHeight="1" s="231">
      <c r="A340" s="397" t="n"/>
      <c r="B340" s="397" t="n"/>
      <c r="C340" s="397" t="n"/>
      <c r="D340" s="397" t="n"/>
      <c r="E340" s="397" t="n"/>
      <c r="F340" s="397" t="n"/>
      <c r="G340" s="397" t="n"/>
      <c r="I340" s="397" t="n"/>
      <c r="J340" s="397" t="n"/>
      <c r="K340" s="395">
        <f>DATE(VALUE(LEFT(A340,4)),VALUE(MID(A340,5,2)),VALUE(RIGHT(A340,2)))</f>
        <v/>
      </c>
      <c r="L340" s="395">
        <f>DATEVALUE(LEFT(F340,10))</f>
        <v/>
      </c>
      <c r="M340" s="396">
        <f>TIMEVALUE(MID(F340,12,8))</f>
        <v/>
      </c>
      <c r="N340" s="395">
        <f>DATEVALUE(LEFT(G340,10))</f>
        <v/>
      </c>
      <c r="O340" s="396">
        <f>TIMEVALUE(MID(G340,12,8))</f>
        <v/>
      </c>
      <c r="P340" s="396">
        <f>IFERROR(_xlfn.MINIFS($M:$M,$E:$E,$E340,$K:$K,$K340,$M:$M,"&gt;"&amp;$O340),"")</f>
        <v/>
      </c>
      <c r="Q340" s="396">
        <f>IF($P340="","",$P340-$O340)</f>
        <v/>
      </c>
    </row>
    <row r="341" ht="15" customHeight="1" s="231">
      <c r="A341" s="397" t="n"/>
      <c r="B341" s="397" t="n"/>
      <c r="C341" s="397" t="n"/>
      <c r="D341" s="397" t="n"/>
      <c r="E341" s="397" t="n"/>
      <c r="F341" s="397" t="n"/>
      <c r="G341" s="397" t="n"/>
      <c r="I341" s="397" t="n"/>
      <c r="J341" s="397" t="n"/>
      <c r="K341" s="395">
        <f>DATE(VALUE(LEFT(A341,4)),VALUE(MID(A341,5,2)),VALUE(RIGHT(A341,2)))</f>
        <v/>
      </c>
      <c r="L341" s="395">
        <f>DATEVALUE(LEFT(F341,10))</f>
        <v/>
      </c>
      <c r="M341" s="396">
        <f>TIMEVALUE(MID(F341,12,8))</f>
        <v/>
      </c>
      <c r="N341" s="395">
        <f>DATEVALUE(LEFT(G341,10))</f>
        <v/>
      </c>
      <c r="O341" s="396">
        <f>TIMEVALUE(MID(G341,12,8))</f>
        <v/>
      </c>
      <c r="P341" s="396">
        <f>IFERROR(_xlfn.MINIFS($M:$M,$E:$E,$E341,$K:$K,$K341,$M:$M,"&gt;"&amp;$O341),"")</f>
        <v/>
      </c>
      <c r="Q341" s="396">
        <f>IF($P341="","",$P341-$O341)</f>
        <v/>
      </c>
    </row>
    <row r="342" ht="15" customHeight="1" s="231">
      <c r="A342" s="397" t="n"/>
      <c r="B342" s="397" t="n"/>
      <c r="C342" s="397" t="n"/>
      <c r="D342" s="397" t="n"/>
      <c r="E342" s="397" t="n"/>
      <c r="F342" s="397" t="n"/>
      <c r="G342" s="397" t="n"/>
      <c r="I342" s="397" t="n"/>
      <c r="J342" s="397" t="n"/>
      <c r="K342" s="395">
        <f>DATE(VALUE(LEFT(A342,4)),VALUE(MID(A342,5,2)),VALUE(RIGHT(A342,2)))</f>
        <v/>
      </c>
      <c r="L342" s="395">
        <f>DATEVALUE(LEFT(F342,10))</f>
        <v/>
      </c>
      <c r="M342" s="396">
        <f>TIMEVALUE(MID(F342,12,8))</f>
        <v/>
      </c>
      <c r="N342" s="395">
        <f>DATEVALUE(LEFT(G342,10))</f>
        <v/>
      </c>
      <c r="O342" s="396">
        <f>TIMEVALUE(MID(G342,12,8))</f>
        <v/>
      </c>
      <c r="P342" s="396">
        <f>IFERROR(_xlfn.MINIFS($M:$M,$E:$E,$E342,$K:$K,$K342,$M:$M,"&gt;"&amp;$O342),"")</f>
        <v/>
      </c>
      <c r="Q342" s="396">
        <f>IF($P342="","",$P342-$O342)</f>
        <v/>
      </c>
    </row>
    <row r="343" ht="15" customHeight="1" s="231">
      <c r="A343" s="397" t="n"/>
      <c r="B343" s="397" t="n"/>
      <c r="C343" s="397" t="n"/>
      <c r="D343" s="397" t="n"/>
      <c r="E343" s="397" t="n"/>
      <c r="F343" s="397" t="n"/>
      <c r="G343" s="397" t="n"/>
      <c r="I343" s="397" t="n"/>
      <c r="J343" s="397" t="n"/>
      <c r="K343" s="395">
        <f>DATE(VALUE(LEFT(A343,4)),VALUE(MID(A343,5,2)),VALUE(RIGHT(A343,2)))</f>
        <v/>
      </c>
      <c r="L343" s="395">
        <f>DATEVALUE(LEFT(F343,10))</f>
        <v/>
      </c>
      <c r="M343" s="396">
        <f>TIMEVALUE(MID(F343,12,8))</f>
        <v/>
      </c>
      <c r="N343" s="395">
        <f>DATEVALUE(LEFT(G343,10))</f>
        <v/>
      </c>
      <c r="O343" s="396">
        <f>TIMEVALUE(MID(G343,12,8))</f>
        <v/>
      </c>
      <c r="P343" s="396">
        <f>IFERROR(_xlfn.MINIFS($M:$M,$E:$E,$E343,$K:$K,$K343,$M:$M,"&gt;"&amp;$O343),"")</f>
        <v/>
      </c>
      <c r="Q343" s="396">
        <f>IF($P343="","",$P343-$O343)</f>
        <v/>
      </c>
    </row>
    <row r="344" ht="15" customHeight="1" s="231">
      <c r="A344" s="397" t="n"/>
      <c r="B344" s="397" t="n"/>
      <c r="C344" s="397" t="n"/>
      <c r="D344" s="397" t="n"/>
      <c r="E344" s="397" t="n"/>
      <c r="F344" s="397" t="n"/>
      <c r="G344" s="397" t="n"/>
      <c r="I344" s="397" t="n"/>
      <c r="J344" s="397" t="n"/>
      <c r="K344" s="395">
        <f>DATE(VALUE(LEFT(A344,4)),VALUE(MID(A344,5,2)),VALUE(RIGHT(A344,2)))</f>
        <v/>
      </c>
      <c r="L344" s="395">
        <f>DATEVALUE(LEFT(F344,10))</f>
        <v/>
      </c>
      <c r="M344" s="396">
        <f>TIMEVALUE(MID(F344,12,8))</f>
        <v/>
      </c>
      <c r="N344" s="395">
        <f>DATEVALUE(LEFT(G344,10))</f>
        <v/>
      </c>
      <c r="O344" s="396">
        <f>TIMEVALUE(MID(G344,12,8))</f>
        <v/>
      </c>
      <c r="P344" s="396">
        <f>IFERROR(_xlfn.MINIFS($M:$M,$E:$E,$E344,$K:$K,$K344,$M:$M,"&gt;"&amp;$O344),"")</f>
        <v/>
      </c>
      <c r="Q344" s="396">
        <f>IF($P344="","",$P344-$O344)</f>
        <v/>
      </c>
    </row>
    <row r="345" ht="15" customHeight="1" s="231">
      <c r="A345" s="397" t="n"/>
      <c r="B345" s="397" t="n"/>
      <c r="C345" s="397" t="n"/>
      <c r="D345" s="397" t="n"/>
      <c r="E345" s="397" t="n"/>
      <c r="F345" s="397" t="n"/>
      <c r="G345" s="397" t="n"/>
      <c r="I345" s="397" t="n"/>
      <c r="J345" s="397" t="n"/>
      <c r="K345" s="395">
        <f>DATE(VALUE(LEFT(A345,4)),VALUE(MID(A345,5,2)),VALUE(RIGHT(A345,2)))</f>
        <v/>
      </c>
      <c r="L345" s="395">
        <f>DATEVALUE(LEFT(F345,10))</f>
        <v/>
      </c>
      <c r="M345" s="396">
        <f>TIMEVALUE(MID(F345,12,8))</f>
        <v/>
      </c>
      <c r="N345" s="395">
        <f>DATEVALUE(LEFT(G345,10))</f>
        <v/>
      </c>
      <c r="O345" s="396">
        <f>TIMEVALUE(MID(G345,12,8))</f>
        <v/>
      </c>
      <c r="P345" s="396">
        <f>IFERROR(_xlfn.MINIFS($M:$M,$E:$E,$E345,$K:$K,$K345,$M:$M,"&gt;"&amp;$O345),"")</f>
        <v/>
      </c>
      <c r="Q345" s="396">
        <f>IF($P345="","",$P345-$O345)</f>
        <v/>
      </c>
    </row>
    <row r="346" ht="15" customHeight="1" s="231">
      <c r="A346" s="397" t="n"/>
      <c r="B346" s="397" t="n"/>
      <c r="C346" s="397" t="n"/>
      <c r="D346" s="397" t="n"/>
      <c r="E346" s="397" t="n"/>
      <c r="F346" s="397" t="n"/>
      <c r="G346" s="397" t="n"/>
      <c r="I346" s="397" t="n"/>
      <c r="J346" s="397" t="n"/>
      <c r="K346" s="395">
        <f>DATE(VALUE(LEFT(A346,4)),VALUE(MID(A346,5,2)),VALUE(RIGHT(A346,2)))</f>
        <v/>
      </c>
      <c r="L346" s="395">
        <f>DATEVALUE(LEFT(F346,10))</f>
        <v/>
      </c>
      <c r="M346" s="396">
        <f>TIMEVALUE(MID(F346,12,8))</f>
        <v/>
      </c>
      <c r="N346" s="395">
        <f>DATEVALUE(LEFT(G346,10))</f>
        <v/>
      </c>
      <c r="O346" s="396">
        <f>TIMEVALUE(MID(G346,12,8))</f>
        <v/>
      </c>
      <c r="P346" s="396">
        <f>IFERROR(_xlfn.MINIFS($M:$M,$E:$E,$E346,$K:$K,$K346,$M:$M,"&gt;"&amp;$O346),"")</f>
        <v/>
      </c>
      <c r="Q346" s="396">
        <f>IF($P346="","",$P346-$O346)</f>
        <v/>
      </c>
    </row>
    <row r="347" ht="15" customHeight="1" s="231">
      <c r="A347" s="397" t="n"/>
      <c r="B347" s="397" t="n"/>
      <c r="C347" s="397" t="n"/>
      <c r="D347" s="397" t="n"/>
      <c r="E347" s="397" t="n"/>
      <c r="F347" s="397" t="n"/>
      <c r="G347" s="397" t="n"/>
      <c r="I347" s="397" t="n"/>
      <c r="J347" s="397" t="n"/>
      <c r="K347" s="395">
        <f>DATE(VALUE(LEFT(A347,4)),VALUE(MID(A347,5,2)),VALUE(RIGHT(A347,2)))</f>
        <v/>
      </c>
      <c r="L347" s="395">
        <f>DATEVALUE(LEFT(F347,10))</f>
        <v/>
      </c>
      <c r="M347" s="396">
        <f>TIMEVALUE(MID(F347,12,8))</f>
        <v/>
      </c>
      <c r="N347" s="395">
        <f>DATEVALUE(LEFT(G347,10))</f>
        <v/>
      </c>
      <c r="O347" s="396">
        <f>TIMEVALUE(MID(G347,12,8))</f>
        <v/>
      </c>
      <c r="P347" s="396">
        <f>IFERROR(_xlfn.MINIFS($M:$M,$E:$E,$E347,$K:$K,$K347,$M:$M,"&gt;"&amp;$O347),"")</f>
        <v/>
      </c>
      <c r="Q347" s="396">
        <f>IF($P347="","",$P347-$O347)</f>
        <v/>
      </c>
    </row>
    <row r="348" ht="15" customHeight="1" s="231">
      <c r="A348" s="397" t="n"/>
      <c r="B348" s="397" t="n"/>
      <c r="C348" s="397" t="n"/>
      <c r="D348" s="397" t="n"/>
      <c r="E348" s="397" t="n"/>
      <c r="F348" s="397" t="n"/>
      <c r="G348" s="397" t="n"/>
      <c r="I348" s="397" t="n"/>
      <c r="J348" s="397" t="n"/>
      <c r="K348" s="395">
        <f>DATE(VALUE(LEFT(A348,4)),VALUE(MID(A348,5,2)),VALUE(RIGHT(A348,2)))</f>
        <v/>
      </c>
      <c r="L348" s="395">
        <f>DATEVALUE(LEFT(F348,10))</f>
        <v/>
      </c>
      <c r="M348" s="396">
        <f>TIMEVALUE(MID(F348,12,8))</f>
        <v/>
      </c>
      <c r="N348" s="395">
        <f>DATEVALUE(LEFT(G348,10))</f>
        <v/>
      </c>
      <c r="O348" s="396">
        <f>TIMEVALUE(MID(G348,12,8))</f>
        <v/>
      </c>
      <c r="P348" s="396">
        <f>IFERROR(_xlfn.MINIFS($M:$M,$E:$E,$E348,$K:$K,$K348,$M:$M,"&gt;"&amp;$O348),"")</f>
        <v/>
      </c>
      <c r="Q348" s="396">
        <f>IF($P348="","",$P348-$O348)</f>
        <v/>
      </c>
    </row>
    <row r="349" ht="15" customHeight="1" s="231">
      <c r="A349" s="397" t="n"/>
      <c r="B349" s="397" t="n"/>
      <c r="C349" s="397" t="n"/>
      <c r="D349" s="397" t="n"/>
      <c r="E349" s="397" t="n"/>
      <c r="F349" s="397" t="n"/>
      <c r="G349" s="397" t="n"/>
      <c r="I349" s="397" t="n"/>
      <c r="J349" s="397" t="n"/>
      <c r="K349" s="395">
        <f>DATE(VALUE(LEFT(A349,4)),VALUE(MID(A349,5,2)),VALUE(RIGHT(A349,2)))</f>
        <v/>
      </c>
      <c r="L349" s="395">
        <f>DATEVALUE(LEFT(F349,10))</f>
        <v/>
      </c>
      <c r="M349" s="396">
        <f>TIMEVALUE(MID(F349,12,8))</f>
        <v/>
      </c>
      <c r="N349" s="395">
        <f>DATEVALUE(LEFT(G349,10))</f>
        <v/>
      </c>
      <c r="O349" s="396">
        <f>TIMEVALUE(MID(G349,12,8))</f>
        <v/>
      </c>
      <c r="P349" s="396">
        <f>IFERROR(_xlfn.MINIFS($M:$M,$E:$E,$E349,$K:$K,$K349,$M:$M,"&gt;"&amp;$O349),"")</f>
        <v/>
      </c>
      <c r="Q349" s="396">
        <f>IF($P349="","",$P349-$O349)</f>
        <v/>
      </c>
    </row>
    <row r="350" ht="15" customHeight="1" s="231">
      <c r="A350" s="397" t="n"/>
      <c r="B350" s="397" t="n"/>
      <c r="C350" s="397" t="n"/>
      <c r="D350" s="397" t="n"/>
      <c r="E350" s="397" t="n"/>
      <c r="F350" s="397" t="n"/>
      <c r="G350" s="397" t="n"/>
      <c r="I350" s="397" t="n"/>
      <c r="J350" s="397" t="n"/>
      <c r="K350" s="395">
        <f>DATE(VALUE(LEFT(A350,4)),VALUE(MID(A350,5,2)),VALUE(RIGHT(A350,2)))</f>
        <v/>
      </c>
      <c r="L350" s="395">
        <f>DATEVALUE(LEFT(F350,10))</f>
        <v/>
      </c>
      <c r="M350" s="396">
        <f>TIMEVALUE(MID(F350,12,8))</f>
        <v/>
      </c>
      <c r="N350" s="395">
        <f>DATEVALUE(LEFT(G350,10))</f>
        <v/>
      </c>
      <c r="O350" s="396">
        <f>TIMEVALUE(MID(G350,12,8))</f>
        <v/>
      </c>
      <c r="P350" s="396">
        <f>IFERROR(_xlfn.MINIFS($M:$M,$E:$E,$E350,$K:$K,$K350,$M:$M,"&gt;"&amp;$O350),"")</f>
        <v/>
      </c>
      <c r="Q350" s="396">
        <f>IF($P350="","",$P350-$O350)</f>
        <v/>
      </c>
    </row>
    <row r="351" ht="15" customHeight="1" s="231">
      <c r="A351" s="397" t="n"/>
      <c r="B351" s="397" t="n"/>
      <c r="C351" s="397" t="n"/>
      <c r="D351" s="397" t="n"/>
      <c r="E351" s="397" t="n"/>
      <c r="F351" s="397" t="n"/>
      <c r="G351" s="397" t="n"/>
      <c r="I351" s="397" t="n"/>
      <c r="J351" s="397" t="n"/>
      <c r="K351" s="395">
        <f>DATE(VALUE(LEFT(A351,4)),VALUE(MID(A351,5,2)),VALUE(RIGHT(A351,2)))</f>
        <v/>
      </c>
      <c r="L351" s="395">
        <f>DATEVALUE(LEFT(F351,10))</f>
        <v/>
      </c>
      <c r="M351" s="396">
        <f>TIMEVALUE(MID(F351,12,8))</f>
        <v/>
      </c>
      <c r="N351" s="395">
        <f>DATEVALUE(LEFT(G351,10))</f>
        <v/>
      </c>
      <c r="O351" s="396">
        <f>TIMEVALUE(MID(G351,12,8))</f>
        <v/>
      </c>
      <c r="P351" s="396">
        <f>IFERROR(_xlfn.MINIFS($M:$M,$E:$E,$E351,$K:$K,$K351,$M:$M,"&gt;"&amp;$O351),"")</f>
        <v/>
      </c>
      <c r="Q351" s="396">
        <f>IF($P351="","",$P351-$O351)</f>
        <v/>
      </c>
    </row>
    <row r="352" ht="15" customHeight="1" s="231">
      <c r="A352" s="397" t="n"/>
      <c r="B352" s="397" t="n"/>
      <c r="C352" s="397" t="n"/>
      <c r="D352" s="397" t="n"/>
      <c r="E352" s="397" t="n"/>
      <c r="F352" s="397" t="n"/>
      <c r="G352" s="397" t="n"/>
      <c r="I352" s="397" t="n"/>
      <c r="J352" s="397" t="n"/>
      <c r="K352" s="395">
        <f>DATE(VALUE(LEFT(A352,4)),VALUE(MID(A352,5,2)),VALUE(RIGHT(A352,2)))</f>
        <v/>
      </c>
      <c r="L352" s="395">
        <f>DATEVALUE(LEFT(F352,10))</f>
        <v/>
      </c>
      <c r="M352" s="396">
        <f>TIMEVALUE(MID(F352,12,8))</f>
        <v/>
      </c>
      <c r="N352" s="395">
        <f>DATEVALUE(LEFT(G352,10))</f>
        <v/>
      </c>
      <c r="O352" s="396">
        <f>TIMEVALUE(MID(G352,12,8))</f>
        <v/>
      </c>
      <c r="P352" s="396">
        <f>IFERROR(_xlfn.MINIFS($M:$M,$E:$E,$E352,$K:$K,$K352,$M:$M,"&gt;"&amp;$O352),"")</f>
        <v/>
      </c>
      <c r="Q352" s="396">
        <f>IF($P352="","",$P352-$O352)</f>
        <v/>
      </c>
    </row>
    <row r="353" ht="15" customHeight="1" s="231">
      <c r="A353" s="397" t="n"/>
      <c r="B353" s="397" t="n"/>
      <c r="C353" s="397" t="n"/>
      <c r="D353" s="397" t="n"/>
      <c r="E353" s="397" t="n"/>
      <c r="F353" s="397" t="n"/>
      <c r="G353" s="397" t="n"/>
      <c r="I353" s="397" t="n"/>
      <c r="J353" s="397" t="n"/>
      <c r="K353" s="395">
        <f>DATE(VALUE(LEFT(A353,4)),VALUE(MID(A353,5,2)),VALUE(RIGHT(A353,2)))</f>
        <v/>
      </c>
      <c r="L353" s="395">
        <f>DATEVALUE(LEFT(F353,10))</f>
        <v/>
      </c>
      <c r="M353" s="396">
        <f>TIMEVALUE(MID(F353,12,8))</f>
        <v/>
      </c>
      <c r="N353" s="395">
        <f>DATEVALUE(LEFT(G353,10))</f>
        <v/>
      </c>
      <c r="O353" s="396">
        <f>TIMEVALUE(MID(G353,12,8))</f>
        <v/>
      </c>
      <c r="P353" s="396">
        <f>IFERROR(_xlfn.MINIFS($M:$M,$E:$E,$E353,$K:$K,$K353,$M:$M,"&gt;"&amp;$O353),"")</f>
        <v/>
      </c>
      <c r="Q353" s="396">
        <f>IF($P353="","",$P353-$O353)</f>
        <v/>
      </c>
    </row>
    <row r="354" ht="15" customHeight="1" s="231">
      <c r="A354" s="397" t="n"/>
      <c r="B354" s="397" t="n"/>
      <c r="C354" s="397" t="n"/>
      <c r="D354" s="397" t="n"/>
      <c r="E354" s="397" t="n"/>
      <c r="F354" s="397" t="n"/>
      <c r="G354" s="397" t="n"/>
      <c r="I354" s="397" t="n"/>
      <c r="J354" s="397" t="n"/>
      <c r="K354" s="395">
        <f>DATE(VALUE(LEFT(A354,4)),VALUE(MID(A354,5,2)),VALUE(RIGHT(A354,2)))</f>
        <v/>
      </c>
      <c r="L354" s="395">
        <f>DATEVALUE(LEFT(F354,10))</f>
        <v/>
      </c>
      <c r="M354" s="396">
        <f>TIMEVALUE(MID(F354,12,8))</f>
        <v/>
      </c>
      <c r="N354" s="395">
        <f>DATEVALUE(LEFT(G354,10))</f>
        <v/>
      </c>
      <c r="O354" s="396">
        <f>TIMEVALUE(MID(G354,12,8))</f>
        <v/>
      </c>
      <c r="P354" s="396">
        <f>IFERROR(_xlfn.MINIFS($M:$M,$E:$E,$E354,$K:$K,$K354,$M:$M,"&gt;"&amp;$O354),"")</f>
        <v/>
      </c>
      <c r="Q354" s="396">
        <f>IF($P354="","",$P354-$O354)</f>
        <v/>
      </c>
    </row>
    <row r="355" ht="15" customHeight="1" s="231">
      <c r="A355" s="397" t="n"/>
      <c r="B355" s="397" t="n"/>
      <c r="C355" s="397" t="n"/>
      <c r="D355" s="397" t="n"/>
      <c r="E355" s="397" t="n"/>
      <c r="F355" s="397" t="n"/>
      <c r="G355" s="397" t="n"/>
      <c r="I355" s="397" t="n"/>
      <c r="J355" s="397" t="n"/>
      <c r="K355" s="395">
        <f>DATE(VALUE(LEFT(A355,4)),VALUE(MID(A355,5,2)),VALUE(RIGHT(A355,2)))</f>
        <v/>
      </c>
      <c r="L355" s="395">
        <f>DATEVALUE(LEFT(F355,10))</f>
        <v/>
      </c>
      <c r="M355" s="396">
        <f>TIMEVALUE(MID(F355,12,8))</f>
        <v/>
      </c>
      <c r="N355" s="395">
        <f>DATEVALUE(LEFT(G355,10))</f>
        <v/>
      </c>
      <c r="O355" s="396">
        <f>TIMEVALUE(MID(G355,12,8))</f>
        <v/>
      </c>
      <c r="P355" s="396">
        <f>IFERROR(_xlfn.MINIFS($M:$M,$E:$E,$E355,$K:$K,$K355,$M:$M,"&gt;"&amp;$O355),"")</f>
        <v/>
      </c>
      <c r="Q355" s="396">
        <f>IF($P355="","",$P355-$O355)</f>
        <v/>
      </c>
    </row>
    <row r="356" ht="15" customHeight="1" s="231">
      <c r="A356" s="397" t="n"/>
      <c r="B356" s="397" t="n"/>
      <c r="C356" s="397" t="n"/>
      <c r="D356" s="397" t="n"/>
      <c r="E356" s="397" t="n"/>
      <c r="F356" s="397" t="n"/>
      <c r="G356" s="397" t="n"/>
      <c r="I356" s="397" t="n"/>
      <c r="J356" s="397" t="n"/>
      <c r="K356" s="395">
        <f>DATE(VALUE(LEFT(A356,4)),VALUE(MID(A356,5,2)),VALUE(RIGHT(A356,2)))</f>
        <v/>
      </c>
      <c r="L356" s="395">
        <f>DATEVALUE(LEFT(F356,10))</f>
        <v/>
      </c>
      <c r="M356" s="396">
        <f>TIMEVALUE(MID(F356,12,8))</f>
        <v/>
      </c>
      <c r="N356" s="395">
        <f>DATEVALUE(LEFT(G356,10))</f>
        <v/>
      </c>
      <c r="O356" s="396">
        <f>TIMEVALUE(MID(G356,12,8))</f>
        <v/>
      </c>
      <c r="P356" s="396">
        <f>IFERROR(_xlfn.MINIFS($M:$M,$E:$E,$E356,$K:$K,$K356,$M:$M,"&gt;"&amp;$O356),"")</f>
        <v/>
      </c>
      <c r="Q356" s="396">
        <f>IF($P356="","",$P356-$O356)</f>
        <v/>
      </c>
    </row>
    <row r="357" ht="15" customHeight="1" s="231">
      <c r="A357" s="397" t="n"/>
      <c r="B357" s="397" t="n"/>
      <c r="C357" s="397" t="n"/>
      <c r="D357" s="397" t="n"/>
      <c r="E357" s="397" t="n"/>
      <c r="F357" s="397" t="n"/>
      <c r="G357" s="397" t="n"/>
      <c r="I357" s="397" t="n"/>
      <c r="J357" s="397" t="n"/>
      <c r="K357" s="395">
        <f>DATE(VALUE(LEFT(A357,4)),VALUE(MID(A357,5,2)),VALUE(RIGHT(A357,2)))</f>
        <v/>
      </c>
      <c r="L357" s="395">
        <f>DATEVALUE(LEFT(F357,10))</f>
        <v/>
      </c>
      <c r="M357" s="396">
        <f>TIMEVALUE(MID(F357,12,8))</f>
        <v/>
      </c>
      <c r="N357" s="395">
        <f>DATEVALUE(LEFT(G357,10))</f>
        <v/>
      </c>
      <c r="O357" s="396">
        <f>TIMEVALUE(MID(G357,12,8))</f>
        <v/>
      </c>
      <c r="P357" s="396">
        <f>IFERROR(_xlfn.MINIFS($M:$M,$E:$E,$E357,$K:$K,$K357,$M:$M,"&gt;"&amp;$O357),"")</f>
        <v/>
      </c>
      <c r="Q357" s="396">
        <f>IF($P357="","",$P357-$O357)</f>
        <v/>
      </c>
    </row>
    <row r="358" ht="15" customHeight="1" s="231">
      <c r="A358" s="397" t="n"/>
      <c r="B358" s="397" t="n"/>
      <c r="C358" s="397" t="n"/>
      <c r="D358" s="397" t="n"/>
      <c r="E358" s="397" t="n"/>
      <c r="F358" s="397" t="n"/>
      <c r="G358" s="397" t="n"/>
      <c r="I358" s="397" t="n"/>
      <c r="J358" s="397" t="n"/>
      <c r="K358" s="395">
        <f>DATE(VALUE(LEFT(A358,4)),VALUE(MID(A358,5,2)),VALUE(RIGHT(A358,2)))</f>
        <v/>
      </c>
      <c r="L358" s="395">
        <f>DATEVALUE(LEFT(F358,10))</f>
        <v/>
      </c>
      <c r="M358" s="396">
        <f>TIMEVALUE(MID(F358,12,8))</f>
        <v/>
      </c>
      <c r="N358" s="395">
        <f>DATEVALUE(LEFT(G358,10))</f>
        <v/>
      </c>
      <c r="O358" s="396">
        <f>TIMEVALUE(MID(G358,12,8))</f>
        <v/>
      </c>
      <c r="P358" s="396">
        <f>IFERROR(_xlfn.MINIFS($M:$M,$E:$E,$E358,$K:$K,$K358,$M:$M,"&gt;"&amp;$O358),"")</f>
        <v/>
      </c>
      <c r="Q358" s="396">
        <f>IF($P358="","",$P358-$O358)</f>
        <v/>
      </c>
    </row>
    <row r="359" ht="15" customHeight="1" s="231">
      <c r="A359" s="397" t="n"/>
      <c r="B359" s="397" t="n"/>
      <c r="C359" s="397" t="n"/>
      <c r="D359" s="397" t="n"/>
      <c r="E359" s="397" t="n"/>
      <c r="F359" s="397" t="n"/>
      <c r="G359" s="397" t="n"/>
      <c r="I359" s="397" t="n"/>
      <c r="J359" s="397" t="n"/>
      <c r="K359" s="395">
        <f>DATE(VALUE(LEFT(A359,4)),VALUE(MID(A359,5,2)),VALUE(RIGHT(A359,2)))</f>
        <v/>
      </c>
      <c r="L359" s="395">
        <f>DATEVALUE(LEFT(F359,10))</f>
        <v/>
      </c>
      <c r="M359" s="396">
        <f>TIMEVALUE(MID(F359,12,8))</f>
        <v/>
      </c>
      <c r="N359" s="395">
        <f>DATEVALUE(LEFT(G359,10))</f>
        <v/>
      </c>
      <c r="O359" s="396">
        <f>TIMEVALUE(MID(G359,12,8))</f>
        <v/>
      </c>
      <c r="P359" s="396">
        <f>IFERROR(_xlfn.MINIFS($M:$M,$E:$E,$E359,$K:$K,$K359,$M:$M,"&gt;"&amp;$O359),"")</f>
        <v/>
      </c>
      <c r="Q359" s="396">
        <f>IF($P359="","",$P359-$O359)</f>
        <v/>
      </c>
    </row>
    <row r="360" ht="15" customHeight="1" s="231">
      <c r="A360" s="397" t="n"/>
      <c r="B360" s="397" t="n"/>
      <c r="C360" s="397" t="n"/>
      <c r="D360" s="397" t="n"/>
      <c r="E360" s="397" t="n"/>
      <c r="F360" s="397" t="n"/>
      <c r="G360" s="397" t="n"/>
      <c r="I360" s="397" t="n"/>
      <c r="J360" s="397" t="n"/>
      <c r="K360" s="395">
        <f>DATE(VALUE(LEFT(A360,4)),VALUE(MID(A360,5,2)),VALUE(RIGHT(A360,2)))</f>
        <v/>
      </c>
      <c r="L360" s="395">
        <f>DATEVALUE(LEFT(F360,10))</f>
        <v/>
      </c>
      <c r="M360" s="396">
        <f>TIMEVALUE(MID(F360,12,8))</f>
        <v/>
      </c>
      <c r="N360" s="395">
        <f>DATEVALUE(LEFT(G360,10))</f>
        <v/>
      </c>
      <c r="O360" s="396">
        <f>TIMEVALUE(MID(G360,12,8))</f>
        <v/>
      </c>
      <c r="P360" s="396">
        <f>IFERROR(_xlfn.MINIFS($M:$M,$E:$E,$E360,$K:$K,$K360,$M:$M,"&gt;"&amp;$O360),"")</f>
        <v/>
      </c>
      <c r="Q360" s="396">
        <f>IF($P360="","",$P360-$O360)</f>
        <v/>
      </c>
    </row>
    <row r="361" ht="15" customHeight="1" s="231">
      <c r="A361" s="397" t="n"/>
      <c r="B361" s="397" t="n"/>
      <c r="C361" s="397" t="n"/>
      <c r="D361" s="397" t="n"/>
      <c r="E361" s="397" t="n"/>
      <c r="F361" s="397" t="n"/>
      <c r="G361" s="397" t="n"/>
      <c r="I361" s="397" t="n"/>
      <c r="J361" s="397" t="n"/>
      <c r="K361" s="395">
        <f>DATE(VALUE(LEFT(A361,4)),VALUE(MID(A361,5,2)),VALUE(RIGHT(A361,2)))</f>
        <v/>
      </c>
      <c r="L361" s="395">
        <f>DATEVALUE(LEFT(F361,10))</f>
        <v/>
      </c>
      <c r="M361" s="396">
        <f>TIMEVALUE(MID(F361,12,8))</f>
        <v/>
      </c>
      <c r="N361" s="395">
        <f>DATEVALUE(LEFT(G361,10))</f>
        <v/>
      </c>
      <c r="O361" s="396">
        <f>TIMEVALUE(MID(G361,12,8))</f>
        <v/>
      </c>
      <c r="P361" s="396">
        <f>IFERROR(_xlfn.MINIFS($M:$M,$E:$E,$E361,$K:$K,$K361,$M:$M,"&gt;"&amp;$O361),"")</f>
        <v/>
      </c>
      <c r="Q361" s="396">
        <f>IF($P361="","",$P361-$O361)</f>
        <v/>
      </c>
    </row>
    <row r="362" ht="15" customHeight="1" s="231">
      <c r="A362" s="397" t="n"/>
      <c r="B362" s="397" t="n"/>
      <c r="C362" s="397" t="n"/>
      <c r="D362" s="397" t="n"/>
      <c r="E362" s="397" t="n"/>
      <c r="F362" s="397" t="n"/>
      <c r="G362" s="397" t="n"/>
      <c r="I362" s="397" t="n"/>
      <c r="J362" s="397" t="n"/>
      <c r="K362" s="395">
        <f>DATE(VALUE(LEFT(A362,4)),VALUE(MID(A362,5,2)),VALUE(RIGHT(A362,2)))</f>
        <v/>
      </c>
      <c r="L362" s="395">
        <f>DATEVALUE(LEFT(F362,10))</f>
        <v/>
      </c>
      <c r="M362" s="396">
        <f>TIMEVALUE(MID(F362,12,8))</f>
        <v/>
      </c>
      <c r="N362" s="395">
        <f>DATEVALUE(LEFT(G362,10))</f>
        <v/>
      </c>
      <c r="O362" s="396">
        <f>TIMEVALUE(MID(G362,12,8))</f>
        <v/>
      </c>
      <c r="P362" s="396">
        <f>IFERROR(_xlfn.MINIFS($M:$M,$E:$E,$E362,$K:$K,$K362,$M:$M,"&gt;"&amp;$O362),"")</f>
        <v/>
      </c>
      <c r="Q362" s="396">
        <f>IF($P362="","",$P362-$O362)</f>
        <v/>
      </c>
    </row>
    <row r="363" ht="15" customHeight="1" s="231">
      <c r="A363" s="397" t="n"/>
      <c r="B363" s="397" t="n"/>
      <c r="C363" s="397" t="n"/>
      <c r="D363" s="397" t="n"/>
      <c r="E363" s="397" t="n"/>
      <c r="F363" s="397" t="n"/>
      <c r="G363" s="397" t="n"/>
      <c r="I363" s="397" t="n"/>
      <c r="J363" s="397" t="n"/>
      <c r="K363" s="395">
        <f>DATE(VALUE(LEFT(A363,4)),VALUE(MID(A363,5,2)),VALUE(RIGHT(A363,2)))</f>
        <v/>
      </c>
      <c r="L363" s="395">
        <f>DATEVALUE(LEFT(F363,10))</f>
        <v/>
      </c>
      <c r="M363" s="396">
        <f>TIMEVALUE(MID(F363,12,8))</f>
        <v/>
      </c>
      <c r="N363" s="395">
        <f>DATEVALUE(LEFT(G363,10))</f>
        <v/>
      </c>
      <c r="O363" s="396">
        <f>TIMEVALUE(MID(G363,12,8))</f>
        <v/>
      </c>
      <c r="P363" s="396">
        <f>IFERROR(_xlfn.MINIFS($M:$M,$E:$E,$E363,$K:$K,$K363,$M:$M,"&gt;"&amp;$O363),"")</f>
        <v/>
      </c>
      <c r="Q363" s="396">
        <f>IF($P363="","",$P363-$O363)</f>
        <v/>
      </c>
    </row>
    <row r="364" ht="15" customHeight="1" s="231">
      <c r="A364" s="397" t="n"/>
      <c r="B364" s="397" t="n"/>
      <c r="C364" s="397" t="n"/>
      <c r="D364" s="397" t="n"/>
      <c r="E364" s="397" t="n"/>
      <c r="F364" s="397" t="n"/>
      <c r="G364" s="397" t="n"/>
      <c r="I364" s="397" t="n"/>
      <c r="J364" s="397" t="n"/>
      <c r="K364" s="395">
        <f>DATE(VALUE(LEFT(A364,4)),VALUE(MID(A364,5,2)),VALUE(RIGHT(A364,2)))</f>
        <v/>
      </c>
      <c r="L364" s="395">
        <f>DATEVALUE(LEFT(F364,10))</f>
        <v/>
      </c>
      <c r="M364" s="396">
        <f>TIMEVALUE(MID(F364,12,8))</f>
        <v/>
      </c>
      <c r="N364" s="395">
        <f>DATEVALUE(LEFT(G364,10))</f>
        <v/>
      </c>
      <c r="O364" s="396">
        <f>TIMEVALUE(MID(G364,12,8))</f>
        <v/>
      </c>
      <c r="P364" s="396">
        <f>IFERROR(_xlfn.MINIFS($M:$M,$E:$E,$E364,$K:$K,$K364,$M:$M,"&gt;"&amp;$O364),"")</f>
        <v/>
      </c>
      <c r="Q364" s="396">
        <f>IF($P364="","",$P364-$O364)</f>
        <v/>
      </c>
    </row>
    <row r="365" ht="15" customHeight="1" s="231">
      <c r="A365" s="397" t="n"/>
      <c r="B365" s="397" t="n"/>
      <c r="C365" s="397" t="n"/>
      <c r="D365" s="397" t="n"/>
      <c r="E365" s="397" t="n"/>
      <c r="F365" s="397" t="n"/>
      <c r="G365" s="397" t="n"/>
      <c r="I365" s="397" t="n"/>
      <c r="J365" s="397" t="n"/>
      <c r="K365" s="395">
        <f>DATE(VALUE(LEFT(A365,4)),VALUE(MID(A365,5,2)),VALUE(RIGHT(A365,2)))</f>
        <v/>
      </c>
      <c r="L365" s="395">
        <f>DATEVALUE(LEFT(F365,10))</f>
        <v/>
      </c>
      <c r="M365" s="396">
        <f>TIMEVALUE(MID(F365,12,8))</f>
        <v/>
      </c>
      <c r="N365" s="395">
        <f>DATEVALUE(LEFT(G365,10))</f>
        <v/>
      </c>
      <c r="O365" s="396">
        <f>TIMEVALUE(MID(G365,12,8))</f>
        <v/>
      </c>
      <c r="P365" s="396">
        <f>IFERROR(_xlfn.MINIFS($M:$M,$E:$E,$E365,$K:$K,$K365,$M:$M,"&gt;"&amp;$O365),"")</f>
        <v/>
      </c>
      <c r="Q365" s="396">
        <f>IF($P365="","",$P365-$O365)</f>
        <v/>
      </c>
    </row>
    <row r="366" ht="15" customHeight="1" s="231">
      <c r="A366" s="397" t="n"/>
      <c r="B366" s="397" t="n"/>
      <c r="C366" s="397" t="n"/>
      <c r="D366" s="397" t="n"/>
      <c r="E366" s="397" t="n"/>
      <c r="F366" s="397" t="n"/>
      <c r="G366" s="397" t="n"/>
      <c r="I366" s="397" t="n"/>
      <c r="J366" s="397" t="n"/>
      <c r="K366" s="395">
        <f>DATE(VALUE(LEFT(A366,4)),VALUE(MID(A366,5,2)),VALUE(RIGHT(A366,2)))</f>
        <v/>
      </c>
      <c r="L366" s="395">
        <f>DATEVALUE(LEFT(F366,10))</f>
        <v/>
      </c>
      <c r="M366" s="396">
        <f>TIMEVALUE(MID(F366,12,8))</f>
        <v/>
      </c>
      <c r="N366" s="395">
        <f>DATEVALUE(LEFT(G366,10))</f>
        <v/>
      </c>
      <c r="O366" s="396">
        <f>TIMEVALUE(MID(G366,12,8))</f>
        <v/>
      </c>
      <c r="P366" s="396">
        <f>IFERROR(_xlfn.MINIFS($M:$M,$E:$E,$E366,$K:$K,$K366,$M:$M,"&gt;"&amp;$O366),"")</f>
        <v/>
      </c>
      <c r="Q366" s="396">
        <f>IF($P366="","",$P366-$O366)</f>
        <v/>
      </c>
    </row>
    <row r="367" ht="15" customHeight="1" s="231">
      <c r="A367" s="397" t="n"/>
      <c r="B367" s="397" t="n"/>
      <c r="C367" s="397" t="n"/>
      <c r="D367" s="397" t="n"/>
      <c r="E367" s="397" t="n"/>
      <c r="F367" s="397" t="n"/>
      <c r="G367" s="397" t="n"/>
      <c r="I367" s="397" t="n"/>
      <c r="J367" s="397" t="n"/>
      <c r="K367" s="395">
        <f>DATE(VALUE(LEFT(A367,4)),VALUE(MID(A367,5,2)),VALUE(RIGHT(A367,2)))</f>
        <v/>
      </c>
      <c r="L367" s="395">
        <f>DATEVALUE(LEFT(F367,10))</f>
        <v/>
      </c>
      <c r="M367" s="396">
        <f>TIMEVALUE(MID(F367,12,8))</f>
        <v/>
      </c>
      <c r="N367" s="395">
        <f>DATEVALUE(LEFT(G367,10))</f>
        <v/>
      </c>
      <c r="O367" s="396">
        <f>TIMEVALUE(MID(G367,12,8))</f>
        <v/>
      </c>
      <c r="P367" s="396">
        <f>IFERROR(_xlfn.MINIFS($M:$M,$E:$E,$E367,$K:$K,$K367,$M:$M,"&gt;"&amp;$O367),"")</f>
        <v/>
      </c>
      <c r="Q367" s="396">
        <f>IF($P367="","",$P367-$O367)</f>
        <v/>
      </c>
    </row>
    <row r="368" ht="15" customHeight="1" s="231">
      <c r="A368" s="397" t="n"/>
      <c r="B368" s="397" t="n"/>
      <c r="C368" s="397" t="n"/>
      <c r="D368" s="397" t="n"/>
      <c r="E368" s="397" t="n"/>
      <c r="F368" s="397" t="n"/>
      <c r="G368" s="397" t="n"/>
      <c r="I368" s="397" t="n"/>
      <c r="J368" s="397" t="n"/>
      <c r="K368" s="395">
        <f>DATE(VALUE(LEFT(A368,4)),VALUE(MID(A368,5,2)),VALUE(RIGHT(A368,2)))</f>
        <v/>
      </c>
      <c r="L368" s="395">
        <f>DATEVALUE(LEFT(F368,10))</f>
        <v/>
      </c>
      <c r="M368" s="396">
        <f>TIMEVALUE(MID(F368,12,8))</f>
        <v/>
      </c>
      <c r="N368" s="395">
        <f>DATEVALUE(LEFT(G368,10))</f>
        <v/>
      </c>
      <c r="O368" s="396">
        <f>TIMEVALUE(MID(G368,12,8))</f>
        <v/>
      </c>
      <c r="P368" s="396">
        <f>IFERROR(_xlfn.MINIFS($M:$M,$E:$E,$E368,$K:$K,$K368,$M:$M,"&gt;"&amp;$O368),"")</f>
        <v/>
      </c>
      <c r="Q368" s="396">
        <f>IF($P368="","",$P368-$O368)</f>
        <v/>
      </c>
    </row>
    <row r="369" ht="15" customHeight="1" s="231">
      <c r="A369" s="397" t="n"/>
      <c r="B369" s="397" t="n"/>
      <c r="C369" s="397" t="n"/>
      <c r="D369" s="397" t="n"/>
      <c r="E369" s="397" t="n"/>
      <c r="F369" s="397" t="n"/>
      <c r="G369" s="397" t="n"/>
      <c r="I369" s="397" t="n"/>
      <c r="J369" s="397" t="n"/>
      <c r="K369" s="395">
        <f>DATE(VALUE(LEFT(A369,4)),VALUE(MID(A369,5,2)),VALUE(RIGHT(A369,2)))</f>
        <v/>
      </c>
      <c r="L369" s="395">
        <f>DATEVALUE(LEFT(F369,10))</f>
        <v/>
      </c>
      <c r="M369" s="396">
        <f>TIMEVALUE(MID(F369,12,8))</f>
        <v/>
      </c>
      <c r="N369" s="395">
        <f>DATEVALUE(LEFT(G369,10))</f>
        <v/>
      </c>
      <c r="O369" s="396">
        <f>TIMEVALUE(MID(G369,12,8))</f>
        <v/>
      </c>
      <c r="P369" s="396">
        <f>IFERROR(_xlfn.MINIFS($M:$M,$E:$E,$E369,$K:$K,$K369,$M:$M,"&gt;"&amp;$O369),"")</f>
        <v/>
      </c>
      <c r="Q369" s="396">
        <f>IF($P369="","",$P369-$O369)</f>
        <v/>
      </c>
    </row>
    <row r="370" ht="15" customHeight="1" s="231">
      <c r="A370" s="397" t="n"/>
      <c r="B370" s="397" t="n"/>
      <c r="C370" s="397" t="n"/>
      <c r="D370" s="397" t="n"/>
      <c r="E370" s="397" t="n"/>
      <c r="F370" s="397" t="n"/>
      <c r="G370" s="397" t="n"/>
      <c r="I370" s="397" t="n"/>
      <c r="J370" s="397" t="n"/>
      <c r="K370" s="395">
        <f>DATE(VALUE(LEFT(A370,4)),VALUE(MID(A370,5,2)),VALUE(RIGHT(A370,2)))</f>
        <v/>
      </c>
      <c r="L370" s="395">
        <f>DATEVALUE(LEFT(F370,10))</f>
        <v/>
      </c>
      <c r="M370" s="396">
        <f>TIMEVALUE(MID(F370,12,8))</f>
        <v/>
      </c>
      <c r="N370" s="395">
        <f>DATEVALUE(LEFT(G370,10))</f>
        <v/>
      </c>
      <c r="O370" s="396">
        <f>TIMEVALUE(MID(G370,12,8))</f>
        <v/>
      </c>
      <c r="P370" s="396">
        <f>IFERROR(_xlfn.MINIFS($M:$M,$E:$E,$E370,$K:$K,$K370,$M:$M,"&gt;"&amp;$O370),"")</f>
        <v/>
      </c>
      <c r="Q370" s="396">
        <f>IF($P370="","",$P370-$O370)</f>
        <v/>
      </c>
    </row>
    <row r="371" ht="15" customHeight="1" s="231">
      <c r="A371" s="397" t="n"/>
      <c r="B371" s="397" t="n"/>
      <c r="C371" s="397" t="n"/>
      <c r="D371" s="397" t="n"/>
      <c r="E371" s="397" t="n"/>
      <c r="F371" s="397" t="n"/>
      <c r="G371" s="397" t="n"/>
      <c r="I371" s="397" t="n"/>
      <c r="J371" s="397" t="n"/>
      <c r="K371" s="395">
        <f>DATE(VALUE(LEFT(A371,4)),VALUE(MID(A371,5,2)),VALUE(RIGHT(A371,2)))</f>
        <v/>
      </c>
      <c r="L371" s="395">
        <f>DATEVALUE(LEFT(F371,10))</f>
        <v/>
      </c>
      <c r="M371" s="396">
        <f>TIMEVALUE(MID(F371,12,8))</f>
        <v/>
      </c>
      <c r="N371" s="395">
        <f>DATEVALUE(LEFT(G371,10))</f>
        <v/>
      </c>
      <c r="O371" s="396">
        <f>TIMEVALUE(MID(G371,12,8))</f>
        <v/>
      </c>
      <c r="P371" s="396">
        <f>IFERROR(_xlfn.MINIFS($M:$M,$E:$E,$E371,$K:$K,$K371,$M:$M,"&gt;"&amp;$O371),"")</f>
        <v/>
      </c>
      <c r="Q371" s="396">
        <f>IF($P371="","",$P371-$O371)</f>
        <v/>
      </c>
    </row>
    <row r="372" ht="15" customHeight="1" s="231">
      <c r="A372" s="397" t="n"/>
      <c r="B372" s="397" t="n"/>
      <c r="C372" s="397" t="n"/>
      <c r="D372" s="397" t="n"/>
      <c r="E372" s="397" t="n"/>
      <c r="F372" s="397" t="n"/>
      <c r="G372" s="397" t="n"/>
      <c r="I372" s="397" t="n"/>
      <c r="J372" s="397" t="n"/>
      <c r="K372" s="395">
        <f>DATE(VALUE(LEFT(A372,4)),VALUE(MID(A372,5,2)),VALUE(RIGHT(A372,2)))</f>
        <v/>
      </c>
      <c r="L372" s="395">
        <f>DATEVALUE(LEFT(F372,10))</f>
        <v/>
      </c>
      <c r="M372" s="396">
        <f>TIMEVALUE(MID(F372,12,8))</f>
        <v/>
      </c>
      <c r="N372" s="395">
        <f>DATEVALUE(LEFT(G372,10))</f>
        <v/>
      </c>
      <c r="O372" s="396">
        <f>TIMEVALUE(MID(G372,12,8))</f>
        <v/>
      </c>
      <c r="P372" s="396">
        <f>IFERROR(_xlfn.MINIFS($M:$M,$E:$E,$E372,$K:$K,$K372,$M:$M,"&gt;"&amp;$O372),"")</f>
        <v/>
      </c>
      <c r="Q372" s="396">
        <f>IF($P372="","",$P372-$O372)</f>
        <v/>
      </c>
    </row>
    <row r="373" ht="15" customHeight="1" s="231">
      <c r="A373" s="397" t="n"/>
      <c r="B373" s="397" t="n"/>
      <c r="C373" s="397" t="n"/>
      <c r="D373" s="397" t="n"/>
      <c r="E373" s="397" t="n"/>
      <c r="F373" s="397" t="n"/>
      <c r="G373" s="397" t="n"/>
      <c r="I373" s="397" t="n"/>
      <c r="J373" s="397" t="n"/>
      <c r="K373" s="395">
        <f>DATE(VALUE(LEFT(A373,4)),VALUE(MID(A373,5,2)),VALUE(RIGHT(A373,2)))</f>
        <v/>
      </c>
      <c r="L373" s="395">
        <f>DATEVALUE(LEFT(F373,10))</f>
        <v/>
      </c>
      <c r="M373" s="396">
        <f>TIMEVALUE(MID(F373,12,8))</f>
        <v/>
      </c>
      <c r="N373" s="395">
        <f>DATEVALUE(LEFT(G373,10))</f>
        <v/>
      </c>
      <c r="O373" s="396">
        <f>TIMEVALUE(MID(G373,12,8))</f>
        <v/>
      </c>
      <c r="P373" s="396">
        <f>IFERROR(_xlfn.MINIFS($M:$M,$E:$E,$E373,$K:$K,$K373,$M:$M,"&gt;"&amp;$O373),"")</f>
        <v/>
      </c>
      <c r="Q373" s="396">
        <f>IF($P373="","",$P373-$O373)</f>
        <v/>
      </c>
    </row>
    <row r="374" ht="15" customHeight="1" s="231">
      <c r="A374" s="397" t="n"/>
      <c r="B374" s="397" t="n"/>
      <c r="C374" s="397" t="n"/>
      <c r="D374" s="397" t="n"/>
      <c r="E374" s="397" t="n"/>
      <c r="F374" s="397" t="n"/>
      <c r="G374" s="397" t="n"/>
      <c r="I374" s="397" t="n"/>
      <c r="J374" s="397" t="n"/>
      <c r="K374" s="395">
        <f>DATE(VALUE(LEFT(A374,4)),VALUE(MID(A374,5,2)),VALUE(RIGHT(A374,2)))</f>
        <v/>
      </c>
      <c r="L374" s="395">
        <f>DATEVALUE(LEFT(F374,10))</f>
        <v/>
      </c>
      <c r="M374" s="396">
        <f>TIMEVALUE(MID(F374,12,8))</f>
        <v/>
      </c>
      <c r="N374" s="395">
        <f>DATEVALUE(LEFT(G374,10))</f>
        <v/>
      </c>
      <c r="O374" s="396">
        <f>TIMEVALUE(MID(G374,12,8))</f>
        <v/>
      </c>
      <c r="P374" s="396">
        <f>IFERROR(_xlfn.MINIFS($M:$M,$E:$E,$E374,$K:$K,$K374,$M:$M,"&gt;"&amp;$O374),"")</f>
        <v/>
      </c>
      <c r="Q374" s="396">
        <f>IF($P374="","",$P374-$O374)</f>
        <v/>
      </c>
    </row>
    <row r="375" ht="15" customHeight="1" s="231">
      <c r="A375" s="397" t="n"/>
      <c r="B375" s="397" t="n"/>
      <c r="C375" s="397" t="n"/>
      <c r="D375" s="397" t="n"/>
      <c r="E375" s="397" t="n"/>
      <c r="F375" s="397" t="n"/>
      <c r="G375" s="397" t="n"/>
      <c r="I375" s="397" t="n"/>
      <c r="J375" s="397" t="n"/>
      <c r="K375" s="395">
        <f>DATE(VALUE(LEFT(A375,4)),VALUE(MID(A375,5,2)),VALUE(RIGHT(A375,2)))</f>
        <v/>
      </c>
      <c r="L375" s="395">
        <f>DATEVALUE(LEFT(F375,10))</f>
        <v/>
      </c>
      <c r="M375" s="396">
        <f>TIMEVALUE(MID(F375,12,8))</f>
        <v/>
      </c>
      <c r="N375" s="395">
        <f>DATEVALUE(LEFT(G375,10))</f>
        <v/>
      </c>
      <c r="O375" s="396">
        <f>TIMEVALUE(MID(G375,12,8))</f>
        <v/>
      </c>
      <c r="P375" s="396">
        <f>IFERROR(_xlfn.MINIFS($M:$M,$E:$E,$E375,$K:$K,$K375,$M:$M,"&gt;"&amp;$O375),"")</f>
        <v/>
      </c>
      <c r="Q375" s="396">
        <f>IF($P375="","",$P375-$O375)</f>
        <v/>
      </c>
    </row>
    <row r="376" ht="15" customHeight="1" s="231">
      <c r="A376" s="397" t="n"/>
      <c r="B376" s="397" t="n"/>
      <c r="C376" s="397" t="n"/>
      <c r="D376" s="397" t="n"/>
      <c r="E376" s="397" t="n"/>
      <c r="F376" s="397" t="n"/>
      <c r="G376" s="397" t="n"/>
      <c r="I376" s="397" t="n"/>
      <c r="J376" s="397" t="n"/>
      <c r="K376" s="395">
        <f>DATE(VALUE(LEFT(A376,4)),VALUE(MID(A376,5,2)),VALUE(RIGHT(A376,2)))</f>
        <v/>
      </c>
      <c r="L376" s="395">
        <f>DATEVALUE(LEFT(F376,10))</f>
        <v/>
      </c>
      <c r="M376" s="396">
        <f>TIMEVALUE(MID(F376,12,8))</f>
        <v/>
      </c>
      <c r="N376" s="395">
        <f>DATEVALUE(LEFT(G376,10))</f>
        <v/>
      </c>
      <c r="O376" s="396">
        <f>TIMEVALUE(MID(G376,12,8))</f>
        <v/>
      </c>
      <c r="P376" s="396">
        <f>IFERROR(_xlfn.MINIFS($M:$M,$E:$E,$E376,$K:$K,$K376,$M:$M,"&gt;"&amp;$O376),"")</f>
        <v/>
      </c>
      <c r="Q376" s="396">
        <f>IF($P376="","",$P376-$O376)</f>
        <v/>
      </c>
    </row>
    <row r="377" ht="15" customHeight="1" s="231">
      <c r="A377" s="397" t="n"/>
      <c r="B377" s="397" t="n"/>
      <c r="C377" s="397" t="n"/>
      <c r="D377" s="397" t="n"/>
      <c r="E377" s="397" t="n"/>
      <c r="F377" s="397" t="n"/>
      <c r="G377" s="397" t="n"/>
      <c r="I377" s="397" t="n"/>
      <c r="J377" s="397" t="n"/>
      <c r="K377" s="395">
        <f>DATE(VALUE(LEFT(A377,4)),VALUE(MID(A377,5,2)),VALUE(RIGHT(A377,2)))</f>
        <v/>
      </c>
      <c r="L377" s="395">
        <f>DATEVALUE(LEFT(F377,10))</f>
        <v/>
      </c>
      <c r="M377" s="396">
        <f>TIMEVALUE(MID(F377,12,8))</f>
        <v/>
      </c>
      <c r="N377" s="395">
        <f>DATEVALUE(LEFT(G377,10))</f>
        <v/>
      </c>
      <c r="O377" s="396">
        <f>TIMEVALUE(MID(G377,12,8))</f>
        <v/>
      </c>
      <c r="P377" s="396">
        <f>IFERROR(_xlfn.MINIFS($M:$M,$E:$E,$E377,$K:$K,$K377,$M:$M,"&gt;"&amp;$O377),"")</f>
        <v/>
      </c>
      <c r="Q377" s="396">
        <f>IF($P377="","",$P377-$O377)</f>
        <v/>
      </c>
    </row>
    <row r="378" ht="15" customHeight="1" s="231">
      <c r="A378" s="397" t="n"/>
      <c r="B378" s="397" t="n"/>
      <c r="C378" s="397" t="n"/>
      <c r="D378" s="397" t="n"/>
      <c r="E378" s="397" t="n"/>
      <c r="F378" s="397" t="n"/>
      <c r="G378" s="397" t="n"/>
      <c r="I378" s="397" t="n"/>
      <c r="J378" s="397" t="n"/>
      <c r="K378" s="395">
        <f>DATE(VALUE(LEFT(A378,4)),VALUE(MID(A378,5,2)),VALUE(RIGHT(A378,2)))</f>
        <v/>
      </c>
      <c r="L378" s="395">
        <f>DATEVALUE(LEFT(F378,10))</f>
        <v/>
      </c>
      <c r="M378" s="396">
        <f>TIMEVALUE(MID(F378,12,8))</f>
        <v/>
      </c>
      <c r="N378" s="395">
        <f>DATEVALUE(LEFT(G378,10))</f>
        <v/>
      </c>
      <c r="O378" s="396">
        <f>TIMEVALUE(MID(G378,12,8))</f>
        <v/>
      </c>
      <c r="P378" s="396">
        <f>IFERROR(_xlfn.MINIFS($M:$M,$E:$E,$E378,$K:$K,$K378,$M:$M,"&gt;"&amp;$O378),"")</f>
        <v/>
      </c>
      <c r="Q378" s="396">
        <f>IF($P378="","",$P378-$O378)</f>
        <v/>
      </c>
    </row>
    <row r="379" ht="15" customHeight="1" s="231">
      <c r="A379" s="397" t="n"/>
      <c r="B379" s="397" t="n"/>
      <c r="C379" s="397" t="n"/>
      <c r="D379" s="397" t="n"/>
      <c r="E379" s="397" t="n"/>
      <c r="F379" s="397" t="n"/>
      <c r="G379" s="397" t="n"/>
      <c r="I379" s="397" t="n"/>
      <c r="J379" s="397" t="n"/>
      <c r="K379" s="395">
        <f>DATE(VALUE(LEFT(A379,4)),VALUE(MID(A379,5,2)),VALUE(RIGHT(A379,2)))</f>
        <v/>
      </c>
      <c r="L379" s="395">
        <f>DATEVALUE(LEFT(F379,10))</f>
        <v/>
      </c>
      <c r="M379" s="396">
        <f>TIMEVALUE(MID(F379,12,8))</f>
        <v/>
      </c>
      <c r="N379" s="395">
        <f>DATEVALUE(LEFT(G379,10))</f>
        <v/>
      </c>
      <c r="O379" s="396">
        <f>TIMEVALUE(MID(G379,12,8))</f>
        <v/>
      </c>
      <c r="P379" s="396">
        <f>IFERROR(_xlfn.MINIFS($M:$M,$E:$E,$E379,$K:$K,$K379,$M:$M,"&gt;"&amp;$O379),"")</f>
        <v/>
      </c>
      <c r="Q379" s="396">
        <f>IF($P379="","",$P379-$O379)</f>
        <v/>
      </c>
    </row>
    <row r="380" ht="15" customHeight="1" s="231">
      <c r="A380" s="397" t="n"/>
      <c r="B380" s="397" t="n"/>
      <c r="C380" s="397" t="n"/>
      <c r="D380" s="397" t="n"/>
      <c r="E380" s="397" t="n"/>
      <c r="F380" s="397" t="n"/>
      <c r="G380" s="397" t="n"/>
      <c r="I380" s="397" t="n"/>
      <c r="J380" s="397" t="n"/>
      <c r="K380" s="395">
        <f>DATE(VALUE(LEFT(A380,4)),VALUE(MID(A380,5,2)),VALUE(RIGHT(A380,2)))</f>
        <v/>
      </c>
      <c r="L380" s="395">
        <f>DATEVALUE(LEFT(F380,10))</f>
        <v/>
      </c>
      <c r="M380" s="396">
        <f>TIMEVALUE(MID(F380,12,8))</f>
        <v/>
      </c>
      <c r="N380" s="395">
        <f>DATEVALUE(LEFT(G380,10))</f>
        <v/>
      </c>
      <c r="O380" s="396">
        <f>TIMEVALUE(MID(G380,12,8))</f>
        <v/>
      </c>
      <c r="P380" s="396">
        <f>IFERROR(_xlfn.MINIFS($M:$M,$E:$E,$E380,$K:$K,$K380,$M:$M,"&gt;"&amp;$O380),"")</f>
        <v/>
      </c>
      <c r="Q380" s="396">
        <f>IF($P380="","",$P380-$O380)</f>
        <v/>
      </c>
    </row>
    <row r="381" ht="15" customHeight="1" s="231">
      <c r="A381" s="397" t="n"/>
      <c r="B381" s="397" t="n"/>
      <c r="C381" s="397" t="n"/>
      <c r="D381" s="397" t="n"/>
      <c r="E381" s="397" t="n"/>
      <c r="F381" s="397" t="n"/>
      <c r="G381" s="397" t="n"/>
      <c r="I381" s="397" t="n"/>
      <c r="J381" s="397" t="n"/>
      <c r="K381" s="395">
        <f>DATE(VALUE(LEFT(A381,4)),VALUE(MID(A381,5,2)),VALUE(RIGHT(A381,2)))</f>
        <v/>
      </c>
      <c r="L381" s="395">
        <f>DATEVALUE(LEFT(F381,10))</f>
        <v/>
      </c>
      <c r="M381" s="396">
        <f>TIMEVALUE(MID(F381,12,8))</f>
        <v/>
      </c>
      <c r="N381" s="395">
        <f>DATEVALUE(LEFT(G381,10))</f>
        <v/>
      </c>
      <c r="O381" s="396">
        <f>TIMEVALUE(MID(G381,12,8))</f>
        <v/>
      </c>
      <c r="P381" s="396">
        <f>IFERROR(_xlfn.MINIFS($M:$M,$E:$E,$E381,$K:$K,$K381,$M:$M,"&gt;"&amp;$O381),"")</f>
        <v/>
      </c>
      <c r="Q381" s="396">
        <f>IF($P381="","",$P381-$O381)</f>
        <v/>
      </c>
    </row>
    <row r="382" ht="15" customHeight="1" s="231">
      <c r="A382" s="397" t="n"/>
      <c r="B382" s="397" t="n"/>
      <c r="C382" s="397" t="n"/>
      <c r="D382" s="397" t="n"/>
      <c r="E382" s="397" t="n"/>
      <c r="F382" s="397" t="n"/>
      <c r="G382" s="397" t="n"/>
      <c r="I382" s="397" t="n"/>
      <c r="J382" s="397" t="n"/>
      <c r="K382" s="395">
        <f>DATE(VALUE(LEFT(A382,4)),VALUE(MID(A382,5,2)),VALUE(RIGHT(A382,2)))</f>
        <v/>
      </c>
      <c r="L382" s="395">
        <f>DATEVALUE(LEFT(F382,10))</f>
        <v/>
      </c>
      <c r="M382" s="396">
        <f>TIMEVALUE(MID(F382,12,8))</f>
        <v/>
      </c>
      <c r="N382" s="395">
        <f>DATEVALUE(LEFT(G382,10))</f>
        <v/>
      </c>
      <c r="O382" s="396">
        <f>TIMEVALUE(MID(G382,12,8))</f>
        <v/>
      </c>
      <c r="P382" s="396">
        <f>IFERROR(_xlfn.MINIFS($M:$M,$E:$E,$E382,$K:$K,$K382,$M:$M,"&gt;"&amp;$O382),"")</f>
        <v/>
      </c>
      <c r="Q382" s="396">
        <f>IF($P382="","",$P382-$O382)</f>
        <v/>
      </c>
    </row>
    <row r="383" ht="15" customHeight="1" s="231">
      <c r="A383" s="397" t="n"/>
      <c r="B383" s="397" t="n"/>
      <c r="C383" s="397" t="n"/>
      <c r="D383" s="397" t="n"/>
      <c r="E383" s="397" t="n"/>
      <c r="F383" s="397" t="n"/>
      <c r="G383" s="397" t="n"/>
      <c r="I383" s="397" t="n"/>
      <c r="J383" s="397" t="n"/>
      <c r="K383" s="395">
        <f>DATE(VALUE(LEFT(A383,4)),VALUE(MID(A383,5,2)),VALUE(RIGHT(A383,2)))</f>
        <v/>
      </c>
      <c r="L383" s="395">
        <f>DATEVALUE(LEFT(F383,10))</f>
        <v/>
      </c>
      <c r="M383" s="396">
        <f>TIMEVALUE(MID(F383,12,8))</f>
        <v/>
      </c>
      <c r="N383" s="395">
        <f>DATEVALUE(LEFT(G383,10))</f>
        <v/>
      </c>
      <c r="O383" s="396">
        <f>TIMEVALUE(MID(G383,12,8))</f>
        <v/>
      </c>
      <c r="P383" s="396">
        <f>IFERROR(_xlfn.MINIFS($M:$M,$E:$E,$E383,$K:$K,$K383,$M:$M,"&gt;"&amp;$O383),"")</f>
        <v/>
      </c>
      <c r="Q383" s="396">
        <f>IF($P383="","",$P383-$O383)</f>
        <v/>
      </c>
    </row>
    <row r="384" ht="15" customHeight="1" s="231">
      <c r="A384" s="397" t="n"/>
      <c r="B384" s="397" t="n"/>
      <c r="C384" s="397" t="n"/>
      <c r="D384" s="397" t="n"/>
      <c r="E384" s="397" t="n"/>
      <c r="F384" s="397" t="n"/>
      <c r="G384" s="397" t="n"/>
      <c r="I384" s="397" t="n"/>
      <c r="J384" s="397" t="n"/>
      <c r="K384" s="395">
        <f>DATE(VALUE(LEFT(A384,4)),VALUE(MID(A384,5,2)),VALUE(RIGHT(A384,2)))</f>
        <v/>
      </c>
      <c r="L384" s="395">
        <f>DATEVALUE(LEFT(F384,10))</f>
        <v/>
      </c>
      <c r="M384" s="396">
        <f>TIMEVALUE(MID(F384,12,8))</f>
        <v/>
      </c>
      <c r="N384" s="395">
        <f>DATEVALUE(LEFT(G384,10))</f>
        <v/>
      </c>
      <c r="O384" s="396">
        <f>TIMEVALUE(MID(G384,12,8))</f>
        <v/>
      </c>
      <c r="P384" s="396">
        <f>IFERROR(_xlfn.MINIFS($M:$M,$E:$E,$E384,$K:$K,$K384,$M:$M,"&gt;"&amp;$O384),"")</f>
        <v/>
      </c>
      <c r="Q384" s="396">
        <f>IF($P384="","",$P384-$O384)</f>
        <v/>
      </c>
    </row>
    <row r="385" ht="15" customHeight="1" s="231">
      <c r="A385" s="397" t="n"/>
      <c r="B385" s="397" t="n"/>
      <c r="C385" s="397" t="n"/>
      <c r="D385" s="397" t="n"/>
      <c r="E385" s="397" t="n"/>
      <c r="F385" s="397" t="n"/>
      <c r="G385" s="397" t="n"/>
      <c r="I385" s="397" t="n"/>
      <c r="J385" s="397" t="n"/>
      <c r="K385" s="395">
        <f>DATE(VALUE(LEFT(A385,4)),VALUE(MID(A385,5,2)),VALUE(RIGHT(A385,2)))</f>
        <v/>
      </c>
      <c r="L385" s="395">
        <f>DATEVALUE(LEFT(F385,10))</f>
        <v/>
      </c>
      <c r="M385" s="396">
        <f>TIMEVALUE(MID(F385,12,8))</f>
        <v/>
      </c>
      <c r="N385" s="395">
        <f>DATEVALUE(LEFT(G385,10))</f>
        <v/>
      </c>
      <c r="O385" s="396">
        <f>TIMEVALUE(MID(G385,12,8))</f>
        <v/>
      </c>
      <c r="P385" s="396">
        <f>IFERROR(_xlfn.MINIFS($M:$M,$E:$E,$E385,$K:$K,$K385,$M:$M,"&gt;"&amp;$O385),"")</f>
        <v/>
      </c>
      <c r="Q385" s="396">
        <f>IF($P385="","",$P385-$O385)</f>
        <v/>
      </c>
    </row>
    <row r="386" ht="15" customHeight="1" s="231">
      <c r="A386" s="397" t="n"/>
      <c r="B386" s="397" t="n"/>
      <c r="C386" s="397" t="n"/>
      <c r="D386" s="397" t="n"/>
      <c r="E386" s="397" t="n"/>
      <c r="F386" s="397" t="n"/>
      <c r="G386" s="397" t="n"/>
      <c r="I386" s="397" t="n"/>
      <c r="J386" s="397" t="n"/>
      <c r="K386" s="395">
        <f>DATE(VALUE(LEFT(A386,4)),VALUE(MID(A386,5,2)),VALUE(RIGHT(A386,2)))</f>
        <v/>
      </c>
      <c r="L386" s="395">
        <f>DATEVALUE(LEFT(F386,10))</f>
        <v/>
      </c>
      <c r="M386" s="396">
        <f>TIMEVALUE(MID(F386,12,8))</f>
        <v/>
      </c>
      <c r="N386" s="395">
        <f>DATEVALUE(LEFT(G386,10))</f>
        <v/>
      </c>
      <c r="O386" s="396">
        <f>TIMEVALUE(MID(G386,12,8))</f>
        <v/>
      </c>
      <c r="P386" s="396">
        <f>IFERROR(_xlfn.MINIFS($M:$M,$E:$E,$E386,$K:$K,$K386,$M:$M,"&gt;"&amp;$O386),"")</f>
        <v/>
      </c>
      <c r="Q386" s="396">
        <f>IF($P386="","",$P386-$O386)</f>
        <v/>
      </c>
    </row>
    <row r="387" ht="15" customHeight="1" s="231">
      <c r="A387" s="397" t="n"/>
      <c r="B387" s="397" t="n"/>
      <c r="C387" s="397" t="n"/>
      <c r="D387" s="397" t="n"/>
      <c r="E387" s="397" t="n"/>
      <c r="F387" s="397" t="n"/>
      <c r="G387" s="397" t="n"/>
      <c r="I387" s="397" t="n"/>
      <c r="J387" s="397" t="n"/>
      <c r="K387" s="395">
        <f>DATE(VALUE(LEFT(A387,4)),VALUE(MID(A387,5,2)),VALUE(RIGHT(A387,2)))</f>
        <v/>
      </c>
      <c r="L387" s="395">
        <f>DATEVALUE(LEFT(F387,10))</f>
        <v/>
      </c>
      <c r="M387" s="396">
        <f>TIMEVALUE(MID(F387,12,8))</f>
        <v/>
      </c>
      <c r="N387" s="395">
        <f>DATEVALUE(LEFT(G387,10))</f>
        <v/>
      </c>
      <c r="O387" s="396">
        <f>TIMEVALUE(MID(G387,12,8))</f>
        <v/>
      </c>
      <c r="P387" s="396">
        <f>IFERROR(_xlfn.MINIFS($M:$M,$E:$E,$E387,$K:$K,$K387,$M:$M,"&gt;"&amp;$O387),"")</f>
        <v/>
      </c>
      <c r="Q387" s="396">
        <f>IF($P387="","",$P387-$O387)</f>
        <v/>
      </c>
    </row>
    <row r="388" ht="15" customHeight="1" s="231">
      <c r="A388" s="397" t="n"/>
      <c r="B388" s="397" t="n"/>
      <c r="C388" s="397" t="n"/>
      <c r="D388" s="397" t="n"/>
      <c r="E388" s="397" t="n"/>
      <c r="F388" s="397" t="n"/>
      <c r="G388" s="397" t="n"/>
      <c r="I388" s="397" t="n"/>
      <c r="J388" s="397" t="n"/>
      <c r="K388" s="395">
        <f>DATE(VALUE(LEFT(A388,4)),VALUE(MID(A388,5,2)),VALUE(RIGHT(A388,2)))</f>
        <v/>
      </c>
      <c r="L388" s="395">
        <f>DATEVALUE(LEFT(F388,10))</f>
        <v/>
      </c>
      <c r="M388" s="396">
        <f>TIMEVALUE(MID(F388,12,8))</f>
        <v/>
      </c>
      <c r="N388" s="395">
        <f>DATEVALUE(LEFT(G388,10))</f>
        <v/>
      </c>
      <c r="O388" s="396">
        <f>TIMEVALUE(MID(G388,12,8))</f>
        <v/>
      </c>
      <c r="P388" s="396">
        <f>IFERROR(_xlfn.MINIFS($M:$M,$E:$E,$E388,$K:$K,$K388,$M:$M,"&gt;"&amp;$O388),"")</f>
        <v/>
      </c>
      <c r="Q388" s="396">
        <f>IF($P388="","",$P388-$O388)</f>
        <v/>
      </c>
    </row>
    <row r="389" ht="15" customHeight="1" s="231">
      <c r="A389" s="397" t="n"/>
      <c r="B389" s="397" t="n"/>
      <c r="C389" s="397" t="n"/>
      <c r="D389" s="397" t="n"/>
      <c r="E389" s="397" t="n"/>
      <c r="F389" s="397" t="n"/>
      <c r="G389" s="397" t="n"/>
      <c r="I389" s="397" t="n"/>
      <c r="J389" s="397" t="n"/>
      <c r="K389" s="395">
        <f>DATE(VALUE(LEFT(A389,4)),VALUE(MID(A389,5,2)),VALUE(RIGHT(A389,2)))</f>
        <v/>
      </c>
      <c r="L389" s="395">
        <f>DATEVALUE(LEFT(F389,10))</f>
        <v/>
      </c>
      <c r="M389" s="396">
        <f>TIMEVALUE(MID(F389,12,8))</f>
        <v/>
      </c>
      <c r="N389" s="395">
        <f>DATEVALUE(LEFT(G389,10))</f>
        <v/>
      </c>
      <c r="O389" s="396">
        <f>TIMEVALUE(MID(G389,12,8))</f>
        <v/>
      </c>
      <c r="P389" s="396">
        <f>IFERROR(_xlfn.MINIFS($M:$M,$E:$E,$E389,$K:$K,$K389,$M:$M,"&gt;"&amp;$O389),"")</f>
        <v/>
      </c>
      <c r="Q389" s="396">
        <f>IF($P389="","",$P389-$O389)</f>
        <v/>
      </c>
    </row>
    <row r="390" ht="15" customHeight="1" s="231">
      <c r="A390" s="397" t="n"/>
      <c r="B390" s="397" t="n"/>
      <c r="C390" s="397" t="n"/>
      <c r="D390" s="397" t="n"/>
      <c r="E390" s="397" t="n"/>
      <c r="F390" s="397" t="n"/>
      <c r="G390" s="397" t="n"/>
      <c r="I390" s="397" t="n"/>
      <c r="J390" s="397" t="n"/>
      <c r="K390" s="395">
        <f>DATE(VALUE(LEFT(A390,4)),VALUE(MID(A390,5,2)),VALUE(RIGHT(A390,2)))</f>
        <v/>
      </c>
      <c r="L390" s="395">
        <f>DATEVALUE(LEFT(F390,10))</f>
        <v/>
      </c>
      <c r="M390" s="396">
        <f>TIMEVALUE(MID(F390,12,8))</f>
        <v/>
      </c>
      <c r="N390" s="395">
        <f>DATEVALUE(LEFT(G390,10))</f>
        <v/>
      </c>
      <c r="O390" s="396">
        <f>TIMEVALUE(MID(G390,12,8))</f>
        <v/>
      </c>
      <c r="P390" s="396">
        <f>IFERROR(_xlfn.MINIFS($M:$M,$E:$E,$E390,$K:$K,$K390,$M:$M,"&gt;"&amp;$O390),"")</f>
        <v/>
      </c>
      <c r="Q390" s="396">
        <f>IF($P390="","",$P390-$O390)</f>
        <v/>
      </c>
    </row>
    <row r="391" ht="15" customHeight="1" s="231">
      <c r="A391" s="397" t="n"/>
      <c r="B391" s="397" t="n"/>
      <c r="C391" s="397" t="n"/>
      <c r="D391" s="397" t="n"/>
      <c r="E391" s="397" t="n"/>
      <c r="F391" s="397" t="n"/>
      <c r="G391" s="397" t="n"/>
      <c r="I391" s="397" t="n"/>
      <c r="J391" s="397" t="n"/>
      <c r="K391" s="395">
        <f>DATE(VALUE(LEFT(A391,4)),VALUE(MID(A391,5,2)),VALUE(RIGHT(A391,2)))</f>
        <v/>
      </c>
      <c r="L391" s="395">
        <f>DATEVALUE(LEFT(F391,10))</f>
        <v/>
      </c>
      <c r="M391" s="396">
        <f>TIMEVALUE(MID(F391,12,8))</f>
        <v/>
      </c>
      <c r="N391" s="395">
        <f>DATEVALUE(LEFT(G391,10))</f>
        <v/>
      </c>
      <c r="O391" s="396">
        <f>TIMEVALUE(MID(G391,12,8))</f>
        <v/>
      </c>
      <c r="P391" s="396">
        <f>IFERROR(_xlfn.MINIFS($M:$M,$E:$E,$E391,$K:$K,$K391,$M:$M,"&gt;"&amp;$O391),"")</f>
        <v/>
      </c>
      <c r="Q391" s="396">
        <f>IF($P391="","",$P391-$O391)</f>
        <v/>
      </c>
    </row>
    <row r="392" ht="15" customHeight="1" s="231">
      <c r="A392" s="397" t="n"/>
      <c r="B392" s="397" t="n"/>
      <c r="C392" s="397" t="n"/>
      <c r="D392" s="397" t="n"/>
      <c r="E392" s="397" t="n"/>
      <c r="F392" s="397" t="n"/>
      <c r="G392" s="397" t="n"/>
      <c r="I392" s="397" t="n"/>
      <c r="J392" s="397" t="n"/>
      <c r="K392" s="395">
        <f>DATE(VALUE(LEFT(A392,4)),VALUE(MID(A392,5,2)),VALUE(RIGHT(A392,2)))</f>
        <v/>
      </c>
      <c r="L392" s="395">
        <f>DATEVALUE(LEFT(F392,10))</f>
        <v/>
      </c>
      <c r="M392" s="396">
        <f>TIMEVALUE(MID(F392,12,8))</f>
        <v/>
      </c>
      <c r="N392" s="395">
        <f>DATEVALUE(LEFT(G392,10))</f>
        <v/>
      </c>
      <c r="O392" s="396">
        <f>TIMEVALUE(MID(G392,12,8))</f>
        <v/>
      </c>
      <c r="P392" s="396">
        <f>IFERROR(_xlfn.MINIFS($M:$M,$E:$E,$E392,$K:$K,$K392,$M:$M,"&gt;"&amp;$O392),"")</f>
        <v/>
      </c>
      <c r="Q392" s="396">
        <f>IF($P392="","",$P392-$O392)</f>
        <v/>
      </c>
    </row>
    <row r="393" ht="15" customHeight="1" s="231">
      <c r="A393" s="397" t="n"/>
      <c r="B393" s="397" t="n"/>
      <c r="C393" s="397" t="n"/>
      <c r="D393" s="397" t="n"/>
      <c r="E393" s="397" t="n"/>
      <c r="F393" s="397" t="n"/>
      <c r="G393" s="397" t="n"/>
      <c r="I393" s="397" t="n"/>
      <c r="J393" s="397" t="n"/>
      <c r="K393" s="395">
        <f>DATE(VALUE(LEFT(A393,4)),VALUE(MID(A393,5,2)),VALUE(RIGHT(A393,2)))</f>
        <v/>
      </c>
      <c r="L393" s="395">
        <f>DATEVALUE(LEFT(F393,10))</f>
        <v/>
      </c>
      <c r="M393" s="396">
        <f>TIMEVALUE(MID(F393,12,8))</f>
        <v/>
      </c>
      <c r="N393" s="395">
        <f>DATEVALUE(LEFT(G393,10))</f>
        <v/>
      </c>
      <c r="O393" s="396">
        <f>TIMEVALUE(MID(G393,12,8))</f>
        <v/>
      </c>
      <c r="P393" s="396">
        <f>IFERROR(_xlfn.MINIFS($M:$M,$E:$E,$E393,$K:$K,$K393,$M:$M,"&gt;"&amp;$O393),"")</f>
        <v/>
      </c>
      <c r="Q393" s="396">
        <f>IF($P393="","",$P393-$O393)</f>
        <v/>
      </c>
    </row>
    <row r="394" ht="15" customHeight="1" s="231">
      <c r="A394" s="397" t="n"/>
      <c r="B394" s="397" t="n"/>
      <c r="C394" s="397" t="n"/>
      <c r="D394" s="397" t="n"/>
      <c r="E394" s="397" t="n"/>
      <c r="F394" s="397" t="n"/>
      <c r="G394" s="397" t="n"/>
      <c r="I394" s="397" t="n"/>
      <c r="J394" s="397" t="n"/>
      <c r="K394" s="395">
        <f>DATE(VALUE(LEFT(A394,4)),VALUE(MID(A394,5,2)),VALUE(RIGHT(A394,2)))</f>
        <v/>
      </c>
      <c r="L394" s="395">
        <f>DATEVALUE(LEFT(F394,10))</f>
        <v/>
      </c>
      <c r="M394" s="396">
        <f>TIMEVALUE(MID(F394,12,8))</f>
        <v/>
      </c>
      <c r="N394" s="395">
        <f>DATEVALUE(LEFT(G394,10))</f>
        <v/>
      </c>
      <c r="O394" s="396">
        <f>TIMEVALUE(MID(G394,12,8))</f>
        <v/>
      </c>
      <c r="P394" s="396">
        <f>IFERROR(_xlfn.MINIFS($M:$M,$E:$E,$E394,$K:$K,$K394,$M:$M,"&gt;"&amp;$O394),"")</f>
        <v/>
      </c>
      <c r="Q394" s="396">
        <f>IF($P394="","",$P394-$O394)</f>
        <v/>
      </c>
    </row>
    <row r="395" ht="15" customHeight="1" s="231">
      <c r="A395" s="397" t="n"/>
      <c r="B395" s="397" t="n"/>
      <c r="C395" s="397" t="n"/>
      <c r="D395" s="397" t="n"/>
      <c r="E395" s="397" t="n"/>
      <c r="F395" s="397" t="n"/>
      <c r="G395" s="397" t="n"/>
      <c r="I395" s="397" t="n"/>
      <c r="J395" s="397" t="n"/>
      <c r="K395" s="395">
        <f>DATE(VALUE(LEFT(A395,4)),VALUE(MID(A395,5,2)),VALUE(RIGHT(A395,2)))</f>
        <v/>
      </c>
      <c r="L395" s="395">
        <f>DATEVALUE(LEFT(F395,10))</f>
        <v/>
      </c>
      <c r="M395" s="396">
        <f>TIMEVALUE(MID(F395,12,8))</f>
        <v/>
      </c>
      <c r="N395" s="395">
        <f>DATEVALUE(LEFT(G395,10))</f>
        <v/>
      </c>
      <c r="O395" s="396">
        <f>TIMEVALUE(MID(G395,12,8))</f>
        <v/>
      </c>
      <c r="P395" s="396">
        <f>IFERROR(_xlfn.MINIFS($M:$M,$E:$E,$E395,$K:$K,$K395,$M:$M,"&gt;"&amp;$O395),"")</f>
        <v/>
      </c>
      <c r="Q395" s="396">
        <f>IF($P395="","",$P395-$O395)</f>
        <v/>
      </c>
    </row>
    <row r="396" ht="15" customHeight="1" s="231">
      <c r="A396" s="397" t="n"/>
      <c r="B396" s="397" t="n"/>
      <c r="C396" s="397" t="n"/>
      <c r="D396" s="397" t="n"/>
      <c r="E396" s="397" t="n"/>
      <c r="F396" s="397" t="n"/>
      <c r="G396" s="397" t="n"/>
      <c r="I396" s="397" t="n"/>
      <c r="J396" s="397" t="n"/>
      <c r="K396" s="395">
        <f>DATE(VALUE(LEFT(A396,4)),VALUE(MID(A396,5,2)),VALUE(RIGHT(A396,2)))</f>
        <v/>
      </c>
      <c r="L396" s="395">
        <f>DATEVALUE(LEFT(F396,10))</f>
        <v/>
      </c>
      <c r="M396" s="396">
        <f>TIMEVALUE(MID(F396,12,8))</f>
        <v/>
      </c>
      <c r="N396" s="395">
        <f>DATEVALUE(LEFT(G396,10))</f>
        <v/>
      </c>
      <c r="O396" s="396">
        <f>TIMEVALUE(MID(G396,12,8))</f>
        <v/>
      </c>
      <c r="P396" s="396">
        <f>IFERROR(_xlfn.MINIFS($M:$M,$E:$E,$E396,$K:$K,$K396,$M:$M,"&gt;"&amp;$O396),"")</f>
        <v/>
      </c>
      <c r="Q396" s="396">
        <f>IF($P396="","",$P396-$O396)</f>
        <v/>
      </c>
    </row>
    <row r="397" ht="15" customHeight="1" s="231">
      <c r="A397" s="397" t="n"/>
      <c r="B397" s="397" t="n"/>
      <c r="C397" s="397" t="n"/>
      <c r="D397" s="397" t="n"/>
      <c r="E397" s="397" t="n"/>
      <c r="F397" s="397" t="n"/>
      <c r="G397" s="397" t="n"/>
      <c r="I397" s="397" t="n"/>
      <c r="J397" s="397" t="n"/>
      <c r="K397" s="395">
        <f>DATE(VALUE(LEFT(A397,4)),VALUE(MID(A397,5,2)),VALUE(RIGHT(A397,2)))</f>
        <v/>
      </c>
      <c r="L397" s="395">
        <f>DATEVALUE(LEFT(F397,10))</f>
        <v/>
      </c>
      <c r="M397" s="396">
        <f>TIMEVALUE(MID(F397,12,8))</f>
        <v/>
      </c>
      <c r="N397" s="395">
        <f>DATEVALUE(LEFT(G397,10))</f>
        <v/>
      </c>
      <c r="O397" s="396">
        <f>TIMEVALUE(MID(G397,12,8))</f>
        <v/>
      </c>
      <c r="P397" s="396">
        <f>IFERROR(_xlfn.MINIFS($M:$M,$E:$E,$E397,$K:$K,$K397,$M:$M,"&gt;"&amp;$O397),"")</f>
        <v/>
      </c>
      <c r="Q397" s="396">
        <f>IF($P397="","",$P397-$O397)</f>
        <v/>
      </c>
    </row>
    <row r="398" ht="15" customHeight="1" s="231">
      <c r="A398" s="397" t="n"/>
      <c r="B398" s="397" t="n"/>
      <c r="C398" s="397" t="n"/>
      <c r="D398" s="397" t="n"/>
      <c r="E398" s="397" t="n"/>
      <c r="F398" s="397" t="n"/>
      <c r="G398" s="397" t="n"/>
      <c r="I398" s="397" t="n"/>
      <c r="J398" s="397" t="n"/>
      <c r="K398" s="395">
        <f>DATE(VALUE(LEFT(A398,4)),VALUE(MID(A398,5,2)),VALUE(RIGHT(A398,2)))</f>
        <v/>
      </c>
      <c r="L398" s="395">
        <f>DATEVALUE(LEFT(F398,10))</f>
        <v/>
      </c>
      <c r="M398" s="396">
        <f>TIMEVALUE(MID(F398,12,8))</f>
        <v/>
      </c>
      <c r="N398" s="395">
        <f>DATEVALUE(LEFT(G398,10))</f>
        <v/>
      </c>
      <c r="O398" s="396">
        <f>TIMEVALUE(MID(G398,12,8))</f>
        <v/>
      </c>
      <c r="P398" s="396">
        <f>IFERROR(_xlfn.MINIFS($M:$M,$E:$E,$E398,$K:$K,$K398,$M:$M,"&gt;"&amp;$O398),"")</f>
        <v/>
      </c>
      <c r="Q398" s="396">
        <f>IF($P398="","",$P398-$O398)</f>
        <v/>
      </c>
    </row>
    <row r="399" ht="15" customHeight="1" s="231">
      <c r="A399" s="397" t="n"/>
      <c r="B399" s="397" t="n"/>
      <c r="C399" s="397" t="n"/>
      <c r="D399" s="397" t="n"/>
      <c r="E399" s="397" t="n"/>
      <c r="F399" s="397" t="n"/>
      <c r="G399" s="397" t="n"/>
      <c r="I399" s="397" t="n"/>
      <c r="J399" s="397" t="n"/>
      <c r="K399" s="395">
        <f>DATE(VALUE(LEFT(A399,4)),VALUE(MID(A399,5,2)),VALUE(RIGHT(A399,2)))</f>
        <v/>
      </c>
      <c r="L399" s="395">
        <f>DATEVALUE(LEFT(F399,10))</f>
        <v/>
      </c>
      <c r="M399" s="396">
        <f>TIMEVALUE(MID(F399,12,8))</f>
        <v/>
      </c>
      <c r="N399" s="395">
        <f>DATEVALUE(LEFT(G399,10))</f>
        <v/>
      </c>
      <c r="O399" s="396">
        <f>TIMEVALUE(MID(G399,12,8))</f>
        <v/>
      </c>
      <c r="P399" s="396">
        <f>IFERROR(_xlfn.MINIFS($M:$M,$E:$E,$E399,$K:$K,$K399,$M:$M,"&gt;"&amp;$O399),"")</f>
        <v/>
      </c>
      <c r="Q399" s="396">
        <f>IF($P399="","",$P399-$O399)</f>
        <v/>
      </c>
    </row>
    <row r="400" ht="15" customHeight="1" s="231">
      <c r="A400" s="397" t="n"/>
      <c r="B400" s="397" t="n"/>
      <c r="C400" s="397" t="n"/>
      <c r="D400" s="397" t="n"/>
      <c r="E400" s="397" t="n"/>
      <c r="F400" s="397" t="n"/>
      <c r="G400" s="397" t="n"/>
      <c r="I400" s="397" t="n"/>
      <c r="J400" s="397" t="n"/>
      <c r="K400" s="395">
        <f>DATE(VALUE(LEFT(A400,4)),VALUE(MID(A400,5,2)),VALUE(RIGHT(A400,2)))</f>
        <v/>
      </c>
      <c r="L400" s="395">
        <f>DATEVALUE(LEFT(F400,10))</f>
        <v/>
      </c>
      <c r="M400" s="396">
        <f>TIMEVALUE(MID(F400,12,8))</f>
        <v/>
      </c>
      <c r="N400" s="395">
        <f>DATEVALUE(LEFT(G400,10))</f>
        <v/>
      </c>
      <c r="O400" s="396">
        <f>TIMEVALUE(MID(G400,12,8))</f>
        <v/>
      </c>
      <c r="P400" s="396">
        <f>IFERROR(_xlfn.MINIFS($M:$M,$E:$E,$E400,$K:$K,$K400,$M:$M,"&gt;"&amp;$O400),"")</f>
        <v/>
      </c>
      <c r="Q400" s="396">
        <f>IF($P400="","",$P400-$O400)</f>
        <v/>
      </c>
    </row>
    <row r="401" ht="15" customHeight="1" s="231">
      <c r="A401" s="397" t="n"/>
      <c r="B401" s="397" t="n"/>
      <c r="C401" s="397" t="n"/>
      <c r="D401" s="397" t="n"/>
      <c r="E401" s="397" t="n"/>
      <c r="F401" s="397" t="n"/>
      <c r="G401" s="397" t="n"/>
      <c r="I401" s="397" t="n"/>
      <c r="J401" s="397" t="n"/>
      <c r="K401" s="395">
        <f>DATE(VALUE(LEFT(A401,4)),VALUE(MID(A401,5,2)),VALUE(RIGHT(A401,2)))</f>
        <v/>
      </c>
      <c r="L401" s="395">
        <f>DATEVALUE(LEFT(F401,10))</f>
        <v/>
      </c>
      <c r="M401" s="396">
        <f>TIMEVALUE(MID(F401,12,8))</f>
        <v/>
      </c>
      <c r="N401" s="395">
        <f>DATEVALUE(LEFT(G401,10))</f>
        <v/>
      </c>
      <c r="O401" s="396">
        <f>TIMEVALUE(MID(G401,12,8))</f>
        <v/>
      </c>
      <c r="P401" s="396">
        <f>IFERROR(_xlfn.MINIFS($M:$M,$E:$E,$E401,$K:$K,$K401,$M:$M,"&gt;"&amp;$O401),"")</f>
        <v/>
      </c>
      <c r="Q401" s="396">
        <f>IF($P401="","",$P401-$O401)</f>
        <v/>
      </c>
    </row>
    <row r="402" ht="15" customHeight="1" s="231">
      <c r="A402" s="397" t="n"/>
      <c r="B402" s="397" t="n"/>
      <c r="C402" s="397" t="n"/>
      <c r="D402" s="397" t="n"/>
      <c r="E402" s="397" t="n"/>
      <c r="F402" s="397" t="n"/>
      <c r="G402" s="397" t="n"/>
      <c r="I402" s="397" t="n"/>
      <c r="J402" s="397" t="n"/>
      <c r="K402" s="395">
        <f>DATE(VALUE(LEFT(A402,4)),VALUE(MID(A402,5,2)),VALUE(RIGHT(A402,2)))</f>
        <v/>
      </c>
      <c r="L402" s="395">
        <f>DATEVALUE(LEFT(F402,10))</f>
        <v/>
      </c>
      <c r="M402" s="396">
        <f>TIMEVALUE(MID(F402,12,8))</f>
        <v/>
      </c>
      <c r="N402" s="395">
        <f>DATEVALUE(LEFT(G402,10))</f>
        <v/>
      </c>
      <c r="O402" s="396">
        <f>TIMEVALUE(MID(G402,12,8))</f>
        <v/>
      </c>
      <c r="P402" s="396">
        <f>IFERROR(_xlfn.MINIFS($M:$M,$E:$E,$E402,$K:$K,$K402,$M:$M,"&gt;"&amp;$O402),"")</f>
        <v/>
      </c>
      <c r="Q402" s="396">
        <f>IF($P402="","",$P402-$O402)</f>
        <v/>
      </c>
    </row>
    <row r="403" ht="15" customHeight="1" s="231">
      <c r="A403" s="397" t="n"/>
      <c r="B403" s="397" t="n"/>
      <c r="C403" s="397" t="n"/>
      <c r="D403" s="397" t="n"/>
      <c r="E403" s="397" t="n"/>
      <c r="F403" s="397" t="n"/>
      <c r="G403" s="397" t="n"/>
      <c r="I403" s="397" t="n"/>
      <c r="J403" s="397" t="n"/>
      <c r="K403" s="395">
        <f>DATE(VALUE(LEFT(A403,4)),VALUE(MID(A403,5,2)),VALUE(RIGHT(A403,2)))</f>
        <v/>
      </c>
      <c r="L403" s="395">
        <f>DATEVALUE(LEFT(F403,10))</f>
        <v/>
      </c>
      <c r="M403" s="396">
        <f>TIMEVALUE(MID(F403,12,8))</f>
        <v/>
      </c>
      <c r="N403" s="395">
        <f>DATEVALUE(LEFT(G403,10))</f>
        <v/>
      </c>
      <c r="O403" s="396">
        <f>TIMEVALUE(MID(G403,12,8))</f>
        <v/>
      </c>
      <c r="P403" s="396">
        <f>IFERROR(_xlfn.MINIFS($M:$M,$E:$E,$E403,$K:$K,$K403,$M:$M,"&gt;"&amp;$O403),"")</f>
        <v/>
      </c>
      <c r="Q403" s="396">
        <f>IF($P403="","",$P403-$O403)</f>
        <v/>
      </c>
    </row>
    <row r="404" ht="15" customHeight="1" s="231">
      <c r="A404" s="397" t="n"/>
      <c r="B404" s="397" t="n"/>
      <c r="C404" s="397" t="n"/>
      <c r="D404" s="397" t="n"/>
      <c r="E404" s="397" t="n"/>
      <c r="F404" s="397" t="n"/>
      <c r="G404" s="397" t="n"/>
      <c r="I404" s="397" t="n"/>
      <c r="J404" s="397" t="n"/>
      <c r="K404" s="395">
        <f>DATE(VALUE(LEFT(A404,4)),VALUE(MID(A404,5,2)),VALUE(RIGHT(A404,2)))</f>
        <v/>
      </c>
      <c r="L404" s="395">
        <f>DATEVALUE(LEFT(F404,10))</f>
        <v/>
      </c>
      <c r="M404" s="396">
        <f>TIMEVALUE(MID(F404,12,8))</f>
        <v/>
      </c>
      <c r="N404" s="395">
        <f>DATEVALUE(LEFT(G404,10))</f>
        <v/>
      </c>
      <c r="O404" s="396">
        <f>TIMEVALUE(MID(G404,12,8))</f>
        <v/>
      </c>
      <c r="P404" s="396">
        <f>IFERROR(_xlfn.MINIFS($M:$M,$E:$E,$E404,$K:$K,$K404,$M:$M,"&gt;"&amp;$O404),"")</f>
        <v/>
      </c>
      <c r="Q404" s="396">
        <f>IF($P404="","",$P404-$O404)</f>
        <v/>
      </c>
    </row>
    <row r="405" ht="15" customHeight="1" s="231">
      <c r="A405" s="397" t="n"/>
      <c r="B405" s="397" t="n"/>
      <c r="C405" s="397" t="n"/>
      <c r="D405" s="397" t="n"/>
      <c r="E405" s="397" t="n"/>
      <c r="F405" s="397" t="n"/>
      <c r="G405" s="397" t="n"/>
      <c r="I405" s="397" t="n"/>
      <c r="J405" s="397" t="n"/>
      <c r="K405" s="395">
        <f>DATE(VALUE(LEFT(A405,4)),VALUE(MID(A405,5,2)),VALUE(RIGHT(A405,2)))</f>
        <v/>
      </c>
      <c r="L405" s="395">
        <f>DATEVALUE(LEFT(F405,10))</f>
        <v/>
      </c>
      <c r="M405" s="396">
        <f>TIMEVALUE(MID(F405,12,8))</f>
        <v/>
      </c>
      <c r="N405" s="395">
        <f>DATEVALUE(LEFT(G405,10))</f>
        <v/>
      </c>
      <c r="O405" s="396">
        <f>TIMEVALUE(MID(G405,12,8))</f>
        <v/>
      </c>
      <c r="P405" s="396">
        <f>IFERROR(_xlfn.MINIFS($M:$M,$E:$E,$E405,$K:$K,$K405,$M:$M,"&gt;"&amp;$O405),"")</f>
        <v/>
      </c>
      <c r="Q405" s="396">
        <f>IF($P405="","",$P405-$O405)</f>
        <v/>
      </c>
    </row>
    <row r="406" ht="15" customHeight="1" s="231">
      <c r="A406" s="397" t="n"/>
      <c r="B406" s="397" t="n"/>
      <c r="C406" s="397" t="n"/>
      <c r="D406" s="397" t="n"/>
      <c r="E406" s="397" t="n"/>
      <c r="F406" s="397" t="n"/>
      <c r="G406" s="397" t="n"/>
      <c r="I406" s="397" t="n"/>
      <c r="J406" s="397" t="n"/>
      <c r="K406" s="395">
        <f>DATE(VALUE(LEFT(A406,4)),VALUE(MID(A406,5,2)),VALUE(RIGHT(A406,2)))</f>
        <v/>
      </c>
      <c r="L406" s="395">
        <f>DATEVALUE(LEFT(F406,10))</f>
        <v/>
      </c>
      <c r="M406" s="396">
        <f>TIMEVALUE(MID(F406,12,8))</f>
        <v/>
      </c>
      <c r="N406" s="395">
        <f>DATEVALUE(LEFT(G406,10))</f>
        <v/>
      </c>
      <c r="O406" s="396">
        <f>TIMEVALUE(MID(G406,12,8))</f>
        <v/>
      </c>
      <c r="P406" s="396">
        <f>IFERROR(_xlfn.MINIFS($M:$M,$E:$E,$E406,$K:$K,$K406,$M:$M,"&gt;"&amp;$O406),"")</f>
        <v/>
      </c>
      <c r="Q406" s="396">
        <f>IF($P406="","",$P406-$O406)</f>
        <v/>
      </c>
    </row>
    <row r="407" ht="15" customHeight="1" s="231">
      <c r="A407" s="397" t="n"/>
      <c r="B407" s="397" t="n"/>
      <c r="C407" s="397" t="n"/>
      <c r="D407" s="397" t="n"/>
      <c r="E407" s="397" t="n"/>
      <c r="F407" s="397" t="n"/>
      <c r="G407" s="397" t="n"/>
      <c r="I407" s="397" t="n"/>
      <c r="J407" s="397" t="n"/>
      <c r="K407" s="395">
        <f>DATE(VALUE(LEFT(A407,4)),VALUE(MID(A407,5,2)),VALUE(RIGHT(A407,2)))</f>
        <v/>
      </c>
      <c r="L407" s="395">
        <f>DATEVALUE(LEFT(F407,10))</f>
        <v/>
      </c>
      <c r="M407" s="396">
        <f>TIMEVALUE(MID(F407,12,8))</f>
        <v/>
      </c>
      <c r="N407" s="395">
        <f>DATEVALUE(LEFT(G407,10))</f>
        <v/>
      </c>
      <c r="O407" s="396">
        <f>TIMEVALUE(MID(G407,12,8))</f>
        <v/>
      </c>
      <c r="P407" s="396">
        <f>IFERROR(_xlfn.MINIFS($M:$M,$E:$E,$E407,$K:$K,$K407,$M:$M,"&gt;"&amp;$O407),"")</f>
        <v/>
      </c>
      <c r="Q407" s="396">
        <f>IF($P407="","",$P407-$O407)</f>
        <v/>
      </c>
    </row>
    <row r="408" ht="15" customHeight="1" s="231">
      <c r="A408" s="397" t="n"/>
      <c r="B408" s="397" t="n"/>
      <c r="C408" s="397" t="n"/>
      <c r="D408" s="397" t="n"/>
      <c r="E408" s="397" t="n"/>
      <c r="F408" s="397" t="n"/>
      <c r="G408" s="397" t="n"/>
      <c r="I408" s="397" t="n"/>
      <c r="J408" s="397" t="n"/>
      <c r="K408" s="395">
        <f>DATE(VALUE(LEFT(A408,4)),VALUE(MID(A408,5,2)),VALUE(RIGHT(A408,2)))</f>
        <v/>
      </c>
      <c r="L408" s="395">
        <f>DATEVALUE(LEFT(F408,10))</f>
        <v/>
      </c>
      <c r="M408" s="396">
        <f>TIMEVALUE(MID(F408,12,8))</f>
        <v/>
      </c>
      <c r="N408" s="395">
        <f>DATEVALUE(LEFT(G408,10))</f>
        <v/>
      </c>
      <c r="O408" s="396">
        <f>TIMEVALUE(MID(G408,12,8))</f>
        <v/>
      </c>
      <c r="P408" s="396">
        <f>IFERROR(_xlfn.MINIFS($M:$M,$E:$E,$E408,$K:$K,$K408,$M:$M,"&gt;"&amp;$O408),"")</f>
        <v/>
      </c>
      <c r="Q408" s="396">
        <f>IF($P408="","",$P408-$O408)</f>
        <v/>
      </c>
    </row>
    <row r="409" ht="15" customHeight="1" s="231">
      <c r="A409" s="397" t="n"/>
      <c r="B409" s="397" t="n"/>
      <c r="C409" s="397" t="n"/>
      <c r="D409" s="397" t="n"/>
      <c r="E409" s="397" t="n"/>
      <c r="F409" s="397" t="n"/>
      <c r="G409" s="397" t="n"/>
      <c r="I409" s="397" t="n"/>
      <c r="J409" s="397" t="n"/>
      <c r="K409" s="395">
        <f>DATE(VALUE(LEFT(A409,4)),VALUE(MID(A409,5,2)),VALUE(RIGHT(A409,2)))</f>
        <v/>
      </c>
      <c r="L409" s="395">
        <f>DATEVALUE(LEFT(F409,10))</f>
        <v/>
      </c>
      <c r="M409" s="396">
        <f>TIMEVALUE(MID(F409,12,8))</f>
        <v/>
      </c>
      <c r="N409" s="395">
        <f>DATEVALUE(LEFT(G409,10))</f>
        <v/>
      </c>
      <c r="O409" s="396">
        <f>TIMEVALUE(MID(G409,12,8))</f>
        <v/>
      </c>
      <c r="P409" s="396">
        <f>IFERROR(_xlfn.MINIFS($M:$M,$E:$E,$E409,$K:$K,$K409,$M:$M,"&gt;"&amp;$O409),"")</f>
        <v/>
      </c>
      <c r="Q409" s="396">
        <f>IF($P409="","",$P409-$O409)</f>
        <v/>
      </c>
    </row>
    <row r="410" ht="15" customHeight="1" s="231">
      <c r="A410" s="397" t="n"/>
      <c r="B410" s="397" t="n"/>
      <c r="C410" s="397" t="n"/>
      <c r="D410" s="397" t="n"/>
      <c r="E410" s="397" t="n"/>
      <c r="F410" s="397" t="n"/>
      <c r="G410" s="397" t="n"/>
      <c r="I410" s="397" t="n"/>
      <c r="J410" s="397" t="n"/>
      <c r="K410" s="395">
        <f>DATE(VALUE(LEFT(A410,4)),VALUE(MID(A410,5,2)),VALUE(RIGHT(A410,2)))</f>
        <v/>
      </c>
      <c r="L410" s="395">
        <f>DATEVALUE(LEFT(F410,10))</f>
        <v/>
      </c>
      <c r="M410" s="396">
        <f>TIMEVALUE(MID(F410,12,8))</f>
        <v/>
      </c>
      <c r="N410" s="395">
        <f>DATEVALUE(LEFT(G410,10))</f>
        <v/>
      </c>
      <c r="O410" s="396">
        <f>TIMEVALUE(MID(G410,12,8))</f>
        <v/>
      </c>
      <c r="P410" s="396">
        <f>IFERROR(_xlfn.MINIFS($M:$M,$E:$E,$E410,$K:$K,$K410,$M:$M,"&gt;"&amp;$O410),"")</f>
        <v/>
      </c>
      <c r="Q410" s="396">
        <f>IF($P410="","",$P410-$O410)</f>
        <v/>
      </c>
    </row>
    <row r="411" ht="15" customHeight="1" s="231">
      <c r="A411" s="397" t="n"/>
      <c r="B411" s="397" t="n"/>
      <c r="C411" s="397" t="n"/>
      <c r="D411" s="397" t="n"/>
      <c r="E411" s="397" t="n"/>
      <c r="F411" s="397" t="n"/>
      <c r="G411" s="397" t="n"/>
      <c r="I411" s="397" t="n"/>
      <c r="J411" s="397" t="n"/>
      <c r="K411" s="395">
        <f>DATE(VALUE(LEFT(A411,4)),VALUE(MID(A411,5,2)),VALUE(RIGHT(A411,2)))</f>
        <v/>
      </c>
      <c r="L411" s="395">
        <f>DATEVALUE(LEFT(F411,10))</f>
        <v/>
      </c>
      <c r="M411" s="396">
        <f>TIMEVALUE(MID(F411,12,8))</f>
        <v/>
      </c>
      <c r="N411" s="395">
        <f>DATEVALUE(LEFT(G411,10))</f>
        <v/>
      </c>
      <c r="O411" s="396">
        <f>TIMEVALUE(MID(G411,12,8))</f>
        <v/>
      </c>
      <c r="P411" s="396">
        <f>IFERROR(_xlfn.MINIFS($M:$M,$E:$E,$E411,$K:$K,$K411,$M:$M,"&gt;"&amp;$O411),"")</f>
        <v/>
      </c>
      <c r="Q411" s="396">
        <f>IF($P411="","",$P411-$O411)</f>
        <v/>
      </c>
    </row>
    <row r="412" ht="15" customHeight="1" s="231">
      <c r="A412" s="397" t="n"/>
      <c r="B412" s="397" t="n"/>
      <c r="C412" s="397" t="n"/>
      <c r="D412" s="397" t="n"/>
      <c r="E412" s="397" t="n"/>
      <c r="F412" s="397" t="n"/>
      <c r="G412" s="397" t="n"/>
      <c r="I412" s="397" t="n"/>
      <c r="J412" s="397" t="n"/>
      <c r="K412" s="395">
        <f>DATE(VALUE(LEFT(A412,4)),VALUE(MID(A412,5,2)),VALUE(RIGHT(A412,2)))</f>
        <v/>
      </c>
      <c r="L412" s="395">
        <f>DATEVALUE(LEFT(F412,10))</f>
        <v/>
      </c>
      <c r="M412" s="396">
        <f>TIMEVALUE(MID(F412,12,8))</f>
        <v/>
      </c>
      <c r="N412" s="395">
        <f>DATEVALUE(LEFT(G412,10))</f>
        <v/>
      </c>
      <c r="O412" s="396">
        <f>TIMEVALUE(MID(G412,12,8))</f>
        <v/>
      </c>
      <c r="P412" s="396">
        <f>IFERROR(_xlfn.MINIFS($M:$M,$E:$E,$E412,$K:$K,$K412,$M:$M,"&gt;"&amp;$O412),"")</f>
        <v/>
      </c>
      <c r="Q412" s="396">
        <f>IF($P412="","",$P412-$O412)</f>
        <v/>
      </c>
    </row>
    <row r="413" ht="15" customHeight="1" s="231">
      <c r="A413" s="397" t="n"/>
      <c r="B413" s="397" t="n"/>
      <c r="C413" s="397" t="n"/>
      <c r="D413" s="397" t="n"/>
      <c r="E413" s="397" t="n"/>
      <c r="F413" s="397" t="n"/>
      <c r="G413" s="397" t="n"/>
      <c r="I413" s="397" t="n"/>
      <c r="J413" s="397" t="n"/>
      <c r="K413" s="395">
        <f>DATE(VALUE(LEFT(A413,4)),VALUE(MID(A413,5,2)),VALUE(RIGHT(A413,2)))</f>
        <v/>
      </c>
      <c r="L413" s="395">
        <f>DATEVALUE(LEFT(F413,10))</f>
        <v/>
      </c>
      <c r="M413" s="396">
        <f>TIMEVALUE(MID(F413,12,8))</f>
        <v/>
      </c>
      <c r="N413" s="395">
        <f>DATEVALUE(LEFT(G413,10))</f>
        <v/>
      </c>
      <c r="O413" s="396">
        <f>TIMEVALUE(MID(G413,12,8))</f>
        <v/>
      </c>
      <c r="P413" s="396">
        <f>IFERROR(_xlfn.MINIFS($M:$M,$E:$E,$E413,$K:$K,$K413,$M:$M,"&gt;"&amp;$O413),"")</f>
        <v/>
      </c>
      <c r="Q413" s="396">
        <f>IF($P413="","",$P413-$O413)</f>
        <v/>
      </c>
    </row>
    <row r="414" ht="15" customHeight="1" s="231">
      <c r="A414" s="397" t="n"/>
      <c r="B414" s="397" t="n"/>
      <c r="C414" s="397" t="n"/>
      <c r="D414" s="397" t="n"/>
      <c r="E414" s="397" t="n"/>
      <c r="F414" s="397" t="n"/>
      <c r="G414" s="397" t="n"/>
      <c r="I414" s="397" t="n"/>
      <c r="J414" s="397" t="n"/>
      <c r="K414" s="395">
        <f>DATE(VALUE(LEFT(A414,4)),VALUE(MID(A414,5,2)),VALUE(RIGHT(A414,2)))</f>
        <v/>
      </c>
      <c r="L414" s="395">
        <f>DATEVALUE(LEFT(F414,10))</f>
        <v/>
      </c>
      <c r="M414" s="396">
        <f>TIMEVALUE(MID(F414,12,8))</f>
        <v/>
      </c>
      <c r="N414" s="395">
        <f>DATEVALUE(LEFT(G414,10))</f>
        <v/>
      </c>
      <c r="O414" s="396">
        <f>TIMEVALUE(MID(G414,12,8))</f>
        <v/>
      </c>
      <c r="P414" s="396">
        <f>IFERROR(_xlfn.MINIFS($M:$M,$E:$E,$E414,$K:$K,$K414,$M:$M,"&gt;"&amp;$O414),"")</f>
        <v/>
      </c>
      <c r="Q414" s="396">
        <f>IF($P414="","",$P414-$O414)</f>
        <v/>
      </c>
    </row>
    <row r="415" ht="15" customHeight="1" s="231">
      <c r="A415" s="397" t="n"/>
      <c r="B415" s="397" t="n"/>
      <c r="C415" s="397" t="n"/>
      <c r="D415" s="397" t="n"/>
      <c r="E415" s="397" t="n"/>
      <c r="F415" s="397" t="n"/>
      <c r="G415" s="397" t="n"/>
      <c r="I415" s="397" t="n"/>
      <c r="J415" s="397" t="n"/>
      <c r="K415" s="395">
        <f>DATE(VALUE(LEFT(A415,4)),VALUE(MID(A415,5,2)),VALUE(RIGHT(A415,2)))</f>
        <v/>
      </c>
      <c r="L415" s="395">
        <f>DATEVALUE(LEFT(F415,10))</f>
        <v/>
      </c>
      <c r="M415" s="396">
        <f>TIMEVALUE(MID(F415,12,8))</f>
        <v/>
      </c>
      <c r="N415" s="395">
        <f>DATEVALUE(LEFT(G415,10))</f>
        <v/>
      </c>
      <c r="O415" s="396">
        <f>TIMEVALUE(MID(G415,12,8))</f>
        <v/>
      </c>
      <c r="P415" s="396">
        <f>IFERROR(_xlfn.MINIFS($M:$M,$E:$E,$E415,$K:$K,$K415,$M:$M,"&gt;"&amp;$O415),"")</f>
        <v/>
      </c>
      <c r="Q415" s="396">
        <f>IF($P415="","",$P415-$O415)</f>
        <v/>
      </c>
    </row>
    <row r="416" ht="15" customHeight="1" s="231">
      <c r="A416" s="397" t="n"/>
      <c r="B416" s="397" t="n"/>
      <c r="C416" s="397" t="n"/>
      <c r="D416" s="397" t="n"/>
      <c r="E416" s="397" t="n"/>
      <c r="F416" s="397" t="n"/>
      <c r="G416" s="397" t="n"/>
      <c r="I416" s="397" t="n"/>
      <c r="J416" s="397" t="n"/>
      <c r="K416" s="395">
        <f>DATE(VALUE(LEFT(A416,4)),VALUE(MID(A416,5,2)),VALUE(RIGHT(A416,2)))</f>
        <v/>
      </c>
      <c r="L416" s="395">
        <f>DATEVALUE(LEFT(F416,10))</f>
        <v/>
      </c>
      <c r="M416" s="396">
        <f>TIMEVALUE(MID(F416,12,8))</f>
        <v/>
      </c>
      <c r="N416" s="395">
        <f>DATEVALUE(LEFT(G416,10))</f>
        <v/>
      </c>
      <c r="O416" s="396">
        <f>TIMEVALUE(MID(G416,12,8))</f>
        <v/>
      </c>
      <c r="P416" s="396">
        <f>IFERROR(_xlfn.MINIFS($M:$M,$E:$E,$E416,$K:$K,$K416,$M:$M,"&gt;"&amp;$O416),"")</f>
        <v/>
      </c>
      <c r="Q416" s="396">
        <f>IF($P416="","",$P416-$O416)</f>
        <v/>
      </c>
    </row>
    <row r="417" ht="15" customHeight="1" s="231">
      <c r="A417" s="397" t="n"/>
      <c r="B417" s="397" t="n"/>
      <c r="C417" s="397" t="n"/>
      <c r="D417" s="397" t="n"/>
      <c r="E417" s="397" t="n"/>
      <c r="F417" s="397" t="n"/>
      <c r="G417" s="397" t="n"/>
      <c r="I417" s="397" t="n"/>
      <c r="J417" s="397" t="n"/>
      <c r="K417" s="395">
        <f>DATE(VALUE(LEFT(A417,4)),VALUE(MID(A417,5,2)),VALUE(RIGHT(A417,2)))</f>
        <v/>
      </c>
      <c r="L417" s="395">
        <f>DATEVALUE(LEFT(F417,10))</f>
        <v/>
      </c>
      <c r="M417" s="396">
        <f>TIMEVALUE(MID(F417,12,8))</f>
        <v/>
      </c>
      <c r="N417" s="395">
        <f>DATEVALUE(LEFT(G417,10))</f>
        <v/>
      </c>
      <c r="O417" s="396">
        <f>TIMEVALUE(MID(G417,12,8))</f>
        <v/>
      </c>
      <c r="P417" s="396">
        <f>IFERROR(_xlfn.MINIFS($M:$M,$E:$E,$E417,$K:$K,$K417,$M:$M,"&gt;"&amp;$O417),"")</f>
        <v/>
      </c>
      <c r="Q417" s="396">
        <f>IF($P417="","",$P417-$O417)</f>
        <v/>
      </c>
    </row>
    <row r="418" ht="15" customHeight="1" s="231">
      <c r="A418" s="397" t="n"/>
      <c r="B418" s="397" t="n"/>
      <c r="C418" s="397" t="n"/>
      <c r="D418" s="397" t="n"/>
      <c r="E418" s="397" t="n"/>
      <c r="F418" s="397" t="n"/>
      <c r="G418" s="397" t="n"/>
      <c r="I418" s="397" t="n"/>
      <c r="J418" s="397" t="n"/>
      <c r="K418" s="395">
        <f>DATE(VALUE(LEFT(A418,4)),VALUE(MID(A418,5,2)),VALUE(RIGHT(A418,2)))</f>
        <v/>
      </c>
      <c r="L418" s="395">
        <f>DATEVALUE(LEFT(F418,10))</f>
        <v/>
      </c>
      <c r="M418" s="396">
        <f>TIMEVALUE(MID(F418,12,8))</f>
        <v/>
      </c>
      <c r="N418" s="395">
        <f>DATEVALUE(LEFT(G418,10))</f>
        <v/>
      </c>
      <c r="O418" s="396">
        <f>TIMEVALUE(MID(G418,12,8))</f>
        <v/>
      </c>
      <c r="P418" s="396">
        <f>IFERROR(_xlfn.MINIFS($M:$M,$E:$E,$E418,$K:$K,$K418,$M:$M,"&gt;"&amp;$O418),"")</f>
        <v/>
      </c>
      <c r="Q418" s="396">
        <f>IF($P418="","",$P418-$O418)</f>
        <v/>
      </c>
    </row>
    <row r="419" ht="15" customHeight="1" s="231">
      <c r="A419" s="397" t="n"/>
      <c r="B419" s="397" t="n"/>
      <c r="C419" s="397" t="n"/>
      <c r="D419" s="397" t="n"/>
      <c r="E419" s="397" t="n"/>
      <c r="F419" s="397" t="n"/>
      <c r="G419" s="397" t="n"/>
      <c r="I419" s="397" t="n"/>
      <c r="J419" s="397" t="n"/>
      <c r="K419" s="395">
        <f>DATE(VALUE(LEFT(A419,4)),VALUE(MID(A419,5,2)),VALUE(RIGHT(A419,2)))</f>
        <v/>
      </c>
      <c r="L419" s="395">
        <f>DATEVALUE(LEFT(F419,10))</f>
        <v/>
      </c>
      <c r="M419" s="396">
        <f>TIMEVALUE(MID(F419,12,8))</f>
        <v/>
      </c>
      <c r="N419" s="395">
        <f>DATEVALUE(LEFT(G419,10))</f>
        <v/>
      </c>
      <c r="O419" s="396">
        <f>TIMEVALUE(MID(G419,12,8))</f>
        <v/>
      </c>
      <c r="P419" s="396">
        <f>IFERROR(_xlfn.MINIFS($M:$M,$E:$E,$E419,$K:$K,$K419,$M:$M,"&gt;"&amp;$O419),"")</f>
        <v/>
      </c>
      <c r="Q419" s="396">
        <f>IF($P419="","",$P419-$O419)</f>
        <v/>
      </c>
    </row>
    <row r="420" ht="15" customHeight="1" s="231">
      <c r="A420" s="397" t="n"/>
      <c r="B420" s="397" t="n"/>
      <c r="C420" s="397" t="n"/>
      <c r="D420" s="397" t="n"/>
      <c r="E420" s="397" t="n"/>
      <c r="F420" s="397" t="n"/>
      <c r="G420" s="397" t="n"/>
      <c r="I420" s="397" t="n"/>
      <c r="J420" s="397" t="n"/>
      <c r="K420" s="395">
        <f>DATE(VALUE(LEFT(A420,4)),VALUE(MID(A420,5,2)),VALUE(RIGHT(A420,2)))</f>
        <v/>
      </c>
      <c r="L420" s="395">
        <f>DATEVALUE(LEFT(F420,10))</f>
        <v/>
      </c>
      <c r="M420" s="396">
        <f>TIMEVALUE(MID(F420,12,8))</f>
        <v/>
      </c>
      <c r="N420" s="395">
        <f>DATEVALUE(LEFT(G420,10))</f>
        <v/>
      </c>
      <c r="O420" s="396">
        <f>TIMEVALUE(MID(G420,12,8))</f>
        <v/>
      </c>
      <c r="P420" s="396">
        <f>IFERROR(_xlfn.MINIFS($M:$M,$E:$E,$E420,$K:$K,$K420,$M:$M,"&gt;"&amp;$O420),"")</f>
        <v/>
      </c>
      <c r="Q420" s="396">
        <f>IF($P420="","",$P420-$O420)</f>
        <v/>
      </c>
    </row>
    <row r="421" ht="15" customHeight="1" s="231">
      <c r="A421" s="397" t="n"/>
      <c r="B421" s="397" t="n"/>
      <c r="C421" s="397" t="n"/>
      <c r="D421" s="397" t="n"/>
      <c r="E421" s="397" t="n"/>
      <c r="F421" s="397" t="n"/>
      <c r="G421" s="397" t="n"/>
      <c r="I421" s="397" t="n"/>
      <c r="J421" s="397" t="n"/>
      <c r="K421" s="395">
        <f>DATE(VALUE(LEFT(A421,4)),VALUE(MID(A421,5,2)),VALUE(RIGHT(A421,2)))</f>
        <v/>
      </c>
      <c r="L421" s="395">
        <f>DATEVALUE(LEFT(F421,10))</f>
        <v/>
      </c>
      <c r="M421" s="396">
        <f>TIMEVALUE(MID(F421,12,8))</f>
        <v/>
      </c>
      <c r="N421" s="395">
        <f>DATEVALUE(LEFT(G421,10))</f>
        <v/>
      </c>
      <c r="O421" s="396">
        <f>TIMEVALUE(MID(G421,12,8))</f>
        <v/>
      </c>
      <c r="P421" s="396">
        <f>IFERROR(_xlfn.MINIFS($M:$M,$E:$E,$E421,$K:$K,$K421,$M:$M,"&gt;"&amp;$O421),"")</f>
        <v/>
      </c>
      <c r="Q421" s="396">
        <f>IF($P421="","",$P421-$O421)</f>
        <v/>
      </c>
    </row>
    <row r="422" ht="15" customHeight="1" s="231">
      <c r="A422" s="397" t="n"/>
      <c r="B422" s="397" t="n"/>
      <c r="C422" s="397" t="n"/>
      <c r="D422" s="397" t="n"/>
      <c r="E422" s="397" t="n"/>
      <c r="F422" s="397" t="n"/>
      <c r="G422" s="397" t="n"/>
      <c r="I422" s="397" t="n"/>
      <c r="J422" s="397" t="n"/>
      <c r="K422" s="395">
        <f>DATE(VALUE(LEFT(A422,4)),VALUE(MID(A422,5,2)),VALUE(RIGHT(A422,2)))</f>
        <v/>
      </c>
      <c r="L422" s="395">
        <f>DATEVALUE(LEFT(F422,10))</f>
        <v/>
      </c>
      <c r="M422" s="396">
        <f>TIMEVALUE(MID(F422,12,8))</f>
        <v/>
      </c>
      <c r="N422" s="395">
        <f>DATEVALUE(LEFT(G422,10))</f>
        <v/>
      </c>
      <c r="O422" s="396">
        <f>TIMEVALUE(MID(G422,12,8))</f>
        <v/>
      </c>
      <c r="P422" s="396">
        <f>IFERROR(_xlfn.MINIFS($M:$M,$E:$E,$E422,$K:$K,$K422,$M:$M,"&gt;"&amp;$O422),"")</f>
        <v/>
      </c>
      <c r="Q422" s="396">
        <f>IF($P422="","",$P422-$O422)</f>
        <v/>
      </c>
    </row>
    <row r="423" ht="15" customHeight="1" s="231">
      <c r="A423" s="397" t="n"/>
      <c r="B423" s="397" t="n"/>
      <c r="C423" s="397" t="n"/>
      <c r="D423" s="397" t="n"/>
      <c r="E423" s="397" t="n"/>
      <c r="F423" s="397" t="n"/>
      <c r="G423" s="397" t="n"/>
      <c r="I423" s="397" t="n"/>
      <c r="J423" s="397" t="n"/>
      <c r="K423" s="395">
        <f>DATE(VALUE(LEFT(A423,4)),VALUE(MID(A423,5,2)),VALUE(RIGHT(A423,2)))</f>
        <v/>
      </c>
      <c r="L423" s="395">
        <f>DATEVALUE(LEFT(F423,10))</f>
        <v/>
      </c>
      <c r="M423" s="396">
        <f>TIMEVALUE(MID(F423,12,8))</f>
        <v/>
      </c>
      <c r="N423" s="395">
        <f>DATEVALUE(LEFT(G423,10))</f>
        <v/>
      </c>
      <c r="O423" s="396">
        <f>TIMEVALUE(MID(G423,12,8))</f>
        <v/>
      </c>
      <c r="P423" s="396">
        <f>IFERROR(_xlfn.MINIFS($M:$M,$E:$E,$E423,$K:$K,$K423,$M:$M,"&gt;"&amp;$O423),"")</f>
        <v/>
      </c>
      <c r="Q423" s="396">
        <f>IF($P423="","",$P423-$O423)</f>
        <v/>
      </c>
    </row>
    <row r="424" ht="15" customHeight="1" s="231">
      <c r="A424" s="397" t="n"/>
      <c r="B424" s="397" t="n"/>
      <c r="C424" s="397" t="n"/>
      <c r="D424" s="397" t="n"/>
      <c r="E424" s="397" t="n"/>
      <c r="F424" s="397" t="n"/>
      <c r="G424" s="397" t="n"/>
      <c r="I424" s="397" t="n"/>
      <c r="J424" s="397" t="n"/>
      <c r="K424" s="395">
        <f>DATE(VALUE(LEFT(A424,4)),VALUE(MID(A424,5,2)),VALUE(RIGHT(A424,2)))</f>
        <v/>
      </c>
      <c r="L424" s="395">
        <f>DATEVALUE(LEFT(F424,10))</f>
        <v/>
      </c>
      <c r="M424" s="396">
        <f>TIMEVALUE(MID(F424,12,8))</f>
        <v/>
      </c>
      <c r="N424" s="395">
        <f>DATEVALUE(LEFT(G424,10))</f>
        <v/>
      </c>
      <c r="O424" s="396">
        <f>TIMEVALUE(MID(G424,12,8))</f>
        <v/>
      </c>
      <c r="P424" s="396">
        <f>IFERROR(_xlfn.MINIFS($M:$M,$E:$E,$E424,$K:$K,$K424,$M:$M,"&gt;"&amp;$O424),"")</f>
        <v/>
      </c>
      <c r="Q424" s="396">
        <f>IF($P424="","",$P424-$O424)</f>
        <v/>
      </c>
    </row>
    <row r="425" ht="15" customHeight="1" s="231">
      <c r="A425" s="397" t="n"/>
      <c r="B425" s="397" t="n"/>
      <c r="C425" s="397" t="n"/>
      <c r="D425" s="397" t="n"/>
      <c r="E425" s="397" t="n"/>
      <c r="F425" s="397" t="n"/>
      <c r="G425" s="397" t="n"/>
      <c r="I425" s="397" t="n"/>
      <c r="J425" s="397" t="n"/>
      <c r="K425" s="395">
        <f>DATE(VALUE(LEFT(A425,4)),VALUE(MID(A425,5,2)),VALUE(RIGHT(A425,2)))</f>
        <v/>
      </c>
      <c r="L425" s="395">
        <f>DATEVALUE(LEFT(F425,10))</f>
        <v/>
      </c>
      <c r="M425" s="396">
        <f>TIMEVALUE(MID(F425,12,8))</f>
        <v/>
      </c>
      <c r="N425" s="395">
        <f>DATEVALUE(LEFT(G425,10))</f>
        <v/>
      </c>
      <c r="O425" s="396">
        <f>TIMEVALUE(MID(G425,12,8))</f>
        <v/>
      </c>
      <c r="P425" s="396">
        <f>IFERROR(_xlfn.MINIFS($M:$M,$E:$E,$E425,$K:$K,$K425,$M:$M,"&gt;"&amp;$O425),"")</f>
        <v/>
      </c>
      <c r="Q425" s="396">
        <f>IF($P425="","",$P425-$O425)</f>
        <v/>
      </c>
    </row>
    <row r="426" ht="15" customHeight="1" s="231">
      <c r="A426" s="397" t="n"/>
      <c r="B426" s="397" t="n"/>
      <c r="C426" s="397" t="n"/>
      <c r="D426" s="397" t="n"/>
      <c r="E426" s="397" t="n"/>
      <c r="F426" s="397" t="n"/>
      <c r="G426" s="397" t="n"/>
      <c r="I426" s="397" t="n"/>
      <c r="J426" s="397" t="n"/>
      <c r="K426" s="395">
        <f>DATE(VALUE(LEFT(A426,4)),VALUE(MID(A426,5,2)),VALUE(RIGHT(A426,2)))</f>
        <v/>
      </c>
      <c r="L426" s="395">
        <f>DATEVALUE(LEFT(F426,10))</f>
        <v/>
      </c>
      <c r="M426" s="396">
        <f>TIMEVALUE(MID(F426,12,8))</f>
        <v/>
      </c>
      <c r="N426" s="395">
        <f>DATEVALUE(LEFT(G426,10))</f>
        <v/>
      </c>
      <c r="O426" s="396">
        <f>TIMEVALUE(MID(G426,12,8))</f>
        <v/>
      </c>
      <c r="P426" s="396">
        <f>IFERROR(_xlfn.MINIFS($M:$M,$E:$E,$E426,$K:$K,$K426,$M:$M,"&gt;"&amp;$O426),"")</f>
        <v/>
      </c>
      <c r="Q426" s="396">
        <f>IF($P426="","",$P426-$O426)</f>
        <v/>
      </c>
    </row>
    <row r="427" ht="15" customHeight="1" s="231">
      <c r="A427" s="397" t="n"/>
      <c r="B427" s="397" t="n"/>
      <c r="C427" s="397" t="n"/>
      <c r="D427" s="397" t="n"/>
      <c r="E427" s="397" t="n"/>
      <c r="F427" s="397" t="n"/>
      <c r="G427" s="397" t="n"/>
      <c r="I427" s="397" t="n"/>
      <c r="J427" s="397" t="n"/>
      <c r="K427" s="395">
        <f>DATE(VALUE(LEFT(A427,4)),VALUE(MID(A427,5,2)),VALUE(RIGHT(A427,2)))</f>
        <v/>
      </c>
      <c r="L427" s="395">
        <f>DATEVALUE(LEFT(F427,10))</f>
        <v/>
      </c>
      <c r="M427" s="396">
        <f>TIMEVALUE(MID(F427,12,8))</f>
        <v/>
      </c>
      <c r="N427" s="395">
        <f>DATEVALUE(LEFT(G427,10))</f>
        <v/>
      </c>
      <c r="O427" s="396">
        <f>TIMEVALUE(MID(G427,12,8))</f>
        <v/>
      </c>
      <c r="P427" s="396">
        <f>IFERROR(_xlfn.MINIFS($M:$M,$E:$E,$E427,$K:$K,$K427,$M:$M,"&gt;"&amp;$O427),"")</f>
        <v/>
      </c>
      <c r="Q427" s="396">
        <f>IF($P427="","",$P427-$O427)</f>
        <v/>
      </c>
    </row>
    <row r="428" ht="15" customHeight="1" s="231">
      <c r="A428" s="397" t="n"/>
      <c r="B428" s="397" t="n"/>
      <c r="C428" s="397" t="n"/>
      <c r="D428" s="397" t="n"/>
      <c r="E428" s="397" t="n"/>
      <c r="F428" s="397" t="n"/>
      <c r="G428" s="397" t="n"/>
      <c r="I428" s="397" t="n"/>
      <c r="J428" s="397" t="n"/>
      <c r="K428" s="395">
        <f>DATE(VALUE(LEFT(A428,4)),VALUE(MID(A428,5,2)),VALUE(RIGHT(A428,2)))</f>
        <v/>
      </c>
      <c r="L428" s="395">
        <f>DATEVALUE(LEFT(F428,10))</f>
        <v/>
      </c>
      <c r="M428" s="396">
        <f>TIMEVALUE(MID(F428,12,8))</f>
        <v/>
      </c>
      <c r="N428" s="395">
        <f>DATEVALUE(LEFT(G428,10))</f>
        <v/>
      </c>
      <c r="O428" s="396">
        <f>TIMEVALUE(MID(G428,12,8))</f>
        <v/>
      </c>
      <c r="P428" s="396">
        <f>IFERROR(_xlfn.MINIFS($M:$M,$E:$E,$E428,$K:$K,$K428,$M:$M,"&gt;"&amp;$O428),"")</f>
        <v/>
      </c>
      <c r="Q428" s="396">
        <f>IF($P428="","",$P428-$O428)</f>
        <v/>
      </c>
    </row>
    <row r="429" ht="15" customHeight="1" s="231">
      <c r="A429" s="397" t="n"/>
      <c r="B429" s="397" t="n"/>
      <c r="C429" s="397" t="n"/>
      <c r="D429" s="397" t="n"/>
      <c r="E429" s="397" t="n"/>
      <c r="F429" s="397" t="n"/>
      <c r="G429" s="397" t="n"/>
      <c r="I429" s="397" t="n"/>
      <c r="J429" s="397" t="n"/>
      <c r="K429" s="395">
        <f>DATE(VALUE(LEFT(A429,4)),VALUE(MID(A429,5,2)),VALUE(RIGHT(A429,2)))</f>
        <v/>
      </c>
      <c r="L429" s="395">
        <f>DATEVALUE(LEFT(F429,10))</f>
        <v/>
      </c>
      <c r="M429" s="396">
        <f>TIMEVALUE(MID(F429,12,8))</f>
        <v/>
      </c>
      <c r="N429" s="395">
        <f>DATEVALUE(LEFT(G429,10))</f>
        <v/>
      </c>
      <c r="O429" s="396">
        <f>TIMEVALUE(MID(G429,12,8))</f>
        <v/>
      </c>
      <c r="P429" s="396">
        <f>IFERROR(_xlfn.MINIFS($M:$M,$E:$E,$E429,$K:$K,$K429,$M:$M,"&gt;"&amp;$O429),"")</f>
        <v/>
      </c>
      <c r="Q429" s="396">
        <f>IF($P429="","",$P429-$O429)</f>
        <v/>
      </c>
    </row>
    <row r="430" ht="15" customHeight="1" s="231">
      <c r="A430" s="397" t="n"/>
      <c r="B430" s="397" t="n"/>
      <c r="C430" s="397" t="n"/>
      <c r="D430" s="397" t="n"/>
      <c r="E430" s="397" t="n"/>
      <c r="F430" s="397" t="n"/>
      <c r="G430" s="397" t="n"/>
      <c r="I430" s="397" t="n"/>
      <c r="J430" s="397" t="n"/>
      <c r="K430" s="395">
        <f>DATE(VALUE(LEFT(A430,4)),VALUE(MID(A430,5,2)),VALUE(RIGHT(A430,2)))</f>
        <v/>
      </c>
      <c r="L430" s="395">
        <f>DATEVALUE(LEFT(F430,10))</f>
        <v/>
      </c>
      <c r="M430" s="396">
        <f>TIMEVALUE(MID(F430,12,8))</f>
        <v/>
      </c>
      <c r="N430" s="395">
        <f>DATEVALUE(LEFT(G430,10))</f>
        <v/>
      </c>
      <c r="O430" s="396">
        <f>TIMEVALUE(MID(G430,12,8))</f>
        <v/>
      </c>
      <c r="P430" s="396">
        <f>IFERROR(_xlfn.MINIFS($M:$M,$E:$E,$E430,$K:$K,$K430,$M:$M,"&gt;"&amp;$O430),"")</f>
        <v/>
      </c>
      <c r="Q430" s="396">
        <f>IF($P430="","",$P430-$O430)</f>
        <v/>
      </c>
    </row>
    <row r="431" ht="15" customHeight="1" s="231">
      <c r="A431" s="397" t="n"/>
      <c r="B431" s="397" t="n"/>
      <c r="C431" s="397" t="n"/>
      <c r="D431" s="397" t="n"/>
      <c r="E431" s="397" t="n"/>
      <c r="F431" s="397" t="n"/>
      <c r="G431" s="397" t="n"/>
      <c r="I431" s="397" t="n"/>
      <c r="J431" s="397" t="n"/>
      <c r="K431" s="395">
        <f>DATE(VALUE(LEFT(A431,4)),VALUE(MID(A431,5,2)),VALUE(RIGHT(A431,2)))</f>
        <v/>
      </c>
      <c r="L431" s="395">
        <f>DATEVALUE(LEFT(F431,10))</f>
        <v/>
      </c>
      <c r="M431" s="396">
        <f>TIMEVALUE(MID(F431,12,8))</f>
        <v/>
      </c>
      <c r="N431" s="395">
        <f>DATEVALUE(LEFT(G431,10))</f>
        <v/>
      </c>
      <c r="O431" s="396">
        <f>TIMEVALUE(MID(G431,12,8))</f>
        <v/>
      </c>
      <c r="P431" s="396">
        <f>IFERROR(_xlfn.MINIFS($M:$M,$E:$E,$E431,$K:$K,$K431,$M:$M,"&gt;"&amp;$O431),"")</f>
        <v/>
      </c>
      <c r="Q431" s="396">
        <f>IF($P431="","",$P431-$O431)</f>
        <v/>
      </c>
    </row>
    <row r="432" ht="15" customHeight="1" s="231">
      <c r="A432" s="397" t="n"/>
      <c r="B432" s="397" t="n"/>
      <c r="C432" s="397" t="n"/>
      <c r="D432" s="397" t="n"/>
      <c r="E432" s="397" t="n"/>
      <c r="F432" s="397" t="n"/>
      <c r="G432" s="397" t="n"/>
      <c r="I432" s="397" t="n"/>
      <c r="J432" s="397" t="n"/>
      <c r="K432" s="395">
        <f>DATE(VALUE(LEFT(A432,4)),VALUE(MID(A432,5,2)),VALUE(RIGHT(A432,2)))</f>
        <v/>
      </c>
      <c r="L432" s="395">
        <f>DATEVALUE(LEFT(F432,10))</f>
        <v/>
      </c>
      <c r="M432" s="396">
        <f>TIMEVALUE(MID(F432,12,8))</f>
        <v/>
      </c>
      <c r="N432" s="395">
        <f>DATEVALUE(LEFT(G432,10))</f>
        <v/>
      </c>
      <c r="O432" s="396">
        <f>TIMEVALUE(MID(G432,12,8))</f>
        <v/>
      </c>
      <c r="P432" s="396">
        <f>IFERROR(_xlfn.MINIFS($M:$M,$E:$E,$E432,$K:$K,$K432,$M:$M,"&gt;"&amp;$O432),"")</f>
        <v/>
      </c>
      <c r="Q432" s="396">
        <f>IF($P432="","",$P432-$O432)</f>
        <v/>
      </c>
    </row>
    <row r="433" ht="15" customHeight="1" s="231">
      <c r="A433" s="397" t="n"/>
      <c r="B433" s="397" t="n"/>
      <c r="C433" s="397" t="n"/>
      <c r="D433" s="397" t="n"/>
      <c r="E433" s="397" t="n"/>
      <c r="F433" s="397" t="n"/>
      <c r="G433" s="397" t="n"/>
      <c r="I433" s="397" t="n"/>
      <c r="J433" s="397" t="n"/>
      <c r="K433" s="395">
        <f>DATE(VALUE(LEFT(A433,4)),VALUE(MID(A433,5,2)),VALUE(RIGHT(A433,2)))</f>
        <v/>
      </c>
      <c r="L433" s="395">
        <f>DATEVALUE(LEFT(F433,10))</f>
        <v/>
      </c>
      <c r="M433" s="396">
        <f>TIMEVALUE(MID(F433,12,8))</f>
        <v/>
      </c>
      <c r="N433" s="395">
        <f>DATEVALUE(LEFT(G433,10))</f>
        <v/>
      </c>
      <c r="O433" s="396">
        <f>TIMEVALUE(MID(G433,12,8))</f>
        <v/>
      </c>
      <c r="P433" s="396">
        <f>IFERROR(_xlfn.MINIFS($M:$M,$E:$E,$E433,$K:$K,$K433,$M:$M,"&gt;"&amp;$O433),"")</f>
        <v/>
      </c>
      <c r="Q433" s="396">
        <f>IF($P433="","",$P433-$O433)</f>
        <v/>
      </c>
    </row>
    <row r="434" ht="15" customHeight="1" s="231">
      <c r="A434" s="397" t="n"/>
      <c r="B434" s="397" t="n"/>
      <c r="C434" s="397" t="n"/>
      <c r="D434" s="397" t="n"/>
      <c r="E434" s="397" t="n"/>
      <c r="F434" s="397" t="n"/>
      <c r="G434" s="397" t="n"/>
      <c r="I434" s="397" t="n"/>
      <c r="J434" s="397" t="n"/>
      <c r="K434" s="395">
        <f>DATE(VALUE(LEFT(A434,4)),VALUE(MID(A434,5,2)),VALUE(RIGHT(A434,2)))</f>
        <v/>
      </c>
      <c r="L434" s="395">
        <f>DATEVALUE(LEFT(F434,10))</f>
        <v/>
      </c>
      <c r="M434" s="396">
        <f>TIMEVALUE(MID(F434,12,8))</f>
        <v/>
      </c>
      <c r="N434" s="395">
        <f>DATEVALUE(LEFT(G434,10))</f>
        <v/>
      </c>
      <c r="O434" s="396">
        <f>TIMEVALUE(MID(G434,12,8))</f>
        <v/>
      </c>
      <c r="P434" s="396">
        <f>IFERROR(_xlfn.MINIFS($M:$M,$E:$E,$E434,$K:$K,$K434,$M:$M,"&gt;"&amp;$O434),"")</f>
        <v/>
      </c>
      <c r="Q434" s="396">
        <f>IF($P434="","",$P434-$O434)</f>
        <v/>
      </c>
    </row>
    <row r="435" ht="15" customHeight="1" s="231">
      <c r="A435" s="397" t="n"/>
      <c r="B435" s="397" t="n"/>
      <c r="C435" s="397" t="n"/>
      <c r="D435" s="397" t="n"/>
      <c r="E435" s="397" t="n"/>
      <c r="F435" s="397" t="n"/>
      <c r="G435" s="397" t="n"/>
      <c r="I435" s="397" t="n"/>
      <c r="J435" s="397" t="n"/>
      <c r="K435" s="395">
        <f>DATE(VALUE(LEFT(A435,4)),VALUE(MID(A435,5,2)),VALUE(RIGHT(A435,2)))</f>
        <v/>
      </c>
      <c r="L435" s="395">
        <f>DATEVALUE(LEFT(F435,10))</f>
        <v/>
      </c>
      <c r="M435" s="396">
        <f>TIMEVALUE(MID(F435,12,8))</f>
        <v/>
      </c>
      <c r="N435" s="395">
        <f>DATEVALUE(LEFT(G435,10))</f>
        <v/>
      </c>
      <c r="O435" s="396">
        <f>TIMEVALUE(MID(G435,12,8))</f>
        <v/>
      </c>
      <c r="P435" s="396">
        <f>IFERROR(_xlfn.MINIFS($M:$M,$E:$E,$E435,$K:$K,$K435,$M:$M,"&gt;"&amp;$O435),"")</f>
        <v/>
      </c>
      <c r="Q435" s="396">
        <f>IF($P435="","",$P435-$O435)</f>
        <v/>
      </c>
    </row>
    <row r="436" ht="15" customHeight="1" s="231">
      <c r="A436" s="397" t="n"/>
      <c r="B436" s="397" t="n"/>
      <c r="C436" s="397" t="n"/>
      <c r="D436" s="397" t="n"/>
      <c r="E436" s="397" t="n"/>
      <c r="F436" s="397" t="n"/>
      <c r="G436" s="397" t="n"/>
      <c r="I436" s="397" t="n"/>
      <c r="J436" s="397" t="n"/>
      <c r="K436" s="395">
        <f>DATE(VALUE(LEFT(A436,4)),VALUE(MID(A436,5,2)),VALUE(RIGHT(A436,2)))</f>
        <v/>
      </c>
      <c r="L436" s="395">
        <f>DATEVALUE(LEFT(F436,10))</f>
        <v/>
      </c>
      <c r="M436" s="396">
        <f>TIMEVALUE(MID(F436,12,8))</f>
        <v/>
      </c>
      <c r="N436" s="395">
        <f>DATEVALUE(LEFT(G436,10))</f>
        <v/>
      </c>
      <c r="O436" s="396">
        <f>TIMEVALUE(MID(G436,12,8))</f>
        <v/>
      </c>
      <c r="P436" s="396">
        <f>IFERROR(_xlfn.MINIFS($M:$M,$E:$E,$E436,$K:$K,$K436,$M:$M,"&gt;"&amp;$O436),"")</f>
        <v/>
      </c>
      <c r="Q436" s="396">
        <f>IF($P436="","",$P436-$O436)</f>
        <v/>
      </c>
    </row>
    <row r="437" ht="15" customHeight="1" s="231">
      <c r="A437" s="397" t="n"/>
      <c r="B437" s="397" t="n"/>
      <c r="C437" s="397" t="n"/>
      <c r="D437" s="397" t="n"/>
      <c r="E437" s="397" t="n"/>
      <c r="F437" s="397" t="n"/>
      <c r="G437" s="397" t="n"/>
      <c r="I437" s="397" t="n"/>
      <c r="J437" s="397" t="n"/>
      <c r="K437" s="395">
        <f>DATE(VALUE(LEFT(A437,4)),VALUE(MID(A437,5,2)),VALUE(RIGHT(A437,2)))</f>
        <v/>
      </c>
      <c r="L437" s="395">
        <f>DATEVALUE(LEFT(F437,10))</f>
        <v/>
      </c>
      <c r="M437" s="396">
        <f>TIMEVALUE(MID(F437,12,8))</f>
        <v/>
      </c>
      <c r="N437" s="395">
        <f>DATEVALUE(LEFT(G437,10))</f>
        <v/>
      </c>
      <c r="O437" s="396">
        <f>TIMEVALUE(MID(G437,12,8))</f>
        <v/>
      </c>
      <c r="P437" s="396">
        <f>IFERROR(_xlfn.MINIFS($M:$M,$E:$E,$E437,$K:$K,$K437,$M:$M,"&gt;"&amp;$O437),"")</f>
        <v/>
      </c>
      <c r="Q437" s="396">
        <f>IF($P437="","",$P437-$O437)</f>
        <v/>
      </c>
    </row>
    <row r="438" ht="15" customHeight="1" s="231">
      <c r="A438" s="397" t="n"/>
      <c r="B438" s="397" t="n"/>
      <c r="C438" s="397" t="n"/>
      <c r="D438" s="397" t="n"/>
      <c r="E438" s="397" t="n"/>
      <c r="F438" s="397" t="n"/>
      <c r="G438" s="397" t="n"/>
      <c r="I438" s="397" t="n"/>
      <c r="J438" s="397" t="n"/>
      <c r="K438" s="395">
        <f>DATE(VALUE(LEFT(A438,4)),VALUE(MID(A438,5,2)),VALUE(RIGHT(A438,2)))</f>
        <v/>
      </c>
      <c r="L438" s="395">
        <f>DATEVALUE(LEFT(F438,10))</f>
        <v/>
      </c>
      <c r="M438" s="396">
        <f>TIMEVALUE(MID(F438,12,8))</f>
        <v/>
      </c>
      <c r="N438" s="395">
        <f>DATEVALUE(LEFT(G438,10))</f>
        <v/>
      </c>
      <c r="O438" s="396">
        <f>TIMEVALUE(MID(G438,12,8))</f>
        <v/>
      </c>
      <c r="P438" s="396">
        <f>IFERROR(_xlfn.MINIFS($M:$M,$E:$E,$E438,$K:$K,$K438,$M:$M,"&gt;"&amp;$O438),"")</f>
        <v/>
      </c>
      <c r="Q438" s="396">
        <f>IF($P438="","",$P438-$O438)</f>
        <v/>
      </c>
    </row>
    <row r="439" ht="15" customHeight="1" s="231">
      <c r="A439" s="397" t="n"/>
      <c r="B439" s="397" t="n"/>
      <c r="C439" s="397" t="n"/>
      <c r="D439" s="397" t="n"/>
      <c r="E439" s="397" t="n"/>
      <c r="F439" s="397" t="n"/>
      <c r="G439" s="397" t="n"/>
      <c r="I439" s="397" t="n"/>
      <c r="J439" s="397" t="n"/>
      <c r="K439" s="395">
        <f>DATE(VALUE(LEFT(A439,4)),VALUE(MID(A439,5,2)),VALUE(RIGHT(A439,2)))</f>
        <v/>
      </c>
      <c r="L439" s="395">
        <f>DATEVALUE(LEFT(F439,10))</f>
        <v/>
      </c>
      <c r="M439" s="396">
        <f>TIMEVALUE(MID(F439,12,8))</f>
        <v/>
      </c>
      <c r="N439" s="395">
        <f>DATEVALUE(LEFT(G439,10))</f>
        <v/>
      </c>
      <c r="O439" s="396">
        <f>TIMEVALUE(MID(G439,12,8))</f>
        <v/>
      </c>
      <c r="P439" s="396">
        <f>IFERROR(_xlfn.MINIFS($M:$M,$E:$E,$E439,$K:$K,$K439,$M:$M,"&gt;"&amp;$O439),"")</f>
        <v/>
      </c>
      <c r="Q439" s="396">
        <f>IF($P439="","",$P439-$O439)</f>
        <v/>
      </c>
    </row>
    <row r="440" ht="15" customHeight="1" s="231">
      <c r="A440" s="397" t="n"/>
      <c r="B440" s="397" t="n"/>
      <c r="C440" s="397" t="n"/>
      <c r="D440" s="397" t="n"/>
      <c r="E440" s="397" t="n"/>
      <c r="F440" s="397" t="n"/>
      <c r="G440" s="397" t="n"/>
      <c r="I440" s="397" t="n"/>
      <c r="J440" s="397" t="n"/>
      <c r="K440" s="395">
        <f>DATE(VALUE(LEFT(A440,4)),VALUE(MID(A440,5,2)),VALUE(RIGHT(A440,2)))</f>
        <v/>
      </c>
      <c r="L440" s="395">
        <f>DATEVALUE(LEFT(F440,10))</f>
        <v/>
      </c>
      <c r="M440" s="396">
        <f>TIMEVALUE(MID(F440,12,8))</f>
        <v/>
      </c>
      <c r="N440" s="395">
        <f>DATEVALUE(LEFT(G440,10))</f>
        <v/>
      </c>
      <c r="O440" s="396">
        <f>TIMEVALUE(MID(G440,12,8))</f>
        <v/>
      </c>
      <c r="P440" s="396">
        <f>IFERROR(_xlfn.MINIFS($M:$M,$E:$E,$E440,$K:$K,$K440,$M:$M,"&gt;"&amp;$O440),"")</f>
        <v/>
      </c>
      <c r="Q440" s="396">
        <f>IF($P440="","",$P440-$O440)</f>
        <v/>
      </c>
    </row>
    <row r="441" ht="15" customHeight="1" s="231">
      <c r="A441" s="397" t="n"/>
      <c r="B441" s="397" t="n"/>
      <c r="C441" s="397" t="n"/>
      <c r="D441" s="397" t="n"/>
      <c r="E441" s="397" t="n"/>
      <c r="F441" s="397" t="n"/>
      <c r="G441" s="397" t="n"/>
      <c r="I441" s="397" t="n"/>
      <c r="J441" s="397" t="n"/>
      <c r="K441" s="395">
        <f>DATE(VALUE(LEFT(A441,4)),VALUE(MID(A441,5,2)),VALUE(RIGHT(A441,2)))</f>
        <v/>
      </c>
      <c r="L441" s="395">
        <f>DATEVALUE(LEFT(F441,10))</f>
        <v/>
      </c>
      <c r="M441" s="396">
        <f>TIMEVALUE(MID(F441,12,8))</f>
        <v/>
      </c>
      <c r="N441" s="395">
        <f>DATEVALUE(LEFT(G441,10))</f>
        <v/>
      </c>
      <c r="O441" s="396">
        <f>TIMEVALUE(MID(G441,12,8))</f>
        <v/>
      </c>
      <c r="P441" s="396">
        <f>IFERROR(_xlfn.MINIFS($M:$M,$E:$E,$E441,$K:$K,$K441,$M:$M,"&gt;"&amp;$O441),"")</f>
        <v/>
      </c>
      <c r="Q441" s="396">
        <f>IF($P441="","",$P441-$O441)</f>
        <v/>
      </c>
    </row>
    <row r="442" ht="15" customHeight="1" s="231">
      <c r="A442" s="397" t="n"/>
      <c r="B442" s="397" t="n"/>
      <c r="C442" s="397" t="n"/>
      <c r="D442" s="397" t="n"/>
      <c r="E442" s="397" t="n"/>
      <c r="F442" s="397" t="n"/>
      <c r="G442" s="397" t="n"/>
      <c r="I442" s="397" t="n"/>
      <c r="J442" s="397" t="n"/>
      <c r="K442" s="395">
        <f>DATE(VALUE(LEFT(A442,4)),VALUE(MID(A442,5,2)),VALUE(RIGHT(A442,2)))</f>
        <v/>
      </c>
      <c r="L442" s="395">
        <f>DATEVALUE(LEFT(F442,10))</f>
        <v/>
      </c>
      <c r="M442" s="396">
        <f>TIMEVALUE(MID(F442,12,8))</f>
        <v/>
      </c>
      <c r="N442" s="395">
        <f>DATEVALUE(LEFT(G442,10))</f>
        <v/>
      </c>
      <c r="O442" s="396">
        <f>TIMEVALUE(MID(G442,12,8))</f>
        <v/>
      </c>
      <c r="P442" s="396">
        <f>IFERROR(_xlfn.MINIFS($M:$M,$E:$E,$E442,$K:$K,$K442,$M:$M,"&gt;"&amp;$O442),"")</f>
        <v/>
      </c>
      <c r="Q442" s="396">
        <f>IF($P442="","",$P442-$O442)</f>
        <v/>
      </c>
    </row>
    <row r="443" ht="15" customHeight="1" s="231">
      <c r="A443" s="397" t="n"/>
      <c r="B443" s="397" t="n"/>
      <c r="C443" s="397" t="n"/>
      <c r="D443" s="397" t="n"/>
      <c r="E443" s="397" t="n"/>
      <c r="F443" s="397" t="n"/>
      <c r="G443" s="397" t="n"/>
      <c r="I443" s="397" t="n"/>
      <c r="J443" s="397" t="n"/>
      <c r="K443" s="395">
        <f>DATE(VALUE(LEFT(A443,4)),VALUE(MID(A443,5,2)),VALUE(RIGHT(A443,2)))</f>
        <v/>
      </c>
      <c r="L443" s="395">
        <f>DATEVALUE(LEFT(F443,10))</f>
        <v/>
      </c>
      <c r="M443" s="396">
        <f>TIMEVALUE(MID(F443,12,8))</f>
        <v/>
      </c>
      <c r="N443" s="395">
        <f>DATEVALUE(LEFT(G443,10))</f>
        <v/>
      </c>
      <c r="O443" s="396">
        <f>TIMEVALUE(MID(G443,12,8))</f>
        <v/>
      </c>
      <c r="P443" s="396">
        <f>IFERROR(_xlfn.MINIFS($M:$M,$E:$E,$E443,$K:$K,$K443,$M:$M,"&gt;"&amp;$O443),"")</f>
        <v/>
      </c>
      <c r="Q443" s="396">
        <f>IF($P443="","",$P443-$O443)</f>
        <v/>
      </c>
    </row>
    <row r="444" ht="15" customHeight="1" s="231">
      <c r="A444" s="397" t="n"/>
      <c r="B444" s="397" t="n"/>
      <c r="C444" s="397" t="n"/>
      <c r="D444" s="397" t="n"/>
      <c r="E444" s="397" t="n"/>
      <c r="F444" s="397" t="n"/>
      <c r="G444" s="397" t="n"/>
      <c r="I444" s="397" t="n"/>
      <c r="J444" s="397" t="n"/>
      <c r="K444" s="395">
        <f>DATE(VALUE(LEFT(A444,4)),VALUE(MID(A444,5,2)),VALUE(RIGHT(A444,2)))</f>
        <v/>
      </c>
      <c r="L444" s="395">
        <f>DATEVALUE(LEFT(F444,10))</f>
        <v/>
      </c>
      <c r="M444" s="396">
        <f>TIMEVALUE(MID(F444,12,8))</f>
        <v/>
      </c>
      <c r="N444" s="395">
        <f>DATEVALUE(LEFT(G444,10))</f>
        <v/>
      </c>
      <c r="O444" s="396">
        <f>TIMEVALUE(MID(G444,12,8))</f>
        <v/>
      </c>
      <c r="P444" s="396">
        <f>IFERROR(_xlfn.MINIFS($M:$M,$E:$E,$E444,$K:$K,$K444,$M:$M,"&gt;"&amp;$O444),"")</f>
        <v/>
      </c>
      <c r="Q444" s="396">
        <f>IF($P444="","",$P444-$O444)</f>
        <v/>
      </c>
    </row>
    <row r="445" ht="15" customHeight="1" s="231">
      <c r="A445" s="397" t="n"/>
      <c r="B445" s="397" t="n"/>
      <c r="C445" s="397" t="n"/>
      <c r="D445" s="397" t="n"/>
      <c r="E445" s="397" t="n"/>
      <c r="F445" s="397" t="n"/>
      <c r="G445" s="397" t="n"/>
      <c r="I445" s="397" t="n"/>
      <c r="J445" s="397" t="n"/>
      <c r="K445" s="395">
        <f>DATE(VALUE(LEFT(A445,4)),VALUE(MID(A445,5,2)),VALUE(RIGHT(A445,2)))</f>
        <v/>
      </c>
      <c r="L445" s="395">
        <f>DATEVALUE(LEFT(F445,10))</f>
        <v/>
      </c>
      <c r="M445" s="396">
        <f>TIMEVALUE(MID(F445,12,8))</f>
        <v/>
      </c>
      <c r="N445" s="395">
        <f>DATEVALUE(LEFT(G445,10))</f>
        <v/>
      </c>
      <c r="O445" s="396">
        <f>TIMEVALUE(MID(G445,12,8))</f>
        <v/>
      </c>
      <c r="P445" s="396">
        <f>IFERROR(_xlfn.MINIFS($M:$M,$E:$E,$E445,$K:$K,$K445,$M:$M,"&gt;"&amp;$O445),"")</f>
        <v/>
      </c>
      <c r="Q445" s="396">
        <f>IF($P445="","",$P445-$O445)</f>
        <v/>
      </c>
    </row>
    <row r="446" ht="15" customHeight="1" s="231">
      <c r="A446" s="397" t="n"/>
      <c r="B446" s="397" t="n"/>
      <c r="C446" s="397" t="n"/>
      <c r="D446" s="397" t="n"/>
      <c r="E446" s="397" t="n"/>
      <c r="F446" s="397" t="n"/>
      <c r="G446" s="397" t="n"/>
      <c r="I446" s="397" t="n"/>
      <c r="J446" s="397" t="n"/>
      <c r="K446" s="395">
        <f>DATE(VALUE(LEFT(A446,4)),VALUE(MID(A446,5,2)),VALUE(RIGHT(A446,2)))</f>
        <v/>
      </c>
      <c r="L446" s="395">
        <f>DATEVALUE(LEFT(F446,10))</f>
        <v/>
      </c>
      <c r="M446" s="396">
        <f>TIMEVALUE(MID(F446,12,8))</f>
        <v/>
      </c>
      <c r="N446" s="395">
        <f>DATEVALUE(LEFT(G446,10))</f>
        <v/>
      </c>
      <c r="O446" s="396">
        <f>TIMEVALUE(MID(G446,12,8))</f>
        <v/>
      </c>
      <c r="P446" s="396">
        <f>IFERROR(_xlfn.MINIFS($M:$M,$E:$E,$E446,$K:$K,$K446,$M:$M,"&gt;"&amp;$O446),"")</f>
        <v/>
      </c>
      <c r="Q446" s="396">
        <f>IF($P446="","",$P446-$O446)</f>
        <v/>
      </c>
    </row>
    <row r="447" ht="15" customHeight="1" s="231">
      <c r="A447" s="397" t="n"/>
      <c r="B447" s="397" t="n"/>
      <c r="C447" s="397" t="n"/>
      <c r="D447" s="397" t="n"/>
      <c r="E447" s="397" t="n"/>
      <c r="F447" s="397" t="n"/>
      <c r="G447" s="397" t="n"/>
      <c r="I447" s="397" t="n"/>
      <c r="J447" s="397" t="n"/>
      <c r="K447" s="395">
        <f>DATE(VALUE(LEFT(A447,4)),VALUE(MID(A447,5,2)),VALUE(RIGHT(A447,2)))</f>
        <v/>
      </c>
      <c r="L447" s="395">
        <f>DATEVALUE(LEFT(F447,10))</f>
        <v/>
      </c>
      <c r="M447" s="396">
        <f>TIMEVALUE(MID(F447,12,8))</f>
        <v/>
      </c>
      <c r="N447" s="395">
        <f>DATEVALUE(LEFT(G447,10))</f>
        <v/>
      </c>
      <c r="O447" s="396">
        <f>TIMEVALUE(MID(G447,12,8))</f>
        <v/>
      </c>
      <c r="P447" s="396">
        <f>IFERROR(_xlfn.MINIFS($M:$M,$E:$E,$E447,$K:$K,$K447,$M:$M,"&gt;"&amp;$O447),"")</f>
        <v/>
      </c>
      <c r="Q447" s="396">
        <f>IF($P447="","",$P447-$O447)</f>
        <v/>
      </c>
    </row>
    <row r="448" ht="15" customHeight="1" s="231">
      <c r="A448" s="397" t="n"/>
      <c r="B448" s="397" t="n"/>
      <c r="C448" s="397" t="n"/>
      <c r="D448" s="397" t="n"/>
      <c r="E448" s="397" t="n"/>
      <c r="F448" s="397" t="n"/>
      <c r="G448" s="397" t="n"/>
      <c r="I448" s="397" t="n"/>
      <c r="J448" s="397" t="n"/>
      <c r="K448" s="395">
        <f>DATE(VALUE(LEFT(A448,4)),VALUE(MID(A448,5,2)),VALUE(RIGHT(A448,2)))</f>
        <v/>
      </c>
      <c r="L448" s="395">
        <f>DATEVALUE(LEFT(F448,10))</f>
        <v/>
      </c>
      <c r="M448" s="396">
        <f>TIMEVALUE(MID(F448,12,8))</f>
        <v/>
      </c>
      <c r="N448" s="395">
        <f>DATEVALUE(LEFT(G448,10))</f>
        <v/>
      </c>
      <c r="O448" s="396">
        <f>TIMEVALUE(MID(G448,12,8))</f>
        <v/>
      </c>
      <c r="P448" s="396">
        <f>IFERROR(_xlfn.MINIFS($M:$M,$E:$E,$E448,$K:$K,$K448,$M:$M,"&gt;"&amp;$O448),"")</f>
        <v/>
      </c>
      <c r="Q448" s="396">
        <f>IF($P448="","",$P448-$O448)</f>
        <v/>
      </c>
    </row>
    <row r="449" ht="15" customHeight="1" s="231">
      <c r="A449" s="397" t="n"/>
      <c r="B449" s="397" t="n"/>
      <c r="C449" s="397" t="n"/>
      <c r="D449" s="397" t="n"/>
      <c r="E449" s="397" t="n"/>
      <c r="F449" s="397" t="n"/>
      <c r="G449" s="397" t="n"/>
      <c r="I449" s="397" t="n"/>
      <c r="J449" s="397" t="n"/>
      <c r="K449" s="395">
        <f>DATE(VALUE(LEFT(A449,4)),VALUE(MID(A449,5,2)),VALUE(RIGHT(A449,2)))</f>
        <v/>
      </c>
      <c r="L449" s="395">
        <f>DATEVALUE(LEFT(F449,10))</f>
        <v/>
      </c>
      <c r="M449" s="396">
        <f>TIMEVALUE(MID(F449,12,8))</f>
        <v/>
      </c>
      <c r="N449" s="395">
        <f>DATEVALUE(LEFT(G449,10))</f>
        <v/>
      </c>
      <c r="O449" s="396">
        <f>TIMEVALUE(MID(G449,12,8))</f>
        <v/>
      </c>
      <c r="P449" s="396">
        <f>IFERROR(_xlfn.MINIFS($M:$M,$E:$E,$E449,$K:$K,$K449,$M:$M,"&gt;"&amp;$O449),"")</f>
        <v/>
      </c>
      <c r="Q449" s="396">
        <f>IF($P449="","",$P449-$O449)</f>
        <v/>
      </c>
    </row>
    <row r="450" ht="15" customHeight="1" s="231">
      <c r="A450" s="397" t="n"/>
      <c r="B450" s="397" t="n"/>
      <c r="C450" s="397" t="n"/>
      <c r="D450" s="397" t="n"/>
      <c r="E450" s="397" t="n"/>
      <c r="F450" s="397" t="n"/>
      <c r="G450" s="397" t="n"/>
      <c r="I450" s="397" t="n"/>
      <c r="J450" s="397" t="n"/>
      <c r="K450" s="395">
        <f>DATE(VALUE(LEFT(A450,4)),VALUE(MID(A450,5,2)),VALUE(RIGHT(A450,2)))</f>
        <v/>
      </c>
      <c r="L450" s="395">
        <f>DATEVALUE(LEFT(F450,10))</f>
        <v/>
      </c>
      <c r="M450" s="396">
        <f>TIMEVALUE(MID(F450,12,8))</f>
        <v/>
      </c>
      <c r="N450" s="395">
        <f>DATEVALUE(LEFT(G450,10))</f>
        <v/>
      </c>
      <c r="O450" s="396">
        <f>TIMEVALUE(MID(G450,12,8))</f>
        <v/>
      </c>
      <c r="P450" s="396">
        <f>IFERROR(_xlfn.MINIFS($M:$M,$E:$E,$E450,$K:$K,$K450,$M:$M,"&gt;"&amp;$O450),"")</f>
        <v/>
      </c>
      <c r="Q450" s="396">
        <f>IF($P450="","",$P450-$O450)</f>
        <v/>
      </c>
    </row>
    <row r="451" ht="15" customHeight="1" s="231">
      <c r="A451" s="397" t="n"/>
      <c r="B451" s="397" t="n"/>
      <c r="C451" s="397" t="n"/>
      <c r="D451" s="397" t="n"/>
      <c r="E451" s="397" t="n"/>
      <c r="F451" s="397" t="n"/>
      <c r="G451" s="397" t="n"/>
      <c r="I451" s="397" t="n"/>
      <c r="J451" s="397" t="n"/>
      <c r="K451" s="395">
        <f>DATE(VALUE(LEFT(A451,4)),VALUE(MID(A451,5,2)),VALUE(RIGHT(A451,2)))</f>
        <v/>
      </c>
      <c r="L451" s="395">
        <f>DATEVALUE(LEFT(F451,10))</f>
        <v/>
      </c>
      <c r="M451" s="396">
        <f>TIMEVALUE(MID(F451,12,8))</f>
        <v/>
      </c>
      <c r="N451" s="395">
        <f>DATEVALUE(LEFT(G451,10))</f>
        <v/>
      </c>
      <c r="O451" s="396">
        <f>TIMEVALUE(MID(G451,12,8))</f>
        <v/>
      </c>
      <c r="P451" s="396">
        <f>IFERROR(_xlfn.MINIFS($M:$M,$E:$E,$E451,$K:$K,$K451,$M:$M,"&gt;"&amp;$O451),"")</f>
        <v/>
      </c>
      <c r="Q451" s="396">
        <f>IF($P451="","",$P451-$O451)</f>
        <v/>
      </c>
    </row>
    <row r="452" ht="15" customHeight="1" s="231">
      <c r="A452" s="397" t="n"/>
      <c r="B452" s="397" t="n"/>
      <c r="C452" s="397" t="n"/>
      <c r="D452" s="397" t="n"/>
      <c r="E452" s="397" t="n"/>
      <c r="F452" s="397" t="n"/>
      <c r="G452" s="397" t="n"/>
      <c r="I452" s="397" t="n"/>
      <c r="J452" s="397" t="n"/>
      <c r="K452" s="395">
        <f>DATE(VALUE(LEFT(A452,4)),VALUE(MID(A452,5,2)),VALUE(RIGHT(A452,2)))</f>
        <v/>
      </c>
      <c r="L452" s="395">
        <f>DATEVALUE(LEFT(F452,10))</f>
        <v/>
      </c>
      <c r="M452" s="396">
        <f>TIMEVALUE(MID(F452,12,8))</f>
        <v/>
      </c>
      <c r="N452" s="395">
        <f>DATEVALUE(LEFT(G452,10))</f>
        <v/>
      </c>
      <c r="O452" s="396">
        <f>TIMEVALUE(MID(G452,12,8))</f>
        <v/>
      </c>
      <c r="P452" s="396">
        <f>IFERROR(_xlfn.MINIFS($M:$M,$E:$E,$E452,$K:$K,$K452,$M:$M,"&gt;"&amp;$O452),"")</f>
        <v/>
      </c>
      <c r="Q452" s="396">
        <f>IF($P452="","",$P452-$O452)</f>
        <v/>
      </c>
    </row>
    <row r="453" ht="15" customHeight="1" s="231">
      <c r="A453" s="397" t="n"/>
      <c r="B453" s="397" t="n"/>
      <c r="C453" s="397" t="n"/>
      <c r="D453" s="397" t="n"/>
      <c r="E453" s="397" t="n"/>
      <c r="F453" s="397" t="n"/>
      <c r="G453" s="397" t="n"/>
      <c r="I453" s="397" t="n"/>
      <c r="J453" s="397" t="n"/>
      <c r="K453" s="395">
        <f>DATE(VALUE(LEFT(A453,4)),VALUE(MID(A453,5,2)),VALUE(RIGHT(A453,2)))</f>
        <v/>
      </c>
      <c r="L453" s="395">
        <f>DATEVALUE(LEFT(F453,10))</f>
        <v/>
      </c>
      <c r="M453" s="396">
        <f>TIMEVALUE(MID(F453,12,8))</f>
        <v/>
      </c>
      <c r="N453" s="395">
        <f>DATEVALUE(LEFT(G453,10))</f>
        <v/>
      </c>
      <c r="O453" s="396">
        <f>TIMEVALUE(MID(G453,12,8))</f>
        <v/>
      </c>
      <c r="P453" s="396">
        <f>IFERROR(_xlfn.MINIFS($M:$M,$E:$E,$E453,$K:$K,$K453,$M:$M,"&gt;"&amp;$O453),"")</f>
        <v/>
      </c>
      <c r="Q453" s="396">
        <f>IF($P453="","",$P453-$O453)</f>
        <v/>
      </c>
    </row>
    <row r="454" ht="15" customHeight="1" s="231">
      <c r="A454" s="397" t="n"/>
      <c r="B454" s="397" t="n"/>
      <c r="C454" s="397" t="n"/>
      <c r="D454" s="397" t="n"/>
      <c r="E454" s="397" t="n"/>
      <c r="F454" s="397" t="n"/>
      <c r="G454" s="397" t="n"/>
      <c r="I454" s="397" t="n"/>
      <c r="J454" s="397" t="n"/>
      <c r="K454" s="395">
        <f>DATE(VALUE(LEFT(A454,4)),VALUE(MID(A454,5,2)),VALUE(RIGHT(A454,2)))</f>
        <v/>
      </c>
      <c r="L454" s="395">
        <f>DATEVALUE(LEFT(F454,10))</f>
        <v/>
      </c>
      <c r="M454" s="396">
        <f>TIMEVALUE(MID(F454,12,8))</f>
        <v/>
      </c>
      <c r="N454" s="395">
        <f>DATEVALUE(LEFT(G454,10))</f>
        <v/>
      </c>
      <c r="O454" s="396">
        <f>TIMEVALUE(MID(G454,12,8))</f>
        <v/>
      </c>
      <c r="P454" s="396">
        <f>IFERROR(_xlfn.MINIFS($M:$M,$E:$E,$E454,$K:$K,$K454,$M:$M,"&gt;"&amp;$O454),"")</f>
        <v/>
      </c>
      <c r="Q454" s="396">
        <f>IF($P454="","",$P454-$O454)</f>
        <v/>
      </c>
    </row>
    <row r="455" ht="15" customHeight="1" s="231">
      <c r="A455" s="397" t="n"/>
      <c r="B455" s="397" t="n"/>
      <c r="C455" s="397" t="n"/>
      <c r="D455" s="397" t="n"/>
      <c r="E455" s="397" t="n"/>
      <c r="F455" s="397" t="n"/>
      <c r="G455" s="397" t="n"/>
      <c r="I455" s="397" t="n"/>
      <c r="J455" s="397" t="n"/>
      <c r="K455" s="395">
        <f>DATE(VALUE(LEFT(A455,4)),VALUE(MID(A455,5,2)),VALUE(RIGHT(A455,2)))</f>
        <v/>
      </c>
      <c r="L455" s="395">
        <f>DATEVALUE(LEFT(F455,10))</f>
        <v/>
      </c>
      <c r="M455" s="396">
        <f>TIMEVALUE(MID(F455,12,8))</f>
        <v/>
      </c>
      <c r="N455" s="395">
        <f>DATEVALUE(LEFT(G455,10))</f>
        <v/>
      </c>
      <c r="O455" s="396">
        <f>TIMEVALUE(MID(G455,12,8))</f>
        <v/>
      </c>
      <c r="P455" s="396">
        <f>IFERROR(_xlfn.MINIFS($M:$M,$E:$E,$E455,$K:$K,$K455,$M:$M,"&gt;"&amp;$O455),"")</f>
        <v/>
      </c>
      <c r="Q455" s="396">
        <f>IF($P455="","",$P455-$O455)</f>
        <v/>
      </c>
    </row>
    <row r="456" ht="15" customHeight="1" s="231">
      <c r="A456" s="397" t="n"/>
      <c r="B456" s="397" t="n"/>
      <c r="C456" s="397" t="n"/>
      <c r="D456" s="397" t="n"/>
      <c r="E456" s="397" t="n"/>
      <c r="F456" s="397" t="n"/>
      <c r="G456" s="397" t="n"/>
      <c r="I456" s="397" t="n"/>
      <c r="J456" s="397" t="n"/>
      <c r="K456" s="395">
        <f>DATE(VALUE(LEFT(A456,4)),VALUE(MID(A456,5,2)),VALUE(RIGHT(A456,2)))</f>
        <v/>
      </c>
      <c r="L456" s="395">
        <f>DATEVALUE(LEFT(F456,10))</f>
        <v/>
      </c>
      <c r="M456" s="396">
        <f>TIMEVALUE(MID(F456,12,8))</f>
        <v/>
      </c>
      <c r="N456" s="395">
        <f>DATEVALUE(LEFT(G456,10))</f>
        <v/>
      </c>
      <c r="O456" s="396">
        <f>TIMEVALUE(MID(G456,12,8))</f>
        <v/>
      </c>
      <c r="P456" s="396">
        <f>IFERROR(_xlfn.MINIFS($M:$M,$E:$E,$E456,$K:$K,$K456,$M:$M,"&gt;"&amp;$O456),"")</f>
        <v/>
      </c>
      <c r="Q456" s="396">
        <f>IF($P456="","",$P456-$O456)</f>
        <v/>
      </c>
    </row>
    <row r="457" ht="15" customHeight="1" s="231">
      <c r="A457" s="397" t="n"/>
      <c r="B457" s="397" t="n"/>
      <c r="C457" s="397" t="n"/>
      <c r="D457" s="397" t="n"/>
      <c r="E457" s="397" t="n"/>
      <c r="F457" s="397" t="n"/>
      <c r="G457" s="397" t="n"/>
      <c r="I457" s="397" t="n"/>
      <c r="J457" s="397" t="n"/>
      <c r="K457" s="395">
        <f>DATE(VALUE(LEFT(A457,4)),VALUE(MID(A457,5,2)),VALUE(RIGHT(A457,2)))</f>
        <v/>
      </c>
      <c r="L457" s="395">
        <f>DATEVALUE(LEFT(F457,10))</f>
        <v/>
      </c>
      <c r="M457" s="396">
        <f>TIMEVALUE(MID(F457,12,8))</f>
        <v/>
      </c>
      <c r="N457" s="395">
        <f>DATEVALUE(LEFT(G457,10))</f>
        <v/>
      </c>
      <c r="O457" s="396">
        <f>TIMEVALUE(MID(G457,12,8))</f>
        <v/>
      </c>
      <c r="P457" s="396">
        <f>IFERROR(_xlfn.MINIFS($M:$M,$E:$E,$E457,$K:$K,$K457,$M:$M,"&gt;"&amp;$O457),"")</f>
        <v/>
      </c>
      <c r="Q457" s="396">
        <f>IF($P457="","",$P457-$O457)</f>
        <v/>
      </c>
    </row>
    <row r="458" ht="15" customHeight="1" s="231">
      <c r="A458" s="397" t="n"/>
      <c r="B458" s="397" t="n"/>
      <c r="C458" s="397" t="n"/>
      <c r="D458" s="397" t="n"/>
      <c r="E458" s="397" t="n"/>
      <c r="F458" s="397" t="n"/>
      <c r="G458" s="397" t="n"/>
      <c r="I458" s="397" t="n"/>
      <c r="J458" s="397" t="n"/>
      <c r="K458" s="395">
        <f>DATE(VALUE(LEFT(A458,4)),VALUE(MID(A458,5,2)),VALUE(RIGHT(A458,2)))</f>
        <v/>
      </c>
      <c r="L458" s="395">
        <f>DATEVALUE(LEFT(F458,10))</f>
        <v/>
      </c>
      <c r="M458" s="396">
        <f>TIMEVALUE(MID(F458,12,8))</f>
        <v/>
      </c>
      <c r="N458" s="395">
        <f>DATEVALUE(LEFT(G458,10))</f>
        <v/>
      </c>
      <c r="O458" s="396">
        <f>TIMEVALUE(MID(G458,12,8))</f>
        <v/>
      </c>
      <c r="P458" s="396">
        <f>IFERROR(_xlfn.MINIFS($M:$M,$E:$E,$E458,$K:$K,$K458,$M:$M,"&gt;"&amp;$O458),"")</f>
        <v/>
      </c>
      <c r="Q458" s="396">
        <f>IF($P458="","",$P458-$O458)</f>
        <v/>
      </c>
    </row>
    <row r="459" ht="15" customHeight="1" s="231">
      <c r="A459" s="397" t="n"/>
      <c r="B459" s="397" t="n"/>
      <c r="C459" s="397" t="n"/>
      <c r="D459" s="397" t="n"/>
      <c r="E459" s="397" t="n"/>
      <c r="F459" s="397" t="n"/>
      <c r="G459" s="397" t="n"/>
      <c r="I459" s="397" t="n"/>
      <c r="J459" s="397" t="n"/>
      <c r="K459" s="395">
        <f>DATE(VALUE(LEFT(A459,4)),VALUE(MID(A459,5,2)),VALUE(RIGHT(A459,2)))</f>
        <v/>
      </c>
      <c r="L459" s="395">
        <f>DATEVALUE(LEFT(F459,10))</f>
        <v/>
      </c>
      <c r="M459" s="396">
        <f>TIMEVALUE(MID(F459,12,8))</f>
        <v/>
      </c>
      <c r="N459" s="395">
        <f>DATEVALUE(LEFT(G459,10))</f>
        <v/>
      </c>
      <c r="O459" s="396">
        <f>TIMEVALUE(MID(G459,12,8))</f>
        <v/>
      </c>
      <c r="P459" s="396">
        <f>IFERROR(_xlfn.MINIFS($M:$M,$E:$E,$E459,$K:$K,$K459,$M:$M,"&gt;"&amp;$O459),"")</f>
        <v/>
      </c>
      <c r="Q459" s="396">
        <f>IF($P459="","",$P459-$O459)</f>
        <v/>
      </c>
    </row>
    <row r="460" ht="15" customHeight="1" s="231">
      <c r="A460" s="397" t="n"/>
      <c r="B460" s="397" t="n"/>
      <c r="C460" s="397" t="n"/>
      <c r="D460" s="397" t="n"/>
      <c r="E460" s="397" t="n"/>
      <c r="F460" s="397" t="n"/>
      <c r="G460" s="397" t="n"/>
      <c r="I460" s="397" t="n"/>
      <c r="J460" s="397" t="n"/>
      <c r="K460" s="395">
        <f>DATE(VALUE(LEFT(A460,4)),VALUE(MID(A460,5,2)),VALUE(RIGHT(A460,2)))</f>
        <v/>
      </c>
      <c r="L460" s="395">
        <f>DATEVALUE(LEFT(F460,10))</f>
        <v/>
      </c>
      <c r="M460" s="396">
        <f>TIMEVALUE(MID(F460,12,8))</f>
        <v/>
      </c>
      <c r="N460" s="395">
        <f>DATEVALUE(LEFT(G460,10))</f>
        <v/>
      </c>
      <c r="O460" s="396">
        <f>TIMEVALUE(MID(G460,12,8))</f>
        <v/>
      </c>
      <c r="P460" s="396">
        <f>IFERROR(_xlfn.MINIFS($M:$M,$E:$E,$E460,$K:$K,$K460,$M:$M,"&gt;"&amp;$O460),"")</f>
        <v/>
      </c>
      <c r="Q460" s="396">
        <f>IF($P460="","",$P460-$O460)</f>
        <v/>
      </c>
    </row>
    <row r="461" ht="15" customHeight="1" s="231">
      <c r="A461" s="397" t="n"/>
      <c r="B461" s="397" t="n"/>
      <c r="C461" s="397" t="n"/>
      <c r="D461" s="397" t="n"/>
      <c r="E461" s="397" t="n"/>
      <c r="F461" s="397" t="n"/>
      <c r="G461" s="397" t="n"/>
      <c r="I461" s="397" t="n"/>
      <c r="J461" s="397" t="n"/>
      <c r="K461" s="395">
        <f>DATE(VALUE(LEFT(A461,4)),VALUE(MID(A461,5,2)),VALUE(RIGHT(A461,2)))</f>
        <v/>
      </c>
      <c r="L461" s="395">
        <f>DATEVALUE(LEFT(F461,10))</f>
        <v/>
      </c>
      <c r="M461" s="396">
        <f>TIMEVALUE(MID(F461,12,8))</f>
        <v/>
      </c>
      <c r="N461" s="395">
        <f>DATEVALUE(LEFT(G461,10))</f>
        <v/>
      </c>
      <c r="O461" s="396">
        <f>TIMEVALUE(MID(G461,12,8))</f>
        <v/>
      </c>
      <c r="P461" s="396">
        <f>IFERROR(_xlfn.MINIFS($M:$M,$E:$E,$E461,$K:$K,$K461,$M:$M,"&gt;"&amp;$O461),"")</f>
        <v/>
      </c>
      <c r="Q461" s="396">
        <f>IF($P461="","",$P461-$O461)</f>
        <v/>
      </c>
    </row>
    <row r="462" ht="15" customHeight="1" s="231">
      <c r="A462" s="397" t="n"/>
      <c r="B462" s="397" t="n"/>
      <c r="C462" s="397" t="n"/>
      <c r="D462" s="397" t="n"/>
      <c r="E462" s="397" t="n"/>
      <c r="F462" s="397" t="n"/>
      <c r="G462" s="397" t="n"/>
      <c r="I462" s="397" t="n"/>
      <c r="J462" s="397" t="n"/>
      <c r="K462" s="395">
        <f>DATE(VALUE(LEFT(A462,4)),VALUE(MID(A462,5,2)),VALUE(RIGHT(A462,2)))</f>
        <v/>
      </c>
      <c r="L462" s="395">
        <f>DATEVALUE(LEFT(F462,10))</f>
        <v/>
      </c>
      <c r="M462" s="396">
        <f>TIMEVALUE(MID(F462,12,8))</f>
        <v/>
      </c>
      <c r="N462" s="395">
        <f>DATEVALUE(LEFT(G462,10))</f>
        <v/>
      </c>
      <c r="O462" s="396">
        <f>TIMEVALUE(MID(G462,12,8))</f>
        <v/>
      </c>
      <c r="P462" s="396">
        <f>IFERROR(_xlfn.MINIFS($M:$M,$E:$E,$E462,$K:$K,$K462,$M:$M,"&gt;"&amp;$O462),"")</f>
        <v/>
      </c>
      <c r="Q462" s="396">
        <f>IF($P462="","",$P462-$O462)</f>
        <v/>
      </c>
    </row>
    <row r="463" ht="15" customHeight="1" s="231">
      <c r="A463" s="397" t="n"/>
      <c r="B463" s="397" t="n"/>
      <c r="C463" s="397" t="n"/>
      <c r="D463" s="397" t="n"/>
      <c r="E463" s="397" t="n"/>
      <c r="F463" s="397" t="n"/>
      <c r="G463" s="397" t="n"/>
      <c r="I463" s="397" t="n"/>
      <c r="J463" s="397" t="n"/>
      <c r="K463" s="395">
        <f>DATE(VALUE(LEFT(A463,4)),VALUE(MID(A463,5,2)),VALUE(RIGHT(A463,2)))</f>
        <v/>
      </c>
      <c r="L463" s="395">
        <f>DATEVALUE(LEFT(F463,10))</f>
        <v/>
      </c>
      <c r="M463" s="396">
        <f>TIMEVALUE(MID(F463,12,8))</f>
        <v/>
      </c>
      <c r="N463" s="395">
        <f>DATEVALUE(LEFT(G463,10))</f>
        <v/>
      </c>
      <c r="O463" s="396">
        <f>TIMEVALUE(MID(G463,12,8))</f>
        <v/>
      </c>
      <c r="P463" s="396">
        <f>IFERROR(_xlfn.MINIFS($M:$M,$E:$E,$E463,$K:$K,$K463,$M:$M,"&gt;"&amp;$O463),"")</f>
        <v/>
      </c>
      <c r="Q463" s="396">
        <f>IF($P463="","",$P463-$O463)</f>
        <v/>
      </c>
    </row>
    <row r="464" ht="15" customHeight="1" s="231">
      <c r="A464" s="397" t="n"/>
      <c r="B464" s="397" t="n"/>
      <c r="C464" s="397" t="n"/>
      <c r="D464" s="397" t="n"/>
      <c r="E464" s="397" t="n"/>
      <c r="F464" s="397" t="n"/>
      <c r="G464" s="397" t="n"/>
      <c r="I464" s="397" t="n"/>
      <c r="J464" s="397" t="n"/>
      <c r="K464" s="395">
        <f>DATE(VALUE(LEFT(A464,4)),VALUE(MID(A464,5,2)),VALUE(RIGHT(A464,2)))</f>
        <v/>
      </c>
      <c r="L464" s="395">
        <f>DATEVALUE(LEFT(F464,10))</f>
        <v/>
      </c>
      <c r="M464" s="396">
        <f>TIMEVALUE(MID(F464,12,8))</f>
        <v/>
      </c>
      <c r="N464" s="395">
        <f>DATEVALUE(LEFT(G464,10))</f>
        <v/>
      </c>
      <c r="O464" s="396">
        <f>TIMEVALUE(MID(G464,12,8))</f>
        <v/>
      </c>
      <c r="P464" s="396">
        <f>IFERROR(_xlfn.MINIFS($M:$M,$E:$E,$E464,$K:$K,$K464,$M:$M,"&gt;"&amp;$O464),"")</f>
        <v/>
      </c>
      <c r="Q464" s="396">
        <f>IF($P464="","",$P464-$O464)</f>
        <v/>
      </c>
    </row>
    <row r="465" ht="15" customHeight="1" s="231">
      <c r="A465" s="397" t="n"/>
      <c r="B465" s="397" t="n"/>
      <c r="C465" s="397" t="n"/>
      <c r="D465" s="397" t="n"/>
      <c r="E465" s="397" t="n"/>
      <c r="F465" s="397" t="n"/>
      <c r="G465" s="397" t="n"/>
      <c r="I465" s="397" t="n"/>
      <c r="J465" s="397" t="n"/>
      <c r="K465" s="395">
        <f>DATE(VALUE(LEFT(A465,4)),VALUE(MID(A465,5,2)),VALUE(RIGHT(A465,2)))</f>
        <v/>
      </c>
      <c r="L465" s="395">
        <f>DATEVALUE(LEFT(F465,10))</f>
        <v/>
      </c>
      <c r="M465" s="396">
        <f>TIMEVALUE(MID(F465,12,8))</f>
        <v/>
      </c>
      <c r="N465" s="395">
        <f>DATEVALUE(LEFT(G465,10))</f>
        <v/>
      </c>
      <c r="O465" s="396">
        <f>TIMEVALUE(MID(G465,12,8))</f>
        <v/>
      </c>
      <c r="P465" s="396">
        <f>IFERROR(_xlfn.MINIFS($M:$M,$E:$E,$E465,$K:$K,$K465,$M:$M,"&gt;"&amp;$O465),"")</f>
        <v/>
      </c>
      <c r="Q465" s="396">
        <f>IF($P465="","",$P465-$O465)</f>
        <v/>
      </c>
    </row>
    <row r="466" ht="15" customHeight="1" s="231">
      <c r="A466" s="397" t="n"/>
      <c r="B466" s="397" t="n"/>
      <c r="C466" s="397" t="n"/>
      <c r="D466" s="397" t="n"/>
      <c r="E466" s="397" t="n"/>
      <c r="F466" s="397" t="n"/>
      <c r="G466" s="397" t="n"/>
      <c r="I466" s="397" t="n"/>
      <c r="J466" s="397" t="n"/>
      <c r="K466" s="395">
        <f>DATE(VALUE(LEFT(A466,4)),VALUE(MID(A466,5,2)),VALUE(RIGHT(A466,2)))</f>
        <v/>
      </c>
      <c r="L466" s="395">
        <f>DATEVALUE(LEFT(F466,10))</f>
        <v/>
      </c>
      <c r="M466" s="396">
        <f>TIMEVALUE(MID(F466,12,8))</f>
        <v/>
      </c>
      <c r="N466" s="395">
        <f>DATEVALUE(LEFT(G466,10))</f>
        <v/>
      </c>
      <c r="O466" s="396">
        <f>TIMEVALUE(MID(G466,12,8))</f>
        <v/>
      </c>
      <c r="P466" s="396">
        <f>IFERROR(_xlfn.MINIFS($M:$M,$E:$E,$E466,$K:$K,$K466,$M:$M,"&gt;"&amp;$O466),"")</f>
        <v/>
      </c>
      <c r="Q466" s="396">
        <f>IF($P466="","",$P466-$O466)</f>
        <v/>
      </c>
    </row>
    <row r="467" ht="15" customHeight="1" s="231">
      <c r="A467" s="397" t="n"/>
      <c r="B467" s="397" t="n"/>
      <c r="C467" s="397" t="n"/>
      <c r="D467" s="397" t="n"/>
      <c r="E467" s="397" t="n"/>
      <c r="F467" s="397" t="n"/>
      <c r="G467" s="397" t="n"/>
      <c r="I467" s="397" t="n"/>
      <c r="J467" s="397" t="n"/>
      <c r="K467" s="395">
        <f>DATE(VALUE(LEFT(A467,4)),VALUE(MID(A467,5,2)),VALUE(RIGHT(A467,2)))</f>
        <v/>
      </c>
      <c r="L467" s="395">
        <f>DATEVALUE(LEFT(F467,10))</f>
        <v/>
      </c>
      <c r="M467" s="396">
        <f>TIMEVALUE(MID(F467,12,8))</f>
        <v/>
      </c>
      <c r="N467" s="395">
        <f>DATEVALUE(LEFT(G467,10))</f>
        <v/>
      </c>
      <c r="O467" s="396">
        <f>TIMEVALUE(MID(G467,12,8))</f>
        <v/>
      </c>
      <c r="P467" s="396">
        <f>IFERROR(_xlfn.MINIFS($M:$M,$E:$E,$E467,$K:$K,$K467,$M:$M,"&gt;"&amp;$O467),"")</f>
        <v/>
      </c>
      <c r="Q467" s="396">
        <f>IF($P467="","",$P467-$O467)</f>
        <v/>
      </c>
    </row>
    <row r="468" ht="15" customHeight="1" s="231">
      <c r="A468" s="397" t="n"/>
      <c r="B468" s="397" t="n"/>
      <c r="C468" s="397" t="n"/>
      <c r="D468" s="397" t="n"/>
      <c r="E468" s="397" t="n"/>
      <c r="F468" s="397" t="n"/>
      <c r="G468" s="397" t="n"/>
      <c r="I468" s="397" t="n"/>
      <c r="J468" s="397" t="n"/>
      <c r="K468" s="395">
        <f>DATE(VALUE(LEFT(A468,4)),VALUE(MID(A468,5,2)),VALUE(RIGHT(A468,2)))</f>
        <v/>
      </c>
      <c r="L468" s="395">
        <f>DATEVALUE(LEFT(F468,10))</f>
        <v/>
      </c>
      <c r="M468" s="396">
        <f>TIMEVALUE(MID(F468,12,8))</f>
        <v/>
      </c>
      <c r="N468" s="395">
        <f>DATEVALUE(LEFT(G468,10))</f>
        <v/>
      </c>
      <c r="O468" s="396">
        <f>TIMEVALUE(MID(G468,12,8))</f>
        <v/>
      </c>
      <c r="P468" s="396">
        <f>IFERROR(_xlfn.MINIFS($M:$M,$E:$E,$E468,$K:$K,$K468,$M:$M,"&gt;"&amp;$O468),"")</f>
        <v/>
      </c>
      <c r="Q468" s="396">
        <f>IF($P468="","",$P468-$O468)</f>
        <v/>
      </c>
    </row>
    <row r="469" ht="15" customHeight="1" s="231">
      <c r="A469" s="397" t="n"/>
      <c r="B469" s="397" t="n"/>
      <c r="C469" s="397" t="n"/>
      <c r="D469" s="397" t="n"/>
      <c r="E469" s="397" t="n"/>
      <c r="F469" s="397" t="n"/>
      <c r="G469" s="397" t="n"/>
      <c r="I469" s="397" t="n"/>
      <c r="J469" s="397" t="n"/>
      <c r="K469" s="395">
        <f>DATE(VALUE(LEFT(A469,4)),VALUE(MID(A469,5,2)),VALUE(RIGHT(A469,2)))</f>
        <v/>
      </c>
      <c r="L469" s="395">
        <f>DATEVALUE(LEFT(F469,10))</f>
        <v/>
      </c>
      <c r="M469" s="396">
        <f>TIMEVALUE(MID(F469,12,8))</f>
        <v/>
      </c>
      <c r="N469" s="395">
        <f>DATEVALUE(LEFT(G469,10))</f>
        <v/>
      </c>
      <c r="O469" s="396">
        <f>TIMEVALUE(MID(G469,12,8))</f>
        <v/>
      </c>
      <c r="P469" s="396">
        <f>IFERROR(_xlfn.MINIFS($M:$M,$E:$E,$E469,$K:$K,$K469,$M:$M,"&gt;"&amp;$O469),"")</f>
        <v/>
      </c>
      <c r="Q469" s="396">
        <f>IF($P469="","",$P469-$O469)</f>
        <v/>
      </c>
    </row>
    <row r="470" ht="15" customHeight="1" s="231">
      <c r="A470" s="397" t="n"/>
      <c r="B470" s="397" t="n"/>
      <c r="C470" s="397" t="n"/>
      <c r="D470" s="397" t="n"/>
      <c r="E470" s="397" t="n"/>
      <c r="F470" s="397" t="n"/>
      <c r="G470" s="397" t="n"/>
      <c r="I470" s="397" t="n"/>
      <c r="J470" s="397" t="n"/>
      <c r="K470" s="395">
        <f>DATE(VALUE(LEFT(A470,4)),VALUE(MID(A470,5,2)),VALUE(RIGHT(A470,2)))</f>
        <v/>
      </c>
      <c r="L470" s="395">
        <f>DATEVALUE(LEFT(F470,10))</f>
        <v/>
      </c>
      <c r="M470" s="396">
        <f>TIMEVALUE(MID(F470,12,8))</f>
        <v/>
      </c>
      <c r="N470" s="395">
        <f>DATEVALUE(LEFT(G470,10))</f>
        <v/>
      </c>
      <c r="O470" s="396">
        <f>TIMEVALUE(MID(G470,12,8))</f>
        <v/>
      </c>
      <c r="P470" s="396">
        <f>IFERROR(_xlfn.MINIFS($M:$M,$E:$E,$E470,$K:$K,$K470,$M:$M,"&gt;"&amp;$O470),"")</f>
        <v/>
      </c>
      <c r="Q470" s="396">
        <f>IF($P470="","",$P470-$O470)</f>
        <v/>
      </c>
    </row>
    <row r="471" ht="15" customHeight="1" s="231">
      <c r="A471" s="397" t="n"/>
      <c r="B471" s="397" t="n"/>
      <c r="C471" s="397" t="n"/>
      <c r="D471" s="397" t="n"/>
      <c r="E471" s="397" t="n"/>
      <c r="F471" s="397" t="n"/>
      <c r="G471" s="397" t="n"/>
      <c r="I471" s="397" t="n"/>
      <c r="J471" s="397" t="n"/>
      <c r="K471" s="395">
        <f>DATE(VALUE(LEFT(A471,4)),VALUE(MID(A471,5,2)),VALUE(RIGHT(A471,2)))</f>
        <v/>
      </c>
      <c r="L471" s="395">
        <f>DATEVALUE(LEFT(F471,10))</f>
        <v/>
      </c>
      <c r="M471" s="396">
        <f>TIMEVALUE(MID(F471,12,8))</f>
        <v/>
      </c>
      <c r="N471" s="395">
        <f>DATEVALUE(LEFT(G471,10))</f>
        <v/>
      </c>
      <c r="O471" s="396">
        <f>TIMEVALUE(MID(G471,12,8))</f>
        <v/>
      </c>
      <c r="P471" s="396">
        <f>IFERROR(_xlfn.MINIFS($M:$M,$E:$E,$E471,$K:$K,$K471,$M:$M,"&gt;"&amp;$O471),"")</f>
        <v/>
      </c>
      <c r="Q471" s="396">
        <f>IF($P471="","",$P471-$O471)</f>
        <v/>
      </c>
    </row>
    <row r="472" ht="15" customHeight="1" s="231">
      <c r="A472" s="397" t="n"/>
      <c r="B472" s="397" t="n"/>
      <c r="C472" s="397" t="n"/>
      <c r="D472" s="397" t="n"/>
      <c r="E472" s="397" t="n"/>
      <c r="F472" s="397" t="n"/>
      <c r="G472" s="397" t="n"/>
      <c r="I472" s="397" t="n"/>
      <c r="J472" s="397" t="n"/>
      <c r="K472" s="395">
        <f>DATE(VALUE(LEFT(A472,4)),VALUE(MID(A472,5,2)),VALUE(RIGHT(A472,2)))</f>
        <v/>
      </c>
      <c r="L472" s="395">
        <f>DATEVALUE(LEFT(F472,10))</f>
        <v/>
      </c>
      <c r="M472" s="396">
        <f>TIMEVALUE(MID(F472,12,8))</f>
        <v/>
      </c>
      <c r="N472" s="395">
        <f>DATEVALUE(LEFT(G472,10))</f>
        <v/>
      </c>
      <c r="O472" s="396">
        <f>TIMEVALUE(MID(G472,12,8))</f>
        <v/>
      </c>
      <c r="P472" s="396">
        <f>IFERROR(_xlfn.MINIFS($M:$M,$E:$E,$E472,$K:$K,$K472,$M:$M,"&gt;"&amp;$O472),"")</f>
        <v/>
      </c>
      <c r="Q472" s="396">
        <f>IF($P472="","",$P472-$O472)</f>
        <v/>
      </c>
    </row>
    <row r="473" ht="15" customHeight="1" s="231">
      <c r="A473" s="397" t="n"/>
      <c r="B473" s="397" t="n"/>
      <c r="C473" s="397" t="n"/>
      <c r="D473" s="397" t="n"/>
      <c r="E473" s="397" t="n"/>
      <c r="F473" s="397" t="n"/>
      <c r="G473" s="397" t="n"/>
      <c r="I473" s="397" t="n"/>
      <c r="J473" s="397" t="n"/>
      <c r="K473" s="395">
        <f>DATE(VALUE(LEFT(A473,4)),VALUE(MID(A473,5,2)),VALUE(RIGHT(A473,2)))</f>
        <v/>
      </c>
      <c r="L473" s="395">
        <f>DATEVALUE(LEFT(F473,10))</f>
        <v/>
      </c>
      <c r="M473" s="396">
        <f>TIMEVALUE(MID(F473,12,8))</f>
        <v/>
      </c>
      <c r="N473" s="395">
        <f>DATEVALUE(LEFT(G473,10))</f>
        <v/>
      </c>
      <c r="O473" s="396">
        <f>TIMEVALUE(MID(G473,12,8))</f>
        <v/>
      </c>
      <c r="P473" s="396">
        <f>IFERROR(_xlfn.MINIFS($M:$M,$E:$E,$E473,$K:$K,$K473,$M:$M,"&gt;"&amp;$O473),"")</f>
        <v/>
      </c>
      <c r="Q473" s="396">
        <f>IF($P473="","",$P473-$O473)</f>
        <v/>
      </c>
    </row>
    <row r="474" ht="15" customHeight="1" s="231">
      <c r="A474" s="397" t="n"/>
      <c r="B474" s="397" t="n"/>
      <c r="C474" s="397" t="n"/>
      <c r="D474" s="397" t="n"/>
      <c r="E474" s="397" t="n"/>
      <c r="F474" s="397" t="n"/>
      <c r="G474" s="397" t="n"/>
      <c r="I474" s="397" t="n"/>
      <c r="J474" s="397" t="n"/>
      <c r="K474" s="395">
        <f>DATE(VALUE(LEFT(A474,4)),VALUE(MID(A474,5,2)),VALUE(RIGHT(A474,2)))</f>
        <v/>
      </c>
      <c r="L474" s="395">
        <f>DATEVALUE(LEFT(F474,10))</f>
        <v/>
      </c>
      <c r="M474" s="396">
        <f>TIMEVALUE(MID(F474,12,8))</f>
        <v/>
      </c>
      <c r="N474" s="395">
        <f>DATEVALUE(LEFT(G474,10))</f>
        <v/>
      </c>
      <c r="O474" s="396">
        <f>TIMEVALUE(MID(G474,12,8))</f>
        <v/>
      </c>
      <c r="P474" s="396">
        <f>IFERROR(_xlfn.MINIFS($M:$M,$E:$E,$E474,$K:$K,$K474,$M:$M,"&gt;"&amp;$O474),"")</f>
        <v/>
      </c>
      <c r="Q474" s="396">
        <f>IF($P474="","",$P474-$O474)</f>
        <v/>
      </c>
    </row>
    <row r="475" ht="15" customHeight="1" s="231">
      <c r="A475" s="397" t="n"/>
      <c r="B475" s="397" t="n"/>
      <c r="C475" s="397" t="n"/>
      <c r="D475" s="397" t="n"/>
      <c r="E475" s="397" t="n"/>
      <c r="F475" s="397" t="n"/>
      <c r="G475" s="397" t="n"/>
      <c r="I475" s="397" t="n"/>
      <c r="J475" s="397" t="n"/>
      <c r="K475" s="395">
        <f>DATE(VALUE(LEFT(A475,4)),VALUE(MID(A475,5,2)),VALUE(RIGHT(A475,2)))</f>
        <v/>
      </c>
      <c r="L475" s="395">
        <f>DATEVALUE(LEFT(F475,10))</f>
        <v/>
      </c>
      <c r="M475" s="396">
        <f>TIMEVALUE(MID(F475,12,8))</f>
        <v/>
      </c>
      <c r="N475" s="395">
        <f>DATEVALUE(LEFT(G475,10))</f>
        <v/>
      </c>
      <c r="O475" s="396">
        <f>TIMEVALUE(MID(G475,12,8))</f>
        <v/>
      </c>
      <c r="P475" s="396">
        <f>IFERROR(_xlfn.MINIFS($M:$M,$E:$E,$E475,$K:$K,$K475,$M:$M,"&gt;"&amp;$O475),"")</f>
        <v/>
      </c>
      <c r="Q475" s="396">
        <f>IF($P475="","",$P475-$O475)</f>
        <v/>
      </c>
    </row>
    <row r="476" ht="15" customHeight="1" s="231">
      <c r="A476" s="397" t="n"/>
      <c r="B476" s="397" t="n"/>
      <c r="C476" s="397" t="n"/>
      <c r="D476" s="397" t="n"/>
      <c r="E476" s="397" t="n"/>
      <c r="F476" s="397" t="n"/>
      <c r="G476" s="397" t="n"/>
      <c r="I476" s="397" t="n"/>
      <c r="J476" s="397" t="n"/>
      <c r="K476" s="395">
        <f>DATE(VALUE(LEFT(A476,4)),VALUE(MID(A476,5,2)),VALUE(RIGHT(A476,2)))</f>
        <v/>
      </c>
      <c r="L476" s="395">
        <f>DATEVALUE(LEFT(F476,10))</f>
        <v/>
      </c>
      <c r="M476" s="396">
        <f>TIMEVALUE(MID(F476,12,8))</f>
        <v/>
      </c>
      <c r="N476" s="395">
        <f>DATEVALUE(LEFT(G476,10))</f>
        <v/>
      </c>
      <c r="O476" s="396">
        <f>TIMEVALUE(MID(G476,12,8))</f>
        <v/>
      </c>
      <c r="P476" s="396">
        <f>IFERROR(_xlfn.MINIFS($M:$M,$E:$E,$E476,$K:$K,$K476,$M:$M,"&gt;"&amp;$O476),"")</f>
        <v/>
      </c>
      <c r="Q476" s="396">
        <f>IF($P476="","",$P476-$O476)</f>
        <v/>
      </c>
    </row>
    <row r="477" ht="15" customHeight="1" s="231">
      <c r="A477" s="397" t="n"/>
      <c r="B477" s="397" t="n"/>
      <c r="C477" s="397" t="n"/>
      <c r="D477" s="397" t="n"/>
      <c r="E477" s="397" t="n"/>
      <c r="F477" s="397" t="n"/>
      <c r="G477" s="397" t="n"/>
      <c r="I477" s="397" t="n"/>
      <c r="J477" s="397" t="n"/>
      <c r="K477" s="395">
        <f>DATE(VALUE(LEFT(A477,4)),VALUE(MID(A477,5,2)),VALUE(RIGHT(A477,2)))</f>
        <v/>
      </c>
      <c r="L477" s="395">
        <f>DATEVALUE(LEFT(F477,10))</f>
        <v/>
      </c>
      <c r="M477" s="396">
        <f>TIMEVALUE(MID(F477,12,8))</f>
        <v/>
      </c>
      <c r="N477" s="395">
        <f>DATEVALUE(LEFT(G477,10))</f>
        <v/>
      </c>
      <c r="O477" s="396">
        <f>TIMEVALUE(MID(G477,12,8))</f>
        <v/>
      </c>
      <c r="P477" s="396">
        <f>IFERROR(_xlfn.MINIFS($M:$M,$E:$E,$E477,$K:$K,$K477,$M:$M,"&gt;"&amp;$O477),"")</f>
        <v/>
      </c>
      <c r="Q477" s="396">
        <f>IF($P477="","",$P477-$O477)</f>
        <v/>
      </c>
    </row>
    <row r="478" ht="15" customHeight="1" s="231">
      <c r="A478" s="397" t="n"/>
      <c r="B478" s="397" t="n"/>
      <c r="C478" s="397" t="n"/>
      <c r="D478" s="397" t="n"/>
      <c r="E478" s="397" t="n"/>
      <c r="F478" s="397" t="n"/>
      <c r="G478" s="397" t="n"/>
      <c r="I478" s="397" t="n"/>
      <c r="J478" s="397" t="n"/>
      <c r="K478" s="395">
        <f>DATE(VALUE(LEFT(A478,4)),VALUE(MID(A478,5,2)),VALUE(RIGHT(A478,2)))</f>
        <v/>
      </c>
      <c r="L478" s="395">
        <f>DATEVALUE(LEFT(F478,10))</f>
        <v/>
      </c>
      <c r="M478" s="396">
        <f>TIMEVALUE(MID(F478,12,8))</f>
        <v/>
      </c>
      <c r="N478" s="395">
        <f>DATEVALUE(LEFT(G478,10))</f>
        <v/>
      </c>
      <c r="O478" s="396">
        <f>TIMEVALUE(MID(G478,12,8))</f>
        <v/>
      </c>
      <c r="P478" s="396">
        <f>IFERROR(_xlfn.MINIFS($M:$M,$E:$E,$E478,$K:$K,$K478,$M:$M,"&gt;"&amp;$O478),"")</f>
        <v/>
      </c>
      <c r="Q478" s="396">
        <f>IF($P478="","",$P478-$O478)</f>
        <v/>
      </c>
    </row>
    <row r="479" ht="15" customHeight="1" s="231">
      <c r="A479" s="397" t="n"/>
      <c r="B479" s="397" t="n"/>
      <c r="C479" s="397" t="n"/>
      <c r="D479" s="397" t="n"/>
      <c r="E479" s="397" t="n"/>
      <c r="F479" s="397" t="n"/>
      <c r="G479" s="397" t="n"/>
      <c r="I479" s="397" t="n"/>
      <c r="J479" s="397" t="n"/>
      <c r="K479" s="395">
        <f>DATE(VALUE(LEFT(A479,4)),VALUE(MID(A479,5,2)),VALUE(RIGHT(A479,2)))</f>
        <v/>
      </c>
      <c r="L479" s="395">
        <f>DATEVALUE(LEFT(F479,10))</f>
        <v/>
      </c>
      <c r="M479" s="396">
        <f>TIMEVALUE(MID(F479,12,8))</f>
        <v/>
      </c>
      <c r="N479" s="395">
        <f>DATEVALUE(LEFT(G479,10))</f>
        <v/>
      </c>
      <c r="O479" s="396">
        <f>TIMEVALUE(MID(G479,12,8))</f>
        <v/>
      </c>
      <c r="P479" s="396">
        <f>IFERROR(_xlfn.MINIFS($M:$M,$E:$E,$E479,$K:$K,$K479,$M:$M,"&gt;"&amp;$O479),"")</f>
        <v/>
      </c>
      <c r="Q479" s="396">
        <f>IF($P479="","",$P479-$O479)</f>
        <v/>
      </c>
    </row>
    <row r="480" ht="15" customHeight="1" s="231">
      <c r="A480" s="397" t="n"/>
      <c r="B480" s="397" t="n"/>
      <c r="C480" s="397" t="n"/>
      <c r="D480" s="397" t="n"/>
      <c r="E480" s="397" t="n"/>
      <c r="F480" s="397" t="n"/>
      <c r="G480" s="397" t="n"/>
      <c r="I480" s="397" t="n"/>
      <c r="J480" s="397" t="n"/>
      <c r="K480" s="395">
        <f>DATE(VALUE(LEFT(A480,4)),VALUE(MID(A480,5,2)),VALUE(RIGHT(A480,2)))</f>
        <v/>
      </c>
      <c r="L480" s="395">
        <f>DATEVALUE(LEFT(F480,10))</f>
        <v/>
      </c>
      <c r="M480" s="396">
        <f>TIMEVALUE(MID(F480,12,8))</f>
        <v/>
      </c>
      <c r="N480" s="395">
        <f>DATEVALUE(LEFT(G480,10))</f>
        <v/>
      </c>
      <c r="O480" s="396">
        <f>TIMEVALUE(MID(G480,12,8))</f>
        <v/>
      </c>
      <c r="P480" s="396">
        <f>IFERROR(_xlfn.MINIFS($M:$M,$E:$E,$E480,$K:$K,$K480,$M:$M,"&gt;"&amp;$O480),"")</f>
        <v/>
      </c>
      <c r="Q480" s="396">
        <f>IF($P480="","",$P480-$O480)</f>
        <v/>
      </c>
    </row>
    <row r="481" ht="15" customHeight="1" s="231">
      <c r="A481" s="397" t="n"/>
      <c r="B481" s="397" t="n"/>
      <c r="C481" s="397" t="n"/>
      <c r="D481" s="397" t="n"/>
      <c r="E481" s="397" t="n"/>
      <c r="F481" s="397" t="n"/>
      <c r="G481" s="397" t="n"/>
      <c r="I481" s="397" t="n"/>
      <c r="J481" s="397" t="n"/>
      <c r="K481" s="395">
        <f>DATE(VALUE(LEFT(A481,4)),VALUE(MID(A481,5,2)),VALUE(RIGHT(A481,2)))</f>
        <v/>
      </c>
      <c r="L481" s="395">
        <f>DATEVALUE(LEFT(F481,10))</f>
        <v/>
      </c>
      <c r="M481" s="396">
        <f>TIMEVALUE(MID(F481,12,8))</f>
        <v/>
      </c>
      <c r="N481" s="395">
        <f>DATEVALUE(LEFT(G481,10))</f>
        <v/>
      </c>
      <c r="O481" s="396">
        <f>TIMEVALUE(MID(G481,12,8))</f>
        <v/>
      </c>
      <c r="P481" s="396">
        <f>IFERROR(_xlfn.MINIFS($M:$M,$E:$E,$E481,$K:$K,$K481,$M:$M,"&gt;"&amp;$O481),"")</f>
        <v/>
      </c>
      <c r="Q481" s="396">
        <f>IF($P481="","",$P481-$O481)</f>
        <v/>
      </c>
    </row>
    <row r="482" ht="15" customHeight="1" s="231">
      <c r="A482" s="397" t="n"/>
      <c r="B482" s="397" t="n"/>
      <c r="C482" s="397" t="n"/>
      <c r="D482" s="397" t="n"/>
      <c r="E482" s="397" t="n"/>
      <c r="F482" s="397" t="n"/>
      <c r="G482" s="397" t="n"/>
      <c r="I482" s="397" t="n"/>
      <c r="J482" s="397" t="n"/>
      <c r="K482" s="395">
        <f>DATE(VALUE(LEFT(A482,4)),VALUE(MID(A482,5,2)),VALUE(RIGHT(A482,2)))</f>
        <v/>
      </c>
      <c r="L482" s="395">
        <f>DATEVALUE(LEFT(F482,10))</f>
        <v/>
      </c>
      <c r="M482" s="396">
        <f>TIMEVALUE(MID(F482,12,8))</f>
        <v/>
      </c>
      <c r="N482" s="395">
        <f>DATEVALUE(LEFT(G482,10))</f>
        <v/>
      </c>
      <c r="O482" s="396">
        <f>TIMEVALUE(MID(G482,12,8))</f>
        <v/>
      </c>
      <c r="P482" s="396">
        <f>IFERROR(_xlfn.MINIFS($M:$M,$E:$E,$E482,$K:$K,$K482,$M:$M,"&gt;"&amp;$O482),"")</f>
        <v/>
      </c>
      <c r="Q482" s="396">
        <f>IF($P482="","",$P482-$O482)</f>
        <v/>
      </c>
    </row>
    <row r="483" ht="15" customHeight="1" s="231">
      <c r="A483" s="397" t="n"/>
      <c r="B483" s="397" t="n"/>
      <c r="C483" s="397" t="n"/>
      <c r="D483" s="397" t="n"/>
      <c r="E483" s="397" t="n"/>
      <c r="F483" s="397" t="n"/>
      <c r="G483" s="397" t="n"/>
      <c r="I483" s="397" t="n"/>
      <c r="J483" s="397" t="n"/>
      <c r="K483" s="395">
        <f>DATE(VALUE(LEFT(A483,4)),VALUE(MID(A483,5,2)),VALUE(RIGHT(A483,2)))</f>
        <v/>
      </c>
      <c r="L483" s="395">
        <f>DATEVALUE(LEFT(F483,10))</f>
        <v/>
      </c>
      <c r="M483" s="396">
        <f>TIMEVALUE(MID(F483,12,8))</f>
        <v/>
      </c>
      <c r="N483" s="395">
        <f>DATEVALUE(LEFT(G483,10))</f>
        <v/>
      </c>
      <c r="O483" s="396">
        <f>TIMEVALUE(MID(G483,12,8))</f>
        <v/>
      </c>
      <c r="P483" s="396">
        <f>IFERROR(_xlfn.MINIFS($M:$M,$E:$E,$E483,$K:$K,$K483,$M:$M,"&gt;"&amp;$O483),"")</f>
        <v/>
      </c>
      <c r="Q483" s="396">
        <f>IF($P483="","",$P483-$O483)</f>
        <v/>
      </c>
    </row>
    <row r="484" ht="15" customHeight="1" s="231">
      <c r="A484" s="397" t="n"/>
      <c r="B484" s="397" t="n"/>
      <c r="C484" s="397" t="n"/>
      <c r="D484" s="397" t="n"/>
      <c r="E484" s="397" t="n"/>
      <c r="F484" s="397" t="n"/>
      <c r="G484" s="397" t="n"/>
      <c r="I484" s="397" t="n"/>
      <c r="J484" s="397" t="n"/>
      <c r="K484" s="395">
        <f>DATE(VALUE(LEFT(A484,4)),VALUE(MID(A484,5,2)),VALUE(RIGHT(A484,2)))</f>
        <v/>
      </c>
      <c r="L484" s="395">
        <f>DATEVALUE(LEFT(F484,10))</f>
        <v/>
      </c>
      <c r="M484" s="396">
        <f>TIMEVALUE(MID(F484,12,8))</f>
        <v/>
      </c>
      <c r="N484" s="395">
        <f>DATEVALUE(LEFT(G484,10))</f>
        <v/>
      </c>
      <c r="O484" s="396">
        <f>TIMEVALUE(MID(G484,12,8))</f>
        <v/>
      </c>
      <c r="P484" s="396">
        <f>IFERROR(_xlfn.MINIFS($M:$M,$E:$E,$E484,$K:$K,$K484,$M:$M,"&gt;"&amp;$O484),"")</f>
        <v/>
      </c>
      <c r="Q484" s="396">
        <f>IF($P484="","",$P484-$O484)</f>
        <v/>
      </c>
    </row>
    <row r="485" ht="15" customHeight="1" s="231">
      <c r="A485" s="397" t="n"/>
      <c r="B485" s="397" t="n"/>
      <c r="C485" s="397" t="n"/>
      <c r="D485" s="397" t="n"/>
      <c r="E485" s="397" t="n"/>
      <c r="F485" s="397" t="n"/>
      <c r="G485" s="397" t="n"/>
      <c r="I485" s="397" t="n"/>
      <c r="J485" s="397" t="n"/>
      <c r="K485" s="395">
        <f>DATE(VALUE(LEFT(A485,4)),VALUE(MID(A485,5,2)),VALUE(RIGHT(A485,2)))</f>
        <v/>
      </c>
      <c r="L485" s="395">
        <f>DATEVALUE(LEFT(F485,10))</f>
        <v/>
      </c>
      <c r="M485" s="396">
        <f>TIMEVALUE(MID(F485,12,8))</f>
        <v/>
      </c>
      <c r="N485" s="395">
        <f>DATEVALUE(LEFT(G485,10))</f>
        <v/>
      </c>
      <c r="O485" s="396">
        <f>TIMEVALUE(MID(G485,12,8))</f>
        <v/>
      </c>
      <c r="P485" s="396">
        <f>IFERROR(_xlfn.MINIFS($M:$M,$E:$E,$E485,$K:$K,$K485,$M:$M,"&gt;"&amp;$O485),"")</f>
        <v/>
      </c>
      <c r="Q485" s="396">
        <f>IF($P485="","",$P485-$O485)</f>
        <v/>
      </c>
    </row>
    <row r="486" ht="15" customHeight="1" s="231">
      <c r="A486" s="397" t="n"/>
      <c r="B486" s="397" t="n"/>
      <c r="C486" s="397" t="n"/>
      <c r="D486" s="397" t="n"/>
      <c r="E486" s="397" t="n"/>
      <c r="F486" s="397" t="n"/>
      <c r="G486" s="397" t="n"/>
      <c r="I486" s="397" t="n"/>
      <c r="J486" s="397" t="n"/>
      <c r="K486" s="395">
        <f>DATE(VALUE(LEFT(A486,4)),VALUE(MID(A486,5,2)),VALUE(RIGHT(A486,2)))</f>
        <v/>
      </c>
      <c r="L486" s="395">
        <f>DATEVALUE(LEFT(F486,10))</f>
        <v/>
      </c>
      <c r="M486" s="396">
        <f>TIMEVALUE(MID(F486,12,8))</f>
        <v/>
      </c>
      <c r="N486" s="395">
        <f>DATEVALUE(LEFT(G486,10))</f>
        <v/>
      </c>
      <c r="O486" s="396">
        <f>TIMEVALUE(MID(G486,12,8))</f>
        <v/>
      </c>
      <c r="P486" s="396">
        <f>IFERROR(_xlfn.MINIFS($M:$M,$E:$E,$E486,$K:$K,$K486,$M:$M,"&gt;"&amp;$O486),"")</f>
        <v/>
      </c>
      <c r="Q486" s="396">
        <f>IF($P486="","",$P486-$O486)</f>
        <v/>
      </c>
    </row>
    <row r="487" ht="15" customHeight="1" s="231">
      <c r="A487" s="397" t="n"/>
      <c r="B487" s="397" t="n"/>
      <c r="C487" s="397" t="n"/>
      <c r="D487" s="397" t="n"/>
      <c r="E487" s="397" t="n"/>
      <c r="F487" s="397" t="n"/>
      <c r="G487" s="397" t="n"/>
      <c r="I487" s="397" t="n"/>
      <c r="J487" s="397" t="n"/>
      <c r="K487" s="395">
        <f>DATE(VALUE(LEFT(A487,4)),VALUE(MID(A487,5,2)),VALUE(RIGHT(A487,2)))</f>
        <v/>
      </c>
      <c r="L487" s="395">
        <f>DATEVALUE(LEFT(F487,10))</f>
        <v/>
      </c>
      <c r="M487" s="396">
        <f>TIMEVALUE(MID(F487,12,8))</f>
        <v/>
      </c>
      <c r="N487" s="395">
        <f>DATEVALUE(LEFT(G487,10))</f>
        <v/>
      </c>
      <c r="O487" s="396">
        <f>TIMEVALUE(MID(G487,12,8))</f>
        <v/>
      </c>
      <c r="P487" s="396">
        <f>IFERROR(_xlfn.MINIFS($M:$M,$E:$E,$E487,$K:$K,$K487,$M:$M,"&gt;"&amp;$O487),"")</f>
        <v/>
      </c>
      <c r="Q487" s="396">
        <f>IF($P487="","",$P487-$O487)</f>
        <v/>
      </c>
    </row>
    <row r="488" ht="15" customHeight="1" s="231">
      <c r="A488" s="397" t="n"/>
      <c r="B488" s="397" t="n"/>
      <c r="C488" s="397" t="n"/>
      <c r="D488" s="397" t="n"/>
      <c r="E488" s="397" t="n"/>
      <c r="F488" s="397" t="n"/>
      <c r="G488" s="397" t="n"/>
      <c r="I488" s="397" t="n"/>
      <c r="J488" s="397" t="n"/>
      <c r="K488" s="395">
        <f>DATE(VALUE(LEFT(A488,4)),VALUE(MID(A488,5,2)),VALUE(RIGHT(A488,2)))</f>
        <v/>
      </c>
      <c r="L488" s="395">
        <f>DATEVALUE(LEFT(F488,10))</f>
        <v/>
      </c>
      <c r="M488" s="396">
        <f>TIMEVALUE(MID(F488,12,8))</f>
        <v/>
      </c>
      <c r="N488" s="395">
        <f>DATEVALUE(LEFT(G488,10))</f>
        <v/>
      </c>
      <c r="O488" s="396">
        <f>TIMEVALUE(MID(G488,12,8))</f>
        <v/>
      </c>
      <c r="P488" s="396">
        <f>IFERROR(_xlfn.MINIFS($M:$M,$E:$E,$E488,$K:$K,$K488,$M:$M,"&gt;"&amp;$O488),"")</f>
        <v/>
      </c>
      <c r="Q488" s="396">
        <f>IF($P488="","",$P488-$O488)</f>
        <v/>
      </c>
    </row>
    <row r="489" ht="15" customHeight="1" s="231">
      <c r="A489" s="397" t="n"/>
      <c r="B489" s="397" t="n"/>
      <c r="C489" s="397" t="n"/>
      <c r="D489" s="397" t="n"/>
      <c r="E489" s="397" t="n"/>
      <c r="F489" s="397" t="n"/>
      <c r="G489" s="397" t="n"/>
      <c r="I489" s="397" t="n"/>
      <c r="J489" s="397" t="n"/>
      <c r="K489" s="395">
        <f>DATE(VALUE(LEFT(A489,4)),VALUE(MID(A489,5,2)),VALUE(RIGHT(A489,2)))</f>
        <v/>
      </c>
      <c r="L489" s="395">
        <f>DATEVALUE(LEFT(F489,10))</f>
        <v/>
      </c>
      <c r="M489" s="396">
        <f>TIMEVALUE(MID(F489,12,8))</f>
        <v/>
      </c>
      <c r="N489" s="395">
        <f>DATEVALUE(LEFT(G489,10))</f>
        <v/>
      </c>
      <c r="O489" s="396">
        <f>TIMEVALUE(MID(G489,12,8))</f>
        <v/>
      </c>
      <c r="P489" s="396">
        <f>IFERROR(_xlfn.MINIFS($M:$M,$E:$E,$E489,$K:$K,$K489,$M:$M,"&gt;"&amp;$O489),"")</f>
        <v/>
      </c>
      <c r="Q489" s="396">
        <f>IF($P489="","",$P489-$O489)</f>
        <v/>
      </c>
    </row>
    <row r="490" ht="15" customHeight="1" s="231">
      <c r="A490" s="397" t="n"/>
      <c r="B490" s="397" t="n"/>
      <c r="C490" s="397" t="n"/>
      <c r="D490" s="397" t="n"/>
      <c r="E490" s="397" t="n"/>
      <c r="F490" s="397" t="n"/>
      <c r="G490" s="397" t="n"/>
      <c r="I490" s="397" t="n"/>
      <c r="J490" s="397" t="n"/>
      <c r="K490" s="395">
        <f>DATE(VALUE(LEFT(A490,4)),VALUE(MID(A490,5,2)),VALUE(RIGHT(A490,2)))</f>
        <v/>
      </c>
      <c r="L490" s="395">
        <f>DATEVALUE(LEFT(F490,10))</f>
        <v/>
      </c>
      <c r="M490" s="396">
        <f>TIMEVALUE(MID(F490,12,8))</f>
        <v/>
      </c>
      <c r="N490" s="395">
        <f>DATEVALUE(LEFT(G490,10))</f>
        <v/>
      </c>
      <c r="O490" s="396">
        <f>TIMEVALUE(MID(G490,12,8))</f>
        <v/>
      </c>
      <c r="P490" s="396">
        <f>IFERROR(_xlfn.MINIFS($M:$M,$E:$E,$E490,$K:$K,$K490,$M:$M,"&gt;"&amp;$O490),"")</f>
        <v/>
      </c>
      <c r="Q490" s="396">
        <f>IF($P490="","",$P490-$O490)</f>
        <v/>
      </c>
    </row>
    <row r="491" ht="15" customHeight="1" s="231">
      <c r="A491" s="397" t="n"/>
      <c r="B491" s="397" t="n"/>
      <c r="C491" s="397" t="n"/>
      <c r="D491" s="397" t="n"/>
      <c r="E491" s="397" t="n"/>
      <c r="F491" s="397" t="n"/>
      <c r="G491" s="397" t="n"/>
      <c r="I491" s="397" t="n"/>
      <c r="J491" s="397" t="n"/>
      <c r="K491" s="395">
        <f>DATE(VALUE(LEFT(A491,4)),VALUE(MID(A491,5,2)),VALUE(RIGHT(A491,2)))</f>
        <v/>
      </c>
      <c r="L491" s="395">
        <f>DATEVALUE(LEFT(F491,10))</f>
        <v/>
      </c>
      <c r="M491" s="396">
        <f>TIMEVALUE(MID(F491,12,8))</f>
        <v/>
      </c>
      <c r="N491" s="395">
        <f>DATEVALUE(LEFT(G491,10))</f>
        <v/>
      </c>
      <c r="O491" s="396">
        <f>TIMEVALUE(MID(G491,12,8))</f>
        <v/>
      </c>
      <c r="P491" s="396">
        <f>IFERROR(_xlfn.MINIFS($M:$M,$E:$E,$E491,$K:$K,$K491,$M:$M,"&gt;"&amp;$O491),"")</f>
        <v/>
      </c>
      <c r="Q491" s="396">
        <f>IF($P491="","",$P491-$O491)</f>
        <v/>
      </c>
    </row>
    <row r="492" ht="15" customHeight="1" s="231">
      <c r="A492" s="397" t="n"/>
      <c r="B492" s="397" t="n"/>
      <c r="C492" s="397" t="n"/>
      <c r="D492" s="397" t="n"/>
      <c r="E492" s="397" t="n"/>
      <c r="F492" s="397" t="n"/>
      <c r="G492" s="397" t="n"/>
      <c r="I492" s="397" t="n"/>
      <c r="J492" s="397" t="n"/>
      <c r="K492" s="395">
        <f>DATE(VALUE(LEFT(A492,4)),VALUE(MID(A492,5,2)),VALUE(RIGHT(A492,2)))</f>
        <v/>
      </c>
      <c r="L492" s="395">
        <f>DATEVALUE(LEFT(F492,10))</f>
        <v/>
      </c>
      <c r="M492" s="396">
        <f>TIMEVALUE(MID(F492,12,8))</f>
        <v/>
      </c>
      <c r="N492" s="395">
        <f>DATEVALUE(LEFT(G492,10))</f>
        <v/>
      </c>
      <c r="O492" s="396">
        <f>TIMEVALUE(MID(G492,12,8))</f>
        <v/>
      </c>
      <c r="P492" s="396">
        <f>IFERROR(_xlfn.MINIFS($M:$M,$E:$E,$E492,$K:$K,$K492,$M:$M,"&gt;"&amp;$O492),"")</f>
        <v/>
      </c>
      <c r="Q492" s="396">
        <f>IF($P492="","",$P492-$O492)</f>
        <v/>
      </c>
    </row>
    <row r="493" ht="15" customHeight="1" s="231">
      <c r="A493" s="397" t="n"/>
      <c r="B493" s="397" t="n"/>
      <c r="C493" s="397" t="n"/>
      <c r="D493" s="397" t="n"/>
      <c r="E493" s="397" t="n"/>
      <c r="F493" s="397" t="n"/>
      <c r="G493" s="397" t="n"/>
      <c r="I493" s="397" t="n"/>
      <c r="J493" s="397" t="n"/>
      <c r="K493" s="395">
        <f>DATE(VALUE(LEFT(A493,4)),VALUE(MID(A493,5,2)),VALUE(RIGHT(A493,2)))</f>
        <v/>
      </c>
      <c r="L493" s="395">
        <f>DATEVALUE(LEFT(F493,10))</f>
        <v/>
      </c>
      <c r="M493" s="396">
        <f>TIMEVALUE(MID(F493,12,8))</f>
        <v/>
      </c>
      <c r="N493" s="395">
        <f>DATEVALUE(LEFT(G493,10))</f>
        <v/>
      </c>
      <c r="O493" s="396">
        <f>TIMEVALUE(MID(G493,12,8))</f>
        <v/>
      </c>
      <c r="P493" s="396">
        <f>IFERROR(_xlfn.MINIFS($M:$M,$E:$E,$E493,$K:$K,$K493,$M:$M,"&gt;"&amp;$O493),"")</f>
        <v/>
      </c>
      <c r="Q493" s="396">
        <f>IF($P493="","",$P493-$O493)</f>
        <v/>
      </c>
    </row>
    <row r="494" ht="15" customHeight="1" s="231">
      <c r="A494" s="397" t="n"/>
      <c r="B494" s="397" t="n"/>
      <c r="C494" s="397" t="n"/>
      <c r="D494" s="397" t="n"/>
      <c r="E494" s="397" t="n"/>
      <c r="F494" s="397" t="n"/>
      <c r="G494" s="397" t="n"/>
      <c r="I494" s="397" t="n"/>
      <c r="J494" s="397" t="n"/>
      <c r="K494" s="395">
        <f>DATE(VALUE(LEFT(A494,4)),VALUE(MID(A494,5,2)),VALUE(RIGHT(A494,2)))</f>
        <v/>
      </c>
      <c r="L494" s="395">
        <f>DATEVALUE(LEFT(F494,10))</f>
        <v/>
      </c>
      <c r="M494" s="396">
        <f>TIMEVALUE(MID(F494,12,8))</f>
        <v/>
      </c>
      <c r="N494" s="395">
        <f>DATEVALUE(LEFT(G494,10))</f>
        <v/>
      </c>
      <c r="O494" s="396">
        <f>TIMEVALUE(MID(G494,12,8))</f>
        <v/>
      </c>
      <c r="P494" s="396">
        <f>IFERROR(_xlfn.MINIFS($M:$M,$E:$E,$E494,$K:$K,$K494,$M:$M,"&gt;"&amp;$O494),"")</f>
        <v/>
      </c>
      <c r="Q494" s="396">
        <f>IF($P494="","",$P494-$O494)</f>
        <v/>
      </c>
    </row>
    <row r="495" ht="15" customHeight="1" s="231">
      <c r="A495" s="397" t="n"/>
      <c r="B495" s="397" t="n"/>
      <c r="C495" s="397" t="n"/>
      <c r="D495" s="397" t="n"/>
      <c r="E495" s="397" t="n"/>
      <c r="F495" s="397" t="n"/>
      <c r="G495" s="397" t="n"/>
      <c r="I495" s="397" t="n"/>
      <c r="J495" s="397" t="n"/>
      <c r="K495" s="395">
        <f>DATE(VALUE(LEFT(A495,4)),VALUE(MID(A495,5,2)),VALUE(RIGHT(A495,2)))</f>
        <v/>
      </c>
      <c r="L495" s="395">
        <f>DATEVALUE(LEFT(F495,10))</f>
        <v/>
      </c>
      <c r="M495" s="396">
        <f>TIMEVALUE(MID(F495,12,8))</f>
        <v/>
      </c>
      <c r="N495" s="395">
        <f>DATEVALUE(LEFT(G495,10))</f>
        <v/>
      </c>
      <c r="O495" s="396">
        <f>TIMEVALUE(MID(G495,12,8))</f>
        <v/>
      </c>
      <c r="P495" s="396">
        <f>IFERROR(_xlfn.MINIFS($M:$M,$E:$E,$E495,$K:$K,$K495,$M:$M,"&gt;"&amp;$O495),"")</f>
        <v/>
      </c>
      <c r="Q495" s="396">
        <f>IF($P495="","",$P495-$O495)</f>
        <v/>
      </c>
    </row>
    <row r="496" ht="15" customHeight="1" s="231">
      <c r="A496" s="397" t="n"/>
      <c r="B496" s="397" t="n"/>
      <c r="C496" s="397" t="n"/>
      <c r="D496" s="397" t="n"/>
      <c r="E496" s="397" t="n"/>
      <c r="F496" s="397" t="n"/>
      <c r="G496" s="397" t="n"/>
      <c r="I496" s="397" t="n"/>
      <c r="J496" s="397" t="n"/>
      <c r="K496" s="395">
        <f>DATE(VALUE(LEFT(A496,4)),VALUE(MID(A496,5,2)),VALUE(RIGHT(A496,2)))</f>
        <v/>
      </c>
      <c r="L496" s="395">
        <f>DATEVALUE(LEFT(F496,10))</f>
        <v/>
      </c>
      <c r="M496" s="396">
        <f>TIMEVALUE(MID(F496,12,8))</f>
        <v/>
      </c>
      <c r="N496" s="395">
        <f>DATEVALUE(LEFT(G496,10))</f>
        <v/>
      </c>
      <c r="O496" s="396">
        <f>TIMEVALUE(MID(G496,12,8))</f>
        <v/>
      </c>
      <c r="P496" s="396">
        <f>IFERROR(_xlfn.MINIFS($M:$M,$E:$E,$E496,$K:$K,$K496,$M:$M,"&gt;"&amp;$O496),"")</f>
        <v/>
      </c>
      <c r="Q496" s="396">
        <f>IF($P496="","",$P496-$O496)</f>
        <v/>
      </c>
    </row>
    <row r="497" ht="15" customHeight="1" s="231">
      <c r="A497" s="397" t="n"/>
      <c r="B497" s="397" t="n"/>
      <c r="C497" s="397" t="n"/>
      <c r="D497" s="397" t="n"/>
      <c r="E497" s="397" t="n"/>
      <c r="F497" s="397" t="n"/>
      <c r="G497" s="397" t="n"/>
      <c r="I497" s="397" t="n"/>
      <c r="J497" s="397" t="n"/>
      <c r="K497" s="395">
        <f>DATE(VALUE(LEFT(A497,4)),VALUE(MID(A497,5,2)),VALUE(RIGHT(A497,2)))</f>
        <v/>
      </c>
      <c r="L497" s="395">
        <f>DATEVALUE(LEFT(F497,10))</f>
        <v/>
      </c>
      <c r="M497" s="396">
        <f>TIMEVALUE(MID(F497,12,8))</f>
        <v/>
      </c>
      <c r="N497" s="395">
        <f>DATEVALUE(LEFT(G497,10))</f>
        <v/>
      </c>
      <c r="O497" s="396">
        <f>TIMEVALUE(MID(G497,12,8))</f>
        <v/>
      </c>
      <c r="P497" s="396">
        <f>IFERROR(_xlfn.MINIFS($M:$M,$E:$E,$E497,$K:$K,$K497,$M:$M,"&gt;"&amp;$O497),"")</f>
        <v/>
      </c>
      <c r="Q497" s="396">
        <f>IF($P497="","",$P497-$O497)</f>
        <v/>
      </c>
    </row>
    <row r="498" ht="15" customHeight="1" s="231">
      <c r="A498" s="397" t="n"/>
      <c r="B498" s="397" t="n"/>
      <c r="C498" s="397" t="n"/>
      <c r="D498" s="397" t="n"/>
      <c r="E498" s="397" t="n"/>
      <c r="F498" s="397" t="n"/>
      <c r="G498" s="397" t="n"/>
      <c r="I498" s="397" t="n"/>
      <c r="J498" s="397" t="n"/>
      <c r="K498" s="395">
        <f>DATE(VALUE(LEFT(A498,4)),VALUE(MID(A498,5,2)),VALUE(RIGHT(A498,2)))</f>
        <v/>
      </c>
      <c r="L498" s="395">
        <f>DATEVALUE(LEFT(F498,10))</f>
        <v/>
      </c>
      <c r="M498" s="396">
        <f>TIMEVALUE(MID(F498,12,8))</f>
        <v/>
      </c>
      <c r="N498" s="395">
        <f>DATEVALUE(LEFT(G498,10))</f>
        <v/>
      </c>
      <c r="O498" s="396">
        <f>TIMEVALUE(MID(G498,12,8))</f>
        <v/>
      </c>
      <c r="P498" s="396">
        <f>IFERROR(_xlfn.MINIFS($M:$M,$E:$E,$E498,$K:$K,$K498,$M:$M,"&gt;"&amp;$O498),"")</f>
        <v/>
      </c>
      <c r="Q498" s="396">
        <f>IF($P498="","",$P498-$O498)</f>
        <v/>
      </c>
    </row>
    <row r="499" ht="15" customHeight="1" s="231">
      <c r="A499" s="397" t="n"/>
      <c r="B499" s="397" t="n"/>
      <c r="C499" s="397" t="n"/>
      <c r="D499" s="397" t="n"/>
      <c r="E499" s="397" t="n"/>
      <c r="F499" s="397" t="n"/>
      <c r="G499" s="397" t="n"/>
      <c r="I499" s="397" t="n"/>
      <c r="J499" s="397" t="n"/>
      <c r="K499" s="395">
        <f>DATE(VALUE(LEFT(A499,4)),VALUE(MID(A499,5,2)),VALUE(RIGHT(A499,2)))</f>
        <v/>
      </c>
      <c r="L499" s="395">
        <f>DATEVALUE(LEFT(F499,10))</f>
        <v/>
      </c>
      <c r="M499" s="396">
        <f>TIMEVALUE(MID(F499,12,8))</f>
        <v/>
      </c>
      <c r="N499" s="395">
        <f>DATEVALUE(LEFT(G499,10))</f>
        <v/>
      </c>
      <c r="O499" s="396">
        <f>TIMEVALUE(MID(G499,12,8))</f>
        <v/>
      </c>
      <c r="P499" s="396">
        <f>IFERROR(_xlfn.MINIFS($M:$M,$E:$E,$E499,$K:$K,$K499,$M:$M,"&gt;"&amp;$O499),"")</f>
        <v/>
      </c>
      <c r="Q499" s="396">
        <f>IF($P499="","",$P499-$O499)</f>
        <v/>
      </c>
    </row>
    <row r="500" ht="15" customHeight="1" s="231">
      <c r="A500" s="397" t="n"/>
      <c r="B500" s="397" t="n"/>
      <c r="C500" s="397" t="n"/>
      <c r="D500" s="397" t="n"/>
      <c r="E500" s="397" t="n"/>
      <c r="F500" s="397" t="n"/>
      <c r="G500" s="397" t="n"/>
      <c r="I500" s="397" t="n"/>
      <c r="J500" s="397" t="n"/>
      <c r="K500" s="395">
        <f>DATE(VALUE(LEFT(A500,4)),VALUE(MID(A500,5,2)),VALUE(RIGHT(A500,2)))</f>
        <v/>
      </c>
      <c r="L500" s="395">
        <f>DATEVALUE(LEFT(F500,10))</f>
        <v/>
      </c>
      <c r="M500" s="396">
        <f>TIMEVALUE(MID(F500,12,8))</f>
        <v/>
      </c>
      <c r="N500" s="395">
        <f>DATEVALUE(LEFT(G500,10))</f>
        <v/>
      </c>
      <c r="O500" s="396">
        <f>TIMEVALUE(MID(G500,12,8))</f>
        <v/>
      </c>
      <c r="P500" s="396">
        <f>IFERROR(_xlfn.MINIFS($M:$M,$E:$E,$E500,$K:$K,$K500,$M:$M,"&gt;"&amp;$O500),"")</f>
        <v/>
      </c>
      <c r="Q500" s="396">
        <f>IF($P500="","",$P500-$O500)</f>
        <v/>
      </c>
    </row>
    <row r="501" ht="15" customHeight="1" s="231">
      <c r="A501" s="397" t="n"/>
      <c r="B501" s="397" t="n"/>
      <c r="C501" s="397" t="n"/>
      <c r="D501" s="397" t="n"/>
      <c r="E501" s="397" t="n"/>
      <c r="F501" s="397" t="n"/>
      <c r="G501" s="397" t="n"/>
      <c r="I501" s="397" t="n"/>
      <c r="J501" s="397" t="n"/>
      <c r="K501" s="395">
        <f>DATE(VALUE(LEFT(A501,4)),VALUE(MID(A501,5,2)),VALUE(RIGHT(A501,2)))</f>
        <v/>
      </c>
      <c r="L501" s="395">
        <f>DATEVALUE(LEFT(F501,10))</f>
        <v/>
      </c>
      <c r="M501" s="396">
        <f>TIMEVALUE(MID(F501,12,8))</f>
        <v/>
      </c>
      <c r="N501" s="395">
        <f>DATEVALUE(LEFT(G501,10))</f>
        <v/>
      </c>
      <c r="O501" s="396">
        <f>TIMEVALUE(MID(G501,12,8))</f>
        <v/>
      </c>
      <c r="P501" s="396">
        <f>IFERROR(_xlfn.MINIFS($M:$M,$E:$E,$E501,$K:$K,$K501,$M:$M,"&gt;"&amp;$O501),"")</f>
        <v/>
      </c>
      <c r="Q501" s="396">
        <f>IF($P501="","",$P501-$O501)</f>
        <v/>
      </c>
    </row>
    <row r="502" ht="15" customHeight="1" s="231">
      <c r="A502" s="397" t="n"/>
      <c r="B502" s="397" t="n"/>
      <c r="C502" s="397" t="n"/>
      <c r="D502" s="397" t="n"/>
      <c r="E502" s="397" t="n"/>
      <c r="F502" s="397" t="n"/>
      <c r="G502" s="397" t="n"/>
      <c r="I502" s="397" t="n"/>
      <c r="J502" s="397" t="n"/>
      <c r="K502" s="395">
        <f>DATE(VALUE(LEFT(A502,4)),VALUE(MID(A502,5,2)),VALUE(RIGHT(A502,2)))</f>
        <v/>
      </c>
      <c r="L502" s="395">
        <f>DATEVALUE(LEFT(F502,10))</f>
        <v/>
      </c>
      <c r="M502" s="396">
        <f>TIMEVALUE(MID(F502,12,8))</f>
        <v/>
      </c>
      <c r="N502" s="395">
        <f>DATEVALUE(LEFT(G502,10))</f>
        <v/>
      </c>
      <c r="O502" s="396">
        <f>TIMEVALUE(MID(G502,12,8))</f>
        <v/>
      </c>
      <c r="P502" s="396">
        <f>IFERROR(_xlfn.MINIFS($M:$M,$E:$E,$E502,$K:$K,$K502,$M:$M,"&gt;"&amp;$O502),"")</f>
        <v/>
      </c>
      <c r="Q502" s="396">
        <f>IF($P502="","",$P502-$O502)</f>
        <v/>
      </c>
    </row>
    <row r="503" ht="15" customHeight="1" s="231">
      <c r="A503" s="397" t="n"/>
      <c r="B503" s="397" t="n"/>
      <c r="C503" s="397" t="n"/>
      <c r="D503" s="397" t="n"/>
      <c r="E503" s="397" t="n"/>
      <c r="F503" s="397" t="n"/>
      <c r="G503" s="397" t="n"/>
      <c r="I503" s="397" t="n"/>
      <c r="J503" s="397" t="n"/>
      <c r="K503" s="395">
        <f>DATE(VALUE(LEFT(A503,4)),VALUE(MID(A503,5,2)),VALUE(RIGHT(A503,2)))</f>
        <v/>
      </c>
      <c r="L503" s="395">
        <f>DATEVALUE(LEFT(F503,10))</f>
        <v/>
      </c>
      <c r="M503" s="396">
        <f>TIMEVALUE(MID(F503,12,8))</f>
        <v/>
      </c>
      <c r="N503" s="395">
        <f>DATEVALUE(LEFT(G503,10))</f>
        <v/>
      </c>
      <c r="O503" s="396">
        <f>TIMEVALUE(MID(G503,12,8))</f>
        <v/>
      </c>
      <c r="P503" s="396">
        <f>IFERROR(_xlfn.MINIFS($M:$M,$E:$E,$E503,$K:$K,$K503,$M:$M,"&gt;"&amp;$O503),"")</f>
        <v/>
      </c>
      <c r="Q503" s="396">
        <f>IF($P503="","",$P503-$O503)</f>
        <v/>
      </c>
    </row>
    <row r="504" ht="15" customHeight="1" s="231">
      <c r="A504" s="397" t="n"/>
      <c r="B504" s="397" t="n"/>
      <c r="C504" s="397" t="n"/>
      <c r="D504" s="397" t="n"/>
      <c r="E504" s="397" t="n"/>
      <c r="F504" s="397" t="n"/>
      <c r="G504" s="397" t="n"/>
      <c r="I504" s="397" t="n"/>
      <c r="J504" s="397" t="n"/>
      <c r="K504" s="395">
        <f>DATE(VALUE(LEFT(A504,4)),VALUE(MID(A504,5,2)),VALUE(RIGHT(A504,2)))</f>
        <v/>
      </c>
      <c r="L504" s="395">
        <f>DATEVALUE(LEFT(F504,10))</f>
        <v/>
      </c>
      <c r="M504" s="396">
        <f>TIMEVALUE(MID(F504,12,8))</f>
        <v/>
      </c>
      <c r="N504" s="395">
        <f>DATEVALUE(LEFT(G504,10))</f>
        <v/>
      </c>
      <c r="O504" s="396">
        <f>TIMEVALUE(MID(G504,12,8))</f>
        <v/>
      </c>
      <c r="P504" s="396">
        <f>IFERROR(_xlfn.MINIFS($M:$M,$E:$E,$E504,$K:$K,$K504,$M:$M,"&gt;"&amp;$O504),"")</f>
        <v/>
      </c>
      <c r="Q504" s="396">
        <f>IF($P504="","",$P504-$O504)</f>
        <v/>
      </c>
    </row>
    <row r="505" ht="15" customHeight="1" s="231">
      <c r="A505" s="397" t="n"/>
      <c r="B505" s="397" t="n"/>
      <c r="C505" s="397" t="n"/>
      <c r="D505" s="397" t="n"/>
      <c r="E505" s="397" t="n"/>
      <c r="F505" s="397" t="n"/>
      <c r="G505" s="397" t="n"/>
      <c r="I505" s="397" t="n"/>
      <c r="J505" s="397" t="n"/>
      <c r="K505" s="395">
        <f>DATE(VALUE(LEFT(A505,4)),VALUE(MID(A505,5,2)),VALUE(RIGHT(A505,2)))</f>
        <v/>
      </c>
      <c r="L505" s="395">
        <f>DATEVALUE(LEFT(F505,10))</f>
        <v/>
      </c>
      <c r="M505" s="396">
        <f>TIMEVALUE(MID(F505,12,8))</f>
        <v/>
      </c>
      <c r="N505" s="395">
        <f>DATEVALUE(LEFT(G505,10))</f>
        <v/>
      </c>
      <c r="O505" s="396">
        <f>TIMEVALUE(MID(G505,12,8))</f>
        <v/>
      </c>
      <c r="P505" s="396">
        <f>IFERROR(_xlfn.MINIFS($M:$M,$E:$E,$E505,$K:$K,$K505,$M:$M,"&gt;"&amp;$O505),"")</f>
        <v/>
      </c>
      <c r="Q505" s="396">
        <f>IF($P505="","",$P505-$O505)</f>
        <v/>
      </c>
    </row>
    <row r="506" ht="15" customHeight="1" s="231">
      <c r="A506" s="397" t="n"/>
      <c r="B506" s="397" t="n"/>
      <c r="C506" s="397" t="n"/>
      <c r="D506" s="397" t="n"/>
      <c r="E506" s="397" t="n"/>
      <c r="F506" s="397" t="n"/>
      <c r="G506" s="397" t="n"/>
      <c r="I506" s="397" t="n"/>
      <c r="J506" s="397" t="n"/>
      <c r="K506" s="395">
        <f>DATE(VALUE(LEFT(A506,4)),VALUE(MID(A506,5,2)),VALUE(RIGHT(A506,2)))</f>
        <v/>
      </c>
      <c r="L506" s="395">
        <f>DATEVALUE(LEFT(F506,10))</f>
        <v/>
      </c>
      <c r="M506" s="396">
        <f>TIMEVALUE(MID(F506,12,8))</f>
        <v/>
      </c>
      <c r="N506" s="395">
        <f>DATEVALUE(LEFT(G506,10))</f>
        <v/>
      </c>
      <c r="O506" s="396">
        <f>TIMEVALUE(MID(G506,12,8))</f>
        <v/>
      </c>
      <c r="P506" s="396">
        <f>IFERROR(_xlfn.MINIFS($M:$M,$E:$E,$E506,$K:$K,$K506,$M:$M,"&gt;"&amp;$O506),"")</f>
        <v/>
      </c>
      <c r="Q506" s="396">
        <f>IF($P506="","",$P506-$O506)</f>
        <v/>
      </c>
    </row>
    <row r="507" ht="15" customHeight="1" s="231">
      <c r="A507" s="397" t="n"/>
      <c r="B507" s="397" t="n"/>
      <c r="C507" s="397" t="n"/>
      <c r="D507" s="397" t="n"/>
      <c r="E507" s="397" t="n"/>
      <c r="F507" s="397" t="n"/>
      <c r="G507" s="397" t="n"/>
      <c r="I507" s="397" t="n"/>
      <c r="J507" s="397" t="n"/>
      <c r="K507" s="395">
        <f>DATE(VALUE(LEFT(A507,4)),VALUE(MID(A507,5,2)),VALUE(RIGHT(A507,2)))</f>
        <v/>
      </c>
      <c r="L507" s="395">
        <f>DATEVALUE(LEFT(F507,10))</f>
        <v/>
      </c>
      <c r="M507" s="396">
        <f>TIMEVALUE(MID(F507,12,8))</f>
        <v/>
      </c>
      <c r="N507" s="395">
        <f>DATEVALUE(LEFT(G507,10))</f>
        <v/>
      </c>
      <c r="O507" s="396">
        <f>TIMEVALUE(MID(G507,12,8))</f>
        <v/>
      </c>
      <c r="P507" s="396">
        <f>IFERROR(_xlfn.MINIFS($M:$M,$E:$E,$E507,$K:$K,$K507,$M:$M,"&gt;"&amp;$O507),"")</f>
        <v/>
      </c>
      <c r="Q507" s="396">
        <f>IF($P507="","",$P507-$O507)</f>
        <v/>
      </c>
    </row>
    <row r="508" ht="15" customHeight="1" s="231">
      <c r="A508" s="397" t="n"/>
      <c r="B508" s="397" t="n"/>
      <c r="C508" s="397" t="n"/>
      <c r="D508" s="397" t="n"/>
      <c r="E508" s="397" t="n"/>
      <c r="F508" s="397" t="n"/>
      <c r="G508" s="397" t="n"/>
      <c r="I508" s="397" t="n"/>
      <c r="J508" s="397" t="n"/>
      <c r="K508" s="395">
        <f>DATE(VALUE(LEFT(A508,4)),VALUE(MID(A508,5,2)),VALUE(RIGHT(A508,2)))</f>
        <v/>
      </c>
      <c r="L508" s="395">
        <f>DATEVALUE(LEFT(F508,10))</f>
        <v/>
      </c>
      <c r="M508" s="396">
        <f>TIMEVALUE(MID(F508,12,8))</f>
        <v/>
      </c>
      <c r="N508" s="395">
        <f>DATEVALUE(LEFT(G508,10))</f>
        <v/>
      </c>
      <c r="O508" s="396">
        <f>TIMEVALUE(MID(G508,12,8))</f>
        <v/>
      </c>
      <c r="P508" s="396">
        <f>IFERROR(_xlfn.MINIFS($M:$M,$E:$E,$E508,$K:$K,$K508,$M:$M,"&gt;"&amp;$O508),"")</f>
        <v/>
      </c>
      <c r="Q508" s="396">
        <f>IF($P508="","",$P508-$O508)</f>
        <v/>
      </c>
    </row>
    <row r="509" ht="15" customHeight="1" s="231">
      <c r="A509" s="397" t="n"/>
      <c r="B509" s="397" t="n"/>
      <c r="C509" s="397" t="n"/>
      <c r="D509" s="397" t="n"/>
      <c r="E509" s="397" t="n"/>
      <c r="F509" s="397" t="n"/>
      <c r="G509" s="397" t="n"/>
      <c r="I509" s="397" t="n"/>
      <c r="J509" s="397" t="n"/>
      <c r="K509" s="395">
        <f>DATE(VALUE(LEFT(A509,4)),VALUE(MID(A509,5,2)),VALUE(RIGHT(A509,2)))</f>
        <v/>
      </c>
      <c r="L509" s="395">
        <f>DATEVALUE(LEFT(F509,10))</f>
        <v/>
      </c>
      <c r="M509" s="396">
        <f>TIMEVALUE(MID(F509,12,8))</f>
        <v/>
      </c>
      <c r="N509" s="395">
        <f>DATEVALUE(LEFT(G509,10))</f>
        <v/>
      </c>
      <c r="O509" s="396">
        <f>TIMEVALUE(MID(G509,12,8))</f>
        <v/>
      </c>
      <c r="P509" s="396">
        <f>IFERROR(_xlfn.MINIFS($M:$M,$E:$E,$E509,$K:$K,$K509,$M:$M,"&gt;"&amp;$O509),"")</f>
        <v/>
      </c>
      <c r="Q509" s="396">
        <f>IF($P509="","",$P509-$O509)</f>
        <v/>
      </c>
    </row>
    <row r="510" ht="15" customHeight="1" s="231">
      <c r="A510" s="397" t="n"/>
      <c r="B510" s="397" t="n"/>
      <c r="C510" s="397" t="n"/>
      <c r="D510" s="397" t="n"/>
      <c r="E510" s="397" t="n"/>
      <c r="F510" s="397" t="n"/>
      <c r="G510" s="397" t="n"/>
      <c r="I510" s="397" t="n"/>
      <c r="J510" s="397" t="n"/>
      <c r="K510" s="395">
        <f>DATE(VALUE(LEFT(A510,4)),VALUE(MID(A510,5,2)),VALUE(RIGHT(A510,2)))</f>
        <v/>
      </c>
      <c r="L510" s="395">
        <f>DATEVALUE(LEFT(F510,10))</f>
        <v/>
      </c>
      <c r="M510" s="396">
        <f>TIMEVALUE(MID(F510,12,8))</f>
        <v/>
      </c>
      <c r="N510" s="395">
        <f>DATEVALUE(LEFT(G510,10))</f>
        <v/>
      </c>
      <c r="O510" s="396">
        <f>TIMEVALUE(MID(G510,12,8))</f>
        <v/>
      </c>
      <c r="P510" s="396">
        <f>IFERROR(_xlfn.MINIFS($M:$M,$E:$E,$E510,$K:$K,$K510,$M:$M,"&gt;"&amp;$O510),"")</f>
        <v/>
      </c>
      <c r="Q510" s="396">
        <f>IF($P510="","",$P510-$O510)</f>
        <v/>
      </c>
    </row>
    <row r="511" ht="15" customHeight="1" s="231">
      <c r="A511" s="397" t="n"/>
      <c r="B511" s="397" t="n"/>
      <c r="C511" s="397" t="n"/>
      <c r="D511" s="397" t="n"/>
      <c r="E511" s="397" t="n"/>
      <c r="F511" s="397" t="n"/>
      <c r="G511" s="397" t="n"/>
      <c r="I511" s="397" t="n"/>
      <c r="J511" s="397" t="n"/>
      <c r="K511" s="395">
        <f>DATE(VALUE(LEFT(A511,4)),VALUE(MID(A511,5,2)),VALUE(RIGHT(A511,2)))</f>
        <v/>
      </c>
      <c r="L511" s="395">
        <f>DATEVALUE(LEFT(F511,10))</f>
        <v/>
      </c>
      <c r="M511" s="396">
        <f>TIMEVALUE(MID(F511,12,8))</f>
        <v/>
      </c>
      <c r="N511" s="395">
        <f>DATEVALUE(LEFT(G511,10))</f>
        <v/>
      </c>
      <c r="O511" s="396">
        <f>TIMEVALUE(MID(G511,12,8))</f>
        <v/>
      </c>
      <c r="P511" s="396">
        <f>IFERROR(_xlfn.MINIFS($M:$M,$E:$E,$E511,$K:$K,$K511,$M:$M,"&gt;"&amp;$O511),"")</f>
        <v/>
      </c>
      <c r="Q511" s="396">
        <f>IF($P511="","",$P511-$O511)</f>
        <v/>
      </c>
    </row>
    <row r="512" ht="15" customHeight="1" s="231">
      <c r="A512" s="397" t="n"/>
      <c r="B512" s="397" t="n"/>
      <c r="C512" s="397" t="n"/>
      <c r="D512" s="397" t="n"/>
      <c r="E512" s="397" t="n"/>
      <c r="F512" s="397" t="n"/>
      <c r="G512" s="397" t="n"/>
      <c r="I512" s="397" t="n"/>
      <c r="J512" s="397" t="n"/>
      <c r="K512" s="395">
        <f>DATE(VALUE(LEFT(A512,4)),VALUE(MID(A512,5,2)),VALUE(RIGHT(A512,2)))</f>
        <v/>
      </c>
      <c r="L512" s="395">
        <f>DATEVALUE(LEFT(F512,10))</f>
        <v/>
      </c>
      <c r="M512" s="396">
        <f>TIMEVALUE(MID(F512,12,8))</f>
        <v/>
      </c>
      <c r="N512" s="395">
        <f>DATEVALUE(LEFT(G512,10))</f>
        <v/>
      </c>
      <c r="O512" s="396">
        <f>TIMEVALUE(MID(G512,12,8))</f>
        <v/>
      </c>
      <c r="P512" s="396">
        <f>IFERROR(_xlfn.MINIFS($M:$M,$E:$E,$E512,$K:$K,$K512,$M:$M,"&gt;"&amp;$O512),"")</f>
        <v/>
      </c>
      <c r="Q512" s="396">
        <f>IF($P512="","",$P512-$O512)</f>
        <v/>
      </c>
    </row>
    <row r="513" ht="15" customHeight="1" s="231">
      <c r="A513" s="397" t="n"/>
      <c r="B513" s="397" t="n"/>
      <c r="C513" s="397" t="n"/>
      <c r="D513" s="397" t="n"/>
      <c r="E513" s="397" t="n"/>
      <c r="F513" s="397" t="n"/>
      <c r="G513" s="397" t="n"/>
      <c r="I513" s="397" t="n"/>
      <c r="J513" s="397" t="n"/>
      <c r="K513" s="395">
        <f>DATE(VALUE(LEFT(A513,4)),VALUE(MID(A513,5,2)),VALUE(RIGHT(A513,2)))</f>
        <v/>
      </c>
      <c r="L513" s="395">
        <f>DATEVALUE(LEFT(F513,10))</f>
        <v/>
      </c>
      <c r="M513" s="396">
        <f>TIMEVALUE(MID(F513,12,8))</f>
        <v/>
      </c>
      <c r="N513" s="395">
        <f>DATEVALUE(LEFT(G513,10))</f>
        <v/>
      </c>
      <c r="O513" s="396">
        <f>TIMEVALUE(MID(G513,12,8))</f>
        <v/>
      </c>
      <c r="P513" s="396">
        <f>IFERROR(_xlfn.MINIFS($M:$M,$E:$E,$E513,$K:$K,$K513,$M:$M,"&gt;"&amp;$O513),"")</f>
        <v/>
      </c>
      <c r="Q513" s="396">
        <f>IF($P513="","",$P513-$O513)</f>
        <v/>
      </c>
    </row>
    <row r="514" ht="15" customHeight="1" s="231">
      <c r="A514" s="397" t="n"/>
      <c r="B514" s="397" t="n"/>
      <c r="C514" s="397" t="n"/>
      <c r="D514" s="397" t="n"/>
      <c r="E514" s="397" t="n"/>
      <c r="F514" s="397" t="n"/>
      <c r="G514" s="397" t="n"/>
      <c r="I514" s="397" t="n"/>
      <c r="J514" s="397" t="n"/>
      <c r="K514" s="395">
        <f>DATE(VALUE(LEFT(A514,4)),VALUE(MID(A514,5,2)),VALUE(RIGHT(A514,2)))</f>
        <v/>
      </c>
      <c r="L514" s="395">
        <f>DATEVALUE(LEFT(F514,10))</f>
        <v/>
      </c>
      <c r="M514" s="396">
        <f>TIMEVALUE(MID(F514,12,8))</f>
        <v/>
      </c>
      <c r="N514" s="395">
        <f>DATEVALUE(LEFT(G514,10))</f>
        <v/>
      </c>
      <c r="O514" s="396">
        <f>TIMEVALUE(MID(G514,12,8))</f>
        <v/>
      </c>
      <c r="P514" s="396">
        <f>IFERROR(_xlfn.MINIFS($M:$M,$E:$E,$E514,$K:$K,$K514,$M:$M,"&gt;"&amp;$O514),"")</f>
        <v/>
      </c>
      <c r="Q514" s="396">
        <f>IF($P514="","",$P514-$O514)</f>
        <v/>
      </c>
    </row>
    <row r="515" ht="15" customHeight="1" s="231">
      <c r="A515" s="397" t="n"/>
      <c r="B515" s="397" t="n"/>
      <c r="C515" s="397" t="n"/>
      <c r="D515" s="397" t="n"/>
      <c r="E515" s="397" t="n"/>
      <c r="F515" s="397" t="n"/>
      <c r="G515" s="397" t="n"/>
      <c r="I515" s="397" t="n"/>
      <c r="J515" s="397" t="n"/>
      <c r="K515" s="395">
        <f>DATE(VALUE(LEFT(A515,4)),VALUE(MID(A515,5,2)),VALUE(RIGHT(A515,2)))</f>
        <v/>
      </c>
      <c r="L515" s="395">
        <f>DATEVALUE(LEFT(F515,10))</f>
        <v/>
      </c>
      <c r="M515" s="396">
        <f>TIMEVALUE(MID(F515,12,8))</f>
        <v/>
      </c>
      <c r="N515" s="395">
        <f>DATEVALUE(LEFT(G515,10))</f>
        <v/>
      </c>
      <c r="O515" s="396">
        <f>TIMEVALUE(MID(G515,12,8))</f>
        <v/>
      </c>
      <c r="P515" s="396">
        <f>IFERROR(_xlfn.MINIFS($M:$M,$E:$E,$E515,$K:$K,$K515,$M:$M,"&gt;"&amp;$O515),"")</f>
        <v/>
      </c>
      <c r="Q515" s="396">
        <f>IF($P515="","",$P515-$O515)</f>
        <v/>
      </c>
    </row>
    <row r="516" ht="15" customHeight="1" s="231">
      <c r="A516" s="397" t="n"/>
      <c r="B516" s="397" t="n"/>
      <c r="C516" s="397" t="n"/>
      <c r="D516" s="397" t="n"/>
      <c r="E516" s="397" t="n"/>
      <c r="F516" s="397" t="n"/>
      <c r="G516" s="397" t="n"/>
      <c r="I516" s="397" t="n"/>
      <c r="J516" s="397" t="n"/>
      <c r="K516" s="395">
        <f>DATE(VALUE(LEFT(A516,4)),VALUE(MID(A516,5,2)),VALUE(RIGHT(A516,2)))</f>
        <v/>
      </c>
      <c r="L516" s="395">
        <f>DATEVALUE(LEFT(F516,10))</f>
        <v/>
      </c>
      <c r="M516" s="396">
        <f>TIMEVALUE(MID(F516,12,8))</f>
        <v/>
      </c>
      <c r="N516" s="395">
        <f>DATEVALUE(LEFT(G516,10))</f>
        <v/>
      </c>
      <c r="O516" s="396">
        <f>TIMEVALUE(MID(G516,12,8))</f>
        <v/>
      </c>
      <c r="P516" s="396">
        <f>IFERROR(_xlfn.MINIFS($M:$M,$E:$E,$E516,$K:$K,$K516,$M:$M,"&gt;"&amp;$O516),"")</f>
        <v/>
      </c>
      <c r="Q516" s="396">
        <f>IF($P516="","",$P516-$O516)</f>
        <v/>
      </c>
    </row>
    <row r="517" ht="15" customHeight="1" s="231">
      <c r="A517" s="397" t="n"/>
      <c r="B517" s="397" t="n"/>
      <c r="C517" s="397" t="n"/>
      <c r="D517" s="397" t="n"/>
      <c r="E517" s="397" t="n"/>
      <c r="F517" s="397" t="n"/>
      <c r="G517" s="397" t="n"/>
      <c r="I517" s="397" t="n"/>
      <c r="J517" s="397" t="n"/>
      <c r="K517" s="395">
        <f>DATE(VALUE(LEFT(A517,4)),VALUE(MID(A517,5,2)),VALUE(RIGHT(A517,2)))</f>
        <v/>
      </c>
      <c r="L517" s="395">
        <f>DATEVALUE(LEFT(F517,10))</f>
        <v/>
      </c>
      <c r="M517" s="396">
        <f>TIMEVALUE(MID(F517,12,8))</f>
        <v/>
      </c>
      <c r="N517" s="395">
        <f>DATEVALUE(LEFT(G517,10))</f>
        <v/>
      </c>
      <c r="O517" s="396">
        <f>TIMEVALUE(MID(G517,12,8))</f>
        <v/>
      </c>
      <c r="P517" s="396">
        <f>IFERROR(_xlfn.MINIFS($M:$M,$E:$E,$E517,$K:$K,$K517,$M:$M,"&gt;"&amp;$O517),"")</f>
        <v/>
      </c>
      <c r="Q517" s="396">
        <f>IF($P517="","",$P517-$O517)</f>
        <v/>
      </c>
    </row>
    <row r="518" ht="15" customHeight="1" s="231">
      <c r="A518" s="397" t="n"/>
      <c r="B518" s="397" t="n"/>
      <c r="C518" s="397" t="n"/>
      <c r="D518" s="397" t="n"/>
      <c r="E518" s="397" t="n"/>
      <c r="F518" s="397" t="n"/>
      <c r="G518" s="397" t="n"/>
      <c r="I518" s="397" t="n"/>
      <c r="J518" s="397" t="n"/>
      <c r="K518" s="395">
        <f>DATE(VALUE(LEFT(A518,4)),VALUE(MID(A518,5,2)),VALUE(RIGHT(A518,2)))</f>
        <v/>
      </c>
      <c r="L518" s="395">
        <f>DATEVALUE(LEFT(F518,10))</f>
        <v/>
      </c>
      <c r="M518" s="396">
        <f>TIMEVALUE(MID(F518,12,8))</f>
        <v/>
      </c>
      <c r="N518" s="395">
        <f>DATEVALUE(LEFT(G518,10))</f>
        <v/>
      </c>
      <c r="O518" s="396">
        <f>TIMEVALUE(MID(G518,12,8))</f>
        <v/>
      </c>
      <c r="P518" s="396">
        <f>IFERROR(_xlfn.MINIFS($M:$M,$E:$E,$E518,$K:$K,$K518,$M:$M,"&gt;"&amp;$O518),"")</f>
        <v/>
      </c>
      <c r="Q518" s="396">
        <f>IF($P518="","",$P518-$O518)</f>
        <v/>
      </c>
    </row>
    <row r="519" ht="15" customHeight="1" s="231">
      <c r="A519" s="397" t="n"/>
      <c r="B519" s="397" t="n"/>
      <c r="C519" s="397" t="n"/>
      <c r="D519" s="397" t="n"/>
      <c r="E519" s="397" t="n"/>
      <c r="F519" s="397" t="n"/>
      <c r="G519" s="397" t="n"/>
      <c r="I519" s="397" t="n"/>
      <c r="J519" s="397" t="n"/>
      <c r="K519" s="395">
        <f>DATE(VALUE(LEFT(A519,4)),VALUE(MID(A519,5,2)),VALUE(RIGHT(A519,2)))</f>
        <v/>
      </c>
      <c r="L519" s="395">
        <f>DATEVALUE(LEFT(F519,10))</f>
        <v/>
      </c>
      <c r="M519" s="396">
        <f>TIMEVALUE(MID(F519,12,8))</f>
        <v/>
      </c>
      <c r="N519" s="395">
        <f>DATEVALUE(LEFT(G519,10))</f>
        <v/>
      </c>
      <c r="O519" s="396">
        <f>TIMEVALUE(MID(G519,12,8))</f>
        <v/>
      </c>
      <c r="P519" s="396">
        <f>IFERROR(_xlfn.MINIFS($M:$M,$E:$E,$E519,$K:$K,$K519,$M:$M,"&gt;"&amp;$O519),"")</f>
        <v/>
      </c>
      <c r="Q519" s="396">
        <f>IF($P519="","",$P519-$O519)</f>
        <v/>
      </c>
    </row>
    <row r="520" ht="15" customHeight="1" s="231">
      <c r="A520" s="397" t="n"/>
      <c r="B520" s="397" t="n"/>
      <c r="C520" s="397" t="n"/>
      <c r="D520" s="397" t="n"/>
      <c r="E520" s="397" t="n"/>
      <c r="F520" s="397" t="n"/>
      <c r="G520" s="397" t="n"/>
      <c r="I520" s="397" t="n"/>
      <c r="J520" s="397" t="n"/>
      <c r="K520" s="395">
        <f>DATE(VALUE(LEFT(A520,4)),VALUE(MID(A520,5,2)),VALUE(RIGHT(A520,2)))</f>
        <v/>
      </c>
      <c r="L520" s="395">
        <f>DATEVALUE(LEFT(F520,10))</f>
        <v/>
      </c>
      <c r="M520" s="396">
        <f>TIMEVALUE(MID(F520,12,8))</f>
        <v/>
      </c>
      <c r="N520" s="395">
        <f>DATEVALUE(LEFT(G520,10))</f>
        <v/>
      </c>
      <c r="O520" s="396">
        <f>TIMEVALUE(MID(G520,12,8))</f>
        <v/>
      </c>
      <c r="P520" s="396">
        <f>IFERROR(_xlfn.MINIFS($M:$M,$E:$E,$E520,$K:$K,$K520,$M:$M,"&gt;"&amp;$O520),"")</f>
        <v/>
      </c>
      <c r="Q520" s="396">
        <f>IF($P520="","",$P520-$O520)</f>
        <v/>
      </c>
    </row>
    <row r="521" ht="15" customHeight="1" s="231">
      <c r="A521" s="397" t="n"/>
      <c r="B521" s="397" t="n"/>
      <c r="C521" s="397" t="n"/>
      <c r="D521" s="397" t="n"/>
      <c r="E521" s="397" t="n"/>
      <c r="F521" s="397" t="n"/>
      <c r="G521" s="397" t="n"/>
      <c r="I521" s="397" t="n"/>
      <c r="J521" s="397" t="n"/>
      <c r="K521" s="395">
        <f>DATE(VALUE(LEFT(A521,4)),VALUE(MID(A521,5,2)),VALUE(RIGHT(A521,2)))</f>
        <v/>
      </c>
      <c r="L521" s="395">
        <f>DATEVALUE(LEFT(F521,10))</f>
        <v/>
      </c>
      <c r="M521" s="396">
        <f>TIMEVALUE(MID(F521,12,8))</f>
        <v/>
      </c>
      <c r="N521" s="395">
        <f>DATEVALUE(LEFT(G521,10))</f>
        <v/>
      </c>
      <c r="O521" s="396">
        <f>TIMEVALUE(MID(G521,12,8))</f>
        <v/>
      </c>
      <c r="P521" s="396">
        <f>IFERROR(_xlfn.MINIFS($M:$M,$E:$E,$E521,$K:$K,$K521,$M:$M,"&gt;"&amp;$O521),"")</f>
        <v/>
      </c>
      <c r="Q521" s="396">
        <f>IF($P521="","",$P521-$O521)</f>
        <v/>
      </c>
    </row>
    <row r="522" ht="15" customHeight="1" s="231">
      <c r="A522" s="397" t="n"/>
      <c r="B522" s="397" t="n"/>
      <c r="C522" s="397" t="n"/>
      <c r="D522" s="397" t="n"/>
      <c r="E522" s="397" t="n"/>
      <c r="F522" s="397" t="n"/>
      <c r="G522" s="397" t="n"/>
      <c r="I522" s="397" t="n"/>
      <c r="J522" s="397" t="n"/>
      <c r="K522" s="395">
        <f>DATE(VALUE(LEFT(A522,4)),VALUE(MID(A522,5,2)),VALUE(RIGHT(A522,2)))</f>
        <v/>
      </c>
      <c r="L522" s="395">
        <f>DATEVALUE(LEFT(F522,10))</f>
        <v/>
      </c>
      <c r="M522" s="396">
        <f>TIMEVALUE(MID(F522,12,8))</f>
        <v/>
      </c>
      <c r="N522" s="395">
        <f>DATEVALUE(LEFT(G522,10))</f>
        <v/>
      </c>
      <c r="O522" s="396">
        <f>TIMEVALUE(MID(G522,12,8))</f>
        <v/>
      </c>
      <c r="P522" s="396">
        <f>IFERROR(_xlfn.MINIFS($M:$M,$E:$E,$E522,$K:$K,$K522,$M:$M,"&gt;"&amp;$O522),"")</f>
        <v/>
      </c>
      <c r="Q522" s="396">
        <f>IF($P522="","",$P522-$O522)</f>
        <v/>
      </c>
    </row>
    <row r="523" ht="15" customHeight="1" s="231">
      <c r="A523" s="397" t="n"/>
      <c r="B523" s="397" t="n"/>
      <c r="C523" s="397" t="n"/>
      <c r="D523" s="397" t="n"/>
      <c r="E523" s="397" t="n"/>
      <c r="F523" s="397" t="n"/>
      <c r="G523" s="397" t="n"/>
      <c r="I523" s="397" t="n"/>
      <c r="J523" s="397" t="n"/>
      <c r="K523" s="395">
        <f>DATE(VALUE(LEFT(A523,4)),VALUE(MID(A523,5,2)),VALUE(RIGHT(A523,2)))</f>
        <v/>
      </c>
      <c r="L523" s="395">
        <f>DATEVALUE(LEFT(F523,10))</f>
        <v/>
      </c>
      <c r="M523" s="396">
        <f>TIMEVALUE(MID(F523,12,8))</f>
        <v/>
      </c>
      <c r="N523" s="395">
        <f>DATEVALUE(LEFT(G523,10))</f>
        <v/>
      </c>
      <c r="O523" s="396">
        <f>TIMEVALUE(MID(G523,12,8))</f>
        <v/>
      </c>
      <c r="P523" s="396">
        <f>IFERROR(_xlfn.MINIFS($M:$M,$E:$E,$E523,$K:$K,$K523,$M:$M,"&gt;"&amp;$O523),"")</f>
        <v/>
      </c>
      <c r="Q523" s="396">
        <f>IF($P523="","",$P523-$O523)</f>
        <v/>
      </c>
    </row>
    <row r="524" ht="15" customHeight="1" s="231">
      <c r="A524" s="397" t="n"/>
      <c r="B524" s="397" t="n"/>
      <c r="C524" s="397" t="n"/>
      <c r="D524" s="397" t="n"/>
      <c r="E524" s="397" t="n"/>
      <c r="F524" s="397" t="n"/>
      <c r="G524" s="397" t="n"/>
      <c r="I524" s="397" t="n"/>
      <c r="J524" s="397" t="n"/>
      <c r="K524" s="395">
        <f>DATE(VALUE(LEFT(A524,4)),VALUE(MID(A524,5,2)),VALUE(RIGHT(A524,2)))</f>
        <v/>
      </c>
      <c r="L524" s="395">
        <f>DATEVALUE(LEFT(F524,10))</f>
        <v/>
      </c>
      <c r="M524" s="396">
        <f>TIMEVALUE(MID(F524,12,8))</f>
        <v/>
      </c>
      <c r="N524" s="395">
        <f>DATEVALUE(LEFT(G524,10))</f>
        <v/>
      </c>
      <c r="O524" s="396">
        <f>TIMEVALUE(MID(G524,12,8))</f>
        <v/>
      </c>
      <c r="P524" s="396">
        <f>IFERROR(_xlfn.MINIFS($M:$M,$E:$E,$E524,$K:$K,$K524,$M:$M,"&gt;"&amp;$O524),"")</f>
        <v/>
      </c>
      <c r="Q524" s="396">
        <f>IF($P524="","",$P524-$O524)</f>
        <v/>
      </c>
    </row>
    <row r="525" ht="15" customHeight="1" s="231">
      <c r="A525" s="397" t="n"/>
      <c r="B525" s="397" t="n"/>
      <c r="C525" s="397" t="n"/>
      <c r="D525" s="397" t="n"/>
      <c r="E525" s="397" t="n"/>
      <c r="F525" s="397" t="n"/>
      <c r="G525" s="397" t="n"/>
      <c r="I525" s="397" t="n"/>
      <c r="J525" s="397" t="n"/>
      <c r="K525" s="395">
        <f>DATE(VALUE(LEFT(A525,4)),VALUE(MID(A525,5,2)),VALUE(RIGHT(A525,2)))</f>
        <v/>
      </c>
      <c r="L525" s="395">
        <f>DATEVALUE(LEFT(F525,10))</f>
        <v/>
      </c>
      <c r="M525" s="396">
        <f>TIMEVALUE(MID(F525,12,8))</f>
        <v/>
      </c>
      <c r="N525" s="395">
        <f>DATEVALUE(LEFT(G525,10))</f>
        <v/>
      </c>
      <c r="O525" s="396">
        <f>TIMEVALUE(MID(G525,12,8))</f>
        <v/>
      </c>
      <c r="P525" s="396">
        <f>IFERROR(_xlfn.MINIFS($M:$M,$E:$E,$E525,$K:$K,$K525,$M:$M,"&gt;"&amp;$O525),"")</f>
        <v/>
      </c>
      <c r="Q525" s="396">
        <f>IF($P525="","",$P525-$O525)</f>
        <v/>
      </c>
    </row>
    <row r="526" ht="15" customHeight="1" s="231">
      <c r="A526" s="397" t="n"/>
      <c r="B526" s="397" t="n"/>
      <c r="C526" s="397" t="n"/>
      <c r="D526" s="397" t="n"/>
      <c r="E526" s="397" t="n"/>
      <c r="F526" s="397" t="n"/>
      <c r="G526" s="397" t="n"/>
      <c r="I526" s="397" t="n"/>
      <c r="J526" s="397" t="n"/>
      <c r="K526" s="395">
        <f>DATE(VALUE(LEFT(A526,4)),VALUE(MID(A526,5,2)),VALUE(RIGHT(A526,2)))</f>
        <v/>
      </c>
      <c r="L526" s="395">
        <f>DATEVALUE(LEFT(F526,10))</f>
        <v/>
      </c>
      <c r="M526" s="396">
        <f>TIMEVALUE(MID(F526,12,8))</f>
        <v/>
      </c>
      <c r="N526" s="395">
        <f>DATEVALUE(LEFT(G526,10))</f>
        <v/>
      </c>
      <c r="O526" s="396">
        <f>TIMEVALUE(MID(G526,12,8))</f>
        <v/>
      </c>
      <c r="P526" s="396">
        <f>IFERROR(_xlfn.MINIFS($M:$M,$E:$E,$E526,$K:$K,$K526,$M:$M,"&gt;"&amp;$O526),"")</f>
        <v/>
      </c>
      <c r="Q526" s="396">
        <f>IF($P526="","",$P526-$O526)</f>
        <v/>
      </c>
    </row>
    <row r="527" ht="15" customHeight="1" s="231">
      <c r="A527" s="397" t="n"/>
      <c r="B527" s="397" t="n"/>
      <c r="C527" s="397" t="n"/>
      <c r="D527" s="397" t="n"/>
      <c r="E527" s="397" t="n"/>
      <c r="F527" s="397" t="n"/>
      <c r="G527" s="397" t="n"/>
      <c r="I527" s="397" t="n"/>
      <c r="J527" s="397" t="n"/>
      <c r="K527" s="395">
        <f>DATE(VALUE(LEFT(A527,4)),VALUE(MID(A527,5,2)),VALUE(RIGHT(A527,2)))</f>
        <v/>
      </c>
      <c r="L527" s="395">
        <f>DATEVALUE(LEFT(F527,10))</f>
        <v/>
      </c>
      <c r="M527" s="396">
        <f>TIMEVALUE(MID(F527,12,8))</f>
        <v/>
      </c>
      <c r="N527" s="395">
        <f>DATEVALUE(LEFT(G527,10))</f>
        <v/>
      </c>
      <c r="O527" s="396">
        <f>TIMEVALUE(MID(G527,12,8))</f>
        <v/>
      </c>
      <c r="P527" s="396">
        <f>IFERROR(_xlfn.MINIFS($M:$M,$E:$E,$E527,$K:$K,$K527,$M:$M,"&gt;"&amp;$O527),"")</f>
        <v/>
      </c>
      <c r="Q527" s="396">
        <f>IF($P527="","",$P527-$O527)</f>
        <v/>
      </c>
    </row>
    <row r="528" ht="15" customHeight="1" s="231">
      <c r="A528" s="397" t="n"/>
      <c r="B528" s="397" t="n"/>
      <c r="C528" s="397" t="n"/>
      <c r="D528" s="397" t="n"/>
      <c r="E528" s="397" t="n"/>
      <c r="F528" s="397" t="n"/>
      <c r="G528" s="397" t="n"/>
      <c r="I528" s="397" t="n"/>
      <c r="J528" s="397" t="n"/>
      <c r="K528" s="395">
        <f>DATE(VALUE(LEFT(A528,4)),VALUE(MID(A528,5,2)),VALUE(RIGHT(A528,2)))</f>
        <v/>
      </c>
      <c r="L528" s="395">
        <f>DATEVALUE(LEFT(F528,10))</f>
        <v/>
      </c>
      <c r="M528" s="396">
        <f>TIMEVALUE(MID(F528,12,8))</f>
        <v/>
      </c>
      <c r="N528" s="395">
        <f>DATEVALUE(LEFT(G528,10))</f>
        <v/>
      </c>
      <c r="O528" s="396">
        <f>TIMEVALUE(MID(G528,12,8))</f>
        <v/>
      </c>
      <c r="P528" s="396">
        <f>IFERROR(_xlfn.MINIFS($M:$M,$E:$E,$E528,$K:$K,$K528,$M:$M,"&gt;"&amp;$O528),"")</f>
        <v/>
      </c>
      <c r="Q528" s="396">
        <f>IF($P528="","",$P528-$O528)</f>
        <v/>
      </c>
    </row>
    <row r="529" ht="15" customHeight="1" s="231">
      <c r="A529" s="397" t="n"/>
      <c r="B529" s="397" t="n"/>
      <c r="C529" s="397" t="n"/>
      <c r="D529" s="397" t="n"/>
      <c r="E529" s="397" t="n"/>
      <c r="F529" s="397" t="n"/>
      <c r="G529" s="397" t="n"/>
      <c r="I529" s="397" t="n"/>
      <c r="J529" s="397" t="n"/>
      <c r="K529" s="395">
        <f>DATE(VALUE(LEFT(A529,4)),VALUE(MID(A529,5,2)),VALUE(RIGHT(A529,2)))</f>
        <v/>
      </c>
      <c r="L529" s="395">
        <f>DATEVALUE(LEFT(F529,10))</f>
        <v/>
      </c>
      <c r="M529" s="396">
        <f>TIMEVALUE(MID(F529,12,8))</f>
        <v/>
      </c>
      <c r="N529" s="395">
        <f>DATEVALUE(LEFT(G529,10))</f>
        <v/>
      </c>
      <c r="O529" s="396">
        <f>TIMEVALUE(MID(G529,12,8))</f>
        <v/>
      </c>
      <c r="P529" s="396">
        <f>IFERROR(_xlfn.MINIFS($M:$M,$E:$E,$E529,$K:$K,$K529,$M:$M,"&gt;"&amp;$O529),"")</f>
        <v/>
      </c>
      <c r="Q529" s="396">
        <f>IF($P529="","",$P529-$O529)</f>
        <v/>
      </c>
    </row>
    <row r="530" ht="15" customHeight="1" s="231">
      <c r="A530" s="397" t="n"/>
      <c r="B530" s="397" t="n"/>
      <c r="C530" s="397" t="n"/>
      <c r="D530" s="397" t="n"/>
      <c r="E530" s="397" t="n"/>
      <c r="F530" s="397" t="n"/>
      <c r="G530" s="397" t="n"/>
      <c r="I530" s="397" t="n"/>
      <c r="J530" s="397" t="n"/>
      <c r="K530" s="395">
        <f>DATE(VALUE(LEFT(A530,4)),VALUE(MID(A530,5,2)),VALUE(RIGHT(A530,2)))</f>
        <v/>
      </c>
      <c r="L530" s="395">
        <f>DATEVALUE(LEFT(F530,10))</f>
        <v/>
      </c>
      <c r="M530" s="396">
        <f>TIMEVALUE(MID(F530,12,8))</f>
        <v/>
      </c>
      <c r="N530" s="395">
        <f>DATEVALUE(LEFT(G530,10))</f>
        <v/>
      </c>
      <c r="O530" s="396">
        <f>TIMEVALUE(MID(G530,12,8))</f>
        <v/>
      </c>
      <c r="P530" s="396">
        <f>IFERROR(_xlfn.MINIFS($M:$M,$E:$E,$E530,$K:$K,$K530,$M:$M,"&gt;"&amp;$O530),"")</f>
        <v/>
      </c>
      <c r="Q530" s="396">
        <f>IF($P530="","",$P530-$O530)</f>
        <v/>
      </c>
    </row>
    <row r="531" ht="15" customHeight="1" s="231">
      <c r="A531" s="397" t="n"/>
      <c r="B531" s="397" t="n"/>
      <c r="C531" s="397" t="n"/>
      <c r="D531" s="397" t="n"/>
      <c r="E531" s="397" t="n"/>
      <c r="F531" s="397" t="n"/>
      <c r="G531" s="397" t="n"/>
      <c r="I531" s="397" t="n"/>
      <c r="J531" s="397" t="n"/>
      <c r="K531" s="395">
        <f>DATE(VALUE(LEFT(A531,4)),VALUE(MID(A531,5,2)),VALUE(RIGHT(A531,2)))</f>
        <v/>
      </c>
      <c r="L531" s="395">
        <f>DATEVALUE(LEFT(F531,10))</f>
        <v/>
      </c>
      <c r="M531" s="396">
        <f>TIMEVALUE(MID(F531,12,8))</f>
        <v/>
      </c>
      <c r="N531" s="395">
        <f>DATEVALUE(LEFT(G531,10))</f>
        <v/>
      </c>
      <c r="O531" s="396">
        <f>TIMEVALUE(MID(G531,12,8))</f>
        <v/>
      </c>
      <c r="P531" s="396">
        <f>IFERROR(_xlfn.MINIFS($M:$M,$E:$E,$E531,$K:$K,$K531,$M:$M,"&gt;"&amp;$O531),"")</f>
        <v/>
      </c>
      <c r="Q531" s="396">
        <f>IF($P531="","",$P531-$O531)</f>
        <v/>
      </c>
    </row>
    <row r="532" ht="15" customHeight="1" s="231">
      <c r="A532" s="397" t="n"/>
      <c r="B532" s="397" t="n"/>
      <c r="C532" s="397" t="n"/>
      <c r="D532" s="397" t="n"/>
      <c r="E532" s="397" t="n"/>
      <c r="F532" s="397" t="n"/>
      <c r="G532" s="397" t="n"/>
      <c r="I532" s="397" t="n"/>
      <c r="J532" s="397" t="n"/>
      <c r="K532" s="395">
        <f>DATE(VALUE(LEFT(A532,4)),VALUE(MID(A532,5,2)),VALUE(RIGHT(A532,2)))</f>
        <v/>
      </c>
      <c r="L532" s="395">
        <f>DATEVALUE(LEFT(F532,10))</f>
        <v/>
      </c>
      <c r="M532" s="396">
        <f>TIMEVALUE(MID(F532,12,8))</f>
        <v/>
      </c>
      <c r="N532" s="395">
        <f>DATEVALUE(LEFT(G532,10))</f>
        <v/>
      </c>
      <c r="O532" s="396">
        <f>TIMEVALUE(MID(G532,12,8))</f>
        <v/>
      </c>
      <c r="P532" s="396">
        <f>IFERROR(_xlfn.MINIFS($M:$M,$E:$E,$E532,$K:$K,$K532,$M:$M,"&gt;"&amp;$O532),"")</f>
        <v/>
      </c>
      <c r="Q532" s="396">
        <f>IF($P532="","",$P532-$O532)</f>
        <v/>
      </c>
    </row>
    <row r="533" ht="15" customHeight="1" s="231">
      <c r="A533" s="397" t="n"/>
      <c r="B533" s="397" t="n"/>
      <c r="C533" s="397" t="n"/>
      <c r="D533" s="397" t="n"/>
      <c r="E533" s="397" t="n"/>
      <c r="F533" s="397" t="n"/>
      <c r="G533" s="397" t="n"/>
      <c r="I533" s="397" t="n"/>
      <c r="J533" s="397" t="n"/>
      <c r="K533" s="395">
        <f>DATE(VALUE(LEFT(A533,4)),VALUE(MID(A533,5,2)),VALUE(RIGHT(A533,2)))</f>
        <v/>
      </c>
      <c r="L533" s="395">
        <f>DATEVALUE(LEFT(F533,10))</f>
        <v/>
      </c>
      <c r="M533" s="396">
        <f>TIMEVALUE(MID(F533,12,8))</f>
        <v/>
      </c>
      <c r="N533" s="395">
        <f>DATEVALUE(LEFT(G533,10))</f>
        <v/>
      </c>
      <c r="O533" s="396">
        <f>TIMEVALUE(MID(G533,12,8))</f>
        <v/>
      </c>
      <c r="P533" s="396">
        <f>IFERROR(_xlfn.MINIFS($M:$M,$E:$E,$E533,$K:$K,$K533,$M:$M,"&gt;"&amp;$O533),"")</f>
        <v/>
      </c>
      <c r="Q533" s="396">
        <f>IF($P533="","",$P533-$O533)</f>
        <v/>
      </c>
    </row>
    <row r="534" ht="15" customHeight="1" s="231">
      <c r="A534" s="397" t="n"/>
      <c r="B534" s="397" t="n"/>
      <c r="C534" s="397" t="n"/>
      <c r="D534" s="397" t="n"/>
      <c r="E534" s="397" t="n"/>
      <c r="F534" s="397" t="n"/>
      <c r="G534" s="397" t="n"/>
      <c r="I534" s="397" t="n"/>
      <c r="J534" s="397" t="n"/>
      <c r="K534" s="395">
        <f>DATE(VALUE(LEFT(A534,4)),VALUE(MID(A534,5,2)),VALUE(RIGHT(A534,2)))</f>
        <v/>
      </c>
      <c r="L534" s="395">
        <f>DATEVALUE(LEFT(F534,10))</f>
        <v/>
      </c>
      <c r="M534" s="396">
        <f>TIMEVALUE(MID(F534,12,8))</f>
        <v/>
      </c>
      <c r="N534" s="395">
        <f>DATEVALUE(LEFT(G534,10))</f>
        <v/>
      </c>
      <c r="O534" s="396">
        <f>TIMEVALUE(MID(G534,12,8))</f>
        <v/>
      </c>
      <c r="P534" s="396">
        <f>IFERROR(_xlfn.MINIFS($M:$M,$E:$E,$E534,$K:$K,$K534,$M:$M,"&gt;"&amp;$O534),"")</f>
        <v/>
      </c>
      <c r="Q534" s="396">
        <f>IF($P534="","",$P534-$O534)</f>
        <v/>
      </c>
    </row>
    <row r="535" ht="15" customHeight="1" s="231">
      <c r="A535" s="397" t="n"/>
      <c r="B535" s="397" t="n"/>
      <c r="C535" s="397" t="n"/>
      <c r="D535" s="397" t="n"/>
      <c r="E535" s="397" t="n"/>
      <c r="F535" s="397" t="n"/>
      <c r="G535" s="397" t="n"/>
      <c r="I535" s="397" t="n"/>
      <c r="J535" s="397" t="n"/>
      <c r="K535" s="395">
        <f>DATE(VALUE(LEFT(A535,4)),VALUE(MID(A535,5,2)),VALUE(RIGHT(A535,2)))</f>
        <v/>
      </c>
      <c r="L535" s="395">
        <f>DATEVALUE(LEFT(F535,10))</f>
        <v/>
      </c>
      <c r="M535" s="396">
        <f>TIMEVALUE(MID(F535,12,8))</f>
        <v/>
      </c>
      <c r="N535" s="395">
        <f>DATEVALUE(LEFT(G535,10))</f>
        <v/>
      </c>
      <c r="O535" s="396">
        <f>TIMEVALUE(MID(G535,12,8))</f>
        <v/>
      </c>
      <c r="P535" s="396">
        <f>IFERROR(_xlfn.MINIFS($M:$M,$E:$E,$E535,$K:$K,$K535,$M:$M,"&gt;"&amp;$O535),"")</f>
        <v/>
      </c>
      <c r="Q535" s="396">
        <f>IF($P535="","",$P535-$O535)</f>
        <v/>
      </c>
    </row>
    <row r="536" ht="15" customHeight="1" s="231">
      <c r="A536" s="397" t="n"/>
      <c r="B536" s="397" t="n"/>
      <c r="C536" s="397" t="n"/>
      <c r="D536" s="397" t="n"/>
      <c r="E536" s="397" t="n"/>
      <c r="F536" s="397" t="n"/>
      <c r="G536" s="397" t="n"/>
      <c r="I536" s="397" t="n"/>
      <c r="J536" s="397" t="n"/>
      <c r="K536" s="395">
        <f>DATE(VALUE(LEFT(A536,4)),VALUE(MID(A536,5,2)),VALUE(RIGHT(A536,2)))</f>
        <v/>
      </c>
      <c r="L536" s="395">
        <f>DATEVALUE(LEFT(F536,10))</f>
        <v/>
      </c>
      <c r="M536" s="396">
        <f>TIMEVALUE(MID(F536,12,8))</f>
        <v/>
      </c>
      <c r="N536" s="395">
        <f>DATEVALUE(LEFT(G536,10))</f>
        <v/>
      </c>
      <c r="O536" s="396">
        <f>TIMEVALUE(MID(G536,12,8))</f>
        <v/>
      </c>
      <c r="P536" s="396">
        <f>IFERROR(_xlfn.MINIFS($M:$M,$E:$E,$E536,$K:$K,$K536,$M:$M,"&gt;"&amp;$O536),"")</f>
        <v/>
      </c>
      <c r="Q536" s="396">
        <f>IF($P536="","",$P536-$O536)</f>
        <v/>
      </c>
    </row>
    <row r="537" ht="15" customHeight="1" s="231">
      <c r="A537" s="397" t="n"/>
      <c r="B537" s="397" t="n"/>
      <c r="C537" s="397" t="n"/>
      <c r="D537" s="397" t="n"/>
      <c r="E537" s="397" t="n"/>
      <c r="F537" s="397" t="n"/>
      <c r="G537" s="397" t="n"/>
      <c r="I537" s="397" t="n"/>
      <c r="J537" s="397" t="n"/>
      <c r="K537" s="395">
        <f>DATE(VALUE(LEFT(A537,4)),VALUE(MID(A537,5,2)),VALUE(RIGHT(A537,2)))</f>
        <v/>
      </c>
      <c r="L537" s="395">
        <f>DATEVALUE(LEFT(F537,10))</f>
        <v/>
      </c>
      <c r="M537" s="396">
        <f>TIMEVALUE(MID(F537,12,8))</f>
        <v/>
      </c>
      <c r="N537" s="395">
        <f>DATEVALUE(LEFT(G537,10))</f>
        <v/>
      </c>
      <c r="O537" s="396">
        <f>TIMEVALUE(MID(G537,12,8))</f>
        <v/>
      </c>
      <c r="P537" s="396">
        <f>IFERROR(_xlfn.MINIFS($M:$M,$E:$E,$E537,$K:$K,$K537,$M:$M,"&gt;"&amp;$O537),"")</f>
        <v/>
      </c>
      <c r="Q537" s="396">
        <f>IF($P537="","",$P537-$O537)</f>
        <v/>
      </c>
    </row>
    <row r="538" ht="15" customHeight="1" s="231">
      <c r="A538" s="397" t="n"/>
      <c r="B538" s="397" t="n"/>
      <c r="C538" s="397" t="n"/>
      <c r="D538" s="397" t="n"/>
      <c r="E538" s="397" t="n"/>
      <c r="F538" s="397" t="n"/>
      <c r="G538" s="397" t="n"/>
      <c r="I538" s="397" t="n"/>
      <c r="J538" s="397" t="n"/>
      <c r="K538" s="395">
        <f>DATE(VALUE(LEFT(A538,4)),VALUE(MID(A538,5,2)),VALUE(RIGHT(A538,2)))</f>
        <v/>
      </c>
      <c r="L538" s="395">
        <f>DATEVALUE(LEFT(F538,10))</f>
        <v/>
      </c>
      <c r="M538" s="396">
        <f>TIMEVALUE(MID(F538,12,8))</f>
        <v/>
      </c>
      <c r="N538" s="395">
        <f>DATEVALUE(LEFT(G538,10))</f>
        <v/>
      </c>
      <c r="O538" s="396">
        <f>TIMEVALUE(MID(G538,12,8))</f>
        <v/>
      </c>
      <c r="P538" s="396">
        <f>IFERROR(_xlfn.MINIFS($M:$M,$E:$E,$E538,$K:$K,$K538,$M:$M,"&gt;"&amp;$O538),"")</f>
        <v/>
      </c>
      <c r="Q538" s="396">
        <f>IF($P538="","",$P538-$O538)</f>
        <v/>
      </c>
    </row>
    <row r="539" ht="15" customHeight="1" s="231">
      <c r="A539" s="397" t="n"/>
      <c r="B539" s="397" t="n"/>
      <c r="C539" s="397" t="n"/>
      <c r="D539" s="397" t="n"/>
      <c r="E539" s="397" t="n"/>
      <c r="F539" s="397" t="n"/>
      <c r="G539" s="397" t="n"/>
      <c r="I539" s="397" t="n"/>
      <c r="J539" s="397" t="n"/>
      <c r="K539" s="395">
        <f>DATE(VALUE(LEFT(A539,4)),VALUE(MID(A539,5,2)),VALUE(RIGHT(A539,2)))</f>
        <v/>
      </c>
      <c r="L539" s="395">
        <f>DATEVALUE(LEFT(F539,10))</f>
        <v/>
      </c>
      <c r="M539" s="396">
        <f>TIMEVALUE(MID(F539,12,8))</f>
        <v/>
      </c>
      <c r="N539" s="395">
        <f>DATEVALUE(LEFT(G539,10))</f>
        <v/>
      </c>
      <c r="O539" s="396">
        <f>TIMEVALUE(MID(G539,12,8))</f>
        <v/>
      </c>
      <c r="P539" s="396">
        <f>IFERROR(_xlfn.MINIFS($M:$M,$E:$E,$E539,$K:$K,$K539,$M:$M,"&gt;"&amp;$O539),"")</f>
        <v/>
      </c>
      <c r="Q539" s="396">
        <f>IF($P539="","",$P539-$O539)</f>
        <v/>
      </c>
    </row>
    <row r="540" ht="15" customHeight="1" s="231">
      <c r="A540" s="397" t="n"/>
      <c r="B540" s="397" t="n"/>
      <c r="C540" s="397" t="n"/>
      <c r="D540" s="397" t="n"/>
      <c r="E540" s="397" t="n"/>
      <c r="F540" s="397" t="n"/>
      <c r="G540" s="397" t="n"/>
      <c r="I540" s="397" t="n"/>
      <c r="J540" s="397" t="n"/>
      <c r="K540" s="395">
        <f>DATE(VALUE(LEFT(A540,4)),VALUE(MID(A540,5,2)),VALUE(RIGHT(A540,2)))</f>
        <v/>
      </c>
      <c r="L540" s="395">
        <f>DATEVALUE(LEFT(F540,10))</f>
        <v/>
      </c>
      <c r="M540" s="396">
        <f>TIMEVALUE(MID(F540,12,8))</f>
        <v/>
      </c>
      <c r="N540" s="395">
        <f>DATEVALUE(LEFT(G540,10))</f>
        <v/>
      </c>
      <c r="O540" s="396">
        <f>TIMEVALUE(MID(G540,12,8))</f>
        <v/>
      </c>
      <c r="P540" s="396">
        <f>IFERROR(_xlfn.MINIFS($M:$M,$E:$E,$E540,$K:$K,$K540,$M:$M,"&gt;"&amp;$O540),"")</f>
        <v/>
      </c>
      <c r="Q540" s="396">
        <f>IF($P540="","",$P540-$O540)</f>
        <v/>
      </c>
    </row>
    <row r="541" ht="15" customHeight="1" s="231">
      <c r="A541" s="397" t="n"/>
      <c r="B541" s="397" t="n"/>
      <c r="C541" s="397" t="n"/>
      <c r="D541" s="397" t="n"/>
      <c r="E541" s="397" t="n"/>
      <c r="F541" s="397" t="n"/>
      <c r="G541" s="397" t="n"/>
      <c r="I541" s="397" t="n"/>
      <c r="J541" s="397" t="n"/>
      <c r="K541" s="395">
        <f>DATE(VALUE(LEFT(A541,4)),VALUE(MID(A541,5,2)),VALUE(RIGHT(A541,2)))</f>
        <v/>
      </c>
      <c r="L541" s="395">
        <f>DATEVALUE(LEFT(F541,10))</f>
        <v/>
      </c>
      <c r="M541" s="396">
        <f>TIMEVALUE(MID(F541,12,8))</f>
        <v/>
      </c>
      <c r="N541" s="395">
        <f>DATEVALUE(LEFT(G541,10))</f>
        <v/>
      </c>
      <c r="O541" s="396">
        <f>TIMEVALUE(MID(G541,12,8))</f>
        <v/>
      </c>
      <c r="P541" s="396">
        <f>IFERROR(_xlfn.MINIFS($M:$M,$E:$E,$E541,$K:$K,$K541,$M:$M,"&gt;"&amp;$O541),"")</f>
        <v/>
      </c>
      <c r="Q541" s="396">
        <f>IF($P541="","",$P541-$O541)</f>
        <v/>
      </c>
    </row>
    <row r="542" ht="15" customHeight="1" s="231">
      <c r="A542" s="397" t="n"/>
      <c r="B542" s="397" t="n"/>
      <c r="C542" s="397" t="n"/>
      <c r="D542" s="397" t="n"/>
      <c r="E542" s="397" t="n"/>
      <c r="F542" s="397" t="n"/>
      <c r="G542" s="397" t="n"/>
      <c r="I542" s="397" t="n"/>
      <c r="J542" s="397" t="n"/>
      <c r="K542" s="395">
        <f>DATE(VALUE(LEFT(A542,4)),VALUE(MID(A542,5,2)),VALUE(RIGHT(A542,2)))</f>
        <v/>
      </c>
      <c r="L542" s="395">
        <f>DATEVALUE(LEFT(F542,10))</f>
        <v/>
      </c>
      <c r="M542" s="396">
        <f>TIMEVALUE(MID(F542,12,8))</f>
        <v/>
      </c>
      <c r="N542" s="395">
        <f>DATEVALUE(LEFT(G542,10))</f>
        <v/>
      </c>
      <c r="O542" s="396">
        <f>TIMEVALUE(MID(G542,12,8))</f>
        <v/>
      </c>
      <c r="P542" s="396">
        <f>IFERROR(_xlfn.MINIFS($M:$M,$E:$E,$E542,$K:$K,$K542,$M:$M,"&gt;"&amp;$O542),"")</f>
        <v/>
      </c>
      <c r="Q542" s="396">
        <f>IF($P542="","",$P542-$O542)</f>
        <v/>
      </c>
    </row>
    <row r="543" ht="15" customHeight="1" s="231">
      <c r="A543" s="397" t="n"/>
      <c r="B543" s="397" t="n"/>
      <c r="C543" s="397" t="n"/>
      <c r="D543" s="397" t="n"/>
      <c r="E543" s="397" t="n"/>
      <c r="F543" s="397" t="n"/>
      <c r="G543" s="397" t="n"/>
      <c r="I543" s="397" t="n"/>
      <c r="J543" s="397" t="n"/>
      <c r="K543" s="395">
        <f>DATE(VALUE(LEFT(A543,4)),VALUE(MID(A543,5,2)),VALUE(RIGHT(A543,2)))</f>
        <v/>
      </c>
      <c r="L543" s="395">
        <f>DATEVALUE(LEFT(F543,10))</f>
        <v/>
      </c>
      <c r="M543" s="396">
        <f>TIMEVALUE(MID(F543,12,8))</f>
        <v/>
      </c>
      <c r="N543" s="395">
        <f>DATEVALUE(LEFT(G543,10))</f>
        <v/>
      </c>
      <c r="O543" s="396">
        <f>TIMEVALUE(MID(G543,12,8))</f>
        <v/>
      </c>
      <c r="P543" s="396">
        <f>IFERROR(_xlfn.MINIFS($M:$M,$E:$E,$E543,$K:$K,$K543,$M:$M,"&gt;"&amp;$O543),"")</f>
        <v/>
      </c>
      <c r="Q543" s="396">
        <f>IF($P543="","",$P543-$O543)</f>
        <v/>
      </c>
    </row>
    <row r="544" ht="15" customHeight="1" s="231">
      <c r="A544" s="397" t="n"/>
      <c r="B544" s="397" t="n"/>
      <c r="C544" s="397" t="n"/>
      <c r="D544" s="397" t="n"/>
      <c r="E544" s="397" t="n"/>
      <c r="F544" s="397" t="n"/>
      <c r="G544" s="397" t="n"/>
      <c r="I544" s="397" t="n"/>
      <c r="J544" s="397" t="n"/>
      <c r="K544" s="395">
        <f>DATE(VALUE(LEFT(A544,4)),VALUE(MID(A544,5,2)),VALUE(RIGHT(A544,2)))</f>
        <v/>
      </c>
      <c r="L544" s="395">
        <f>DATEVALUE(LEFT(F544,10))</f>
        <v/>
      </c>
      <c r="M544" s="396">
        <f>TIMEVALUE(MID(F544,12,8))</f>
        <v/>
      </c>
      <c r="N544" s="395">
        <f>DATEVALUE(LEFT(G544,10))</f>
        <v/>
      </c>
      <c r="O544" s="396">
        <f>TIMEVALUE(MID(G544,12,8))</f>
        <v/>
      </c>
      <c r="P544" s="396">
        <f>IFERROR(_xlfn.MINIFS($M:$M,$E:$E,$E544,$K:$K,$K544,$M:$M,"&gt;"&amp;$O544),"")</f>
        <v/>
      </c>
      <c r="Q544" s="396">
        <f>IF($P544="","",$P544-$O544)</f>
        <v/>
      </c>
    </row>
    <row r="545" ht="15" customHeight="1" s="231">
      <c r="A545" s="397" t="n"/>
      <c r="B545" s="397" t="n"/>
      <c r="C545" s="397" t="n"/>
      <c r="D545" s="397" t="n"/>
      <c r="E545" s="397" t="n"/>
      <c r="F545" s="397" t="n"/>
      <c r="G545" s="397" t="n"/>
      <c r="I545" s="397" t="n"/>
      <c r="J545" s="397" t="n"/>
      <c r="K545" s="395">
        <f>DATE(VALUE(LEFT(A545,4)),VALUE(MID(A545,5,2)),VALUE(RIGHT(A545,2)))</f>
        <v/>
      </c>
      <c r="L545" s="395">
        <f>DATEVALUE(LEFT(F545,10))</f>
        <v/>
      </c>
      <c r="M545" s="396">
        <f>TIMEVALUE(MID(F545,12,8))</f>
        <v/>
      </c>
      <c r="N545" s="395">
        <f>DATEVALUE(LEFT(G545,10))</f>
        <v/>
      </c>
      <c r="O545" s="396">
        <f>TIMEVALUE(MID(G545,12,8))</f>
        <v/>
      </c>
      <c r="P545" s="396">
        <f>IFERROR(_xlfn.MINIFS($M:$M,$E:$E,$E545,$K:$K,$K545,$M:$M,"&gt;"&amp;$O545),"")</f>
        <v/>
      </c>
      <c r="Q545" s="396">
        <f>IF($P545="","",$P545-$O545)</f>
        <v/>
      </c>
    </row>
    <row r="546" ht="15" customHeight="1" s="231">
      <c r="A546" s="397" t="n"/>
      <c r="B546" s="397" t="n"/>
      <c r="C546" s="397" t="n"/>
      <c r="D546" s="397" t="n"/>
      <c r="E546" s="397" t="n"/>
      <c r="F546" s="397" t="n"/>
      <c r="G546" s="397" t="n"/>
      <c r="I546" s="397" t="n"/>
      <c r="J546" s="397" t="n"/>
      <c r="K546" s="395">
        <f>DATE(VALUE(LEFT(A546,4)),VALUE(MID(A546,5,2)),VALUE(RIGHT(A546,2)))</f>
        <v/>
      </c>
      <c r="L546" s="395">
        <f>DATEVALUE(LEFT(F546,10))</f>
        <v/>
      </c>
      <c r="M546" s="396">
        <f>TIMEVALUE(MID(F546,12,8))</f>
        <v/>
      </c>
      <c r="N546" s="395">
        <f>DATEVALUE(LEFT(G546,10))</f>
        <v/>
      </c>
      <c r="O546" s="396">
        <f>TIMEVALUE(MID(G546,12,8))</f>
        <v/>
      </c>
      <c r="P546" s="396">
        <f>IFERROR(_xlfn.MINIFS($M:$M,$E:$E,$E546,$K:$K,$K546,$M:$M,"&gt;"&amp;$O546),"")</f>
        <v/>
      </c>
      <c r="Q546" s="396">
        <f>IF($P546="","",$P546-$O546)</f>
        <v/>
      </c>
    </row>
    <row r="547" ht="15" customHeight="1" s="231">
      <c r="A547" s="397" t="n"/>
      <c r="B547" s="397" t="n"/>
      <c r="C547" s="397" t="n"/>
      <c r="D547" s="397" t="n"/>
      <c r="E547" s="397" t="n"/>
      <c r="F547" s="397" t="n"/>
      <c r="G547" s="397" t="n"/>
      <c r="I547" s="397" t="n"/>
      <c r="J547" s="397" t="n"/>
      <c r="K547" s="395">
        <f>DATE(VALUE(LEFT(A547,4)),VALUE(MID(A547,5,2)),VALUE(RIGHT(A547,2)))</f>
        <v/>
      </c>
      <c r="L547" s="395">
        <f>DATEVALUE(LEFT(F547,10))</f>
        <v/>
      </c>
      <c r="M547" s="396">
        <f>TIMEVALUE(MID(F547,12,8))</f>
        <v/>
      </c>
      <c r="N547" s="395">
        <f>DATEVALUE(LEFT(G547,10))</f>
        <v/>
      </c>
      <c r="O547" s="396">
        <f>TIMEVALUE(MID(G547,12,8))</f>
        <v/>
      </c>
      <c r="P547" s="396">
        <f>IFERROR(_xlfn.MINIFS($M:$M,$E:$E,$E547,$K:$K,$K547,$M:$M,"&gt;"&amp;$O547),"")</f>
        <v/>
      </c>
      <c r="Q547" s="396">
        <f>IF($P547="","",$P547-$O547)</f>
        <v/>
      </c>
    </row>
    <row r="548" ht="15" customHeight="1" s="231">
      <c r="A548" s="397" t="n"/>
      <c r="B548" s="397" t="n"/>
      <c r="C548" s="397" t="n"/>
      <c r="D548" s="397" t="n"/>
      <c r="E548" s="397" t="n"/>
      <c r="F548" s="397" t="n"/>
      <c r="G548" s="397" t="n"/>
      <c r="I548" s="397" t="n"/>
      <c r="J548" s="397" t="n"/>
      <c r="K548" s="395">
        <f>DATE(VALUE(LEFT(A548,4)),VALUE(MID(A548,5,2)),VALUE(RIGHT(A548,2)))</f>
        <v/>
      </c>
      <c r="L548" s="395">
        <f>DATEVALUE(LEFT(F548,10))</f>
        <v/>
      </c>
      <c r="M548" s="396">
        <f>TIMEVALUE(MID(F548,12,8))</f>
        <v/>
      </c>
      <c r="N548" s="395">
        <f>DATEVALUE(LEFT(G548,10))</f>
        <v/>
      </c>
      <c r="O548" s="396">
        <f>TIMEVALUE(MID(G548,12,8))</f>
        <v/>
      </c>
      <c r="P548" s="396">
        <f>IFERROR(_xlfn.MINIFS($M:$M,$E:$E,$E548,$K:$K,$K548,$M:$M,"&gt;"&amp;$O548),"")</f>
        <v/>
      </c>
      <c r="Q548" s="396">
        <f>IF($P548="","",$P548-$O548)</f>
        <v/>
      </c>
    </row>
    <row r="549" ht="15" customHeight="1" s="231">
      <c r="A549" s="397" t="n"/>
      <c r="B549" s="397" t="n"/>
      <c r="C549" s="397" t="n"/>
      <c r="D549" s="397" t="n"/>
      <c r="E549" s="397" t="n"/>
      <c r="F549" s="397" t="n"/>
      <c r="G549" s="397" t="n"/>
      <c r="I549" s="397" t="n"/>
      <c r="J549" s="397" t="n"/>
      <c r="K549" s="395">
        <f>DATE(VALUE(LEFT(A549,4)),VALUE(MID(A549,5,2)),VALUE(RIGHT(A549,2)))</f>
        <v/>
      </c>
      <c r="L549" s="395">
        <f>DATEVALUE(LEFT(F549,10))</f>
        <v/>
      </c>
      <c r="M549" s="396">
        <f>TIMEVALUE(MID(F549,12,8))</f>
        <v/>
      </c>
      <c r="N549" s="395">
        <f>DATEVALUE(LEFT(G549,10))</f>
        <v/>
      </c>
      <c r="O549" s="396">
        <f>TIMEVALUE(MID(G549,12,8))</f>
        <v/>
      </c>
      <c r="P549" s="396">
        <f>IFERROR(_xlfn.MINIFS($M:$M,$E:$E,$E549,$K:$K,$K549,$M:$M,"&gt;"&amp;$O549),"")</f>
        <v/>
      </c>
      <c r="Q549" s="396">
        <f>IF($P549="","",$P549-$O549)</f>
        <v/>
      </c>
    </row>
    <row r="550" ht="15" customHeight="1" s="231">
      <c r="A550" s="397" t="n"/>
      <c r="B550" s="397" t="n"/>
      <c r="C550" s="397" t="n"/>
      <c r="D550" s="397" t="n"/>
      <c r="E550" s="397" t="n"/>
      <c r="F550" s="397" t="n"/>
      <c r="G550" s="397" t="n"/>
      <c r="I550" s="397" t="n"/>
      <c r="J550" s="397" t="n"/>
      <c r="K550" s="395">
        <f>DATE(VALUE(LEFT(A550,4)),VALUE(MID(A550,5,2)),VALUE(RIGHT(A550,2)))</f>
        <v/>
      </c>
      <c r="L550" s="395">
        <f>DATEVALUE(LEFT(F550,10))</f>
        <v/>
      </c>
      <c r="M550" s="396">
        <f>TIMEVALUE(MID(F550,12,8))</f>
        <v/>
      </c>
      <c r="N550" s="395">
        <f>DATEVALUE(LEFT(G550,10))</f>
        <v/>
      </c>
      <c r="O550" s="396">
        <f>TIMEVALUE(MID(G550,12,8))</f>
        <v/>
      </c>
      <c r="P550" s="396">
        <f>IFERROR(_xlfn.MINIFS($M:$M,$E:$E,$E550,$K:$K,$K550,$M:$M,"&gt;"&amp;$O550),"")</f>
        <v/>
      </c>
      <c r="Q550" s="396">
        <f>IF($P550="","",$P550-$O550)</f>
        <v/>
      </c>
    </row>
    <row r="551" ht="15" customHeight="1" s="231">
      <c r="A551" s="397" t="n"/>
      <c r="B551" s="397" t="n"/>
      <c r="C551" s="397" t="n"/>
      <c r="D551" s="397" t="n"/>
      <c r="E551" s="397" t="n"/>
      <c r="F551" s="397" t="n"/>
      <c r="G551" s="397" t="n"/>
      <c r="I551" s="397" t="n"/>
      <c r="J551" s="397" t="n"/>
      <c r="K551" s="395">
        <f>DATE(VALUE(LEFT(A551,4)),VALUE(MID(A551,5,2)),VALUE(RIGHT(A551,2)))</f>
        <v/>
      </c>
      <c r="L551" s="395">
        <f>DATEVALUE(LEFT(F551,10))</f>
        <v/>
      </c>
      <c r="M551" s="396">
        <f>TIMEVALUE(MID(F551,12,8))</f>
        <v/>
      </c>
      <c r="N551" s="395">
        <f>DATEVALUE(LEFT(G551,10))</f>
        <v/>
      </c>
      <c r="O551" s="396">
        <f>TIMEVALUE(MID(G551,12,8))</f>
        <v/>
      </c>
      <c r="P551" s="396">
        <f>IFERROR(_xlfn.MINIFS($M:$M,$E:$E,$E551,$K:$K,$K551,$M:$M,"&gt;"&amp;$O551),"")</f>
        <v/>
      </c>
      <c r="Q551" s="396">
        <f>IF($P551="","",$P551-$O551)</f>
        <v/>
      </c>
    </row>
    <row r="552" ht="15" customHeight="1" s="231">
      <c r="A552" s="397" t="n"/>
      <c r="B552" s="397" t="n"/>
      <c r="C552" s="397" t="n"/>
      <c r="D552" s="397" t="n"/>
      <c r="E552" s="397" t="n"/>
      <c r="F552" s="397" t="n"/>
      <c r="G552" s="397" t="n"/>
      <c r="I552" s="397" t="n"/>
      <c r="J552" s="397" t="n"/>
      <c r="K552" s="395">
        <f>DATE(VALUE(LEFT(A552,4)),VALUE(MID(A552,5,2)),VALUE(RIGHT(A552,2)))</f>
        <v/>
      </c>
      <c r="L552" s="395">
        <f>DATEVALUE(LEFT(F552,10))</f>
        <v/>
      </c>
      <c r="M552" s="396">
        <f>TIMEVALUE(MID(F552,12,8))</f>
        <v/>
      </c>
      <c r="N552" s="395">
        <f>DATEVALUE(LEFT(G552,10))</f>
        <v/>
      </c>
      <c r="O552" s="396">
        <f>TIMEVALUE(MID(G552,12,8))</f>
        <v/>
      </c>
      <c r="P552" s="396">
        <f>IFERROR(_xlfn.MINIFS($M:$M,$E:$E,$E552,$K:$K,$K552,$M:$M,"&gt;"&amp;$O552),"")</f>
        <v/>
      </c>
      <c r="Q552" s="396">
        <f>IF($P552="","",$P552-$O552)</f>
        <v/>
      </c>
    </row>
    <row r="553" ht="15" customHeight="1" s="231">
      <c r="A553" s="397" t="n"/>
      <c r="B553" s="397" t="n"/>
      <c r="C553" s="397" t="n"/>
      <c r="D553" s="397" t="n"/>
      <c r="E553" s="397" t="n"/>
      <c r="F553" s="397" t="n"/>
      <c r="G553" s="397" t="n"/>
      <c r="I553" s="397" t="n"/>
      <c r="J553" s="397" t="n"/>
      <c r="K553" s="395">
        <f>DATE(VALUE(LEFT(A553,4)),VALUE(MID(A553,5,2)),VALUE(RIGHT(A553,2)))</f>
        <v/>
      </c>
      <c r="L553" s="395">
        <f>DATEVALUE(LEFT(F553,10))</f>
        <v/>
      </c>
      <c r="M553" s="396">
        <f>TIMEVALUE(MID(F553,12,8))</f>
        <v/>
      </c>
      <c r="N553" s="395">
        <f>DATEVALUE(LEFT(G553,10))</f>
        <v/>
      </c>
      <c r="O553" s="396">
        <f>TIMEVALUE(MID(G553,12,8))</f>
        <v/>
      </c>
      <c r="P553" s="396">
        <f>IFERROR(_xlfn.MINIFS($M:$M,$E:$E,$E553,$K:$K,$K553,$M:$M,"&gt;"&amp;$O553),"")</f>
        <v/>
      </c>
      <c r="Q553" s="396">
        <f>IF($P553="","",$P553-$O553)</f>
        <v/>
      </c>
    </row>
    <row r="554" ht="15" customHeight="1" s="231">
      <c r="A554" s="397" t="n"/>
      <c r="B554" s="397" t="n"/>
      <c r="C554" s="397" t="n"/>
      <c r="D554" s="397" t="n"/>
      <c r="E554" s="397" t="n"/>
      <c r="F554" s="397" t="n"/>
      <c r="G554" s="397" t="n"/>
      <c r="I554" s="397" t="n"/>
      <c r="J554" s="397" t="n"/>
      <c r="K554" s="395">
        <f>DATE(VALUE(LEFT(A554,4)),VALUE(MID(A554,5,2)),VALUE(RIGHT(A554,2)))</f>
        <v/>
      </c>
      <c r="L554" s="395">
        <f>DATEVALUE(LEFT(F554,10))</f>
        <v/>
      </c>
      <c r="M554" s="396">
        <f>TIMEVALUE(MID(F554,12,8))</f>
        <v/>
      </c>
      <c r="N554" s="395">
        <f>DATEVALUE(LEFT(G554,10))</f>
        <v/>
      </c>
      <c r="O554" s="396">
        <f>TIMEVALUE(MID(G554,12,8))</f>
        <v/>
      </c>
      <c r="P554" s="396">
        <f>IFERROR(_xlfn.MINIFS($M:$M,$E:$E,$E554,$K:$K,$K554,$M:$M,"&gt;"&amp;$O554),"")</f>
        <v/>
      </c>
      <c r="Q554" s="396">
        <f>IF($P554="","",$P554-$O554)</f>
        <v/>
      </c>
    </row>
    <row r="555" ht="15" customHeight="1" s="231">
      <c r="A555" s="397" t="n"/>
      <c r="B555" s="397" t="n"/>
      <c r="C555" s="397" t="n"/>
      <c r="D555" s="397" t="n"/>
      <c r="E555" s="397" t="n"/>
      <c r="F555" s="397" t="n"/>
      <c r="G555" s="397" t="n"/>
      <c r="I555" s="397" t="n"/>
      <c r="J555" s="397" t="n"/>
      <c r="K555" s="395">
        <f>DATE(VALUE(LEFT(A555,4)),VALUE(MID(A555,5,2)),VALUE(RIGHT(A555,2)))</f>
        <v/>
      </c>
      <c r="L555" s="395">
        <f>DATEVALUE(LEFT(F555,10))</f>
        <v/>
      </c>
      <c r="M555" s="396">
        <f>TIMEVALUE(MID(F555,12,8))</f>
        <v/>
      </c>
      <c r="N555" s="395">
        <f>DATEVALUE(LEFT(G555,10))</f>
        <v/>
      </c>
      <c r="O555" s="396">
        <f>TIMEVALUE(MID(G555,12,8))</f>
        <v/>
      </c>
      <c r="P555" s="396">
        <f>IFERROR(_xlfn.MINIFS($M:$M,$E:$E,$E555,$K:$K,$K555,$M:$M,"&gt;"&amp;$O555),"")</f>
        <v/>
      </c>
      <c r="Q555" s="396">
        <f>IF($P555="","",$P555-$O555)</f>
        <v/>
      </c>
    </row>
    <row r="556" ht="15" customHeight="1" s="231">
      <c r="A556" s="397" t="n"/>
      <c r="B556" s="397" t="n"/>
      <c r="C556" s="397" t="n"/>
      <c r="D556" s="397" t="n"/>
      <c r="E556" s="397" t="n"/>
      <c r="F556" s="397" t="n"/>
      <c r="G556" s="397" t="n"/>
      <c r="I556" s="397" t="n"/>
      <c r="J556" s="397" t="n"/>
      <c r="K556" s="395">
        <f>DATE(VALUE(LEFT(A556,4)),VALUE(MID(A556,5,2)),VALUE(RIGHT(A556,2)))</f>
        <v/>
      </c>
      <c r="L556" s="395">
        <f>DATEVALUE(LEFT(F556,10))</f>
        <v/>
      </c>
      <c r="M556" s="396">
        <f>TIMEVALUE(MID(F556,12,8))</f>
        <v/>
      </c>
      <c r="N556" s="395">
        <f>DATEVALUE(LEFT(G556,10))</f>
        <v/>
      </c>
      <c r="O556" s="396">
        <f>TIMEVALUE(MID(G556,12,8))</f>
        <v/>
      </c>
      <c r="P556" s="396">
        <f>IFERROR(_xlfn.MINIFS($M:$M,$E:$E,$E556,$K:$K,$K556,$M:$M,"&gt;"&amp;$O556),"")</f>
        <v/>
      </c>
      <c r="Q556" s="396">
        <f>IF($P556="","",$P556-$O556)</f>
        <v/>
      </c>
    </row>
    <row r="557" ht="15" customHeight="1" s="231">
      <c r="A557" s="397" t="n"/>
      <c r="B557" s="397" t="n"/>
      <c r="C557" s="397" t="n"/>
      <c r="D557" s="397" t="n"/>
      <c r="E557" s="397" t="n"/>
      <c r="F557" s="397" t="n"/>
      <c r="G557" s="397" t="n"/>
      <c r="I557" s="397" t="n"/>
      <c r="J557" s="397" t="n"/>
      <c r="K557" s="395">
        <f>DATE(VALUE(LEFT(A557,4)),VALUE(MID(A557,5,2)),VALUE(RIGHT(A557,2)))</f>
        <v/>
      </c>
      <c r="L557" s="395">
        <f>DATEVALUE(LEFT(F557,10))</f>
        <v/>
      </c>
      <c r="M557" s="396">
        <f>TIMEVALUE(MID(F557,12,8))</f>
        <v/>
      </c>
      <c r="N557" s="395">
        <f>DATEVALUE(LEFT(G557,10))</f>
        <v/>
      </c>
      <c r="O557" s="396">
        <f>TIMEVALUE(MID(G557,12,8))</f>
        <v/>
      </c>
      <c r="P557" s="396">
        <f>IFERROR(_xlfn.MINIFS($M:$M,$E:$E,$E557,$K:$K,$K557,$M:$M,"&gt;"&amp;$O557),"")</f>
        <v/>
      </c>
      <c r="Q557" s="396">
        <f>IF($P557="","",$P557-$O557)</f>
        <v/>
      </c>
    </row>
    <row r="558" ht="15" customHeight="1" s="231">
      <c r="A558" s="397" t="n"/>
      <c r="B558" s="397" t="n"/>
      <c r="C558" s="397" t="n"/>
      <c r="D558" s="397" t="n"/>
      <c r="E558" s="397" t="n"/>
      <c r="F558" s="397" t="n"/>
      <c r="G558" s="397" t="n"/>
      <c r="I558" s="397" t="n"/>
      <c r="J558" s="397" t="n"/>
      <c r="K558" s="395">
        <f>DATE(VALUE(LEFT(A558,4)),VALUE(MID(A558,5,2)),VALUE(RIGHT(A558,2)))</f>
        <v/>
      </c>
      <c r="L558" s="395">
        <f>DATEVALUE(LEFT(F558,10))</f>
        <v/>
      </c>
      <c r="M558" s="396">
        <f>TIMEVALUE(MID(F558,12,8))</f>
        <v/>
      </c>
      <c r="N558" s="395">
        <f>DATEVALUE(LEFT(G558,10))</f>
        <v/>
      </c>
      <c r="O558" s="396">
        <f>TIMEVALUE(MID(G558,12,8))</f>
        <v/>
      </c>
      <c r="P558" s="396">
        <f>IFERROR(_xlfn.MINIFS($M:$M,$E:$E,$E558,$K:$K,$K558,$M:$M,"&gt;"&amp;$O558),"")</f>
        <v/>
      </c>
      <c r="Q558" s="396">
        <f>IF($P558="","",$P558-$O558)</f>
        <v/>
      </c>
    </row>
    <row r="559" ht="15" customHeight="1" s="231">
      <c r="A559" s="397" t="n"/>
      <c r="B559" s="397" t="n"/>
      <c r="C559" s="397" t="n"/>
      <c r="D559" s="397" t="n"/>
      <c r="E559" s="397" t="n"/>
      <c r="F559" s="397" t="n"/>
      <c r="G559" s="397" t="n"/>
      <c r="I559" s="397" t="n"/>
      <c r="J559" s="397" t="n"/>
      <c r="K559" s="395">
        <f>DATE(VALUE(LEFT(A559,4)),VALUE(MID(A559,5,2)),VALUE(RIGHT(A559,2)))</f>
        <v/>
      </c>
      <c r="L559" s="395">
        <f>DATEVALUE(LEFT(F559,10))</f>
        <v/>
      </c>
      <c r="M559" s="396">
        <f>TIMEVALUE(MID(F559,12,8))</f>
        <v/>
      </c>
      <c r="N559" s="395">
        <f>DATEVALUE(LEFT(G559,10))</f>
        <v/>
      </c>
      <c r="O559" s="396">
        <f>TIMEVALUE(MID(G559,12,8))</f>
        <v/>
      </c>
      <c r="P559" s="396">
        <f>IFERROR(_xlfn.MINIFS($M:$M,$E:$E,$E559,$K:$K,$K559,$M:$M,"&gt;"&amp;$O559),"")</f>
        <v/>
      </c>
      <c r="Q559" s="396">
        <f>IF($P559="","",$P559-$O559)</f>
        <v/>
      </c>
    </row>
    <row r="560" ht="15" customHeight="1" s="231">
      <c r="A560" s="397" t="n"/>
      <c r="B560" s="397" t="n"/>
      <c r="C560" s="397" t="n"/>
      <c r="D560" s="397" t="n"/>
      <c r="E560" s="397" t="n"/>
      <c r="F560" s="397" t="n"/>
      <c r="G560" s="397" t="n"/>
      <c r="I560" s="397" t="n"/>
      <c r="J560" s="397" t="n"/>
      <c r="K560" s="395">
        <f>DATE(VALUE(LEFT(A560,4)),VALUE(MID(A560,5,2)),VALUE(RIGHT(A560,2)))</f>
        <v/>
      </c>
      <c r="L560" s="395">
        <f>DATEVALUE(LEFT(F560,10))</f>
        <v/>
      </c>
      <c r="M560" s="396">
        <f>TIMEVALUE(MID(F560,12,8))</f>
        <v/>
      </c>
      <c r="N560" s="395">
        <f>DATEVALUE(LEFT(G560,10))</f>
        <v/>
      </c>
      <c r="O560" s="396">
        <f>TIMEVALUE(MID(G560,12,8))</f>
        <v/>
      </c>
      <c r="P560" s="396">
        <f>IFERROR(_xlfn.MINIFS($M:$M,$E:$E,$E560,$K:$K,$K560,$M:$M,"&gt;"&amp;$O560),"")</f>
        <v/>
      </c>
      <c r="Q560" s="396">
        <f>IF($P560="","",$P560-$O560)</f>
        <v/>
      </c>
    </row>
    <row r="561" ht="15" customHeight="1" s="231">
      <c r="A561" s="397" t="n"/>
      <c r="B561" s="397" t="n"/>
      <c r="C561" s="397" t="n"/>
      <c r="D561" s="397" t="n"/>
      <c r="E561" s="397" t="n"/>
      <c r="F561" s="397" t="n"/>
      <c r="G561" s="397" t="n"/>
      <c r="I561" s="397" t="n"/>
      <c r="J561" s="397" t="n"/>
      <c r="K561" s="395">
        <f>DATE(VALUE(LEFT(A561,4)),VALUE(MID(A561,5,2)),VALUE(RIGHT(A561,2)))</f>
        <v/>
      </c>
      <c r="L561" s="395">
        <f>DATEVALUE(LEFT(F561,10))</f>
        <v/>
      </c>
      <c r="M561" s="396">
        <f>TIMEVALUE(MID(F561,12,8))</f>
        <v/>
      </c>
      <c r="N561" s="395">
        <f>DATEVALUE(LEFT(G561,10))</f>
        <v/>
      </c>
      <c r="O561" s="396">
        <f>TIMEVALUE(MID(G561,12,8))</f>
        <v/>
      </c>
      <c r="P561" s="396">
        <f>IFERROR(_xlfn.MINIFS($M:$M,$E:$E,$E561,$K:$K,$K561,$M:$M,"&gt;"&amp;$O561),"")</f>
        <v/>
      </c>
      <c r="Q561" s="396">
        <f>IF($P561="","",$P561-$O561)</f>
        <v/>
      </c>
    </row>
    <row r="562" ht="15" customHeight="1" s="231">
      <c r="A562" s="397" t="n"/>
      <c r="B562" s="397" t="n"/>
      <c r="C562" s="397" t="n"/>
      <c r="D562" s="397" t="n"/>
      <c r="E562" s="397" t="n"/>
      <c r="F562" s="397" t="n"/>
      <c r="G562" s="397" t="n"/>
      <c r="I562" s="397" t="n"/>
      <c r="J562" s="397" t="n"/>
      <c r="K562" s="395">
        <f>DATE(VALUE(LEFT(A562,4)),VALUE(MID(A562,5,2)),VALUE(RIGHT(A562,2)))</f>
        <v/>
      </c>
      <c r="L562" s="395">
        <f>DATEVALUE(LEFT(F562,10))</f>
        <v/>
      </c>
      <c r="M562" s="396">
        <f>TIMEVALUE(MID(F562,12,8))</f>
        <v/>
      </c>
      <c r="N562" s="395">
        <f>DATEVALUE(LEFT(G562,10))</f>
        <v/>
      </c>
      <c r="O562" s="396">
        <f>TIMEVALUE(MID(G562,12,8))</f>
        <v/>
      </c>
      <c r="P562" s="396">
        <f>IFERROR(_xlfn.MINIFS($M:$M,$E:$E,$E562,$K:$K,$K562,$M:$M,"&gt;"&amp;$O562),"")</f>
        <v/>
      </c>
      <c r="Q562" s="396">
        <f>IF($P562="","",$P562-$O562)</f>
        <v/>
      </c>
    </row>
    <row r="563" ht="15" customHeight="1" s="231">
      <c r="A563" s="397" t="n"/>
      <c r="B563" s="397" t="n"/>
      <c r="C563" s="397" t="n"/>
      <c r="D563" s="397" t="n"/>
      <c r="E563" s="397" t="n"/>
      <c r="F563" s="397" t="n"/>
      <c r="G563" s="397" t="n"/>
      <c r="I563" s="397" t="n"/>
      <c r="J563" s="397" t="n"/>
      <c r="K563" s="395">
        <f>DATE(VALUE(LEFT(A563,4)),VALUE(MID(A563,5,2)),VALUE(RIGHT(A563,2)))</f>
        <v/>
      </c>
      <c r="L563" s="395">
        <f>DATEVALUE(LEFT(F563,10))</f>
        <v/>
      </c>
      <c r="M563" s="396">
        <f>TIMEVALUE(MID(F563,12,8))</f>
        <v/>
      </c>
      <c r="N563" s="395">
        <f>DATEVALUE(LEFT(G563,10))</f>
        <v/>
      </c>
      <c r="O563" s="396">
        <f>TIMEVALUE(MID(G563,12,8))</f>
        <v/>
      </c>
      <c r="P563" s="396">
        <f>IFERROR(_xlfn.MINIFS($M:$M,$E:$E,$E563,$K:$K,$K563,$M:$M,"&gt;"&amp;$O563),"")</f>
        <v/>
      </c>
      <c r="Q563" s="396">
        <f>IF($P563="","",$P563-$O563)</f>
        <v/>
      </c>
    </row>
    <row r="564" ht="15" customHeight="1" s="231">
      <c r="A564" s="397" t="n"/>
      <c r="B564" s="397" t="n"/>
      <c r="C564" s="397" t="n"/>
      <c r="D564" s="397" t="n"/>
      <c r="E564" s="397" t="n"/>
      <c r="F564" s="397" t="n"/>
      <c r="G564" s="397" t="n"/>
      <c r="I564" s="397" t="n"/>
      <c r="J564" s="397" t="n"/>
      <c r="K564" s="395">
        <f>DATE(VALUE(LEFT(A564,4)),VALUE(MID(A564,5,2)),VALUE(RIGHT(A564,2)))</f>
        <v/>
      </c>
      <c r="L564" s="395">
        <f>DATEVALUE(LEFT(F564,10))</f>
        <v/>
      </c>
      <c r="M564" s="396">
        <f>TIMEVALUE(MID(F564,12,8))</f>
        <v/>
      </c>
      <c r="N564" s="395">
        <f>DATEVALUE(LEFT(G564,10))</f>
        <v/>
      </c>
      <c r="O564" s="396">
        <f>TIMEVALUE(MID(G564,12,8))</f>
        <v/>
      </c>
      <c r="P564" s="396">
        <f>IFERROR(_xlfn.MINIFS($M:$M,$E:$E,$E564,$K:$K,$K564,$M:$M,"&gt;"&amp;$O564),"")</f>
        <v/>
      </c>
      <c r="Q564" s="396">
        <f>IF($P564="","",$P564-$O564)</f>
        <v/>
      </c>
    </row>
    <row r="565" ht="15" customHeight="1" s="231">
      <c r="A565" s="397" t="n"/>
      <c r="B565" s="397" t="n"/>
      <c r="C565" s="397" t="n"/>
      <c r="D565" s="397" t="n"/>
      <c r="E565" s="397" t="n"/>
      <c r="F565" s="397" t="n"/>
      <c r="G565" s="397" t="n"/>
      <c r="I565" s="397" t="n"/>
      <c r="J565" s="397" t="n"/>
      <c r="K565" s="395">
        <f>DATE(VALUE(LEFT(A565,4)),VALUE(MID(A565,5,2)),VALUE(RIGHT(A565,2)))</f>
        <v/>
      </c>
      <c r="L565" s="395">
        <f>DATEVALUE(LEFT(F565,10))</f>
        <v/>
      </c>
      <c r="M565" s="396">
        <f>TIMEVALUE(MID(F565,12,8))</f>
        <v/>
      </c>
      <c r="N565" s="395">
        <f>DATEVALUE(LEFT(G565,10))</f>
        <v/>
      </c>
      <c r="O565" s="396">
        <f>TIMEVALUE(MID(G565,12,8))</f>
        <v/>
      </c>
      <c r="P565" s="396">
        <f>IFERROR(_xlfn.MINIFS($M:$M,$E:$E,$E565,$K:$K,$K565,$M:$M,"&gt;"&amp;$O565),"")</f>
        <v/>
      </c>
      <c r="Q565" s="396">
        <f>IF($P565="","",$P565-$O565)</f>
        <v/>
      </c>
    </row>
    <row r="566" ht="15" customHeight="1" s="231">
      <c r="A566" s="397" t="n"/>
      <c r="B566" s="397" t="n"/>
      <c r="C566" s="397" t="n"/>
      <c r="D566" s="397" t="n"/>
      <c r="E566" s="397" t="n"/>
      <c r="F566" s="397" t="n"/>
      <c r="G566" s="397" t="n"/>
      <c r="I566" s="397" t="n"/>
      <c r="J566" s="397" t="n"/>
      <c r="K566" s="395">
        <f>DATE(VALUE(LEFT(A566,4)),VALUE(MID(A566,5,2)),VALUE(RIGHT(A566,2)))</f>
        <v/>
      </c>
      <c r="L566" s="395">
        <f>DATEVALUE(LEFT(F566,10))</f>
        <v/>
      </c>
      <c r="M566" s="396">
        <f>TIMEVALUE(MID(F566,12,8))</f>
        <v/>
      </c>
      <c r="N566" s="395">
        <f>DATEVALUE(LEFT(G566,10))</f>
        <v/>
      </c>
      <c r="O566" s="396">
        <f>TIMEVALUE(MID(G566,12,8))</f>
        <v/>
      </c>
      <c r="P566" s="396">
        <f>IFERROR(_xlfn.MINIFS($M:$M,$E:$E,$E566,$K:$K,$K566,$M:$M,"&gt;"&amp;$O566),"")</f>
        <v/>
      </c>
      <c r="Q566" s="396">
        <f>IF($P566="","",$P566-$O566)</f>
        <v/>
      </c>
    </row>
    <row r="567" ht="15" customHeight="1" s="231">
      <c r="A567" s="397" t="n"/>
      <c r="B567" s="397" t="n"/>
      <c r="C567" s="397" t="n"/>
      <c r="D567" s="397" t="n"/>
      <c r="E567" s="397" t="n"/>
      <c r="F567" s="397" t="n"/>
      <c r="G567" s="397" t="n"/>
      <c r="I567" s="397" t="n"/>
      <c r="J567" s="397" t="n"/>
      <c r="K567" s="395">
        <f>DATE(VALUE(LEFT(A567,4)),VALUE(MID(A567,5,2)),VALUE(RIGHT(A567,2)))</f>
        <v/>
      </c>
      <c r="L567" s="395">
        <f>DATEVALUE(LEFT(F567,10))</f>
        <v/>
      </c>
      <c r="M567" s="396">
        <f>TIMEVALUE(MID(F567,12,8))</f>
        <v/>
      </c>
      <c r="N567" s="395">
        <f>DATEVALUE(LEFT(G567,10))</f>
        <v/>
      </c>
      <c r="O567" s="396">
        <f>TIMEVALUE(MID(G567,12,8))</f>
        <v/>
      </c>
      <c r="P567" s="396">
        <f>IFERROR(_xlfn.MINIFS($M:$M,$E:$E,$E567,$K:$K,$K567,$M:$M,"&gt;"&amp;$O567),"")</f>
        <v/>
      </c>
      <c r="Q567" s="396">
        <f>IF($P567="","",$P567-$O567)</f>
        <v/>
      </c>
    </row>
    <row r="568" ht="15" customHeight="1" s="231">
      <c r="A568" s="397" t="n"/>
      <c r="B568" s="397" t="n"/>
      <c r="C568" s="397" t="n"/>
      <c r="D568" s="397" t="n"/>
      <c r="E568" s="397" t="n"/>
      <c r="F568" s="397" t="n"/>
      <c r="G568" s="397" t="n"/>
      <c r="I568" s="397" t="n"/>
      <c r="J568" s="397" t="n"/>
      <c r="K568" s="395">
        <f>DATE(VALUE(LEFT(A568,4)),VALUE(MID(A568,5,2)),VALUE(RIGHT(A568,2)))</f>
        <v/>
      </c>
      <c r="L568" s="395">
        <f>DATEVALUE(LEFT(F568,10))</f>
        <v/>
      </c>
      <c r="M568" s="396">
        <f>TIMEVALUE(MID(F568,12,8))</f>
        <v/>
      </c>
      <c r="N568" s="395">
        <f>DATEVALUE(LEFT(G568,10))</f>
        <v/>
      </c>
      <c r="O568" s="396">
        <f>TIMEVALUE(MID(G568,12,8))</f>
        <v/>
      </c>
      <c r="P568" s="396">
        <f>IFERROR(_xlfn.MINIFS($M:$M,$E:$E,$E568,$K:$K,$K568,$M:$M,"&gt;"&amp;$O568),"")</f>
        <v/>
      </c>
      <c r="Q568" s="396">
        <f>IF($P568="","",$P568-$O568)</f>
        <v/>
      </c>
    </row>
    <row r="569" ht="15" customHeight="1" s="231">
      <c r="A569" s="397" t="n"/>
      <c r="B569" s="397" t="n"/>
      <c r="C569" s="397" t="n"/>
      <c r="D569" s="397" t="n"/>
      <c r="E569" s="397" t="n"/>
      <c r="F569" s="397" t="n"/>
      <c r="G569" s="397" t="n"/>
      <c r="I569" s="397" t="n"/>
      <c r="J569" s="397" t="n"/>
      <c r="K569" s="395">
        <f>DATE(VALUE(LEFT(A569,4)),VALUE(MID(A569,5,2)),VALUE(RIGHT(A569,2)))</f>
        <v/>
      </c>
      <c r="L569" s="395">
        <f>DATEVALUE(LEFT(F569,10))</f>
        <v/>
      </c>
      <c r="M569" s="396">
        <f>TIMEVALUE(MID(F569,12,8))</f>
        <v/>
      </c>
      <c r="N569" s="395">
        <f>DATEVALUE(LEFT(G569,10))</f>
        <v/>
      </c>
      <c r="O569" s="396">
        <f>TIMEVALUE(MID(G569,12,8))</f>
        <v/>
      </c>
      <c r="P569" s="396">
        <f>IFERROR(_xlfn.MINIFS($M:$M,$E:$E,$E569,$K:$K,$K569,$M:$M,"&gt;"&amp;$O569),"")</f>
        <v/>
      </c>
      <c r="Q569" s="396">
        <f>IF($P569="","",$P569-$O569)</f>
        <v/>
      </c>
    </row>
    <row r="570" ht="15" customHeight="1" s="231">
      <c r="A570" s="397" t="n"/>
      <c r="B570" s="397" t="n"/>
      <c r="C570" s="397" t="n"/>
      <c r="D570" s="397" t="n"/>
      <c r="E570" s="397" t="n"/>
      <c r="F570" s="397" t="n"/>
      <c r="G570" s="397" t="n"/>
      <c r="I570" s="397" t="n"/>
      <c r="J570" s="397" t="n"/>
      <c r="K570" s="395">
        <f>DATE(VALUE(LEFT(A570,4)),VALUE(MID(A570,5,2)),VALUE(RIGHT(A570,2)))</f>
        <v/>
      </c>
      <c r="L570" s="395">
        <f>DATEVALUE(LEFT(F570,10))</f>
        <v/>
      </c>
      <c r="M570" s="396">
        <f>TIMEVALUE(MID(F570,12,8))</f>
        <v/>
      </c>
      <c r="N570" s="395">
        <f>DATEVALUE(LEFT(G570,10))</f>
        <v/>
      </c>
      <c r="O570" s="396">
        <f>TIMEVALUE(MID(G570,12,8))</f>
        <v/>
      </c>
      <c r="P570" s="396">
        <f>IFERROR(_xlfn.MINIFS($M:$M,$E:$E,$E570,$K:$K,$K570,$M:$M,"&gt;"&amp;$O570),"")</f>
        <v/>
      </c>
      <c r="Q570" s="396">
        <f>IF($P570="","",$P570-$O570)</f>
        <v/>
      </c>
    </row>
    <row r="571" ht="15" customHeight="1" s="231">
      <c r="A571" s="397" t="n"/>
      <c r="B571" s="397" t="n"/>
      <c r="C571" s="397" t="n"/>
      <c r="D571" s="397" t="n"/>
      <c r="E571" s="397" t="n"/>
      <c r="F571" s="397" t="n"/>
      <c r="G571" s="397" t="n"/>
      <c r="I571" s="397" t="n"/>
      <c r="J571" s="397" t="n"/>
      <c r="K571" s="395">
        <f>DATE(VALUE(LEFT(A571,4)),VALUE(MID(A571,5,2)),VALUE(RIGHT(A571,2)))</f>
        <v/>
      </c>
      <c r="L571" s="395">
        <f>DATEVALUE(LEFT(F571,10))</f>
        <v/>
      </c>
      <c r="M571" s="396">
        <f>TIMEVALUE(MID(F571,12,8))</f>
        <v/>
      </c>
      <c r="N571" s="395">
        <f>DATEVALUE(LEFT(G571,10))</f>
        <v/>
      </c>
      <c r="O571" s="396">
        <f>TIMEVALUE(MID(G571,12,8))</f>
        <v/>
      </c>
      <c r="P571" s="396">
        <f>IFERROR(_xlfn.MINIFS($M:$M,$E:$E,$E571,$K:$K,$K571,$M:$M,"&gt;"&amp;$O571),"")</f>
        <v/>
      </c>
      <c r="Q571" s="396">
        <f>IF($P571="","",$P571-$O571)</f>
        <v/>
      </c>
    </row>
    <row r="572" ht="15" customHeight="1" s="231">
      <c r="A572" s="397" t="n"/>
      <c r="B572" s="397" t="n"/>
      <c r="C572" s="397" t="n"/>
      <c r="D572" s="397" t="n"/>
      <c r="E572" s="397" t="n"/>
      <c r="F572" s="397" t="n"/>
      <c r="G572" s="397" t="n"/>
      <c r="I572" s="397" t="n"/>
      <c r="J572" s="397" t="n"/>
      <c r="K572" s="395">
        <f>DATE(VALUE(LEFT(A572,4)),VALUE(MID(A572,5,2)),VALUE(RIGHT(A572,2)))</f>
        <v/>
      </c>
      <c r="L572" s="395">
        <f>DATEVALUE(LEFT(F572,10))</f>
        <v/>
      </c>
      <c r="M572" s="396">
        <f>TIMEVALUE(MID(F572,12,8))</f>
        <v/>
      </c>
      <c r="N572" s="395">
        <f>DATEVALUE(LEFT(G572,10))</f>
        <v/>
      </c>
      <c r="O572" s="396">
        <f>TIMEVALUE(MID(G572,12,8))</f>
        <v/>
      </c>
      <c r="P572" s="396">
        <f>IFERROR(_xlfn.MINIFS($M:$M,$E:$E,$E572,$K:$K,$K572,$M:$M,"&gt;"&amp;$O572),"")</f>
        <v/>
      </c>
      <c r="Q572" s="396">
        <f>IF($P572="","",$P572-$O572)</f>
        <v/>
      </c>
    </row>
    <row r="573" ht="15" customHeight="1" s="231">
      <c r="A573" s="397" t="n"/>
      <c r="B573" s="397" t="n"/>
      <c r="C573" s="397" t="n"/>
      <c r="D573" s="397" t="n"/>
      <c r="E573" s="397" t="n"/>
      <c r="F573" s="397" t="n"/>
      <c r="G573" s="397" t="n"/>
      <c r="I573" s="397" t="n"/>
      <c r="J573" s="397" t="n"/>
      <c r="K573" s="395">
        <f>DATE(VALUE(LEFT(A573,4)),VALUE(MID(A573,5,2)),VALUE(RIGHT(A573,2)))</f>
        <v/>
      </c>
      <c r="L573" s="395">
        <f>DATEVALUE(LEFT(F573,10))</f>
        <v/>
      </c>
      <c r="M573" s="396">
        <f>TIMEVALUE(MID(F573,12,8))</f>
        <v/>
      </c>
      <c r="N573" s="395">
        <f>DATEVALUE(LEFT(G573,10))</f>
        <v/>
      </c>
      <c r="O573" s="396">
        <f>TIMEVALUE(MID(G573,12,8))</f>
        <v/>
      </c>
      <c r="P573" s="396">
        <f>IFERROR(_xlfn.MINIFS($M:$M,$E:$E,$E573,$K:$K,$K573,$M:$M,"&gt;"&amp;$O573),"")</f>
        <v/>
      </c>
      <c r="Q573" s="396">
        <f>IF($P573="","",$P573-$O573)</f>
        <v/>
      </c>
    </row>
    <row r="574" ht="15" customHeight="1" s="231">
      <c r="A574" s="397" t="n"/>
      <c r="B574" s="397" t="n"/>
      <c r="C574" s="397" t="n"/>
      <c r="D574" s="397" t="n"/>
      <c r="E574" s="397" t="n"/>
      <c r="F574" s="397" t="n"/>
      <c r="G574" s="397" t="n"/>
      <c r="I574" s="397" t="n"/>
      <c r="J574" s="397" t="n"/>
      <c r="K574" s="395">
        <f>DATE(VALUE(LEFT(A574,4)),VALUE(MID(A574,5,2)),VALUE(RIGHT(A574,2)))</f>
        <v/>
      </c>
      <c r="L574" s="395">
        <f>DATEVALUE(LEFT(F574,10))</f>
        <v/>
      </c>
      <c r="M574" s="396">
        <f>TIMEVALUE(MID(F574,12,8))</f>
        <v/>
      </c>
      <c r="N574" s="395">
        <f>DATEVALUE(LEFT(G574,10))</f>
        <v/>
      </c>
      <c r="O574" s="396">
        <f>TIMEVALUE(MID(G574,12,8))</f>
        <v/>
      </c>
      <c r="P574" s="396">
        <f>IFERROR(_xlfn.MINIFS($M:$M,$E:$E,$E574,$K:$K,$K574,$M:$M,"&gt;"&amp;$O574),"")</f>
        <v/>
      </c>
      <c r="Q574" s="396">
        <f>IF($P574="","",$P574-$O574)</f>
        <v/>
      </c>
    </row>
    <row r="575" ht="15" customHeight="1" s="231">
      <c r="A575" s="397" t="n"/>
      <c r="B575" s="397" t="n"/>
      <c r="C575" s="397" t="n"/>
      <c r="D575" s="397" t="n"/>
      <c r="E575" s="397" t="n"/>
      <c r="F575" s="397" t="n"/>
      <c r="G575" s="397" t="n"/>
      <c r="I575" s="397" t="n"/>
      <c r="J575" s="397" t="n"/>
      <c r="K575" s="395">
        <f>DATE(VALUE(LEFT(A575,4)),VALUE(MID(A575,5,2)),VALUE(RIGHT(A575,2)))</f>
        <v/>
      </c>
      <c r="L575" s="395">
        <f>DATEVALUE(LEFT(F575,10))</f>
        <v/>
      </c>
      <c r="M575" s="396">
        <f>TIMEVALUE(MID(F575,12,8))</f>
        <v/>
      </c>
      <c r="N575" s="395">
        <f>DATEVALUE(LEFT(G575,10))</f>
        <v/>
      </c>
      <c r="O575" s="396">
        <f>TIMEVALUE(MID(G575,12,8))</f>
        <v/>
      </c>
      <c r="P575" s="396">
        <f>IFERROR(_xlfn.MINIFS($M:$M,$E:$E,$E575,$K:$K,$K575,$M:$M,"&gt;"&amp;$O575),"")</f>
        <v/>
      </c>
      <c r="Q575" s="396">
        <f>IF($P575="","",$P575-$O575)</f>
        <v/>
      </c>
    </row>
    <row r="576" ht="15" customHeight="1" s="231">
      <c r="A576" s="397" t="n"/>
      <c r="B576" s="397" t="n"/>
      <c r="C576" s="397" t="n"/>
      <c r="D576" s="397" t="n"/>
      <c r="E576" s="397" t="n"/>
      <c r="F576" s="397" t="n"/>
      <c r="G576" s="397" t="n"/>
      <c r="I576" s="397" t="n"/>
      <c r="J576" s="397" t="n"/>
      <c r="K576" s="395">
        <f>DATE(VALUE(LEFT(A576,4)),VALUE(MID(A576,5,2)),VALUE(RIGHT(A576,2)))</f>
        <v/>
      </c>
      <c r="L576" s="395">
        <f>DATEVALUE(LEFT(F576,10))</f>
        <v/>
      </c>
      <c r="M576" s="396">
        <f>TIMEVALUE(MID(F576,12,8))</f>
        <v/>
      </c>
      <c r="N576" s="395">
        <f>DATEVALUE(LEFT(G576,10))</f>
        <v/>
      </c>
      <c r="O576" s="396">
        <f>TIMEVALUE(MID(G576,12,8))</f>
        <v/>
      </c>
      <c r="P576" s="396">
        <f>IFERROR(_xlfn.MINIFS($M:$M,$E:$E,$E576,$K:$K,$K576,$M:$M,"&gt;"&amp;$O576),"")</f>
        <v/>
      </c>
      <c r="Q576" s="396">
        <f>IF($P576="","",$P576-$O576)</f>
        <v/>
      </c>
    </row>
    <row r="577" ht="15" customHeight="1" s="231">
      <c r="A577" s="397" t="n"/>
      <c r="B577" s="397" t="n"/>
      <c r="C577" s="397" t="n"/>
      <c r="D577" s="397" t="n"/>
      <c r="E577" s="397" t="n"/>
      <c r="F577" s="397" t="n"/>
      <c r="G577" s="397" t="n"/>
      <c r="I577" s="397" t="n"/>
      <c r="J577" s="397" t="n"/>
      <c r="K577" s="395">
        <f>DATE(VALUE(LEFT(A577,4)),VALUE(MID(A577,5,2)),VALUE(RIGHT(A577,2)))</f>
        <v/>
      </c>
      <c r="L577" s="395">
        <f>DATEVALUE(LEFT(F577,10))</f>
        <v/>
      </c>
      <c r="M577" s="396">
        <f>TIMEVALUE(MID(F577,12,8))</f>
        <v/>
      </c>
      <c r="N577" s="395">
        <f>DATEVALUE(LEFT(G577,10))</f>
        <v/>
      </c>
      <c r="O577" s="396">
        <f>TIMEVALUE(MID(G577,12,8))</f>
        <v/>
      </c>
      <c r="P577" s="396">
        <f>IFERROR(_xlfn.MINIFS($M:$M,$E:$E,$E577,$K:$K,$K577,$M:$M,"&gt;"&amp;$O577),"")</f>
        <v/>
      </c>
      <c r="Q577" s="396">
        <f>IF($P577="","",$P577-$O577)</f>
        <v/>
      </c>
    </row>
    <row r="578" ht="15" customHeight="1" s="231">
      <c r="A578" s="397" t="n"/>
      <c r="B578" s="397" t="n"/>
      <c r="C578" s="397" t="n"/>
      <c r="D578" s="397" t="n"/>
      <c r="E578" s="397" t="n"/>
      <c r="F578" s="397" t="n"/>
      <c r="G578" s="397" t="n"/>
      <c r="I578" s="397" t="n"/>
      <c r="J578" s="397" t="n"/>
      <c r="K578" s="395">
        <f>DATE(VALUE(LEFT(A578,4)),VALUE(MID(A578,5,2)),VALUE(RIGHT(A578,2)))</f>
        <v/>
      </c>
      <c r="L578" s="395">
        <f>DATEVALUE(LEFT(F578,10))</f>
        <v/>
      </c>
      <c r="M578" s="396">
        <f>TIMEVALUE(MID(F578,12,8))</f>
        <v/>
      </c>
      <c r="N578" s="395">
        <f>DATEVALUE(LEFT(G578,10))</f>
        <v/>
      </c>
      <c r="O578" s="396">
        <f>TIMEVALUE(MID(G578,12,8))</f>
        <v/>
      </c>
      <c r="P578" s="396">
        <f>IFERROR(_xlfn.MINIFS($M:$M,$E:$E,$E578,$K:$K,$K578,$M:$M,"&gt;"&amp;$O578),"")</f>
        <v/>
      </c>
      <c r="Q578" s="396">
        <f>IF($P578="","",$P578-$O578)</f>
        <v/>
      </c>
    </row>
    <row r="579" ht="15" customHeight="1" s="231">
      <c r="A579" s="397" t="n"/>
      <c r="B579" s="397" t="n"/>
      <c r="C579" s="397" t="n"/>
      <c r="D579" s="397" t="n"/>
      <c r="E579" s="397" t="n"/>
      <c r="F579" s="397" t="n"/>
      <c r="G579" s="397" t="n"/>
      <c r="I579" s="397" t="n"/>
      <c r="J579" s="397" t="n"/>
      <c r="K579" s="395">
        <f>DATE(VALUE(LEFT(A579,4)),VALUE(MID(A579,5,2)),VALUE(RIGHT(A579,2)))</f>
        <v/>
      </c>
      <c r="L579" s="395">
        <f>DATEVALUE(LEFT(F579,10))</f>
        <v/>
      </c>
      <c r="M579" s="396">
        <f>TIMEVALUE(MID(F579,12,8))</f>
        <v/>
      </c>
      <c r="N579" s="395">
        <f>DATEVALUE(LEFT(G579,10))</f>
        <v/>
      </c>
      <c r="O579" s="396">
        <f>TIMEVALUE(MID(G579,12,8))</f>
        <v/>
      </c>
      <c r="P579" s="396">
        <f>IFERROR(_xlfn.MINIFS($M:$M,$E:$E,$E579,$K:$K,$K579,$M:$M,"&gt;"&amp;$O579),"")</f>
        <v/>
      </c>
      <c r="Q579" s="396">
        <f>IF($P579="","",$P579-$O579)</f>
        <v/>
      </c>
    </row>
    <row r="580" ht="15" customHeight="1" s="231">
      <c r="A580" s="397" t="n"/>
      <c r="B580" s="397" t="n"/>
      <c r="C580" s="397" t="n"/>
      <c r="D580" s="397" t="n"/>
      <c r="E580" s="397" t="n"/>
      <c r="F580" s="397" t="n"/>
      <c r="G580" s="397" t="n"/>
      <c r="I580" s="397" t="n"/>
      <c r="J580" s="397" t="n"/>
      <c r="K580" s="395">
        <f>DATE(VALUE(LEFT(A580,4)),VALUE(MID(A580,5,2)),VALUE(RIGHT(A580,2)))</f>
        <v/>
      </c>
      <c r="L580" s="395">
        <f>DATEVALUE(LEFT(F580,10))</f>
        <v/>
      </c>
      <c r="M580" s="396">
        <f>TIMEVALUE(MID(F580,12,8))</f>
        <v/>
      </c>
      <c r="N580" s="395">
        <f>DATEVALUE(LEFT(G580,10))</f>
        <v/>
      </c>
      <c r="O580" s="396">
        <f>TIMEVALUE(MID(G580,12,8))</f>
        <v/>
      </c>
      <c r="P580" s="396">
        <f>IFERROR(_xlfn.MINIFS($M:$M,$E:$E,$E580,$K:$K,$K580,$M:$M,"&gt;"&amp;$O580),"")</f>
        <v/>
      </c>
      <c r="Q580" s="396">
        <f>IF($P580="","",$P580-$O580)</f>
        <v/>
      </c>
    </row>
    <row r="581" ht="15" customHeight="1" s="231">
      <c r="A581" s="397" t="n"/>
      <c r="B581" s="397" t="n"/>
      <c r="C581" s="397" t="n"/>
      <c r="D581" s="397" t="n"/>
      <c r="E581" s="397" t="n"/>
      <c r="F581" s="397" t="n"/>
      <c r="G581" s="397" t="n"/>
      <c r="I581" s="397" t="n"/>
      <c r="J581" s="397" t="n"/>
      <c r="K581" s="395">
        <f>DATE(VALUE(LEFT(A581,4)),VALUE(MID(A581,5,2)),VALUE(RIGHT(A581,2)))</f>
        <v/>
      </c>
      <c r="L581" s="395">
        <f>DATEVALUE(LEFT(F581,10))</f>
        <v/>
      </c>
      <c r="M581" s="396">
        <f>TIMEVALUE(MID(F581,12,8))</f>
        <v/>
      </c>
      <c r="N581" s="395">
        <f>DATEVALUE(LEFT(G581,10))</f>
        <v/>
      </c>
      <c r="O581" s="396">
        <f>TIMEVALUE(MID(G581,12,8))</f>
        <v/>
      </c>
      <c r="P581" s="396">
        <f>IFERROR(_xlfn.MINIFS($M:$M,$E:$E,$E581,$K:$K,$K581,$M:$M,"&gt;"&amp;$O581),"")</f>
        <v/>
      </c>
      <c r="Q581" s="396">
        <f>IF($P581="","",$P581-$O581)</f>
        <v/>
      </c>
    </row>
    <row r="582" ht="15" customHeight="1" s="231">
      <c r="A582" s="397" t="n"/>
      <c r="B582" s="397" t="n"/>
      <c r="C582" s="397" t="n"/>
      <c r="D582" s="397" t="n"/>
      <c r="E582" s="397" t="n"/>
      <c r="F582" s="397" t="n"/>
      <c r="G582" s="397" t="n"/>
      <c r="I582" s="397" t="n"/>
      <c r="J582" s="397" t="n"/>
      <c r="K582" s="395">
        <f>DATE(VALUE(LEFT(A582,4)),VALUE(MID(A582,5,2)),VALUE(RIGHT(A582,2)))</f>
        <v/>
      </c>
      <c r="L582" s="395">
        <f>DATEVALUE(LEFT(F582,10))</f>
        <v/>
      </c>
      <c r="M582" s="396">
        <f>TIMEVALUE(MID(F582,12,8))</f>
        <v/>
      </c>
      <c r="N582" s="395">
        <f>DATEVALUE(LEFT(G582,10))</f>
        <v/>
      </c>
      <c r="O582" s="396">
        <f>TIMEVALUE(MID(G582,12,8))</f>
        <v/>
      </c>
      <c r="P582" s="396">
        <f>IFERROR(_xlfn.MINIFS($M:$M,$E:$E,$E582,$K:$K,$K582,$M:$M,"&gt;"&amp;$O582),"")</f>
        <v/>
      </c>
      <c r="Q582" s="396">
        <f>IF($P582="","",$P582-$O582)</f>
        <v/>
      </c>
    </row>
    <row r="583" ht="15" customHeight="1" s="231">
      <c r="A583" s="397" t="n"/>
      <c r="B583" s="397" t="n"/>
      <c r="C583" s="397" t="n"/>
      <c r="D583" s="397" t="n"/>
      <c r="E583" s="397" t="n"/>
      <c r="F583" s="397" t="n"/>
      <c r="G583" s="397" t="n"/>
      <c r="I583" s="397" t="n"/>
      <c r="J583" s="397" t="n"/>
      <c r="K583" s="395">
        <f>DATE(VALUE(LEFT(A583,4)),VALUE(MID(A583,5,2)),VALUE(RIGHT(A583,2)))</f>
        <v/>
      </c>
      <c r="L583" s="395">
        <f>DATEVALUE(LEFT(F583,10))</f>
        <v/>
      </c>
      <c r="M583" s="396">
        <f>TIMEVALUE(MID(F583,12,8))</f>
        <v/>
      </c>
      <c r="N583" s="395">
        <f>DATEVALUE(LEFT(G583,10))</f>
        <v/>
      </c>
      <c r="O583" s="396">
        <f>TIMEVALUE(MID(G583,12,8))</f>
        <v/>
      </c>
      <c r="P583" s="396">
        <f>IFERROR(_xlfn.MINIFS($M:$M,$E:$E,$E583,$K:$K,$K583,$M:$M,"&gt;"&amp;$O583),"")</f>
        <v/>
      </c>
      <c r="Q583" s="396">
        <f>IF($P583="","",$P583-$O583)</f>
        <v/>
      </c>
    </row>
    <row r="584" ht="15" customHeight="1" s="231">
      <c r="A584" s="397" t="n"/>
      <c r="B584" s="397" t="n"/>
      <c r="C584" s="397" t="n"/>
      <c r="D584" s="397" t="n"/>
      <c r="E584" s="397" t="n"/>
      <c r="F584" s="397" t="n"/>
      <c r="G584" s="397" t="n"/>
      <c r="I584" s="397" t="n"/>
      <c r="J584" s="397" t="n"/>
      <c r="K584" s="395">
        <f>DATE(VALUE(LEFT(A584,4)),VALUE(MID(A584,5,2)),VALUE(RIGHT(A584,2)))</f>
        <v/>
      </c>
      <c r="L584" s="395">
        <f>DATEVALUE(LEFT(F584,10))</f>
        <v/>
      </c>
      <c r="M584" s="396">
        <f>TIMEVALUE(MID(F584,12,8))</f>
        <v/>
      </c>
      <c r="N584" s="395">
        <f>DATEVALUE(LEFT(G584,10))</f>
        <v/>
      </c>
      <c r="O584" s="396">
        <f>TIMEVALUE(MID(G584,12,8))</f>
        <v/>
      </c>
      <c r="P584" s="396">
        <f>IFERROR(_xlfn.MINIFS($M:$M,$E:$E,$E584,$K:$K,$K584,$M:$M,"&gt;"&amp;$O584),"")</f>
        <v/>
      </c>
      <c r="Q584" s="396">
        <f>IF($P584="","",$P584-$O584)</f>
        <v/>
      </c>
    </row>
    <row r="585" ht="15" customHeight="1" s="231">
      <c r="A585" s="397" t="n"/>
      <c r="B585" s="397" t="n"/>
      <c r="C585" s="397" t="n"/>
      <c r="D585" s="397" t="n"/>
      <c r="E585" s="397" t="n"/>
      <c r="F585" s="397" t="n"/>
      <c r="G585" s="397" t="n"/>
      <c r="I585" s="397" t="n"/>
      <c r="J585" s="397" t="n"/>
      <c r="K585" s="395">
        <f>DATE(VALUE(LEFT(A585,4)),VALUE(MID(A585,5,2)),VALUE(RIGHT(A585,2)))</f>
        <v/>
      </c>
      <c r="L585" s="395">
        <f>DATEVALUE(LEFT(F585,10))</f>
        <v/>
      </c>
      <c r="M585" s="396">
        <f>TIMEVALUE(MID(F585,12,8))</f>
        <v/>
      </c>
      <c r="N585" s="395">
        <f>DATEVALUE(LEFT(G585,10))</f>
        <v/>
      </c>
      <c r="O585" s="396">
        <f>TIMEVALUE(MID(G585,12,8))</f>
        <v/>
      </c>
      <c r="P585" s="396">
        <f>IFERROR(_xlfn.MINIFS($M:$M,$E:$E,$E585,$K:$K,$K585,$M:$M,"&gt;"&amp;$O585),"")</f>
        <v/>
      </c>
      <c r="Q585" s="396">
        <f>IF($P585="","",$P585-$O585)</f>
        <v/>
      </c>
    </row>
    <row r="586" ht="15" customHeight="1" s="231">
      <c r="A586" s="397" t="n"/>
      <c r="B586" s="397" t="n"/>
      <c r="C586" s="397" t="n"/>
      <c r="D586" s="397" t="n"/>
      <c r="E586" s="397" t="n"/>
      <c r="F586" s="397" t="n"/>
      <c r="G586" s="397" t="n"/>
      <c r="I586" s="397" t="n"/>
      <c r="J586" s="397" t="n"/>
      <c r="K586" s="395">
        <f>DATE(VALUE(LEFT(A586,4)),VALUE(MID(A586,5,2)),VALUE(RIGHT(A586,2)))</f>
        <v/>
      </c>
      <c r="L586" s="395">
        <f>DATEVALUE(LEFT(F586,10))</f>
        <v/>
      </c>
      <c r="M586" s="396">
        <f>TIMEVALUE(MID(F586,12,8))</f>
        <v/>
      </c>
      <c r="N586" s="395">
        <f>DATEVALUE(LEFT(G586,10))</f>
        <v/>
      </c>
      <c r="O586" s="396">
        <f>TIMEVALUE(MID(G586,12,8))</f>
        <v/>
      </c>
      <c r="P586" s="396">
        <f>IFERROR(_xlfn.MINIFS($M:$M,$E:$E,$E586,$K:$K,$K586,$M:$M,"&gt;"&amp;$O586),"")</f>
        <v/>
      </c>
      <c r="Q586" s="396">
        <f>IF($P586="","",$P586-$O586)</f>
        <v/>
      </c>
    </row>
    <row r="587" ht="15" customHeight="1" s="231">
      <c r="A587" s="397" t="n"/>
      <c r="B587" s="397" t="n"/>
      <c r="C587" s="397" t="n"/>
      <c r="D587" s="397" t="n"/>
      <c r="E587" s="397" t="n"/>
      <c r="F587" s="397" t="n"/>
      <c r="G587" s="397" t="n"/>
      <c r="I587" s="397" t="n"/>
      <c r="J587" s="397" t="n"/>
      <c r="K587" s="395">
        <f>DATE(VALUE(LEFT(A587,4)),VALUE(MID(A587,5,2)),VALUE(RIGHT(A587,2)))</f>
        <v/>
      </c>
      <c r="L587" s="395">
        <f>DATEVALUE(LEFT(F587,10))</f>
        <v/>
      </c>
      <c r="M587" s="396">
        <f>TIMEVALUE(MID(F587,12,8))</f>
        <v/>
      </c>
      <c r="N587" s="395">
        <f>DATEVALUE(LEFT(G587,10))</f>
        <v/>
      </c>
      <c r="O587" s="396">
        <f>TIMEVALUE(MID(G587,12,8))</f>
        <v/>
      </c>
      <c r="P587" s="396">
        <f>IFERROR(_xlfn.MINIFS($M:$M,$E:$E,$E587,$K:$K,$K587,$M:$M,"&gt;"&amp;$O587),"")</f>
        <v/>
      </c>
      <c r="Q587" s="396">
        <f>IF($P587="","",$P587-$O587)</f>
        <v/>
      </c>
    </row>
    <row r="588" ht="15" customHeight="1" s="231">
      <c r="A588" s="397" t="n"/>
      <c r="B588" s="397" t="n"/>
      <c r="C588" s="397" t="n"/>
      <c r="D588" s="397" t="n"/>
      <c r="E588" s="397" t="n"/>
      <c r="F588" s="397" t="n"/>
      <c r="G588" s="397" t="n"/>
      <c r="I588" s="397" t="n"/>
      <c r="J588" s="397" t="n"/>
      <c r="K588" s="395">
        <f>DATE(VALUE(LEFT(A588,4)),VALUE(MID(A588,5,2)),VALUE(RIGHT(A588,2)))</f>
        <v/>
      </c>
      <c r="L588" s="395">
        <f>DATEVALUE(LEFT(F588,10))</f>
        <v/>
      </c>
      <c r="M588" s="396">
        <f>TIMEVALUE(MID(F588,12,8))</f>
        <v/>
      </c>
      <c r="N588" s="395">
        <f>DATEVALUE(LEFT(G588,10))</f>
        <v/>
      </c>
      <c r="O588" s="396">
        <f>TIMEVALUE(MID(G588,12,8))</f>
        <v/>
      </c>
      <c r="P588" s="396">
        <f>IFERROR(_xlfn.MINIFS($M:$M,$E:$E,$E588,$K:$K,$K588,$M:$M,"&gt;"&amp;$O588),"")</f>
        <v/>
      </c>
      <c r="Q588" s="396">
        <f>IF($P588="","",$P588-$O588)</f>
        <v/>
      </c>
    </row>
    <row r="589" ht="15" customHeight="1" s="231">
      <c r="A589" s="397" t="n"/>
      <c r="B589" s="397" t="n"/>
      <c r="C589" s="397" t="n"/>
      <c r="D589" s="397" t="n"/>
      <c r="E589" s="397" t="n"/>
      <c r="F589" s="397" t="n"/>
      <c r="G589" s="397" t="n"/>
      <c r="I589" s="397" t="n"/>
      <c r="J589" s="397" t="n"/>
      <c r="K589" s="395">
        <f>DATE(VALUE(LEFT(A589,4)),VALUE(MID(A589,5,2)),VALUE(RIGHT(A589,2)))</f>
        <v/>
      </c>
      <c r="L589" s="395">
        <f>DATEVALUE(LEFT(F589,10))</f>
        <v/>
      </c>
      <c r="M589" s="396">
        <f>TIMEVALUE(MID(F589,12,8))</f>
        <v/>
      </c>
      <c r="N589" s="395">
        <f>DATEVALUE(LEFT(G589,10))</f>
        <v/>
      </c>
      <c r="O589" s="396">
        <f>TIMEVALUE(MID(G589,12,8))</f>
        <v/>
      </c>
      <c r="P589" s="396">
        <f>IFERROR(_xlfn.MINIFS($M:$M,$E:$E,$E589,$K:$K,$K589,$M:$M,"&gt;"&amp;$O589),"")</f>
        <v/>
      </c>
      <c r="Q589" s="396">
        <f>IF($P589="","",$P589-$O589)</f>
        <v/>
      </c>
    </row>
    <row r="590" ht="15" customHeight="1" s="231">
      <c r="A590" s="397" t="n"/>
      <c r="B590" s="397" t="n"/>
      <c r="C590" s="397" t="n"/>
      <c r="D590" s="397" t="n"/>
      <c r="E590" s="397" t="n"/>
      <c r="F590" s="397" t="n"/>
      <c r="G590" s="397" t="n"/>
      <c r="I590" s="397" t="n"/>
      <c r="J590" s="397" t="n"/>
      <c r="K590" s="395">
        <f>DATE(VALUE(LEFT(A590,4)),VALUE(MID(A590,5,2)),VALUE(RIGHT(A590,2)))</f>
        <v/>
      </c>
      <c r="L590" s="395">
        <f>DATEVALUE(LEFT(F590,10))</f>
        <v/>
      </c>
      <c r="M590" s="396">
        <f>TIMEVALUE(MID(F590,12,8))</f>
        <v/>
      </c>
      <c r="N590" s="395">
        <f>DATEVALUE(LEFT(G590,10))</f>
        <v/>
      </c>
      <c r="O590" s="396">
        <f>TIMEVALUE(MID(G590,12,8))</f>
        <v/>
      </c>
      <c r="P590" s="396">
        <f>IFERROR(_xlfn.MINIFS($M:$M,$E:$E,$E590,$K:$K,$K590,$M:$M,"&gt;"&amp;$O590),"")</f>
        <v/>
      </c>
      <c r="Q590" s="396">
        <f>IF($P590="","",$P590-$O590)</f>
        <v/>
      </c>
    </row>
    <row r="591" ht="15" customHeight="1" s="231">
      <c r="A591" s="397" t="n"/>
      <c r="B591" s="397" t="n"/>
      <c r="C591" s="397" t="n"/>
      <c r="D591" s="397" t="n"/>
      <c r="E591" s="397" t="n"/>
      <c r="F591" s="397" t="n"/>
      <c r="G591" s="397" t="n"/>
      <c r="I591" s="397" t="n"/>
      <c r="J591" s="397" t="n"/>
      <c r="K591" s="395">
        <f>DATE(VALUE(LEFT(A591,4)),VALUE(MID(A591,5,2)),VALUE(RIGHT(A591,2)))</f>
        <v/>
      </c>
      <c r="L591" s="395">
        <f>DATEVALUE(LEFT(F591,10))</f>
        <v/>
      </c>
      <c r="M591" s="396">
        <f>TIMEVALUE(MID(F591,12,8))</f>
        <v/>
      </c>
      <c r="N591" s="395">
        <f>DATEVALUE(LEFT(G591,10))</f>
        <v/>
      </c>
      <c r="O591" s="396">
        <f>TIMEVALUE(MID(G591,12,8))</f>
        <v/>
      </c>
      <c r="P591" s="396">
        <f>IFERROR(_xlfn.MINIFS($M:$M,$E:$E,$E591,$K:$K,$K591,$M:$M,"&gt;"&amp;$O591),"")</f>
        <v/>
      </c>
      <c r="Q591" s="396">
        <f>IF($P591="","",$P591-$O591)</f>
        <v/>
      </c>
    </row>
    <row r="592" ht="15" customHeight="1" s="231">
      <c r="A592" s="397" t="n"/>
      <c r="B592" s="397" t="n"/>
      <c r="C592" s="397" t="n"/>
      <c r="D592" s="397" t="n"/>
      <c r="E592" s="397" t="n"/>
      <c r="F592" s="397" t="n"/>
      <c r="G592" s="397" t="n"/>
      <c r="I592" s="397" t="n"/>
      <c r="J592" s="397" t="n"/>
      <c r="K592" s="395">
        <f>DATE(VALUE(LEFT(A592,4)),VALUE(MID(A592,5,2)),VALUE(RIGHT(A592,2)))</f>
        <v/>
      </c>
      <c r="L592" s="395">
        <f>DATEVALUE(LEFT(F592,10))</f>
        <v/>
      </c>
      <c r="M592" s="396">
        <f>TIMEVALUE(MID(F592,12,8))</f>
        <v/>
      </c>
      <c r="N592" s="395">
        <f>DATEVALUE(LEFT(G592,10))</f>
        <v/>
      </c>
      <c r="O592" s="396">
        <f>TIMEVALUE(MID(G592,12,8))</f>
        <v/>
      </c>
      <c r="P592" s="396">
        <f>IFERROR(_xlfn.MINIFS($M:$M,$E:$E,$E592,$K:$K,$K592,$M:$M,"&gt;"&amp;$O592),"")</f>
        <v/>
      </c>
      <c r="Q592" s="396">
        <f>IF($P592="","",$P592-$O592)</f>
        <v/>
      </c>
    </row>
    <row r="593" ht="15" customHeight="1" s="231">
      <c r="A593" s="397" t="n"/>
      <c r="B593" s="397" t="n"/>
      <c r="C593" s="397" t="n"/>
      <c r="D593" s="397" t="n"/>
      <c r="E593" s="397" t="n"/>
      <c r="F593" s="397" t="n"/>
      <c r="G593" s="397" t="n"/>
      <c r="I593" s="397" t="n"/>
      <c r="J593" s="397" t="n"/>
      <c r="K593" s="395">
        <f>DATE(VALUE(LEFT(A593,4)),VALUE(MID(A593,5,2)),VALUE(RIGHT(A593,2)))</f>
        <v/>
      </c>
      <c r="L593" s="395">
        <f>DATEVALUE(LEFT(F593,10))</f>
        <v/>
      </c>
      <c r="M593" s="396">
        <f>TIMEVALUE(MID(F593,12,8))</f>
        <v/>
      </c>
      <c r="N593" s="395">
        <f>DATEVALUE(LEFT(G593,10))</f>
        <v/>
      </c>
      <c r="O593" s="396">
        <f>TIMEVALUE(MID(G593,12,8))</f>
        <v/>
      </c>
      <c r="P593" s="396">
        <f>IFERROR(_xlfn.MINIFS($M:$M,$E:$E,$E593,$K:$K,$K593,$M:$M,"&gt;"&amp;$O593),"")</f>
        <v/>
      </c>
      <c r="Q593" s="396">
        <f>IF($P593="","",$P593-$O593)</f>
        <v/>
      </c>
    </row>
    <row r="594" ht="15" customHeight="1" s="231">
      <c r="A594" s="397" t="n"/>
      <c r="B594" s="397" t="n"/>
      <c r="C594" s="397" t="n"/>
      <c r="D594" s="397" t="n"/>
      <c r="E594" s="397" t="n"/>
      <c r="F594" s="397" t="n"/>
      <c r="G594" s="397" t="n"/>
      <c r="I594" s="397" t="n"/>
      <c r="J594" s="397" t="n"/>
      <c r="K594" s="395">
        <f>DATE(VALUE(LEFT(A594,4)),VALUE(MID(A594,5,2)),VALUE(RIGHT(A594,2)))</f>
        <v/>
      </c>
      <c r="L594" s="395">
        <f>DATEVALUE(LEFT(F594,10))</f>
        <v/>
      </c>
      <c r="M594" s="396">
        <f>TIMEVALUE(MID(F594,12,8))</f>
        <v/>
      </c>
      <c r="N594" s="395">
        <f>DATEVALUE(LEFT(G594,10))</f>
        <v/>
      </c>
      <c r="O594" s="396">
        <f>TIMEVALUE(MID(G594,12,8))</f>
        <v/>
      </c>
      <c r="P594" s="396">
        <f>IFERROR(_xlfn.MINIFS($M:$M,$E:$E,$E594,$K:$K,$K594,$M:$M,"&gt;"&amp;$O594),"")</f>
        <v/>
      </c>
      <c r="Q594" s="396">
        <f>IF($P594="","",$P594-$O594)</f>
        <v/>
      </c>
    </row>
    <row r="595" ht="15" customHeight="1" s="231">
      <c r="A595" s="397" t="n"/>
      <c r="B595" s="397" t="n"/>
      <c r="C595" s="397" t="n"/>
      <c r="D595" s="397" t="n"/>
      <c r="E595" s="397" t="n"/>
      <c r="F595" s="397" t="n"/>
      <c r="G595" s="397" t="n"/>
      <c r="I595" s="397" t="n"/>
      <c r="J595" s="397" t="n"/>
      <c r="K595" s="395">
        <f>DATE(VALUE(LEFT(A595,4)),VALUE(MID(A595,5,2)),VALUE(RIGHT(A595,2)))</f>
        <v/>
      </c>
      <c r="L595" s="395">
        <f>DATEVALUE(LEFT(F595,10))</f>
        <v/>
      </c>
      <c r="M595" s="396">
        <f>TIMEVALUE(MID(F595,12,8))</f>
        <v/>
      </c>
      <c r="N595" s="395">
        <f>DATEVALUE(LEFT(G595,10))</f>
        <v/>
      </c>
      <c r="O595" s="396">
        <f>TIMEVALUE(MID(G595,12,8))</f>
        <v/>
      </c>
      <c r="P595" s="396">
        <f>IFERROR(_xlfn.MINIFS($M:$M,$E:$E,$E595,$K:$K,$K595,$M:$M,"&gt;"&amp;$O595),"")</f>
        <v/>
      </c>
      <c r="Q595" s="396">
        <f>IF($P595="","",$P595-$O595)</f>
        <v/>
      </c>
    </row>
    <row r="596" ht="15" customHeight="1" s="231">
      <c r="A596" s="397" t="n"/>
      <c r="B596" s="397" t="n"/>
      <c r="C596" s="397" t="n"/>
      <c r="D596" s="397" t="n"/>
      <c r="E596" s="397" t="n"/>
      <c r="F596" s="397" t="n"/>
      <c r="G596" s="397" t="n"/>
      <c r="I596" s="397" t="n"/>
      <c r="J596" s="397" t="n"/>
      <c r="K596" s="395">
        <f>DATE(VALUE(LEFT(A596,4)),VALUE(MID(A596,5,2)),VALUE(RIGHT(A596,2)))</f>
        <v/>
      </c>
      <c r="L596" s="395">
        <f>DATEVALUE(LEFT(F596,10))</f>
        <v/>
      </c>
      <c r="M596" s="396">
        <f>TIMEVALUE(MID(F596,12,8))</f>
        <v/>
      </c>
      <c r="N596" s="395">
        <f>DATEVALUE(LEFT(G596,10))</f>
        <v/>
      </c>
      <c r="O596" s="396">
        <f>TIMEVALUE(MID(G596,12,8))</f>
        <v/>
      </c>
      <c r="P596" s="396">
        <f>IFERROR(_xlfn.MINIFS($M:$M,$E:$E,$E596,$K:$K,$K596,$M:$M,"&gt;"&amp;$O596),"")</f>
        <v/>
      </c>
      <c r="Q596" s="396">
        <f>IF($P596="","",$P596-$O596)</f>
        <v/>
      </c>
    </row>
    <row r="597" ht="15" customHeight="1" s="231">
      <c r="A597" s="397" t="n"/>
      <c r="B597" s="397" t="n"/>
      <c r="C597" s="397" t="n"/>
      <c r="D597" s="397" t="n"/>
      <c r="E597" s="397" t="n"/>
      <c r="F597" s="397" t="n"/>
      <c r="G597" s="397" t="n"/>
      <c r="I597" s="397" t="n"/>
      <c r="J597" s="397" t="n"/>
      <c r="K597" s="395">
        <f>DATE(VALUE(LEFT(A597,4)),VALUE(MID(A597,5,2)),VALUE(RIGHT(A597,2)))</f>
        <v/>
      </c>
      <c r="L597" s="395">
        <f>DATEVALUE(LEFT(F597,10))</f>
        <v/>
      </c>
      <c r="M597" s="396">
        <f>TIMEVALUE(MID(F597,12,8))</f>
        <v/>
      </c>
      <c r="N597" s="395">
        <f>DATEVALUE(LEFT(G597,10))</f>
        <v/>
      </c>
      <c r="O597" s="396">
        <f>TIMEVALUE(MID(G597,12,8))</f>
        <v/>
      </c>
      <c r="P597" s="396">
        <f>IFERROR(_xlfn.MINIFS($M:$M,$E:$E,$E597,$K:$K,$K597,$M:$M,"&gt;"&amp;$O597),"")</f>
        <v/>
      </c>
      <c r="Q597" s="396">
        <f>IF($P597="","",$P597-$O597)</f>
        <v/>
      </c>
    </row>
    <row r="598" ht="15" customHeight="1" s="231">
      <c r="A598" s="397" t="n"/>
      <c r="B598" s="397" t="n"/>
      <c r="C598" s="397" t="n"/>
      <c r="D598" s="397" t="n"/>
      <c r="E598" s="397" t="n"/>
      <c r="F598" s="397" t="n"/>
      <c r="G598" s="397" t="n"/>
      <c r="I598" s="397" t="n"/>
      <c r="J598" s="397" t="n"/>
      <c r="K598" s="395">
        <f>DATE(VALUE(LEFT(A598,4)),VALUE(MID(A598,5,2)),VALUE(RIGHT(A598,2)))</f>
        <v/>
      </c>
      <c r="L598" s="395">
        <f>DATEVALUE(LEFT(F598,10))</f>
        <v/>
      </c>
      <c r="M598" s="396">
        <f>TIMEVALUE(MID(F598,12,8))</f>
        <v/>
      </c>
      <c r="N598" s="395">
        <f>DATEVALUE(LEFT(G598,10))</f>
        <v/>
      </c>
      <c r="O598" s="396">
        <f>TIMEVALUE(MID(G598,12,8))</f>
        <v/>
      </c>
      <c r="P598" s="396">
        <f>IFERROR(_xlfn.MINIFS($M:$M,$E:$E,$E598,$K:$K,$K598,$M:$M,"&gt;"&amp;$O598),"")</f>
        <v/>
      </c>
      <c r="Q598" s="396">
        <f>IF($P598="","",$P598-$O598)</f>
        <v/>
      </c>
    </row>
    <row r="599" ht="15" customHeight="1" s="231">
      <c r="A599" s="397" t="n"/>
      <c r="B599" s="397" t="n"/>
      <c r="C599" s="397" t="n"/>
      <c r="D599" s="397" t="n"/>
      <c r="E599" s="397" t="n"/>
      <c r="F599" s="397" t="n"/>
      <c r="G599" s="397" t="n"/>
      <c r="I599" s="397" t="n"/>
      <c r="J599" s="397" t="n"/>
      <c r="K599" s="395">
        <f>DATE(VALUE(LEFT(A599,4)),VALUE(MID(A599,5,2)),VALUE(RIGHT(A599,2)))</f>
        <v/>
      </c>
      <c r="L599" s="395">
        <f>DATEVALUE(LEFT(F599,10))</f>
        <v/>
      </c>
      <c r="M599" s="396">
        <f>TIMEVALUE(MID(F599,12,8))</f>
        <v/>
      </c>
      <c r="N599" s="395">
        <f>DATEVALUE(LEFT(G599,10))</f>
        <v/>
      </c>
      <c r="O599" s="396">
        <f>TIMEVALUE(MID(G599,12,8))</f>
        <v/>
      </c>
      <c r="P599" s="396">
        <f>IFERROR(_xlfn.MINIFS($M:$M,$E:$E,$E599,$K:$K,$K599,$M:$M,"&gt;"&amp;$O599),"")</f>
        <v/>
      </c>
      <c r="Q599" s="396">
        <f>IF($P599="","",$P599-$O599)</f>
        <v/>
      </c>
    </row>
    <row r="600" ht="15" customHeight="1" s="231">
      <c r="A600" s="397" t="n"/>
      <c r="B600" s="397" t="n"/>
      <c r="C600" s="397" t="n"/>
      <c r="D600" s="397" t="n"/>
      <c r="E600" s="397" t="n"/>
      <c r="F600" s="397" t="n"/>
      <c r="G600" s="397" t="n"/>
      <c r="I600" s="397" t="n"/>
      <c r="J600" s="397" t="n"/>
      <c r="K600" s="395">
        <f>DATE(VALUE(LEFT(A600,4)),VALUE(MID(A600,5,2)),VALUE(RIGHT(A600,2)))</f>
        <v/>
      </c>
      <c r="L600" s="395">
        <f>DATEVALUE(LEFT(F600,10))</f>
        <v/>
      </c>
      <c r="M600" s="396">
        <f>TIMEVALUE(MID(F600,12,8))</f>
        <v/>
      </c>
      <c r="N600" s="395">
        <f>DATEVALUE(LEFT(G600,10))</f>
        <v/>
      </c>
      <c r="O600" s="396">
        <f>TIMEVALUE(MID(G600,12,8))</f>
        <v/>
      </c>
      <c r="P600" s="396">
        <f>IFERROR(_xlfn.MINIFS($M:$M,$E:$E,$E600,$K:$K,$K600,$M:$M,"&gt;"&amp;$O600),"")</f>
        <v/>
      </c>
      <c r="Q600" s="396">
        <f>IF($P600="","",$P600-$O600)</f>
        <v/>
      </c>
    </row>
    <row r="601" ht="15" customHeight="1" s="231">
      <c r="A601" s="397" t="n"/>
      <c r="B601" s="397" t="n"/>
      <c r="C601" s="397" t="n"/>
      <c r="D601" s="397" t="n"/>
      <c r="E601" s="397" t="n"/>
      <c r="F601" s="397" t="n"/>
      <c r="G601" s="397" t="n"/>
      <c r="I601" s="397" t="n"/>
      <c r="J601" s="397" t="n"/>
      <c r="K601" s="395">
        <f>DATE(VALUE(LEFT(A601,4)),VALUE(MID(A601,5,2)),VALUE(RIGHT(A601,2)))</f>
        <v/>
      </c>
      <c r="L601" s="395">
        <f>DATEVALUE(LEFT(F601,10))</f>
        <v/>
      </c>
      <c r="M601" s="396">
        <f>TIMEVALUE(MID(F601,12,8))</f>
        <v/>
      </c>
      <c r="N601" s="395">
        <f>DATEVALUE(LEFT(G601,10))</f>
        <v/>
      </c>
      <c r="O601" s="396">
        <f>TIMEVALUE(MID(G601,12,8))</f>
        <v/>
      </c>
      <c r="P601" s="396">
        <f>IFERROR(_xlfn.MINIFS($M:$M,$E:$E,$E601,$K:$K,$K601,$M:$M,"&gt;"&amp;$O601),"")</f>
        <v/>
      </c>
      <c r="Q601" s="396">
        <f>IF($P601="","",$P601-$O601)</f>
        <v/>
      </c>
    </row>
    <row r="602" ht="15" customHeight="1" s="231">
      <c r="A602" s="397" t="n"/>
      <c r="B602" s="397" t="n"/>
      <c r="C602" s="397" t="n"/>
      <c r="D602" s="397" t="n"/>
      <c r="E602" s="397" t="n"/>
      <c r="F602" s="397" t="n"/>
      <c r="G602" s="397" t="n"/>
      <c r="I602" s="397" t="n"/>
      <c r="J602" s="397" t="n"/>
      <c r="K602" s="395">
        <f>DATE(VALUE(LEFT(A602,4)),VALUE(MID(A602,5,2)),VALUE(RIGHT(A602,2)))</f>
        <v/>
      </c>
      <c r="L602" s="395">
        <f>DATEVALUE(LEFT(F602,10))</f>
        <v/>
      </c>
      <c r="M602" s="396">
        <f>TIMEVALUE(MID(F602,12,8))</f>
        <v/>
      </c>
      <c r="N602" s="395">
        <f>DATEVALUE(LEFT(G602,10))</f>
        <v/>
      </c>
      <c r="O602" s="396">
        <f>TIMEVALUE(MID(G602,12,8))</f>
        <v/>
      </c>
      <c r="P602" s="396">
        <f>IFERROR(_xlfn.MINIFS($M:$M,$E:$E,$E602,$K:$K,$K602,$M:$M,"&gt;"&amp;$O602),"")</f>
        <v/>
      </c>
      <c r="Q602" s="396">
        <f>IF($P602="","",$P602-$O602)</f>
        <v/>
      </c>
    </row>
    <row r="603" ht="15" customHeight="1" s="231">
      <c r="A603" s="397" t="n"/>
      <c r="B603" s="397" t="n"/>
      <c r="C603" s="397" t="n"/>
      <c r="D603" s="397" t="n"/>
      <c r="E603" s="397" t="n"/>
      <c r="F603" s="397" t="n"/>
      <c r="G603" s="397" t="n"/>
      <c r="I603" s="397" t="n"/>
      <c r="J603" s="397" t="n"/>
      <c r="K603" s="395">
        <f>DATE(VALUE(LEFT(A603,4)),VALUE(MID(A603,5,2)),VALUE(RIGHT(A603,2)))</f>
        <v/>
      </c>
      <c r="L603" s="395">
        <f>DATEVALUE(LEFT(F603,10))</f>
        <v/>
      </c>
      <c r="M603" s="396">
        <f>TIMEVALUE(MID(F603,12,8))</f>
        <v/>
      </c>
      <c r="N603" s="395">
        <f>DATEVALUE(LEFT(G603,10))</f>
        <v/>
      </c>
      <c r="O603" s="396">
        <f>TIMEVALUE(MID(G603,12,8))</f>
        <v/>
      </c>
      <c r="P603" s="396">
        <f>IFERROR(_xlfn.MINIFS($M:$M,$E:$E,$E603,$K:$K,$K603,$M:$M,"&gt;"&amp;$O603),"")</f>
        <v/>
      </c>
      <c r="Q603" s="396">
        <f>IF($P603="","",$P603-$O603)</f>
        <v/>
      </c>
    </row>
    <row r="604" ht="15" customHeight="1" s="231">
      <c r="A604" s="397" t="n"/>
      <c r="B604" s="397" t="n"/>
      <c r="C604" s="397" t="n"/>
      <c r="D604" s="397" t="n"/>
      <c r="E604" s="397" t="n"/>
      <c r="F604" s="397" t="n"/>
      <c r="G604" s="397" t="n"/>
      <c r="I604" s="397" t="n"/>
      <c r="J604" s="397" t="n"/>
      <c r="K604" s="395">
        <f>DATE(VALUE(LEFT(A604,4)),VALUE(MID(A604,5,2)),VALUE(RIGHT(A604,2)))</f>
        <v/>
      </c>
      <c r="L604" s="395">
        <f>DATEVALUE(LEFT(F604,10))</f>
        <v/>
      </c>
      <c r="M604" s="396">
        <f>TIMEVALUE(MID(F604,12,8))</f>
        <v/>
      </c>
      <c r="N604" s="395">
        <f>DATEVALUE(LEFT(G604,10))</f>
        <v/>
      </c>
      <c r="O604" s="396">
        <f>TIMEVALUE(MID(G604,12,8))</f>
        <v/>
      </c>
      <c r="P604" s="396">
        <f>IFERROR(_xlfn.MINIFS($M:$M,$E:$E,$E604,$K:$K,$K604,$M:$M,"&gt;"&amp;$O604),"")</f>
        <v/>
      </c>
      <c r="Q604" s="396">
        <f>IF($P604="","",$P604-$O604)</f>
        <v/>
      </c>
    </row>
    <row r="605" ht="15" customHeight="1" s="231">
      <c r="A605" s="397" t="n"/>
      <c r="B605" s="397" t="n"/>
      <c r="C605" s="397" t="n"/>
      <c r="D605" s="397" t="n"/>
      <c r="E605" s="397" t="n"/>
      <c r="F605" s="397" t="n"/>
      <c r="G605" s="397" t="n"/>
      <c r="I605" s="397" t="n"/>
      <c r="J605" s="397" t="n"/>
      <c r="K605" s="395">
        <f>DATE(VALUE(LEFT(A605,4)),VALUE(MID(A605,5,2)),VALUE(RIGHT(A605,2)))</f>
        <v/>
      </c>
      <c r="L605" s="395">
        <f>DATEVALUE(LEFT(F605,10))</f>
        <v/>
      </c>
      <c r="M605" s="396">
        <f>TIMEVALUE(MID(F605,12,8))</f>
        <v/>
      </c>
      <c r="N605" s="395">
        <f>DATEVALUE(LEFT(G605,10))</f>
        <v/>
      </c>
      <c r="O605" s="396">
        <f>TIMEVALUE(MID(G605,12,8))</f>
        <v/>
      </c>
      <c r="P605" s="396">
        <f>IFERROR(_xlfn.MINIFS($M:$M,$E:$E,$E605,$K:$K,$K605,$M:$M,"&gt;"&amp;$O605),"")</f>
        <v/>
      </c>
      <c r="Q605" s="396">
        <f>IF($P605="","",$P605-$O605)</f>
        <v/>
      </c>
    </row>
    <row r="606" ht="15" customHeight="1" s="231">
      <c r="A606" s="397" t="n"/>
      <c r="B606" s="397" t="n"/>
      <c r="C606" s="397" t="n"/>
      <c r="D606" s="397" t="n"/>
      <c r="E606" s="397" t="n"/>
      <c r="F606" s="397" t="n"/>
      <c r="G606" s="397" t="n"/>
      <c r="I606" s="397" t="n"/>
      <c r="J606" s="397" t="n"/>
      <c r="K606" s="395">
        <f>DATE(VALUE(LEFT(A606,4)),VALUE(MID(A606,5,2)),VALUE(RIGHT(A606,2)))</f>
        <v/>
      </c>
      <c r="L606" s="395">
        <f>DATEVALUE(LEFT(F606,10))</f>
        <v/>
      </c>
      <c r="M606" s="396">
        <f>TIMEVALUE(MID(F606,12,8))</f>
        <v/>
      </c>
      <c r="N606" s="395">
        <f>DATEVALUE(LEFT(G606,10))</f>
        <v/>
      </c>
      <c r="O606" s="396">
        <f>TIMEVALUE(MID(G606,12,8))</f>
        <v/>
      </c>
      <c r="P606" s="396">
        <f>IFERROR(_xlfn.MINIFS($M:$M,$E:$E,$E606,$K:$K,$K606,$M:$M,"&gt;"&amp;$O606),"")</f>
        <v/>
      </c>
      <c r="Q606" s="396">
        <f>IF($P606="","",$P606-$O606)</f>
        <v/>
      </c>
    </row>
    <row r="607" ht="15" customHeight="1" s="231">
      <c r="A607" s="397" t="n"/>
      <c r="B607" s="397" t="n"/>
      <c r="C607" s="397" t="n"/>
      <c r="D607" s="397" t="n"/>
      <c r="E607" s="397" t="n"/>
      <c r="F607" s="397" t="n"/>
      <c r="G607" s="397" t="n"/>
      <c r="I607" s="397" t="n"/>
      <c r="J607" s="397" t="n"/>
      <c r="K607" s="395">
        <f>DATE(VALUE(LEFT(A607,4)),VALUE(MID(A607,5,2)),VALUE(RIGHT(A607,2)))</f>
        <v/>
      </c>
      <c r="L607" s="395">
        <f>DATEVALUE(LEFT(F607,10))</f>
        <v/>
      </c>
      <c r="M607" s="396">
        <f>TIMEVALUE(MID(F607,12,8))</f>
        <v/>
      </c>
      <c r="N607" s="395">
        <f>DATEVALUE(LEFT(G607,10))</f>
        <v/>
      </c>
      <c r="O607" s="396">
        <f>TIMEVALUE(MID(G607,12,8))</f>
        <v/>
      </c>
      <c r="P607" s="396">
        <f>IFERROR(_xlfn.MINIFS($M:$M,$E:$E,$E607,$K:$K,$K607,$M:$M,"&gt;"&amp;$O607),"")</f>
        <v/>
      </c>
      <c r="Q607" s="396">
        <f>IF($P607="","",$P607-$O607)</f>
        <v/>
      </c>
    </row>
    <row r="608" ht="15" customHeight="1" s="231">
      <c r="A608" s="397" t="n"/>
      <c r="B608" s="397" t="n"/>
      <c r="C608" s="397" t="n"/>
      <c r="D608" s="397" t="n"/>
      <c r="E608" s="397" t="n"/>
      <c r="F608" s="397" t="n"/>
      <c r="G608" s="397" t="n"/>
      <c r="I608" s="397" t="n"/>
      <c r="J608" s="397" t="n"/>
      <c r="K608" s="395">
        <f>DATE(VALUE(LEFT(A608,4)),VALUE(MID(A608,5,2)),VALUE(RIGHT(A608,2)))</f>
        <v/>
      </c>
      <c r="L608" s="395">
        <f>DATEVALUE(LEFT(F608,10))</f>
        <v/>
      </c>
      <c r="M608" s="396">
        <f>TIMEVALUE(MID(F608,12,8))</f>
        <v/>
      </c>
      <c r="N608" s="395">
        <f>DATEVALUE(LEFT(G608,10))</f>
        <v/>
      </c>
      <c r="O608" s="396">
        <f>TIMEVALUE(MID(G608,12,8))</f>
        <v/>
      </c>
      <c r="P608" s="396">
        <f>IFERROR(_xlfn.MINIFS($M:$M,$E:$E,$E608,$K:$K,$K608,$M:$M,"&gt;"&amp;$O608),"")</f>
        <v/>
      </c>
      <c r="Q608" s="396">
        <f>IF($P608="","",$P608-$O608)</f>
        <v/>
      </c>
    </row>
    <row r="609" ht="15" customHeight="1" s="231">
      <c r="A609" s="397" t="n"/>
      <c r="B609" s="397" t="n"/>
      <c r="C609" s="397" t="n"/>
      <c r="D609" s="397" t="n"/>
      <c r="E609" s="397" t="n"/>
      <c r="F609" s="397" t="n"/>
      <c r="G609" s="397" t="n"/>
      <c r="I609" s="397" t="n"/>
      <c r="J609" s="397" t="n"/>
      <c r="K609" s="395">
        <f>DATE(VALUE(LEFT(A609,4)),VALUE(MID(A609,5,2)),VALUE(RIGHT(A609,2)))</f>
        <v/>
      </c>
      <c r="L609" s="395">
        <f>DATEVALUE(LEFT(F609,10))</f>
        <v/>
      </c>
      <c r="M609" s="396">
        <f>TIMEVALUE(MID(F609,12,8))</f>
        <v/>
      </c>
      <c r="N609" s="395">
        <f>DATEVALUE(LEFT(G609,10))</f>
        <v/>
      </c>
      <c r="O609" s="396">
        <f>TIMEVALUE(MID(G609,12,8))</f>
        <v/>
      </c>
      <c r="P609" s="396">
        <f>IFERROR(_xlfn.MINIFS($M:$M,$E:$E,$E609,$K:$K,$K609,$M:$M,"&gt;"&amp;$O609),"")</f>
        <v/>
      </c>
      <c r="Q609" s="396">
        <f>IF($P609="","",$P609-$O609)</f>
        <v/>
      </c>
    </row>
    <row r="610" ht="15" customHeight="1" s="231">
      <c r="A610" s="397" t="n"/>
      <c r="B610" s="397" t="n"/>
      <c r="C610" s="397" t="n"/>
      <c r="D610" s="397" t="n"/>
      <c r="E610" s="397" t="n"/>
      <c r="F610" s="397" t="n"/>
      <c r="G610" s="397" t="n"/>
      <c r="I610" s="397" t="n"/>
      <c r="J610" s="397" t="n"/>
      <c r="K610" s="395">
        <f>DATE(VALUE(LEFT(A610,4)),VALUE(MID(A610,5,2)),VALUE(RIGHT(A610,2)))</f>
        <v/>
      </c>
      <c r="L610" s="395">
        <f>DATEVALUE(LEFT(F610,10))</f>
        <v/>
      </c>
      <c r="M610" s="396">
        <f>TIMEVALUE(MID(F610,12,8))</f>
        <v/>
      </c>
      <c r="N610" s="395">
        <f>DATEVALUE(LEFT(G610,10))</f>
        <v/>
      </c>
      <c r="O610" s="396">
        <f>TIMEVALUE(MID(G610,12,8))</f>
        <v/>
      </c>
      <c r="P610" s="396">
        <f>IFERROR(_xlfn.MINIFS($M:$M,$E:$E,$E610,$K:$K,$K610,$M:$M,"&gt;"&amp;$O610),"")</f>
        <v/>
      </c>
      <c r="Q610" s="396">
        <f>IF($P610="","",$P610-$O610)</f>
        <v/>
      </c>
    </row>
    <row r="611" ht="15" customHeight="1" s="231">
      <c r="A611" s="397" t="n"/>
      <c r="B611" s="397" t="n"/>
      <c r="C611" s="397" t="n"/>
      <c r="D611" s="397" t="n"/>
      <c r="E611" s="397" t="n"/>
      <c r="F611" s="397" t="n"/>
      <c r="G611" s="397" t="n"/>
      <c r="I611" s="397" t="n"/>
      <c r="J611" s="397" t="n"/>
      <c r="K611" s="395">
        <f>DATE(VALUE(LEFT(A611,4)),VALUE(MID(A611,5,2)),VALUE(RIGHT(A611,2)))</f>
        <v/>
      </c>
      <c r="L611" s="395">
        <f>DATEVALUE(LEFT(F611,10))</f>
        <v/>
      </c>
      <c r="M611" s="396">
        <f>TIMEVALUE(MID(F611,12,8))</f>
        <v/>
      </c>
      <c r="N611" s="395">
        <f>DATEVALUE(LEFT(G611,10))</f>
        <v/>
      </c>
      <c r="O611" s="396">
        <f>TIMEVALUE(MID(G611,12,8))</f>
        <v/>
      </c>
      <c r="P611" s="396">
        <f>IFERROR(_xlfn.MINIFS($M:$M,$E:$E,$E611,$K:$K,$K611,$M:$M,"&gt;"&amp;$O611),"")</f>
        <v/>
      </c>
      <c r="Q611" s="396">
        <f>IF($P611="","",$P611-$O611)</f>
        <v/>
      </c>
    </row>
    <row r="612" ht="15" customHeight="1" s="231">
      <c r="A612" s="397" t="n"/>
      <c r="B612" s="397" t="n"/>
      <c r="C612" s="397" t="n"/>
      <c r="D612" s="397" t="n"/>
      <c r="E612" s="397" t="n"/>
      <c r="F612" s="397" t="n"/>
      <c r="G612" s="397" t="n"/>
      <c r="I612" s="397" t="n"/>
      <c r="J612" s="397" t="n"/>
      <c r="K612" s="395">
        <f>DATE(VALUE(LEFT(A612,4)),VALUE(MID(A612,5,2)),VALUE(RIGHT(A612,2)))</f>
        <v/>
      </c>
      <c r="L612" s="395">
        <f>DATEVALUE(LEFT(F612,10))</f>
        <v/>
      </c>
      <c r="M612" s="396">
        <f>TIMEVALUE(MID(F612,12,8))</f>
        <v/>
      </c>
      <c r="N612" s="395">
        <f>DATEVALUE(LEFT(G612,10))</f>
        <v/>
      </c>
      <c r="O612" s="396">
        <f>TIMEVALUE(MID(G612,12,8))</f>
        <v/>
      </c>
      <c r="P612" s="396">
        <f>IFERROR(_xlfn.MINIFS($M:$M,$E:$E,$E612,$K:$K,$K612,$M:$M,"&gt;"&amp;$O612),"")</f>
        <v/>
      </c>
      <c r="Q612" s="396">
        <f>IF($P612="","",$P612-$O612)</f>
        <v/>
      </c>
    </row>
    <row r="613" ht="15" customHeight="1" s="231">
      <c r="A613" s="397" t="n"/>
      <c r="B613" s="397" t="n"/>
      <c r="C613" s="397" t="n"/>
      <c r="D613" s="397" t="n"/>
      <c r="E613" s="397" t="n"/>
      <c r="F613" s="397" t="n"/>
      <c r="G613" s="397" t="n"/>
      <c r="I613" s="397" t="n"/>
      <c r="J613" s="397" t="n"/>
      <c r="K613" s="395">
        <f>DATE(VALUE(LEFT(A613,4)),VALUE(MID(A613,5,2)),VALUE(RIGHT(A613,2)))</f>
        <v/>
      </c>
      <c r="L613" s="395">
        <f>DATEVALUE(LEFT(F613,10))</f>
        <v/>
      </c>
      <c r="M613" s="396">
        <f>TIMEVALUE(MID(F613,12,8))</f>
        <v/>
      </c>
      <c r="N613" s="395">
        <f>DATEVALUE(LEFT(G613,10))</f>
        <v/>
      </c>
      <c r="O613" s="396">
        <f>TIMEVALUE(MID(G613,12,8))</f>
        <v/>
      </c>
      <c r="P613" s="396">
        <f>IFERROR(_xlfn.MINIFS($M:$M,$E:$E,$E613,$K:$K,$K613,$M:$M,"&gt;"&amp;$O613),"")</f>
        <v/>
      </c>
      <c r="Q613" s="396">
        <f>IF($P613="","",$P613-$O613)</f>
        <v/>
      </c>
    </row>
    <row r="614" ht="15" customHeight="1" s="231">
      <c r="A614" s="397" t="n"/>
      <c r="B614" s="397" t="n"/>
      <c r="C614" s="397" t="n"/>
      <c r="D614" s="397" t="n"/>
      <c r="E614" s="397" t="n"/>
      <c r="F614" s="397" t="n"/>
      <c r="G614" s="397" t="n"/>
      <c r="I614" s="397" t="n"/>
      <c r="J614" s="397" t="n"/>
      <c r="K614" s="395">
        <f>DATE(VALUE(LEFT(A614,4)),VALUE(MID(A614,5,2)),VALUE(RIGHT(A614,2)))</f>
        <v/>
      </c>
      <c r="L614" s="395">
        <f>DATEVALUE(LEFT(F614,10))</f>
        <v/>
      </c>
      <c r="M614" s="396">
        <f>TIMEVALUE(MID(F614,12,8))</f>
        <v/>
      </c>
      <c r="N614" s="395">
        <f>DATEVALUE(LEFT(G614,10))</f>
        <v/>
      </c>
      <c r="O614" s="396">
        <f>TIMEVALUE(MID(G614,12,8))</f>
        <v/>
      </c>
      <c r="P614" s="396">
        <f>IFERROR(_xlfn.MINIFS($M:$M,$E:$E,$E614,$K:$K,$K614,$M:$M,"&gt;"&amp;$O614),"")</f>
        <v/>
      </c>
      <c r="Q614" s="396">
        <f>IF($P614="","",$P614-$O614)</f>
        <v/>
      </c>
    </row>
    <row r="615" ht="15" customHeight="1" s="231">
      <c r="A615" s="397" t="n"/>
      <c r="B615" s="397" t="n"/>
      <c r="C615" s="397" t="n"/>
      <c r="D615" s="397" t="n"/>
      <c r="E615" s="397" t="n"/>
      <c r="F615" s="397" t="n"/>
      <c r="G615" s="397" t="n"/>
      <c r="I615" s="397" t="n"/>
      <c r="J615" s="397" t="n"/>
      <c r="K615" s="395">
        <f>DATE(VALUE(LEFT(A615,4)),VALUE(MID(A615,5,2)),VALUE(RIGHT(A615,2)))</f>
        <v/>
      </c>
      <c r="L615" s="395">
        <f>DATEVALUE(LEFT(F615,10))</f>
        <v/>
      </c>
      <c r="M615" s="396">
        <f>TIMEVALUE(MID(F615,12,8))</f>
        <v/>
      </c>
      <c r="N615" s="395">
        <f>DATEVALUE(LEFT(G615,10))</f>
        <v/>
      </c>
      <c r="O615" s="396">
        <f>TIMEVALUE(MID(G615,12,8))</f>
        <v/>
      </c>
      <c r="P615" s="396">
        <f>IFERROR(_xlfn.MINIFS($M:$M,$E:$E,$E615,$K:$K,$K615,$M:$M,"&gt;"&amp;$O615),"")</f>
        <v/>
      </c>
      <c r="Q615" s="396">
        <f>IF($P615="","",$P615-$O615)</f>
        <v/>
      </c>
    </row>
    <row r="616" ht="15" customHeight="1" s="231">
      <c r="A616" s="397" t="n"/>
      <c r="B616" s="397" t="n"/>
      <c r="C616" s="397" t="n"/>
      <c r="D616" s="397" t="n"/>
      <c r="E616" s="397" t="n"/>
      <c r="F616" s="397" t="n"/>
      <c r="G616" s="397" t="n"/>
      <c r="I616" s="397" t="n"/>
      <c r="J616" s="397" t="n"/>
      <c r="K616" s="395">
        <f>DATE(VALUE(LEFT(A616,4)),VALUE(MID(A616,5,2)),VALUE(RIGHT(A616,2)))</f>
        <v/>
      </c>
      <c r="L616" s="395">
        <f>DATEVALUE(LEFT(F616,10))</f>
        <v/>
      </c>
      <c r="M616" s="396">
        <f>TIMEVALUE(MID(F616,12,8))</f>
        <v/>
      </c>
      <c r="N616" s="395">
        <f>DATEVALUE(LEFT(G616,10))</f>
        <v/>
      </c>
      <c r="O616" s="396">
        <f>TIMEVALUE(MID(G616,12,8))</f>
        <v/>
      </c>
      <c r="P616" s="396">
        <f>IFERROR(_xlfn.MINIFS($M:$M,$E:$E,$E616,$K:$K,$K616,$M:$M,"&gt;"&amp;$O616),"")</f>
        <v/>
      </c>
      <c r="Q616" s="396">
        <f>IF($P616="","",$P616-$O616)</f>
        <v/>
      </c>
    </row>
    <row r="617" ht="15" customHeight="1" s="231">
      <c r="A617" s="397" t="n"/>
      <c r="B617" s="397" t="n"/>
      <c r="C617" s="397" t="n"/>
      <c r="D617" s="397" t="n"/>
      <c r="E617" s="397" t="n"/>
      <c r="F617" s="397" t="n"/>
      <c r="G617" s="397" t="n"/>
      <c r="I617" s="397" t="n"/>
      <c r="J617" s="397" t="n"/>
      <c r="K617" s="395">
        <f>DATE(VALUE(LEFT(A617,4)),VALUE(MID(A617,5,2)),VALUE(RIGHT(A617,2)))</f>
        <v/>
      </c>
      <c r="L617" s="395">
        <f>DATEVALUE(LEFT(F617,10))</f>
        <v/>
      </c>
      <c r="M617" s="396">
        <f>TIMEVALUE(MID(F617,12,8))</f>
        <v/>
      </c>
      <c r="N617" s="395">
        <f>DATEVALUE(LEFT(G617,10))</f>
        <v/>
      </c>
      <c r="O617" s="396">
        <f>TIMEVALUE(MID(G617,12,8))</f>
        <v/>
      </c>
      <c r="P617" s="396">
        <f>IFERROR(_xlfn.MINIFS($M:$M,$E:$E,$E617,$K:$K,$K617,$M:$M,"&gt;"&amp;$O617),"")</f>
        <v/>
      </c>
      <c r="Q617" s="396">
        <f>IF($P617="","",$P617-$O617)</f>
        <v/>
      </c>
    </row>
    <row r="618" ht="15" customHeight="1" s="231">
      <c r="A618" s="397" t="n"/>
      <c r="B618" s="397" t="n"/>
      <c r="C618" s="397" t="n"/>
      <c r="D618" s="397" t="n"/>
      <c r="E618" s="397" t="n"/>
      <c r="F618" s="397" t="n"/>
      <c r="G618" s="397" t="n"/>
      <c r="I618" s="397" t="n"/>
      <c r="J618" s="397" t="n"/>
      <c r="K618" s="395">
        <f>DATE(VALUE(LEFT(A618,4)),VALUE(MID(A618,5,2)),VALUE(RIGHT(A618,2)))</f>
        <v/>
      </c>
      <c r="L618" s="395">
        <f>DATEVALUE(LEFT(F618,10))</f>
        <v/>
      </c>
      <c r="M618" s="396">
        <f>TIMEVALUE(MID(F618,12,8))</f>
        <v/>
      </c>
      <c r="N618" s="395">
        <f>DATEVALUE(LEFT(G618,10))</f>
        <v/>
      </c>
      <c r="O618" s="396">
        <f>TIMEVALUE(MID(G618,12,8))</f>
        <v/>
      </c>
      <c r="P618" s="396">
        <f>IFERROR(_xlfn.MINIFS($M:$M,$E:$E,$E618,$K:$K,$K618,$M:$M,"&gt;"&amp;$O618),"")</f>
        <v/>
      </c>
      <c r="Q618" s="396">
        <f>IF($P618="","",$P618-$O618)</f>
        <v/>
      </c>
    </row>
    <row r="619" ht="15" customHeight="1" s="231">
      <c r="A619" s="397" t="n"/>
      <c r="B619" s="397" t="n"/>
      <c r="C619" s="397" t="n"/>
      <c r="D619" s="397" t="n"/>
      <c r="E619" s="397" t="n"/>
      <c r="F619" s="397" t="n"/>
      <c r="G619" s="397" t="n"/>
      <c r="I619" s="397" t="n"/>
      <c r="J619" s="397" t="n"/>
      <c r="K619" s="395">
        <f>DATE(VALUE(LEFT(A619,4)),VALUE(MID(A619,5,2)),VALUE(RIGHT(A619,2)))</f>
        <v/>
      </c>
      <c r="L619" s="395">
        <f>DATEVALUE(LEFT(F619,10))</f>
        <v/>
      </c>
      <c r="M619" s="396">
        <f>TIMEVALUE(MID(F619,12,8))</f>
        <v/>
      </c>
      <c r="N619" s="395">
        <f>DATEVALUE(LEFT(G619,10))</f>
        <v/>
      </c>
      <c r="O619" s="396">
        <f>TIMEVALUE(MID(G619,12,8))</f>
        <v/>
      </c>
      <c r="P619" s="396">
        <f>IFERROR(_xlfn.MINIFS($M:$M,$E:$E,$E619,$K:$K,$K619,$M:$M,"&gt;"&amp;$O619),"")</f>
        <v/>
      </c>
      <c r="Q619" s="396">
        <f>IF($P619="","",$P619-$O619)</f>
        <v/>
      </c>
    </row>
    <row r="620" ht="15" customHeight="1" s="231">
      <c r="A620" s="397" t="n"/>
      <c r="B620" s="397" t="n"/>
      <c r="C620" s="397" t="n"/>
      <c r="D620" s="397" t="n"/>
      <c r="E620" s="397" t="n"/>
      <c r="F620" s="397" t="n"/>
      <c r="G620" s="397" t="n"/>
      <c r="I620" s="397" t="n"/>
      <c r="J620" s="397" t="n"/>
      <c r="K620" s="395">
        <f>DATE(VALUE(LEFT(A620,4)),VALUE(MID(A620,5,2)),VALUE(RIGHT(A620,2)))</f>
        <v/>
      </c>
      <c r="L620" s="395">
        <f>DATEVALUE(LEFT(F620,10))</f>
        <v/>
      </c>
      <c r="M620" s="396">
        <f>TIMEVALUE(MID(F620,12,8))</f>
        <v/>
      </c>
      <c r="N620" s="395">
        <f>DATEVALUE(LEFT(G620,10))</f>
        <v/>
      </c>
      <c r="O620" s="396">
        <f>TIMEVALUE(MID(G620,12,8))</f>
        <v/>
      </c>
      <c r="P620" s="396">
        <f>IFERROR(_xlfn.MINIFS($M:$M,$E:$E,$E620,$K:$K,$K620,$M:$M,"&gt;"&amp;$O620),"")</f>
        <v/>
      </c>
      <c r="Q620" s="396">
        <f>IF($P620="","",$P620-$O620)</f>
        <v/>
      </c>
    </row>
    <row r="621" ht="15" customHeight="1" s="231">
      <c r="A621" s="397" t="n"/>
      <c r="B621" s="397" t="n"/>
      <c r="C621" s="397" t="n"/>
      <c r="D621" s="397" t="n"/>
      <c r="E621" s="397" t="n"/>
      <c r="F621" s="397" t="n"/>
      <c r="G621" s="397" t="n"/>
      <c r="I621" s="397" t="n"/>
      <c r="J621" s="397" t="n"/>
      <c r="K621" s="395">
        <f>DATE(VALUE(LEFT(A621,4)),VALUE(MID(A621,5,2)),VALUE(RIGHT(A621,2)))</f>
        <v/>
      </c>
      <c r="L621" s="395">
        <f>DATEVALUE(LEFT(F621,10))</f>
        <v/>
      </c>
      <c r="M621" s="396">
        <f>TIMEVALUE(MID(F621,12,8))</f>
        <v/>
      </c>
      <c r="N621" s="395">
        <f>DATEVALUE(LEFT(G621,10))</f>
        <v/>
      </c>
      <c r="O621" s="396">
        <f>TIMEVALUE(MID(G621,12,8))</f>
        <v/>
      </c>
      <c r="P621" s="396">
        <f>IFERROR(_xlfn.MINIFS($M:$M,$E:$E,$E621,$K:$K,$K621,$M:$M,"&gt;"&amp;$O621),"")</f>
        <v/>
      </c>
      <c r="Q621" s="396">
        <f>IF($P621="","",$P621-$O621)</f>
        <v/>
      </c>
    </row>
    <row r="622" ht="15" customHeight="1" s="231">
      <c r="A622" s="397" t="n"/>
      <c r="B622" s="397" t="n"/>
      <c r="C622" s="397" t="n"/>
      <c r="D622" s="397" t="n"/>
      <c r="E622" s="397" t="n"/>
      <c r="F622" s="397" t="n"/>
      <c r="G622" s="397" t="n"/>
      <c r="I622" s="397" t="n"/>
      <c r="J622" s="397" t="n"/>
      <c r="K622" s="395">
        <f>DATE(VALUE(LEFT(A622,4)),VALUE(MID(A622,5,2)),VALUE(RIGHT(A622,2)))</f>
        <v/>
      </c>
      <c r="L622" s="395">
        <f>DATEVALUE(LEFT(F622,10))</f>
        <v/>
      </c>
      <c r="M622" s="396">
        <f>TIMEVALUE(MID(F622,12,8))</f>
        <v/>
      </c>
      <c r="N622" s="395">
        <f>DATEVALUE(LEFT(G622,10))</f>
        <v/>
      </c>
      <c r="O622" s="396">
        <f>TIMEVALUE(MID(G622,12,8))</f>
        <v/>
      </c>
      <c r="P622" s="396">
        <f>IFERROR(_xlfn.MINIFS($M:$M,$E:$E,$E622,$K:$K,$K622,$M:$M,"&gt;"&amp;$O622),"")</f>
        <v/>
      </c>
      <c r="Q622" s="396">
        <f>IF($P622="","",$P622-$O622)</f>
        <v/>
      </c>
    </row>
    <row r="623" ht="15" customHeight="1" s="231">
      <c r="A623" s="397" t="n"/>
      <c r="B623" s="397" t="n"/>
      <c r="C623" s="397" t="n"/>
      <c r="D623" s="397" t="n"/>
      <c r="E623" s="397" t="n"/>
      <c r="F623" s="397" t="n"/>
      <c r="G623" s="397" t="n"/>
      <c r="I623" s="397" t="n"/>
      <c r="J623" s="397" t="n"/>
      <c r="K623" s="395">
        <f>DATE(VALUE(LEFT(A623,4)),VALUE(MID(A623,5,2)),VALUE(RIGHT(A623,2)))</f>
        <v/>
      </c>
      <c r="L623" s="395">
        <f>DATEVALUE(LEFT(F623,10))</f>
        <v/>
      </c>
      <c r="M623" s="396">
        <f>TIMEVALUE(MID(F623,12,8))</f>
        <v/>
      </c>
      <c r="N623" s="395">
        <f>DATEVALUE(LEFT(G623,10))</f>
        <v/>
      </c>
      <c r="O623" s="396">
        <f>TIMEVALUE(MID(G623,12,8))</f>
        <v/>
      </c>
      <c r="P623" s="396">
        <f>IFERROR(_xlfn.MINIFS($M:$M,$E:$E,$E623,$K:$K,$K623,$M:$M,"&gt;"&amp;$O623),"")</f>
        <v/>
      </c>
      <c r="Q623" s="396">
        <f>IF($P623="","",$P623-$O623)</f>
        <v/>
      </c>
    </row>
    <row r="624" ht="15" customHeight="1" s="231">
      <c r="A624" s="397" t="n"/>
      <c r="B624" s="397" t="n"/>
      <c r="C624" s="397" t="n"/>
      <c r="D624" s="397" t="n"/>
      <c r="E624" s="397" t="n"/>
      <c r="F624" s="397" t="n"/>
      <c r="G624" s="397" t="n"/>
      <c r="I624" s="397" t="n"/>
      <c r="J624" s="397" t="n"/>
      <c r="K624" s="395">
        <f>DATE(VALUE(LEFT(A624,4)),VALUE(MID(A624,5,2)),VALUE(RIGHT(A624,2)))</f>
        <v/>
      </c>
      <c r="L624" s="395">
        <f>DATEVALUE(LEFT(F624,10))</f>
        <v/>
      </c>
      <c r="M624" s="396">
        <f>TIMEVALUE(MID(F624,12,8))</f>
        <v/>
      </c>
      <c r="N624" s="395">
        <f>DATEVALUE(LEFT(G624,10))</f>
        <v/>
      </c>
      <c r="O624" s="396">
        <f>TIMEVALUE(MID(G624,12,8))</f>
        <v/>
      </c>
      <c r="P624" s="396">
        <f>IFERROR(_xlfn.MINIFS($M:$M,$E:$E,$E624,$K:$K,$K624,$M:$M,"&gt;"&amp;$O624),"")</f>
        <v/>
      </c>
      <c r="Q624" s="396">
        <f>IF($P624="","",$P624-$O624)</f>
        <v/>
      </c>
    </row>
    <row r="625" ht="15" customHeight="1" s="231">
      <c r="A625" s="397" t="n"/>
      <c r="B625" s="397" t="n"/>
      <c r="C625" s="397" t="n"/>
      <c r="D625" s="397" t="n"/>
      <c r="E625" s="397" t="n"/>
      <c r="F625" s="397" t="n"/>
      <c r="G625" s="397" t="n"/>
      <c r="I625" s="397" t="n"/>
      <c r="J625" s="397" t="n"/>
      <c r="K625" s="395">
        <f>DATE(VALUE(LEFT(A625,4)),VALUE(MID(A625,5,2)),VALUE(RIGHT(A625,2)))</f>
        <v/>
      </c>
      <c r="L625" s="395">
        <f>DATEVALUE(LEFT(F625,10))</f>
        <v/>
      </c>
      <c r="M625" s="396">
        <f>TIMEVALUE(MID(F625,12,8))</f>
        <v/>
      </c>
      <c r="N625" s="395">
        <f>DATEVALUE(LEFT(G625,10))</f>
        <v/>
      </c>
      <c r="O625" s="396">
        <f>TIMEVALUE(MID(G625,12,8))</f>
        <v/>
      </c>
      <c r="P625" s="396">
        <f>IFERROR(_xlfn.MINIFS($M:$M,$E:$E,$E625,$K:$K,$K625,$M:$M,"&gt;"&amp;$O625),"")</f>
        <v/>
      </c>
      <c r="Q625" s="396">
        <f>IF($P625="","",$P625-$O625)</f>
        <v/>
      </c>
    </row>
    <row r="626" ht="15" customHeight="1" s="231">
      <c r="A626" s="397" t="n"/>
      <c r="B626" s="397" t="n"/>
      <c r="C626" s="397" t="n"/>
      <c r="D626" s="397" t="n"/>
      <c r="E626" s="397" t="n"/>
      <c r="F626" s="397" t="n"/>
      <c r="G626" s="397" t="n"/>
      <c r="I626" s="397" t="n"/>
      <c r="J626" s="397" t="n"/>
      <c r="K626" s="395">
        <f>DATE(VALUE(LEFT(A626,4)),VALUE(MID(A626,5,2)),VALUE(RIGHT(A626,2)))</f>
        <v/>
      </c>
      <c r="L626" s="395">
        <f>DATEVALUE(LEFT(F626,10))</f>
        <v/>
      </c>
      <c r="M626" s="396">
        <f>TIMEVALUE(MID(F626,12,8))</f>
        <v/>
      </c>
      <c r="N626" s="395">
        <f>DATEVALUE(LEFT(G626,10))</f>
        <v/>
      </c>
      <c r="O626" s="396">
        <f>TIMEVALUE(MID(G626,12,8))</f>
        <v/>
      </c>
      <c r="P626" s="396">
        <f>IFERROR(_xlfn.MINIFS($M:$M,$E:$E,$E626,$K:$K,$K626,$M:$M,"&gt;"&amp;$O626),"")</f>
        <v/>
      </c>
      <c r="Q626" s="396">
        <f>IF($P626="","",$P626-$O626)</f>
        <v/>
      </c>
    </row>
    <row r="627" ht="15" customHeight="1" s="231">
      <c r="A627" s="397" t="n"/>
      <c r="B627" s="397" t="n"/>
      <c r="C627" s="397" t="n"/>
      <c r="D627" s="397" t="n"/>
      <c r="E627" s="397" t="n"/>
      <c r="F627" s="397" t="n"/>
      <c r="G627" s="397" t="n"/>
      <c r="I627" s="397" t="n"/>
      <c r="J627" s="397" t="n"/>
      <c r="K627" s="395">
        <f>DATE(VALUE(LEFT(A627,4)),VALUE(MID(A627,5,2)),VALUE(RIGHT(A627,2)))</f>
        <v/>
      </c>
      <c r="L627" s="395">
        <f>DATEVALUE(LEFT(F627,10))</f>
        <v/>
      </c>
      <c r="M627" s="396">
        <f>TIMEVALUE(MID(F627,12,8))</f>
        <v/>
      </c>
      <c r="N627" s="395">
        <f>DATEVALUE(LEFT(G627,10))</f>
        <v/>
      </c>
      <c r="O627" s="396">
        <f>TIMEVALUE(MID(G627,12,8))</f>
        <v/>
      </c>
      <c r="P627" s="396">
        <f>IFERROR(_xlfn.MINIFS($M:$M,$E:$E,$E627,$K:$K,$K627,$M:$M,"&gt;"&amp;$O627),"")</f>
        <v/>
      </c>
      <c r="Q627" s="396">
        <f>IF($P627="","",$P627-$O627)</f>
        <v/>
      </c>
    </row>
    <row r="628" ht="15" customHeight="1" s="231">
      <c r="A628" s="397" t="n"/>
      <c r="B628" s="397" t="n"/>
      <c r="C628" s="397" t="n"/>
      <c r="D628" s="397" t="n"/>
      <c r="E628" s="397" t="n"/>
      <c r="F628" s="397" t="n"/>
      <c r="G628" s="397" t="n"/>
      <c r="I628" s="397" t="n"/>
      <c r="J628" s="397" t="n"/>
      <c r="K628" s="395">
        <f>DATE(VALUE(LEFT(A628,4)),VALUE(MID(A628,5,2)),VALUE(RIGHT(A628,2)))</f>
        <v/>
      </c>
      <c r="L628" s="395">
        <f>DATEVALUE(LEFT(F628,10))</f>
        <v/>
      </c>
      <c r="M628" s="396">
        <f>TIMEVALUE(MID(F628,12,8))</f>
        <v/>
      </c>
      <c r="N628" s="395">
        <f>DATEVALUE(LEFT(G628,10))</f>
        <v/>
      </c>
      <c r="O628" s="396">
        <f>TIMEVALUE(MID(G628,12,8))</f>
        <v/>
      </c>
      <c r="P628" s="396">
        <f>IFERROR(_xlfn.MINIFS($M:$M,$E:$E,$E628,$K:$K,$K628,$M:$M,"&gt;"&amp;$O628),"")</f>
        <v/>
      </c>
      <c r="Q628" s="396">
        <f>IF($P628="","",$P628-$O628)</f>
        <v/>
      </c>
    </row>
    <row r="629" ht="15" customHeight="1" s="231">
      <c r="A629" s="397" t="n"/>
      <c r="B629" s="397" t="n"/>
      <c r="C629" s="397" t="n"/>
      <c r="D629" s="397" t="n"/>
      <c r="E629" s="397" t="n"/>
      <c r="F629" s="397" t="n"/>
      <c r="G629" s="397" t="n"/>
      <c r="I629" s="397" t="n"/>
      <c r="J629" s="397" t="n"/>
      <c r="K629" s="395">
        <f>DATE(VALUE(LEFT(A629,4)),VALUE(MID(A629,5,2)),VALUE(RIGHT(A629,2)))</f>
        <v/>
      </c>
      <c r="L629" s="395">
        <f>DATEVALUE(LEFT(F629,10))</f>
        <v/>
      </c>
      <c r="M629" s="396">
        <f>TIMEVALUE(MID(F629,12,8))</f>
        <v/>
      </c>
      <c r="N629" s="395">
        <f>DATEVALUE(LEFT(G629,10))</f>
        <v/>
      </c>
      <c r="O629" s="396">
        <f>TIMEVALUE(MID(G629,12,8))</f>
        <v/>
      </c>
      <c r="P629" s="396">
        <f>IFERROR(_xlfn.MINIFS($M:$M,$E:$E,$E629,$K:$K,$K629,$M:$M,"&gt;"&amp;$O629),"")</f>
        <v/>
      </c>
      <c r="Q629" s="396">
        <f>IF($P629="","",$P629-$O629)</f>
        <v/>
      </c>
    </row>
    <row r="630" ht="15" customHeight="1" s="231">
      <c r="A630" s="397" t="n"/>
      <c r="B630" s="397" t="n"/>
      <c r="C630" s="397" t="n"/>
      <c r="D630" s="397" t="n"/>
      <c r="E630" s="397" t="n"/>
      <c r="F630" s="397" t="n"/>
      <c r="G630" s="397" t="n"/>
      <c r="I630" s="397" t="n"/>
      <c r="J630" s="397" t="n"/>
      <c r="K630" s="395">
        <f>DATE(VALUE(LEFT(A630,4)),VALUE(MID(A630,5,2)),VALUE(RIGHT(A630,2)))</f>
        <v/>
      </c>
      <c r="L630" s="395">
        <f>DATEVALUE(LEFT(F630,10))</f>
        <v/>
      </c>
      <c r="M630" s="396">
        <f>TIMEVALUE(MID(F630,12,8))</f>
        <v/>
      </c>
      <c r="N630" s="395">
        <f>DATEVALUE(LEFT(G630,10))</f>
        <v/>
      </c>
      <c r="O630" s="396">
        <f>TIMEVALUE(MID(G630,12,8))</f>
        <v/>
      </c>
      <c r="P630" s="396">
        <f>IFERROR(_xlfn.MINIFS($M:$M,$E:$E,$E630,$K:$K,$K630,$M:$M,"&gt;"&amp;$O630),"")</f>
        <v/>
      </c>
      <c r="Q630" s="396">
        <f>IF($P630="","",$P630-$O630)</f>
        <v/>
      </c>
    </row>
    <row r="631" ht="15" customHeight="1" s="231">
      <c r="A631" s="397" t="n"/>
      <c r="B631" s="397" t="n"/>
      <c r="C631" s="397" t="n"/>
      <c r="D631" s="397" t="n"/>
      <c r="E631" s="397" t="n"/>
      <c r="F631" s="397" t="n"/>
      <c r="G631" s="397" t="n"/>
      <c r="I631" s="397" t="n"/>
      <c r="J631" s="397" t="n"/>
      <c r="K631" s="395">
        <f>DATE(VALUE(LEFT(A631,4)),VALUE(MID(A631,5,2)),VALUE(RIGHT(A631,2)))</f>
        <v/>
      </c>
      <c r="L631" s="395">
        <f>DATEVALUE(LEFT(F631,10))</f>
        <v/>
      </c>
      <c r="M631" s="396">
        <f>TIMEVALUE(MID(F631,12,8))</f>
        <v/>
      </c>
      <c r="N631" s="395">
        <f>DATEVALUE(LEFT(G631,10))</f>
        <v/>
      </c>
      <c r="O631" s="396">
        <f>TIMEVALUE(MID(G631,12,8))</f>
        <v/>
      </c>
      <c r="P631" s="396">
        <f>IFERROR(_xlfn.MINIFS($M:$M,$E:$E,$E631,$K:$K,$K631,$M:$M,"&gt;"&amp;$O631),"")</f>
        <v/>
      </c>
      <c r="Q631" s="396">
        <f>IF($P631="","",$P631-$O631)</f>
        <v/>
      </c>
    </row>
    <row r="632" ht="15" customHeight="1" s="231">
      <c r="A632" s="397" t="n"/>
      <c r="B632" s="397" t="n"/>
      <c r="C632" s="397" t="n"/>
      <c r="D632" s="397" t="n"/>
      <c r="E632" s="397" t="n"/>
      <c r="F632" s="397" t="n"/>
      <c r="G632" s="397" t="n"/>
      <c r="I632" s="397" t="n"/>
      <c r="J632" s="397" t="n"/>
      <c r="K632" s="395">
        <f>DATE(VALUE(LEFT(A632,4)),VALUE(MID(A632,5,2)),VALUE(RIGHT(A632,2)))</f>
        <v/>
      </c>
      <c r="L632" s="395">
        <f>DATEVALUE(LEFT(F632,10))</f>
        <v/>
      </c>
      <c r="M632" s="396">
        <f>TIMEVALUE(MID(F632,12,8))</f>
        <v/>
      </c>
      <c r="N632" s="395">
        <f>DATEVALUE(LEFT(G632,10))</f>
        <v/>
      </c>
      <c r="O632" s="396">
        <f>TIMEVALUE(MID(G632,12,8))</f>
        <v/>
      </c>
      <c r="P632" s="396">
        <f>IFERROR(_xlfn.MINIFS($M:$M,$E:$E,$E632,$K:$K,$K632,$M:$M,"&gt;"&amp;$O632),"")</f>
        <v/>
      </c>
      <c r="Q632" s="396">
        <f>IF($P632="","",$P632-$O632)</f>
        <v/>
      </c>
    </row>
    <row r="633" ht="15" customHeight="1" s="231">
      <c r="A633" s="397" t="n"/>
      <c r="B633" s="397" t="n"/>
      <c r="C633" s="397" t="n"/>
      <c r="D633" s="397" t="n"/>
      <c r="E633" s="397" t="n"/>
      <c r="F633" s="397" t="n"/>
      <c r="G633" s="397" t="n"/>
      <c r="I633" s="397" t="n"/>
      <c r="J633" s="397" t="n"/>
      <c r="K633" s="395">
        <f>DATE(VALUE(LEFT(A633,4)),VALUE(MID(A633,5,2)),VALUE(RIGHT(A633,2)))</f>
        <v/>
      </c>
      <c r="L633" s="395">
        <f>DATEVALUE(LEFT(F633,10))</f>
        <v/>
      </c>
      <c r="M633" s="396">
        <f>TIMEVALUE(MID(F633,12,8))</f>
        <v/>
      </c>
      <c r="N633" s="395">
        <f>DATEVALUE(LEFT(G633,10))</f>
        <v/>
      </c>
      <c r="O633" s="396">
        <f>TIMEVALUE(MID(G633,12,8))</f>
        <v/>
      </c>
      <c r="P633" s="396">
        <f>IFERROR(_xlfn.MINIFS($M:$M,$E:$E,$E633,$K:$K,$K633,$M:$M,"&gt;"&amp;$O633),"")</f>
        <v/>
      </c>
      <c r="Q633" s="396">
        <f>IF($P633="","",$P633-$O633)</f>
        <v/>
      </c>
    </row>
    <row r="634" ht="15" customHeight="1" s="231">
      <c r="A634" s="397" t="n"/>
      <c r="B634" s="397" t="n"/>
      <c r="C634" s="397" t="n"/>
      <c r="D634" s="397" t="n"/>
      <c r="E634" s="397" t="n"/>
      <c r="F634" s="397" t="n"/>
      <c r="G634" s="397" t="n"/>
      <c r="I634" s="397" t="n"/>
      <c r="J634" s="397" t="n"/>
      <c r="K634" s="395">
        <f>DATE(VALUE(LEFT(A634,4)),VALUE(MID(A634,5,2)),VALUE(RIGHT(A634,2)))</f>
        <v/>
      </c>
      <c r="L634" s="395">
        <f>DATEVALUE(LEFT(F634,10))</f>
        <v/>
      </c>
      <c r="M634" s="396">
        <f>TIMEVALUE(MID(F634,12,8))</f>
        <v/>
      </c>
      <c r="N634" s="395">
        <f>DATEVALUE(LEFT(G634,10))</f>
        <v/>
      </c>
      <c r="O634" s="396">
        <f>TIMEVALUE(MID(G634,12,8))</f>
        <v/>
      </c>
      <c r="P634" s="396">
        <f>IFERROR(_xlfn.MINIFS($M:$M,$E:$E,$E634,$K:$K,$K634,$M:$M,"&gt;"&amp;$O634),"")</f>
        <v/>
      </c>
      <c r="Q634" s="396">
        <f>IF($P634="","",$P634-$O634)</f>
        <v/>
      </c>
    </row>
    <row r="635" ht="15" customHeight="1" s="231">
      <c r="A635" s="397" t="n"/>
      <c r="B635" s="397" t="n"/>
      <c r="C635" s="397" t="n"/>
      <c r="D635" s="397" t="n"/>
      <c r="E635" s="397" t="n"/>
      <c r="F635" s="397" t="n"/>
      <c r="G635" s="397" t="n"/>
      <c r="I635" s="397" t="n"/>
      <c r="J635" s="397" t="n"/>
      <c r="K635" s="395">
        <f>DATE(VALUE(LEFT(A635,4)),VALUE(MID(A635,5,2)),VALUE(RIGHT(A635,2)))</f>
        <v/>
      </c>
      <c r="L635" s="395">
        <f>DATEVALUE(LEFT(F635,10))</f>
        <v/>
      </c>
      <c r="M635" s="396">
        <f>TIMEVALUE(MID(F635,12,8))</f>
        <v/>
      </c>
      <c r="N635" s="395">
        <f>DATEVALUE(LEFT(G635,10))</f>
        <v/>
      </c>
      <c r="O635" s="396">
        <f>TIMEVALUE(MID(G635,12,8))</f>
        <v/>
      </c>
      <c r="P635" s="396">
        <f>IFERROR(_xlfn.MINIFS($M:$M,$E:$E,$E635,$K:$K,$K635,$M:$M,"&gt;"&amp;$O635),"")</f>
        <v/>
      </c>
      <c r="Q635" s="396">
        <f>IF($P635="","",$P635-$O635)</f>
        <v/>
      </c>
    </row>
    <row r="636" ht="15" customHeight="1" s="231">
      <c r="A636" s="397" t="n"/>
      <c r="B636" s="397" t="n"/>
      <c r="C636" s="397" t="n"/>
      <c r="D636" s="397" t="n"/>
      <c r="E636" s="397" t="n"/>
      <c r="F636" s="397" t="n"/>
      <c r="G636" s="397" t="n"/>
      <c r="I636" s="397" t="n"/>
      <c r="J636" s="397" t="n"/>
      <c r="K636" s="395">
        <f>DATE(VALUE(LEFT(A636,4)),VALUE(MID(A636,5,2)),VALUE(RIGHT(A636,2)))</f>
        <v/>
      </c>
      <c r="L636" s="395">
        <f>DATEVALUE(LEFT(F636,10))</f>
        <v/>
      </c>
      <c r="M636" s="396">
        <f>TIMEVALUE(MID(F636,12,8))</f>
        <v/>
      </c>
      <c r="N636" s="395">
        <f>DATEVALUE(LEFT(G636,10))</f>
        <v/>
      </c>
      <c r="O636" s="396">
        <f>TIMEVALUE(MID(G636,12,8))</f>
        <v/>
      </c>
      <c r="P636" s="396">
        <f>IFERROR(_xlfn.MINIFS($M:$M,$E:$E,$E636,$K:$K,$K636,$M:$M,"&gt;"&amp;$O636),"")</f>
        <v/>
      </c>
      <c r="Q636" s="396">
        <f>IF($P636="","",$P636-$O636)</f>
        <v/>
      </c>
    </row>
    <row r="637" ht="15" customHeight="1" s="231">
      <c r="A637" s="397" t="n"/>
      <c r="B637" s="397" t="n"/>
      <c r="C637" s="397" t="n"/>
      <c r="D637" s="397" t="n"/>
      <c r="E637" s="397" t="n"/>
      <c r="F637" s="397" t="n"/>
      <c r="G637" s="397" t="n"/>
      <c r="I637" s="397" t="n"/>
      <c r="J637" s="397" t="n"/>
      <c r="K637" s="395">
        <f>DATE(VALUE(LEFT(A637,4)),VALUE(MID(A637,5,2)),VALUE(RIGHT(A637,2)))</f>
        <v/>
      </c>
      <c r="L637" s="395">
        <f>DATEVALUE(LEFT(F637,10))</f>
        <v/>
      </c>
      <c r="M637" s="396">
        <f>TIMEVALUE(MID(F637,12,8))</f>
        <v/>
      </c>
      <c r="N637" s="395">
        <f>DATEVALUE(LEFT(G637,10))</f>
        <v/>
      </c>
      <c r="O637" s="396">
        <f>TIMEVALUE(MID(G637,12,8))</f>
        <v/>
      </c>
      <c r="P637" s="396">
        <f>IFERROR(_xlfn.MINIFS($M:$M,$E:$E,$E637,$K:$K,$K637,$M:$M,"&gt;"&amp;$O637),"")</f>
        <v/>
      </c>
      <c r="Q637" s="396">
        <f>IF($P637="","",$P637-$O637)</f>
        <v/>
      </c>
    </row>
    <row r="638" ht="15" customHeight="1" s="231">
      <c r="A638" s="397" t="n"/>
      <c r="B638" s="397" t="n"/>
      <c r="C638" s="397" t="n"/>
      <c r="D638" s="397" t="n"/>
      <c r="E638" s="397" t="n"/>
      <c r="F638" s="397" t="n"/>
      <c r="G638" s="397" t="n"/>
      <c r="I638" s="397" t="n"/>
      <c r="J638" s="397" t="n"/>
      <c r="K638" s="395">
        <f>DATE(VALUE(LEFT(A638,4)),VALUE(MID(A638,5,2)),VALUE(RIGHT(A638,2)))</f>
        <v/>
      </c>
      <c r="L638" s="395">
        <f>DATEVALUE(LEFT(F638,10))</f>
        <v/>
      </c>
      <c r="M638" s="396">
        <f>TIMEVALUE(MID(F638,12,8))</f>
        <v/>
      </c>
      <c r="N638" s="395">
        <f>DATEVALUE(LEFT(G638,10))</f>
        <v/>
      </c>
      <c r="O638" s="396">
        <f>TIMEVALUE(MID(G638,12,8))</f>
        <v/>
      </c>
      <c r="P638" s="396">
        <f>IFERROR(_xlfn.MINIFS($M:$M,$E:$E,$E638,$K:$K,$K638,$M:$M,"&gt;"&amp;$O638),"")</f>
        <v/>
      </c>
      <c r="Q638" s="396">
        <f>IF($P638="","",$P638-$O638)</f>
        <v/>
      </c>
    </row>
    <row r="639" ht="15" customHeight="1" s="231">
      <c r="A639" s="397" t="n"/>
      <c r="B639" s="397" t="n"/>
      <c r="C639" s="397" t="n"/>
      <c r="D639" s="397" t="n"/>
      <c r="E639" s="397" t="n"/>
      <c r="F639" s="397" t="n"/>
      <c r="G639" s="397" t="n"/>
      <c r="I639" s="397" t="n"/>
      <c r="J639" s="397" t="n"/>
      <c r="K639" s="395">
        <f>DATE(VALUE(LEFT(A639,4)),VALUE(MID(A639,5,2)),VALUE(RIGHT(A639,2)))</f>
        <v/>
      </c>
      <c r="L639" s="395">
        <f>DATEVALUE(LEFT(F639,10))</f>
        <v/>
      </c>
      <c r="M639" s="396">
        <f>TIMEVALUE(MID(F639,12,8))</f>
        <v/>
      </c>
      <c r="N639" s="395">
        <f>DATEVALUE(LEFT(G639,10))</f>
        <v/>
      </c>
      <c r="O639" s="396">
        <f>TIMEVALUE(MID(G639,12,8))</f>
        <v/>
      </c>
      <c r="P639" s="396">
        <f>IFERROR(_xlfn.MINIFS($M:$M,$E:$E,$E639,$K:$K,$K639,$M:$M,"&gt;"&amp;$O639),"")</f>
        <v/>
      </c>
      <c r="Q639" s="396">
        <f>IF($P639="","",$P639-$O639)</f>
        <v/>
      </c>
    </row>
    <row r="640" ht="15" customHeight="1" s="231">
      <c r="A640" s="397" t="n"/>
      <c r="B640" s="397" t="n"/>
      <c r="C640" s="397" t="n"/>
      <c r="D640" s="397" t="n"/>
      <c r="E640" s="397" t="n"/>
      <c r="F640" s="397" t="n"/>
      <c r="G640" s="397" t="n"/>
      <c r="I640" s="397" t="n"/>
      <c r="J640" s="397" t="n"/>
      <c r="K640" s="395">
        <f>DATE(VALUE(LEFT(A640,4)),VALUE(MID(A640,5,2)),VALUE(RIGHT(A640,2)))</f>
        <v/>
      </c>
      <c r="L640" s="395">
        <f>DATEVALUE(LEFT(F640,10))</f>
        <v/>
      </c>
      <c r="M640" s="396">
        <f>TIMEVALUE(MID(F640,12,8))</f>
        <v/>
      </c>
      <c r="N640" s="395">
        <f>DATEVALUE(LEFT(G640,10))</f>
        <v/>
      </c>
      <c r="O640" s="396">
        <f>TIMEVALUE(MID(G640,12,8))</f>
        <v/>
      </c>
      <c r="P640" s="396">
        <f>IFERROR(_xlfn.MINIFS($M:$M,$E:$E,$E640,$K:$K,$K640,$M:$M,"&gt;"&amp;$O640),"")</f>
        <v/>
      </c>
      <c r="Q640" s="396">
        <f>IF($P640="","",$P640-$O640)</f>
        <v/>
      </c>
    </row>
    <row r="641" ht="15" customHeight="1" s="231">
      <c r="A641" s="397" t="n"/>
      <c r="B641" s="397" t="n"/>
      <c r="C641" s="397" t="n"/>
      <c r="D641" s="397" t="n"/>
      <c r="E641" s="397" t="n"/>
      <c r="F641" s="397" t="n"/>
      <c r="G641" s="397" t="n"/>
      <c r="I641" s="397" t="n"/>
      <c r="J641" s="397" t="n"/>
      <c r="K641" s="395">
        <f>DATE(VALUE(LEFT(A641,4)),VALUE(MID(A641,5,2)),VALUE(RIGHT(A641,2)))</f>
        <v/>
      </c>
      <c r="L641" s="395">
        <f>DATEVALUE(LEFT(F641,10))</f>
        <v/>
      </c>
      <c r="M641" s="396">
        <f>TIMEVALUE(MID(F641,12,8))</f>
        <v/>
      </c>
      <c r="N641" s="395">
        <f>DATEVALUE(LEFT(G641,10))</f>
        <v/>
      </c>
      <c r="O641" s="396">
        <f>TIMEVALUE(MID(G641,12,8))</f>
        <v/>
      </c>
      <c r="P641" s="396">
        <f>IFERROR(_xlfn.MINIFS($M:$M,$E:$E,$E641,$K:$K,$K641,$M:$M,"&gt;"&amp;$O641),"")</f>
        <v/>
      </c>
      <c r="Q641" s="396">
        <f>IF($P641="","",$P641-$O641)</f>
        <v/>
      </c>
    </row>
    <row r="642" ht="15" customHeight="1" s="231">
      <c r="A642" s="397" t="n"/>
      <c r="B642" s="397" t="n"/>
      <c r="C642" s="397" t="n"/>
      <c r="D642" s="397" t="n"/>
      <c r="E642" s="397" t="n"/>
      <c r="F642" s="397" t="n"/>
      <c r="G642" s="397" t="n"/>
      <c r="I642" s="397" t="n"/>
      <c r="J642" s="397" t="n"/>
      <c r="K642" s="395">
        <f>DATE(VALUE(LEFT(A642,4)),VALUE(MID(A642,5,2)),VALUE(RIGHT(A642,2)))</f>
        <v/>
      </c>
      <c r="L642" s="395">
        <f>DATEVALUE(LEFT(F642,10))</f>
        <v/>
      </c>
      <c r="M642" s="396">
        <f>TIMEVALUE(MID(F642,12,8))</f>
        <v/>
      </c>
      <c r="N642" s="395">
        <f>DATEVALUE(LEFT(G642,10))</f>
        <v/>
      </c>
      <c r="O642" s="396">
        <f>TIMEVALUE(MID(G642,12,8))</f>
        <v/>
      </c>
      <c r="P642" s="396">
        <f>IFERROR(_xlfn.MINIFS($M:$M,$E:$E,$E642,$K:$K,$K642,$M:$M,"&gt;"&amp;$O642),"")</f>
        <v/>
      </c>
      <c r="Q642" s="396">
        <f>IF($P642="","",$P642-$O642)</f>
        <v/>
      </c>
    </row>
    <row r="643" ht="15" customHeight="1" s="231">
      <c r="A643" s="397" t="n"/>
      <c r="B643" s="397" t="n"/>
      <c r="C643" s="397" t="n"/>
      <c r="D643" s="397" t="n"/>
      <c r="E643" s="397" t="n"/>
      <c r="F643" s="397" t="n"/>
      <c r="G643" s="397" t="n"/>
      <c r="I643" s="397" t="n"/>
      <c r="J643" s="397" t="n"/>
      <c r="K643" s="395">
        <f>DATE(VALUE(LEFT(A643,4)),VALUE(MID(A643,5,2)),VALUE(RIGHT(A643,2)))</f>
        <v/>
      </c>
      <c r="L643" s="395">
        <f>DATEVALUE(LEFT(F643,10))</f>
        <v/>
      </c>
      <c r="M643" s="396">
        <f>TIMEVALUE(MID(F643,12,8))</f>
        <v/>
      </c>
      <c r="N643" s="395">
        <f>DATEVALUE(LEFT(G643,10))</f>
        <v/>
      </c>
      <c r="O643" s="396">
        <f>TIMEVALUE(MID(G643,12,8))</f>
        <v/>
      </c>
      <c r="P643" s="396">
        <f>IFERROR(_xlfn.MINIFS($M:$M,$E:$E,$E643,$K:$K,$K643,$M:$M,"&gt;"&amp;$O643),"")</f>
        <v/>
      </c>
      <c r="Q643" s="396">
        <f>IF($P643="","",$P643-$O643)</f>
        <v/>
      </c>
    </row>
    <row r="644" ht="15" customHeight="1" s="231">
      <c r="A644" s="397" t="n"/>
      <c r="B644" s="397" t="n"/>
      <c r="C644" s="397" t="n"/>
      <c r="D644" s="397" t="n"/>
      <c r="E644" s="397" t="n"/>
      <c r="F644" s="397" t="n"/>
      <c r="G644" s="397" t="n"/>
      <c r="I644" s="397" t="n"/>
      <c r="J644" s="397" t="n"/>
      <c r="K644" s="395">
        <f>DATE(VALUE(LEFT(A644,4)),VALUE(MID(A644,5,2)),VALUE(RIGHT(A644,2)))</f>
        <v/>
      </c>
      <c r="L644" s="395">
        <f>DATEVALUE(LEFT(F644,10))</f>
        <v/>
      </c>
      <c r="M644" s="396">
        <f>TIMEVALUE(MID(F644,12,8))</f>
        <v/>
      </c>
      <c r="N644" s="395">
        <f>DATEVALUE(LEFT(G644,10))</f>
        <v/>
      </c>
      <c r="O644" s="396">
        <f>TIMEVALUE(MID(G644,12,8))</f>
        <v/>
      </c>
      <c r="P644" s="396">
        <f>IFERROR(_xlfn.MINIFS($M:$M,$E:$E,$E644,$K:$K,$K644,$M:$M,"&gt;"&amp;$O644),"")</f>
        <v/>
      </c>
      <c r="Q644" s="396">
        <f>IF($P644="","",$P644-$O644)</f>
        <v/>
      </c>
    </row>
    <row r="645" ht="15" customHeight="1" s="231">
      <c r="A645" s="397" t="n"/>
      <c r="B645" s="397" t="n"/>
      <c r="C645" s="397" t="n"/>
      <c r="D645" s="397" t="n"/>
      <c r="E645" s="397" t="n"/>
      <c r="F645" s="397" t="n"/>
      <c r="G645" s="397" t="n"/>
      <c r="I645" s="397" t="n"/>
      <c r="J645" s="397" t="n"/>
      <c r="K645" s="395">
        <f>DATE(VALUE(LEFT(A645,4)),VALUE(MID(A645,5,2)),VALUE(RIGHT(A645,2)))</f>
        <v/>
      </c>
      <c r="L645" s="395">
        <f>DATEVALUE(LEFT(F645,10))</f>
        <v/>
      </c>
      <c r="M645" s="396">
        <f>TIMEVALUE(MID(F645,12,8))</f>
        <v/>
      </c>
      <c r="N645" s="395">
        <f>DATEVALUE(LEFT(G645,10))</f>
        <v/>
      </c>
      <c r="O645" s="396">
        <f>TIMEVALUE(MID(G645,12,8))</f>
        <v/>
      </c>
      <c r="P645" s="396">
        <f>IFERROR(_xlfn.MINIFS($M:$M,$E:$E,$E645,$K:$K,$K645,$M:$M,"&gt;"&amp;$O645),"")</f>
        <v/>
      </c>
      <c r="Q645" s="396">
        <f>IF($P645="","",$P645-$O645)</f>
        <v/>
      </c>
    </row>
    <row r="646" ht="15" customHeight="1" s="231">
      <c r="A646" s="397" t="n"/>
      <c r="B646" s="397" t="n"/>
      <c r="C646" s="397" t="n"/>
      <c r="D646" s="397" t="n"/>
      <c r="E646" s="397" t="n"/>
      <c r="F646" s="397" t="n"/>
      <c r="G646" s="397" t="n"/>
      <c r="I646" s="397" t="n"/>
      <c r="J646" s="397" t="n"/>
      <c r="K646" s="395">
        <f>DATE(VALUE(LEFT(A646,4)),VALUE(MID(A646,5,2)),VALUE(RIGHT(A646,2)))</f>
        <v/>
      </c>
      <c r="L646" s="395">
        <f>DATEVALUE(LEFT(F646,10))</f>
        <v/>
      </c>
      <c r="M646" s="396">
        <f>TIMEVALUE(MID(F646,12,8))</f>
        <v/>
      </c>
      <c r="N646" s="395">
        <f>DATEVALUE(LEFT(G646,10))</f>
        <v/>
      </c>
      <c r="O646" s="396">
        <f>TIMEVALUE(MID(G646,12,8))</f>
        <v/>
      </c>
      <c r="P646" s="396">
        <f>IFERROR(_xlfn.MINIFS($M:$M,$E:$E,$E646,$K:$K,$K646,$M:$M,"&gt;"&amp;$O646),"")</f>
        <v/>
      </c>
      <c r="Q646" s="396">
        <f>IF($P646="","",$P646-$O646)</f>
        <v/>
      </c>
    </row>
    <row r="647" ht="15" customHeight="1" s="231">
      <c r="A647" s="397" t="n"/>
      <c r="B647" s="397" t="n"/>
      <c r="C647" s="397" t="n"/>
      <c r="D647" s="397" t="n"/>
      <c r="E647" s="397" t="n"/>
      <c r="F647" s="397" t="n"/>
      <c r="G647" s="397" t="n"/>
      <c r="I647" s="397" t="n"/>
      <c r="J647" s="397" t="n"/>
      <c r="K647" s="395">
        <f>DATE(VALUE(LEFT(A647,4)),VALUE(MID(A647,5,2)),VALUE(RIGHT(A647,2)))</f>
        <v/>
      </c>
      <c r="L647" s="395">
        <f>DATEVALUE(LEFT(F647,10))</f>
        <v/>
      </c>
      <c r="M647" s="396">
        <f>TIMEVALUE(MID(F647,12,8))</f>
        <v/>
      </c>
      <c r="N647" s="395">
        <f>DATEVALUE(LEFT(G647,10))</f>
        <v/>
      </c>
      <c r="O647" s="396">
        <f>TIMEVALUE(MID(G647,12,8))</f>
        <v/>
      </c>
      <c r="P647" s="396">
        <f>IFERROR(_xlfn.MINIFS($M:$M,$E:$E,$E647,$K:$K,$K647,$M:$M,"&gt;"&amp;$O647),"")</f>
        <v/>
      </c>
      <c r="Q647" s="396">
        <f>IF($P647="","",$P647-$O647)</f>
        <v/>
      </c>
    </row>
    <row r="648" ht="15" customHeight="1" s="231">
      <c r="A648" s="397" t="n"/>
      <c r="B648" s="397" t="n"/>
      <c r="C648" s="397" t="n"/>
      <c r="D648" s="397" t="n"/>
      <c r="E648" s="397" t="n"/>
      <c r="F648" s="397" t="n"/>
      <c r="G648" s="397" t="n"/>
      <c r="I648" s="397" t="n"/>
      <c r="J648" s="397" t="n"/>
      <c r="K648" s="395">
        <f>DATE(VALUE(LEFT(A648,4)),VALUE(MID(A648,5,2)),VALUE(RIGHT(A648,2)))</f>
        <v/>
      </c>
      <c r="L648" s="395">
        <f>DATEVALUE(LEFT(F648,10))</f>
        <v/>
      </c>
      <c r="M648" s="396">
        <f>TIMEVALUE(MID(F648,12,8))</f>
        <v/>
      </c>
      <c r="N648" s="395">
        <f>DATEVALUE(LEFT(G648,10))</f>
        <v/>
      </c>
      <c r="O648" s="396">
        <f>TIMEVALUE(MID(G648,12,8))</f>
        <v/>
      </c>
      <c r="P648" s="396">
        <f>IFERROR(_xlfn.MINIFS($M:$M,$E:$E,$E648,$K:$K,$K648,$M:$M,"&gt;"&amp;$O648),"")</f>
        <v/>
      </c>
      <c r="Q648" s="396">
        <f>IF($P648="","",$P648-$O648)</f>
        <v/>
      </c>
    </row>
    <row r="649" ht="15" customHeight="1" s="231">
      <c r="A649" s="397" t="n"/>
      <c r="B649" s="397" t="n"/>
      <c r="C649" s="397" t="n"/>
      <c r="D649" s="397" t="n"/>
      <c r="E649" s="397" t="n"/>
      <c r="F649" s="397" t="n"/>
      <c r="G649" s="397" t="n"/>
      <c r="I649" s="397" t="n"/>
      <c r="J649" s="397" t="n"/>
      <c r="K649" s="395">
        <f>DATE(VALUE(LEFT(A649,4)),VALUE(MID(A649,5,2)),VALUE(RIGHT(A649,2)))</f>
        <v/>
      </c>
      <c r="L649" s="395">
        <f>DATEVALUE(LEFT(F649,10))</f>
        <v/>
      </c>
      <c r="M649" s="396">
        <f>TIMEVALUE(MID(F649,12,8))</f>
        <v/>
      </c>
      <c r="N649" s="395">
        <f>DATEVALUE(LEFT(G649,10))</f>
        <v/>
      </c>
      <c r="O649" s="396">
        <f>TIMEVALUE(MID(G649,12,8))</f>
        <v/>
      </c>
      <c r="P649" s="396">
        <f>IFERROR(_xlfn.MINIFS($M:$M,$E:$E,$E649,$K:$K,$K649,$M:$M,"&gt;"&amp;$O649),"")</f>
        <v/>
      </c>
      <c r="Q649" s="396">
        <f>IF($P649="","",$P649-$O649)</f>
        <v/>
      </c>
    </row>
    <row r="650" ht="15" customHeight="1" s="231">
      <c r="A650" s="397" t="n"/>
      <c r="B650" s="397" t="n"/>
      <c r="C650" s="397" t="n"/>
      <c r="D650" s="397" t="n"/>
      <c r="E650" s="397" t="n"/>
      <c r="F650" s="397" t="n"/>
      <c r="G650" s="397" t="n"/>
      <c r="I650" s="397" t="n"/>
      <c r="J650" s="397" t="n"/>
      <c r="K650" s="395">
        <f>DATE(VALUE(LEFT(A650,4)),VALUE(MID(A650,5,2)),VALUE(RIGHT(A650,2)))</f>
        <v/>
      </c>
      <c r="L650" s="395">
        <f>DATEVALUE(LEFT(F650,10))</f>
        <v/>
      </c>
      <c r="M650" s="396">
        <f>TIMEVALUE(MID(F650,12,8))</f>
        <v/>
      </c>
      <c r="N650" s="395">
        <f>DATEVALUE(LEFT(G650,10))</f>
        <v/>
      </c>
      <c r="O650" s="396">
        <f>TIMEVALUE(MID(G650,12,8))</f>
        <v/>
      </c>
      <c r="P650" s="396">
        <f>IFERROR(_xlfn.MINIFS($M:$M,$E:$E,$E650,$K:$K,$K650,$M:$M,"&gt;"&amp;$O650),"")</f>
        <v/>
      </c>
      <c r="Q650" s="396">
        <f>IF($P650="","",$P650-$O650)</f>
        <v/>
      </c>
    </row>
    <row r="651" ht="15" customHeight="1" s="231">
      <c r="A651" s="397" t="n"/>
      <c r="B651" s="397" t="n"/>
      <c r="C651" s="397" t="n"/>
      <c r="D651" s="397" t="n"/>
      <c r="E651" s="397" t="n"/>
      <c r="F651" s="397" t="n"/>
      <c r="G651" s="397" t="n"/>
      <c r="I651" s="397" t="n"/>
      <c r="J651" s="397" t="n"/>
      <c r="K651" s="395">
        <f>DATE(VALUE(LEFT(A651,4)),VALUE(MID(A651,5,2)),VALUE(RIGHT(A651,2)))</f>
        <v/>
      </c>
      <c r="L651" s="395">
        <f>DATEVALUE(LEFT(F651,10))</f>
        <v/>
      </c>
      <c r="M651" s="396">
        <f>TIMEVALUE(MID(F651,12,8))</f>
        <v/>
      </c>
      <c r="N651" s="395">
        <f>DATEVALUE(LEFT(G651,10))</f>
        <v/>
      </c>
      <c r="O651" s="396">
        <f>TIMEVALUE(MID(G651,12,8))</f>
        <v/>
      </c>
      <c r="P651" s="396">
        <f>IFERROR(_xlfn.MINIFS($M:$M,$E:$E,$E651,$K:$K,$K651,$M:$M,"&gt;"&amp;$O651),"")</f>
        <v/>
      </c>
      <c r="Q651" s="396">
        <f>IF($P651="","",$P651-$O651)</f>
        <v/>
      </c>
    </row>
    <row r="652" ht="15" customHeight="1" s="231">
      <c r="A652" s="397" t="n"/>
      <c r="B652" s="397" t="n"/>
      <c r="C652" s="397" t="n"/>
      <c r="D652" s="397" t="n"/>
      <c r="E652" s="397" t="n"/>
      <c r="F652" s="397" t="n"/>
      <c r="G652" s="397" t="n"/>
      <c r="I652" s="397" t="n"/>
      <c r="J652" s="397" t="n"/>
      <c r="K652" s="395">
        <f>DATE(VALUE(LEFT(A652,4)),VALUE(MID(A652,5,2)),VALUE(RIGHT(A652,2)))</f>
        <v/>
      </c>
      <c r="L652" s="395">
        <f>DATEVALUE(LEFT(F652,10))</f>
        <v/>
      </c>
      <c r="M652" s="396">
        <f>TIMEVALUE(MID(F652,12,8))</f>
        <v/>
      </c>
      <c r="N652" s="395">
        <f>DATEVALUE(LEFT(G652,10))</f>
        <v/>
      </c>
      <c r="O652" s="396">
        <f>TIMEVALUE(MID(G652,12,8))</f>
        <v/>
      </c>
      <c r="P652" s="396">
        <f>IFERROR(_xlfn.MINIFS($M:$M,$E:$E,$E652,$K:$K,$K652,$M:$M,"&gt;"&amp;$O652),"")</f>
        <v/>
      </c>
      <c r="Q652" s="396">
        <f>IF($P652="","",$P652-$O652)</f>
        <v/>
      </c>
    </row>
    <row r="653" ht="15" customHeight="1" s="231">
      <c r="A653" s="397" t="n"/>
      <c r="B653" s="397" t="n"/>
      <c r="C653" s="397" t="n"/>
      <c r="D653" s="397" t="n"/>
      <c r="E653" s="397" t="n"/>
      <c r="F653" s="397" t="n"/>
      <c r="G653" s="397" t="n"/>
      <c r="I653" s="397" t="n"/>
      <c r="J653" s="397" t="n"/>
      <c r="K653" s="395">
        <f>DATE(VALUE(LEFT(A653,4)),VALUE(MID(A653,5,2)),VALUE(RIGHT(A653,2)))</f>
        <v/>
      </c>
      <c r="L653" s="395">
        <f>DATEVALUE(LEFT(F653,10))</f>
        <v/>
      </c>
      <c r="M653" s="396">
        <f>TIMEVALUE(MID(F653,12,8))</f>
        <v/>
      </c>
      <c r="N653" s="395">
        <f>DATEVALUE(LEFT(G653,10))</f>
        <v/>
      </c>
      <c r="O653" s="396">
        <f>TIMEVALUE(MID(G653,12,8))</f>
        <v/>
      </c>
      <c r="P653" s="396">
        <f>IFERROR(_xlfn.MINIFS($M:$M,$E:$E,$E653,$K:$K,$K653,$M:$M,"&gt;"&amp;$O653),"")</f>
        <v/>
      </c>
      <c r="Q653" s="396">
        <f>IF($P653="","",$P653-$O653)</f>
        <v/>
      </c>
    </row>
    <row r="654" ht="15" customHeight="1" s="231">
      <c r="A654" s="397" t="n"/>
      <c r="B654" s="397" t="n"/>
      <c r="C654" s="397" t="n"/>
      <c r="D654" s="397" t="n"/>
      <c r="E654" s="397" t="n"/>
      <c r="F654" s="397" t="n"/>
      <c r="G654" s="397" t="n"/>
      <c r="I654" s="397" t="n"/>
      <c r="J654" s="397" t="n"/>
      <c r="K654" s="395">
        <f>DATE(VALUE(LEFT(A654,4)),VALUE(MID(A654,5,2)),VALUE(RIGHT(A654,2)))</f>
        <v/>
      </c>
      <c r="L654" s="395">
        <f>DATEVALUE(LEFT(F654,10))</f>
        <v/>
      </c>
      <c r="M654" s="396">
        <f>TIMEVALUE(MID(F654,12,8))</f>
        <v/>
      </c>
      <c r="N654" s="395">
        <f>DATEVALUE(LEFT(G654,10))</f>
        <v/>
      </c>
      <c r="O654" s="396">
        <f>TIMEVALUE(MID(G654,12,8))</f>
        <v/>
      </c>
      <c r="P654" s="396">
        <f>IFERROR(_xlfn.MINIFS($M:$M,$E:$E,$E654,$K:$K,$K654,$M:$M,"&gt;"&amp;$O654),"")</f>
        <v/>
      </c>
      <c r="Q654" s="396">
        <f>IF($P654="","",$P654-$O654)</f>
        <v/>
      </c>
    </row>
    <row r="655" ht="15" customHeight="1" s="231">
      <c r="A655" s="397" t="n"/>
      <c r="B655" s="397" t="n"/>
      <c r="C655" s="397" t="n"/>
      <c r="D655" s="397" t="n"/>
      <c r="E655" s="397" t="n"/>
      <c r="F655" s="397" t="n"/>
      <c r="G655" s="397" t="n"/>
      <c r="I655" s="397" t="n"/>
      <c r="J655" s="397" t="n"/>
      <c r="K655" s="395">
        <f>DATE(VALUE(LEFT(A655,4)),VALUE(MID(A655,5,2)),VALUE(RIGHT(A655,2)))</f>
        <v/>
      </c>
      <c r="L655" s="395">
        <f>DATEVALUE(LEFT(F655,10))</f>
        <v/>
      </c>
      <c r="M655" s="396">
        <f>TIMEVALUE(MID(F655,12,8))</f>
        <v/>
      </c>
      <c r="N655" s="395">
        <f>DATEVALUE(LEFT(G655,10))</f>
        <v/>
      </c>
      <c r="O655" s="396">
        <f>TIMEVALUE(MID(G655,12,8))</f>
        <v/>
      </c>
      <c r="P655" s="396">
        <f>IFERROR(_xlfn.MINIFS($M:$M,$E:$E,$E655,$K:$K,$K655,$M:$M,"&gt;"&amp;$O655),"")</f>
        <v/>
      </c>
      <c r="Q655" s="396">
        <f>IF($P655="","",$P655-$O655)</f>
        <v/>
      </c>
    </row>
    <row r="656" ht="15" customHeight="1" s="231">
      <c r="A656" s="397" t="n"/>
      <c r="B656" s="397" t="n"/>
      <c r="C656" s="397" t="n"/>
      <c r="D656" s="397" t="n"/>
      <c r="E656" s="397" t="n"/>
      <c r="F656" s="397" t="n"/>
      <c r="G656" s="397" t="n"/>
      <c r="I656" s="397" t="n"/>
      <c r="J656" s="397" t="n"/>
      <c r="K656" s="395">
        <f>DATE(VALUE(LEFT(A656,4)),VALUE(MID(A656,5,2)),VALUE(RIGHT(A656,2)))</f>
        <v/>
      </c>
      <c r="L656" s="395">
        <f>DATEVALUE(LEFT(F656,10))</f>
        <v/>
      </c>
      <c r="M656" s="396">
        <f>TIMEVALUE(MID(F656,12,8))</f>
        <v/>
      </c>
      <c r="N656" s="395">
        <f>DATEVALUE(LEFT(G656,10))</f>
        <v/>
      </c>
      <c r="O656" s="396">
        <f>TIMEVALUE(MID(G656,12,8))</f>
        <v/>
      </c>
      <c r="P656" s="396">
        <f>IFERROR(_xlfn.MINIFS($M:$M,$E:$E,$E656,$K:$K,$K656,$M:$M,"&gt;"&amp;$O656),"")</f>
        <v/>
      </c>
      <c r="Q656" s="396">
        <f>IF($P656="","",$P656-$O656)</f>
        <v/>
      </c>
    </row>
    <row r="657" ht="15" customHeight="1" s="231">
      <c r="A657" s="397" t="n"/>
      <c r="B657" s="397" t="n"/>
      <c r="C657" s="397" t="n"/>
      <c r="D657" s="397" t="n"/>
      <c r="E657" s="397" t="n"/>
      <c r="F657" s="397" t="n"/>
      <c r="G657" s="397" t="n"/>
      <c r="I657" s="397" t="n"/>
      <c r="J657" s="397" t="n"/>
      <c r="K657" s="395">
        <f>DATE(VALUE(LEFT(A657,4)),VALUE(MID(A657,5,2)),VALUE(RIGHT(A657,2)))</f>
        <v/>
      </c>
      <c r="L657" s="395">
        <f>DATEVALUE(LEFT(F657,10))</f>
        <v/>
      </c>
      <c r="M657" s="396">
        <f>TIMEVALUE(MID(F657,12,8))</f>
        <v/>
      </c>
      <c r="N657" s="395">
        <f>DATEVALUE(LEFT(G657,10))</f>
        <v/>
      </c>
      <c r="O657" s="396">
        <f>TIMEVALUE(MID(G657,12,8))</f>
        <v/>
      </c>
      <c r="P657" s="396">
        <f>IFERROR(_xlfn.MINIFS($M:$M,$E:$E,$E657,$K:$K,$K657,$M:$M,"&gt;"&amp;$O657),"")</f>
        <v/>
      </c>
      <c r="Q657" s="396">
        <f>IF($P657="","",$P657-$O657)</f>
        <v/>
      </c>
    </row>
    <row r="658" ht="15" customHeight="1" s="231">
      <c r="A658" s="397" t="n"/>
      <c r="B658" s="397" t="n"/>
      <c r="C658" s="397" t="n"/>
      <c r="D658" s="397" t="n"/>
      <c r="E658" s="397" t="n"/>
      <c r="F658" s="397" t="n"/>
      <c r="G658" s="397" t="n"/>
      <c r="I658" s="397" t="n"/>
      <c r="J658" s="397" t="n"/>
      <c r="K658" s="395">
        <f>DATE(VALUE(LEFT(A658,4)),VALUE(MID(A658,5,2)),VALUE(RIGHT(A658,2)))</f>
        <v/>
      </c>
      <c r="L658" s="395">
        <f>DATEVALUE(LEFT(F658,10))</f>
        <v/>
      </c>
      <c r="M658" s="396">
        <f>TIMEVALUE(MID(F658,12,8))</f>
        <v/>
      </c>
      <c r="N658" s="395">
        <f>DATEVALUE(LEFT(G658,10))</f>
        <v/>
      </c>
      <c r="O658" s="396">
        <f>TIMEVALUE(MID(G658,12,8))</f>
        <v/>
      </c>
      <c r="P658" s="396">
        <f>IFERROR(_xlfn.MINIFS($M:$M,$E:$E,$E658,$K:$K,$K658,$M:$M,"&gt;"&amp;$O658),"")</f>
        <v/>
      </c>
      <c r="Q658" s="396">
        <f>IF($P658="","",$P658-$O658)</f>
        <v/>
      </c>
    </row>
    <row r="659" ht="15" customHeight="1" s="231">
      <c r="A659" s="397" t="n"/>
      <c r="B659" s="397" t="n"/>
      <c r="C659" s="397" t="n"/>
      <c r="D659" s="397" t="n"/>
      <c r="E659" s="397" t="n"/>
      <c r="F659" s="397" t="n"/>
      <c r="G659" s="397" t="n"/>
      <c r="I659" s="397" t="n"/>
      <c r="J659" s="397" t="n"/>
      <c r="K659" s="395">
        <f>DATE(VALUE(LEFT(A659,4)),VALUE(MID(A659,5,2)),VALUE(RIGHT(A659,2)))</f>
        <v/>
      </c>
      <c r="L659" s="395">
        <f>DATEVALUE(LEFT(F659,10))</f>
        <v/>
      </c>
      <c r="M659" s="396">
        <f>TIMEVALUE(MID(F659,12,8))</f>
        <v/>
      </c>
      <c r="N659" s="395">
        <f>DATEVALUE(LEFT(G659,10))</f>
        <v/>
      </c>
      <c r="O659" s="396">
        <f>TIMEVALUE(MID(G659,12,8))</f>
        <v/>
      </c>
      <c r="P659" s="396">
        <f>IFERROR(_xlfn.MINIFS($M:$M,$E:$E,$E659,$K:$K,$K659,$M:$M,"&gt;"&amp;$O659),"")</f>
        <v/>
      </c>
      <c r="Q659" s="396">
        <f>IF($P659="","",$P659-$O659)</f>
        <v/>
      </c>
    </row>
    <row r="660" ht="15" customHeight="1" s="231">
      <c r="A660" s="397" t="n"/>
      <c r="B660" s="397" t="n"/>
      <c r="C660" s="397" t="n"/>
      <c r="D660" s="397" t="n"/>
      <c r="E660" s="397" t="n"/>
      <c r="F660" s="397" t="n"/>
      <c r="G660" s="397" t="n"/>
      <c r="I660" s="397" t="n"/>
      <c r="J660" s="397" t="n"/>
      <c r="K660" s="395">
        <f>DATE(VALUE(LEFT(A660,4)),VALUE(MID(A660,5,2)),VALUE(RIGHT(A660,2)))</f>
        <v/>
      </c>
      <c r="L660" s="395">
        <f>DATEVALUE(LEFT(F660,10))</f>
        <v/>
      </c>
      <c r="M660" s="396">
        <f>TIMEVALUE(MID(F660,12,8))</f>
        <v/>
      </c>
      <c r="N660" s="395">
        <f>DATEVALUE(LEFT(G660,10))</f>
        <v/>
      </c>
      <c r="O660" s="396">
        <f>TIMEVALUE(MID(G660,12,8))</f>
        <v/>
      </c>
      <c r="P660" s="396">
        <f>IFERROR(_xlfn.MINIFS($M:$M,$E:$E,$E660,$K:$K,$K660,$M:$M,"&gt;"&amp;$O660),"")</f>
        <v/>
      </c>
      <c r="Q660" s="396">
        <f>IF($P660="","",$P660-$O660)</f>
        <v/>
      </c>
    </row>
    <row r="661" ht="15" customHeight="1" s="231">
      <c r="A661" s="397" t="n"/>
      <c r="B661" s="397" t="n"/>
      <c r="C661" s="397" t="n"/>
      <c r="D661" s="397" t="n"/>
      <c r="E661" s="397" t="n"/>
      <c r="F661" s="397" t="n"/>
      <c r="G661" s="397" t="n"/>
      <c r="I661" s="397" t="n"/>
      <c r="J661" s="397" t="n"/>
      <c r="K661" s="395">
        <f>DATE(VALUE(LEFT(A661,4)),VALUE(MID(A661,5,2)),VALUE(RIGHT(A661,2)))</f>
        <v/>
      </c>
      <c r="L661" s="395">
        <f>DATEVALUE(LEFT(F661,10))</f>
        <v/>
      </c>
      <c r="M661" s="396">
        <f>TIMEVALUE(MID(F661,12,8))</f>
        <v/>
      </c>
      <c r="N661" s="395">
        <f>DATEVALUE(LEFT(G661,10))</f>
        <v/>
      </c>
      <c r="O661" s="396">
        <f>TIMEVALUE(MID(G661,12,8))</f>
        <v/>
      </c>
      <c r="P661" s="396">
        <f>IFERROR(_xlfn.MINIFS($M:$M,$E:$E,$E661,$K:$K,$K661,$M:$M,"&gt;"&amp;$O661),"")</f>
        <v/>
      </c>
      <c r="Q661" s="396">
        <f>IF($P661="","",$P661-$O661)</f>
        <v/>
      </c>
    </row>
    <row r="662" ht="15" customHeight="1" s="231">
      <c r="A662" s="397" t="n"/>
      <c r="B662" s="397" t="n"/>
      <c r="C662" s="397" t="n"/>
      <c r="D662" s="397" t="n"/>
      <c r="E662" s="397" t="n"/>
      <c r="F662" s="397" t="n"/>
      <c r="G662" s="397" t="n"/>
      <c r="I662" s="397" t="n"/>
      <c r="J662" s="397" t="n"/>
      <c r="K662" s="395">
        <f>DATE(VALUE(LEFT(A662,4)),VALUE(MID(A662,5,2)),VALUE(RIGHT(A662,2)))</f>
        <v/>
      </c>
      <c r="L662" s="395">
        <f>DATEVALUE(LEFT(F662,10))</f>
        <v/>
      </c>
      <c r="M662" s="396">
        <f>TIMEVALUE(MID(F662,12,8))</f>
        <v/>
      </c>
      <c r="N662" s="395">
        <f>DATEVALUE(LEFT(G662,10))</f>
        <v/>
      </c>
      <c r="O662" s="396">
        <f>TIMEVALUE(MID(G662,12,8))</f>
        <v/>
      </c>
      <c r="P662" s="396">
        <f>IFERROR(_xlfn.MINIFS($M:$M,$E:$E,$E662,$K:$K,$K662,$M:$M,"&gt;"&amp;$O662),"")</f>
        <v/>
      </c>
      <c r="Q662" s="396">
        <f>IF($P662="","",$P662-$O662)</f>
        <v/>
      </c>
    </row>
    <row r="663" ht="15" customHeight="1" s="231">
      <c r="A663" s="397" t="n"/>
      <c r="B663" s="397" t="n"/>
      <c r="C663" s="397" t="n"/>
      <c r="D663" s="397" t="n"/>
      <c r="E663" s="397" t="n"/>
      <c r="F663" s="397" t="n"/>
      <c r="G663" s="397" t="n"/>
      <c r="I663" s="397" t="n"/>
      <c r="J663" s="397" t="n"/>
      <c r="K663" s="395">
        <f>DATE(VALUE(LEFT(A663,4)),VALUE(MID(A663,5,2)),VALUE(RIGHT(A663,2)))</f>
        <v/>
      </c>
      <c r="L663" s="395">
        <f>DATEVALUE(LEFT(F663,10))</f>
        <v/>
      </c>
      <c r="M663" s="396">
        <f>TIMEVALUE(MID(F663,12,8))</f>
        <v/>
      </c>
      <c r="N663" s="395">
        <f>DATEVALUE(LEFT(G663,10))</f>
        <v/>
      </c>
      <c r="O663" s="396">
        <f>TIMEVALUE(MID(G663,12,8))</f>
        <v/>
      </c>
      <c r="P663" s="396">
        <f>IFERROR(_xlfn.MINIFS($M:$M,$E:$E,$E663,$K:$K,$K663,$M:$M,"&gt;"&amp;$O663),"")</f>
        <v/>
      </c>
      <c r="Q663" s="396">
        <f>IF($P663="","",$P663-$O663)</f>
        <v/>
      </c>
    </row>
    <row r="664" ht="15" customHeight="1" s="231">
      <c r="A664" s="397" t="n"/>
      <c r="B664" s="397" t="n"/>
      <c r="C664" s="397" t="n"/>
      <c r="D664" s="397" t="n"/>
      <c r="E664" s="397" t="n"/>
      <c r="F664" s="397" t="n"/>
      <c r="G664" s="397" t="n"/>
      <c r="I664" s="397" t="n"/>
      <c r="J664" s="397" t="n"/>
      <c r="K664" s="395">
        <f>DATE(VALUE(LEFT(A664,4)),VALUE(MID(A664,5,2)),VALUE(RIGHT(A664,2)))</f>
        <v/>
      </c>
      <c r="L664" s="395">
        <f>DATEVALUE(LEFT(F664,10))</f>
        <v/>
      </c>
      <c r="M664" s="396">
        <f>TIMEVALUE(MID(F664,12,8))</f>
        <v/>
      </c>
      <c r="N664" s="395">
        <f>DATEVALUE(LEFT(G664,10))</f>
        <v/>
      </c>
      <c r="O664" s="396">
        <f>TIMEVALUE(MID(G664,12,8))</f>
        <v/>
      </c>
      <c r="P664" s="396">
        <f>IFERROR(_xlfn.MINIFS($M:$M,$E:$E,$E664,$K:$K,$K664,$M:$M,"&gt;"&amp;$O664),"")</f>
        <v/>
      </c>
      <c r="Q664" s="396">
        <f>IF($P664="","",$P664-$O664)</f>
        <v/>
      </c>
    </row>
    <row r="665" ht="15" customHeight="1" s="231">
      <c r="A665" s="397" t="n"/>
      <c r="B665" s="397" t="n"/>
      <c r="C665" s="397" t="n"/>
      <c r="D665" s="397" t="n"/>
      <c r="E665" s="397" t="n"/>
      <c r="F665" s="397" t="n"/>
      <c r="G665" s="397" t="n"/>
      <c r="I665" s="397" t="n"/>
      <c r="J665" s="397" t="n"/>
      <c r="K665" s="395">
        <f>DATE(VALUE(LEFT(A665,4)),VALUE(MID(A665,5,2)),VALUE(RIGHT(A665,2)))</f>
        <v/>
      </c>
      <c r="L665" s="395">
        <f>DATEVALUE(LEFT(F665,10))</f>
        <v/>
      </c>
      <c r="M665" s="396">
        <f>TIMEVALUE(MID(F665,12,8))</f>
        <v/>
      </c>
      <c r="N665" s="395">
        <f>DATEVALUE(LEFT(G665,10))</f>
        <v/>
      </c>
      <c r="O665" s="396">
        <f>TIMEVALUE(MID(G665,12,8))</f>
        <v/>
      </c>
      <c r="P665" s="396">
        <f>IFERROR(_xlfn.MINIFS($M:$M,$E:$E,$E665,$K:$K,$K665,$M:$M,"&gt;"&amp;$O665),"")</f>
        <v/>
      </c>
      <c r="Q665" s="396">
        <f>IF($P665="","",$P665-$O665)</f>
        <v/>
      </c>
    </row>
    <row r="666" ht="15" customHeight="1" s="231">
      <c r="A666" s="397" t="n"/>
      <c r="B666" s="397" t="n"/>
      <c r="C666" s="397" t="n"/>
      <c r="D666" s="397" t="n"/>
      <c r="E666" s="397" t="n"/>
      <c r="F666" s="397" t="n"/>
      <c r="G666" s="397" t="n"/>
      <c r="I666" s="397" t="n"/>
      <c r="J666" s="397" t="n"/>
      <c r="K666" s="395">
        <f>DATE(VALUE(LEFT(A666,4)),VALUE(MID(A666,5,2)),VALUE(RIGHT(A666,2)))</f>
        <v/>
      </c>
      <c r="L666" s="395">
        <f>DATEVALUE(LEFT(F666,10))</f>
        <v/>
      </c>
      <c r="M666" s="396">
        <f>TIMEVALUE(MID(F666,12,8))</f>
        <v/>
      </c>
      <c r="N666" s="395">
        <f>DATEVALUE(LEFT(G666,10))</f>
        <v/>
      </c>
      <c r="O666" s="396">
        <f>TIMEVALUE(MID(G666,12,8))</f>
        <v/>
      </c>
      <c r="P666" s="396">
        <f>IFERROR(_xlfn.MINIFS($M:$M,$E:$E,$E666,$K:$K,$K666,$M:$M,"&gt;"&amp;$O666),"")</f>
        <v/>
      </c>
      <c r="Q666" s="396">
        <f>IF($P666="","",$P666-$O666)</f>
        <v/>
      </c>
    </row>
    <row r="667" ht="15" customHeight="1" s="231">
      <c r="A667" s="397" t="n"/>
      <c r="B667" s="397" t="n"/>
      <c r="C667" s="397" t="n"/>
      <c r="D667" s="397" t="n"/>
      <c r="E667" s="397" t="n"/>
      <c r="F667" s="397" t="n"/>
      <c r="G667" s="397" t="n"/>
      <c r="I667" s="397" t="n"/>
      <c r="J667" s="397" t="n"/>
      <c r="K667" s="395">
        <f>DATE(VALUE(LEFT(A667,4)),VALUE(MID(A667,5,2)),VALUE(RIGHT(A667,2)))</f>
        <v/>
      </c>
      <c r="L667" s="395">
        <f>DATEVALUE(LEFT(F667,10))</f>
        <v/>
      </c>
      <c r="M667" s="396">
        <f>TIMEVALUE(MID(F667,12,8))</f>
        <v/>
      </c>
      <c r="N667" s="395">
        <f>DATEVALUE(LEFT(G667,10))</f>
        <v/>
      </c>
      <c r="O667" s="396">
        <f>TIMEVALUE(MID(G667,12,8))</f>
        <v/>
      </c>
      <c r="P667" s="396">
        <f>IFERROR(_xlfn.MINIFS($M:$M,$E:$E,$E667,$K:$K,$K667,$M:$M,"&gt;"&amp;$O667),"")</f>
        <v/>
      </c>
      <c r="Q667" s="396">
        <f>IF($P667="","",$P667-$O667)</f>
        <v/>
      </c>
    </row>
    <row r="668" ht="15" customHeight="1" s="231">
      <c r="A668" s="397" t="n"/>
      <c r="B668" s="397" t="n"/>
      <c r="C668" s="397" t="n"/>
      <c r="D668" s="397" t="n"/>
      <c r="E668" s="397" t="n"/>
      <c r="F668" s="397" t="n"/>
      <c r="G668" s="397" t="n"/>
      <c r="I668" s="397" t="n"/>
      <c r="J668" s="397" t="n"/>
      <c r="K668" s="395">
        <f>DATE(VALUE(LEFT(A668,4)),VALUE(MID(A668,5,2)),VALUE(RIGHT(A668,2)))</f>
        <v/>
      </c>
      <c r="L668" s="395">
        <f>DATEVALUE(LEFT(F668,10))</f>
        <v/>
      </c>
      <c r="M668" s="396">
        <f>TIMEVALUE(MID(F668,12,8))</f>
        <v/>
      </c>
      <c r="N668" s="395">
        <f>DATEVALUE(LEFT(G668,10))</f>
        <v/>
      </c>
      <c r="O668" s="396">
        <f>TIMEVALUE(MID(G668,12,8))</f>
        <v/>
      </c>
      <c r="P668" s="396">
        <f>IFERROR(_xlfn.MINIFS($M:$M,$E:$E,$E668,$K:$K,$K668,$M:$M,"&gt;"&amp;$O668),"")</f>
        <v/>
      </c>
      <c r="Q668" s="396">
        <f>IF($P668="","",$P668-$O668)</f>
        <v/>
      </c>
    </row>
    <row r="669" ht="15" customHeight="1" s="231">
      <c r="A669" s="397" t="n"/>
      <c r="B669" s="397" t="n"/>
      <c r="C669" s="397" t="n"/>
      <c r="D669" s="397" t="n"/>
      <c r="E669" s="397" t="n"/>
      <c r="F669" s="397" t="n"/>
      <c r="G669" s="397" t="n"/>
      <c r="I669" s="397" t="n"/>
      <c r="J669" s="397" t="n"/>
      <c r="K669" s="395">
        <f>DATE(VALUE(LEFT(A669,4)),VALUE(MID(A669,5,2)),VALUE(RIGHT(A669,2)))</f>
        <v/>
      </c>
      <c r="L669" s="395">
        <f>DATEVALUE(LEFT(F669,10))</f>
        <v/>
      </c>
      <c r="M669" s="396">
        <f>TIMEVALUE(MID(F669,12,8))</f>
        <v/>
      </c>
      <c r="N669" s="395">
        <f>DATEVALUE(LEFT(G669,10))</f>
        <v/>
      </c>
      <c r="O669" s="396">
        <f>TIMEVALUE(MID(G669,12,8))</f>
        <v/>
      </c>
      <c r="P669" s="396">
        <f>IFERROR(_xlfn.MINIFS($M:$M,$E:$E,$E669,$K:$K,$K669,$M:$M,"&gt;"&amp;$O669),"")</f>
        <v/>
      </c>
      <c r="Q669" s="396">
        <f>IF($P669="","",$P669-$O669)</f>
        <v/>
      </c>
    </row>
    <row r="670" ht="15" customHeight="1" s="231">
      <c r="A670" s="397" t="n"/>
      <c r="B670" s="397" t="n"/>
      <c r="C670" s="397" t="n"/>
      <c r="D670" s="397" t="n"/>
      <c r="E670" s="397" t="n"/>
      <c r="F670" s="397" t="n"/>
      <c r="G670" s="397" t="n"/>
      <c r="I670" s="397" t="n"/>
      <c r="J670" s="397" t="n"/>
      <c r="K670" s="395">
        <f>DATE(VALUE(LEFT(A670,4)),VALUE(MID(A670,5,2)),VALUE(RIGHT(A670,2)))</f>
        <v/>
      </c>
      <c r="L670" s="395">
        <f>DATEVALUE(LEFT(F670,10))</f>
        <v/>
      </c>
      <c r="M670" s="396">
        <f>TIMEVALUE(MID(F670,12,8))</f>
        <v/>
      </c>
      <c r="N670" s="395">
        <f>DATEVALUE(LEFT(G670,10))</f>
        <v/>
      </c>
      <c r="O670" s="396">
        <f>TIMEVALUE(MID(G670,12,8))</f>
        <v/>
      </c>
      <c r="P670" s="396">
        <f>IFERROR(_xlfn.MINIFS($M:$M,$E:$E,$E670,$K:$K,$K670,$M:$M,"&gt;"&amp;$O670),"")</f>
        <v/>
      </c>
      <c r="Q670" s="396">
        <f>IF($P670="","",$P670-$O670)</f>
        <v/>
      </c>
    </row>
    <row r="671" ht="15" customHeight="1" s="231">
      <c r="A671" s="397" t="n"/>
      <c r="B671" s="397" t="n"/>
      <c r="C671" s="397" t="n"/>
      <c r="D671" s="397" t="n"/>
      <c r="E671" s="397" t="n"/>
      <c r="F671" s="397" t="n"/>
      <c r="G671" s="397" t="n"/>
      <c r="I671" s="397" t="n"/>
      <c r="J671" s="397" t="n"/>
      <c r="K671" s="395">
        <f>DATE(VALUE(LEFT(A671,4)),VALUE(MID(A671,5,2)),VALUE(RIGHT(A671,2)))</f>
        <v/>
      </c>
      <c r="L671" s="395">
        <f>DATEVALUE(LEFT(F671,10))</f>
        <v/>
      </c>
      <c r="M671" s="396">
        <f>TIMEVALUE(MID(F671,12,8))</f>
        <v/>
      </c>
      <c r="N671" s="395">
        <f>DATEVALUE(LEFT(G671,10))</f>
        <v/>
      </c>
      <c r="O671" s="396">
        <f>TIMEVALUE(MID(G671,12,8))</f>
        <v/>
      </c>
      <c r="P671" s="396">
        <f>IFERROR(_xlfn.MINIFS($M:$M,$E:$E,$E671,$K:$K,$K671,$M:$M,"&gt;"&amp;$O671),"")</f>
        <v/>
      </c>
      <c r="Q671" s="396">
        <f>IF($P671="","",$P671-$O671)</f>
        <v/>
      </c>
    </row>
    <row r="672" ht="15" customHeight="1" s="231">
      <c r="A672" s="397" t="n"/>
      <c r="B672" s="397" t="n"/>
      <c r="C672" s="397" t="n"/>
      <c r="D672" s="397" t="n"/>
      <c r="E672" s="397" t="n"/>
      <c r="F672" s="397" t="n"/>
      <c r="G672" s="397" t="n"/>
      <c r="I672" s="397" t="n"/>
      <c r="J672" s="397" t="n"/>
      <c r="K672" s="395">
        <f>DATE(VALUE(LEFT(A672,4)),VALUE(MID(A672,5,2)),VALUE(RIGHT(A672,2)))</f>
        <v/>
      </c>
      <c r="L672" s="395">
        <f>DATEVALUE(LEFT(F672,10))</f>
        <v/>
      </c>
      <c r="M672" s="396">
        <f>TIMEVALUE(MID(F672,12,8))</f>
        <v/>
      </c>
      <c r="N672" s="395">
        <f>DATEVALUE(LEFT(G672,10))</f>
        <v/>
      </c>
      <c r="O672" s="396">
        <f>TIMEVALUE(MID(G672,12,8))</f>
        <v/>
      </c>
      <c r="P672" s="396">
        <f>IFERROR(_xlfn.MINIFS($M:$M,$E:$E,$E672,$K:$K,$K672,$M:$M,"&gt;"&amp;$O672),"")</f>
        <v/>
      </c>
      <c r="Q672" s="396">
        <f>IF($P672="","",$P672-$O672)</f>
        <v/>
      </c>
    </row>
    <row r="673" ht="15" customHeight="1" s="231">
      <c r="A673" s="397" t="n"/>
      <c r="B673" s="397" t="n"/>
      <c r="C673" s="397" t="n"/>
      <c r="D673" s="397" t="n"/>
      <c r="E673" s="397" t="n"/>
      <c r="F673" s="397" t="n"/>
      <c r="G673" s="397" t="n"/>
      <c r="I673" s="397" t="n"/>
      <c r="J673" s="397" t="n"/>
      <c r="K673" s="395">
        <f>DATE(VALUE(LEFT(A673,4)),VALUE(MID(A673,5,2)),VALUE(RIGHT(A673,2)))</f>
        <v/>
      </c>
      <c r="L673" s="395">
        <f>DATEVALUE(LEFT(F673,10))</f>
        <v/>
      </c>
      <c r="M673" s="396">
        <f>TIMEVALUE(MID(F673,12,8))</f>
        <v/>
      </c>
      <c r="N673" s="395">
        <f>DATEVALUE(LEFT(G673,10))</f>
        <v/>
      </c>
      <c r="O673" s="396">
        <f>TIMEVALUE(MID(G673,12,8))</f>
        <v/>
      </c>
      <c r="P673" s="396">
        <f>IFERROR(_xlfn.MINIFS($M:$M,$E:$E,$E673,$K:$K,$K673,$M:$M,"&gt;"&amp;$O673),"")</f>
        <v/>
      </c>
      <c r="Q673" s="396">
        <f>IF($P673="","",$P673-$O673)</f>
        <v/>
      </c>
    </row>
    <row r="674" ht="15" customHeight="1" s="231">
      <c r="A674" s="397" t="n"/>
      <c r="B674" s="397" t="n"/>
      <c r="C674" s="397" t="n"/>
      <c r="D674" s="397" t="n"/>
      <c r="E674" s="397" t="n"/>
      <c r="F674" s="397" t="n"/>
      <c r="G674" s="397" t="n"/>
      <c r="I674" s="397" t="n"/>
      <c r="J674" s="397" t="n"/>
      <c r="K674" s="395">
        <f>DATE(VALUE(LEFT(A674,4)),VALUE(MID(A674,5,2)),VALUE(RIGHT(A674,2)))</f>
        <v/>
      </c>
      <c r="L674" s="395">
        <f>DATEVALUE(LEFT(F674,10))</f>
        <v/>
      </c>
      <c r="M674" s="396">
        <f>TIMEVALUE(MID(F674,12,8))</f>
        <v/>
      </c>
      <c r="N674" s="395">
        <f>DATEVALUE(LEFT(G674,10))</f>
        <v/>
      </c>
      <c r="O674" s="396">
        <f>TIMEVALUE(MID(G674,12,8))</f>
        <v/>
      </c>
      <c r="P674" s="396">
        <f>IFERROR(_xlfn.MINIFS($M:$M,$E:$E,$E674,$K:$K,$K674,$M:$M,"&gt;"&amp;$O674),"")</f>
        <v/>
      </c>
      <c r="Q674" s="396">
        <f>IF($P674="","",$P674-$O674)</f>
        <v/>
      </c>
    </row>
    <row r="675" ht="15" customHeight="1" s="231">
      <c r="A675" s="397" t="n"/>
      <c r="B675" s="397" t="n"/>
      <c r="C675" s="397" t="n"/>
      <c r="D675" s="397" t="n"/>
      <c r="E675" s="397" t="n"/>
      <c r="F675" s="397" t="n"/>
      <c r="G675" s="397" t="n"/>
      <c r="I675" s="397" t="n"/>
      <c r="J675" s="397" t="n"/>
      <c r="K675" s="395">
        <f>DATE(VALUE(LEFT(A675,4)),VALUE(MID(A675,5,2)),VALUE(RIGHT(A675,2)))</f>
        <v/>
      </c>
      <c r="L675" s="395">
        <f>DATEVALUE(LEFT(F675,10))</f>
        <v/>
      </c>
      <c r="M675" s="396">
        <f>TIMEVALUE(MID(F675,12,8))</f>
        <v/>
      </c>
      <c r="N675" s="395">
        <f>DATEVALUE(LEFT(G675,10))</f>
        <v/>
      </c>
      <c r="O675" s="396">
        <f>TIMEVALUE(MID(G675,12,8))</f>
        <v/>
      </c>
      <c r="P675" s="396">
        <f>IFERROR(_xlfn.MINIFS($M:$M,$E:$E,$E675,$K:$K,$K675,$M:$M,"&gt;"&amp;$O675),"")</f>
        <v/>
      </c>
      <c r="Q675" s="396">
        <f>IF($P675="","",$P675-$O675)</f>
        <v/>
      </c>
    </row>
    <row r="676" ht="15" customHeight="1" s="231">
      <c r="A676" s="397" t="n"/>
      <c r="B676" s="397" t="n"/>
      <c r="C676" s="397" t="n"/>
      <c r="D676" s="397" t="n"/>
      <c r="E676" s="397" t="n"/>
      <c r="F676" s="397" t="n"/>
      <c r="G676" s="397" t="n"/>
      <c r="I676" s="397" t="n"/>
      <c r="J676" s="397" t="n"/>
      <c r="K676" s="395">
        <f>DATE(VALUE(LEFT(A676,4)),VALUE(MID(A676,5,2)),VALUE(RIGHT(A676,2)))</f>
        <v/>
      </c>
      <c r="L676" s="395">
        <f>DATEVALUE(LEFT(F676,10))</f>
        <v/>
      </c>
      <c r="M676" s="396">
        <f>TIMEVALUE(MID(F676,12,8))</f>
        <v/>
      </c>
      <c r="N676" s="395">
        <f>DATEVALUE(LEFT(G676,10))</f>
        <v/>
      </c>
      <c r="O676" s="396">
        <f>TIMEVALUE(MID(G676,12,8))</f>
        <v/>
      </c>
      <c r="P676" s="396">
        <f>IFERROR(_xlfn.MINIFS($M:$M,$E:$E,$E676,$K:$K,$K676,$M:$M,"&gt;"&amp;$O676),"")</f>
        <v/>
      </c>
      <c r="Q676" s="396">
        <f>IF($P676="","",$P676-$O676)</f>
        <v/>
      </c>
    </row>
    <row r="677" ht="15" customHeight="1" s="231">
      <c r="A677" s="397" t="n"/>
      <c r="B677" s="397" t="n"/>
      <c r="C677" s="397" t="n"/>
      <c r="D677" s="397" t="n"/>
      <c r="E677" s="397" t="n"/>
      <c r="F677" s="397" t="n"/>
      <c r="G677" s="397" t="n"/>
      <c r="I677" s="397" t="n"/>
      <c r="J677" s="397" t="n"/>
      <c r="K677" s="395">
        <f>DATE(VALUE(LEFT(A677,4)),VALUE(MID(A677,5,2)),VALUE(RIGHT(A677,2)))</f>
        <v/>
      </c>
      <c r="L677" s="395">
        <f>DATEVALUE(LEFT(F677,10))</f>
        <v/>
      </c>
      <c r="M677" s="396">
        <f>TIMEVALUE(MID(F677,12,8))</f>
        <v/>
      </c>
      <c r="N677" s="395">
        <f>DATEVALUE(LEFT(G677,10))</f>
        <v/>
      </c>
      <c r="O677" s="396">
        <f>TIMEVALUE(MID(G677,12,8))</f>
        <v/>
      </c>
      <c r="P677" s="396">
        <f>IFERROR(_xlfn.MINIFS($M:$M,$E:$E,$E677,$K:$K,$K677,$M:$M,"&gt;"&amp;$O677),"")</f>
        <v/>
      </c>
      <c r="Q677" s="396">
        <f>IF($P677="","",$P677-$O677)</f>
        <v/>
      </c>
    </row>
    <row r="678" ht="15" customHeight="1" s="231">
      <c r="A678" s="397" t="n"/>
      <c r="B678" s="397" t="n"/>
      <c r="C678" s="397" t="n"/>
      <c r="D678" s="397" t="n"/>
      <c r="E678" s="397" t="n"/>
      <c r="F678" s="397" t="n"/>
      <c r="G678" s="397" t="n"/>
      <c r="I678" s="397" t="n"/>
      <c r="J678" s="397" t="n"/>
      <c r="K678" s="395">
        <f>DATE(VALUE(LEFT(A678,4)),VALUE(MID(A678,5,2)),VALUE(RIGHT(A678,2)))</f>
        <v/>
      </c>
      <c r="L678" s="395">
        <f>DATEVALUE(LEFT(F678,10))</f>
        <v/>
      </c>
      <c r="M678" s="396">
        <f>TIMEVALUE(MID(F678,12,8))</f>
        <v/>
      </c>
      <c r="N678" s="395">
        <f>DATEVALUE(LEFT(G678,10))</f>
        <v/>
      </c>
      <c r="O678" s="396">
        <f>TIMEVALUE(MID(G678,12,8))</f>
        <v/>
      </c>
      <c r="P678" s="396">
        <f>IFERROR(_xlfn.MINIFS($M:$M,$E:$E,$E678,$K:$K,$K678,$M:$M,"&gt;"&amp;$O678),"")</f>
        <v/>
      </c>
      <c r="Q678" s="396">
        <f>IF($P678="","",$P678-$O678)</f>
        <v/>
      </c>
    </row>
    <row r="679" ht="15" customHeight="1" s="231">
      <c r="A679" s="397" t="n"/>
      <c r="B679" s="397" t="n"/>
      <c r="C679" s="397" t="n"/>
      <c r="D679" s="397" t="n"/>
      <c r="E679" s="397" t="n"/>
      <c r="F679" s="397" t="n"/>
      <c r="G679" s="397" t="n"/>
      <c r="I679" s="397" t="n"/>
      <c r="J679" s="397" t="n"/>
      <c r="K679" s="395">
        <f>DATE(VALUE(LEFT(A679,4)),VALUE(MID(A679,5,2)),VALUE(RIGHT(A679,2)))</f>
        <v/>
      </c>
      <c r="L679" s="395">
        <f>DATEVALUE(LEFT(F679,10))</f>
        <v/>
      </c>
      <c r="M679" s="396">
        <f>TIMEVALUE(MID(F679,12,8))</f>
        <v/>
      </c>
      <c r="N679" s="395">
        <f>DATEVALUE(LEFT(G679,10))</f>
        <v/>
      </c>
      <c r="O679" s="396">
        <f>TIMEVALUE(MID(G679,12,8))</f>
        <v/>
      </c>
      <c r="P679" s="396">
        <f>IFERROR(_xlfn.MINIFS($M:$M,$E:$E,$E679,$K:$K,$K679,$M:$M,"&gt;"&amp;$O679),"")</f>
        <v/>
      </c>
      <c r="Q679" s="396">
        <f>IF($P679="","",$P679-$O679)</f>
        <v/>
      </c>
    </row>
    <row r="680" ht="15" customHeight="1" s="231">
      <c r="A680" s="397" t="n"/>
      <c r="B680" s="397" t="n"/>
      <c r="C680" s="397" t="n"/>
      <c r="D680" s="397" t="n"/>
      <c r="E680" s="397" t="n"/>
      <c r="F680" s="397" t="n"/>
      <c r="G680" s="397" t="n"/>
      <c r="I680" s="397" t="n"/>
      <c r="J680" s="397" t="n"/>
      <c r="K680" s="395">
        <f>DATE(VALUE(LEFT(A680,4)),VALUE(MID(A680,5,2)),VALUE(RIGHT(A680,2)))</f>
        <v/>
      </c>
      <c r="L680" s="395">
        <f>DATEVALUE(LEFT(F680,10))</f>
        <v/>
      </c>
      <c r="M680" s="396">
        <f>TIMEVALUE(MID(F680,12,8))</f>
        <v/>
      </c>
      <c r="N680" s="395">
        <f>DATEVALUE(LEFT(G680,10))</f>
        <v/>
      </c>
      <c r="O680" s="396">
        <f>TIMEVALUE(MID(G680,12,8))</f>
        <v/>
      </c>
      <c r="P680" s="396">
        <f>IFERROR(_xlfn.MINIFS($M:$M,$E:$E,$E680,$K:$K,$K680,$M:$M,"&gt;"&amp;$O680),"")</f>
        <v/>
      </c>
      <c r="Q680" s="396">
        <f>IF($P680="","",$P680-$O680)</f>
        <v/>
      </c>
    </row>
    <row r="681" ht="15" customHeight="1" s="231">
      <c r="A681" s="397" t="n"/>
      <c r="B681" s="397" t="n"/>
      <c r="C681" s="397" t="n"/>
      <c r="D681" s="397" t="n"/>
      <c r="E681" s="397" t="n"/>
      <c r="F681" s="397" t="n"/>
      <c r="G681" s="397" t="n"/>
      <c r="I681" s="397" t="n"/>
      <c r="J681" s="397" t="n"/>
      <c r="K681" s="395">
        <f>DATE(VALUE(LEFT(A681,4)),VALUE(MID(A681,5,2)),VALUE(RIGHT(A681,2)))</f>
        <v/>
      </c>
      <c r="L681" s="395">
        <f>DATEVALUE(LEFT(F681,10))</f>
        <v/>
      </c>
      <c r="M681" s="396">
        <f>TIMEVALUE(MID(F681,12,8))</f>
        <v/>
      </c>
      <c r="N681" s="395">
        <f>DATEVALUE(LEFT(G681,10))</f>
        <v/>
      </c>
      <c r="O681" s="396">
        <f>TIMEVALUE(MID(G681,12,8))</f>
        <v/>
      </c>
      <c r="P681" s="396">
        <f>IFERROR(_xlfn.MINIFS($M:$M,$E:$E,$E681,$K:$K,$K681,$M:$M,"&gt;"&amp;$O681),"")</f>
        <v/>
      </c>
      <c r="Q681" s="396">
        <f>IF($P681="","",$P681-$O681)</f>
        <v/>
      </c>
    </row>
    <row r="682" ht="15" customHeight="1" s="231">
      <c r="A682" s="397" t="n"/>
      <c r="B682" s="397" t="n"/>
      <c r="C682" s="397" t="n"/>
      <c r="D682" s="397" t="n"/>
      <c r="E682" s="397" t="n"/>
      <c r="F682" s="397" t="n"/>
      <c r="G682" s="397" t="n"/>
      <c r="I682" s="397" t="n"/>
      <c r="J682" s="397" t="n"/>
      <c r="K682" s="395">
        <f>DATE(VALUE(LEFT(A682,4)),VALUE(MID(A682,5,2)),VALUE(RIGHT(A682,2)))</f>
        <v/>
      </c>
      <c r="L682" s="395">
        <f>DATEVALUE(LEFT(F682,10))</f>
        <v/>
      </c>
      <c r="M682" s="396">
        <f>TIMEVALUE(MID(F682,12,8))</f>
        <v/>
      </c>
      <c r="N682" s="395">
        <f>DATEVALUE(LEFT(G682,10))</f>
        <v/>
      </c>
      <c r="O682" s="396">
        <f>TIMEVALUE(MID(G682,12,8))</f>
        <v/>
      </c>
      <c r="P682" s="396">
        <f>IFERROR(_xlfn.MINIFS($M:$M,$E:$E,$E682,$K:$K,$K682,$M:$M,"&gt;"&amp;$O682),"")</f>
        <v/>
      </c>
      <c r="Q682" s="396">
        <f>IF($P682="","",$P682-$O682)</f>
        <v/>
      </c>
    </row>
    <row r="683" ht="15" customHeight="1" s="231">
      <c r="A683" s="397" t="n"/>
      <c r="B683" s="397" t="n"/>
      <c r="C683" s="397" t="n"/>
      <c r="D683" s="397" t="n"/>
      <c r="E683" s="397" t="n"/>
      <c r="F683" s="397" t="n"/>
      <c r="G683" s="397" t="n"/>
      <c r="I683" s="397" t="n"/>
      <c r="J683" s="397" t="n"/>
      <c r="K683" s="395">
        <f>DATE(VALUE(LEFT(A683,4)),VALUE(MID(A683,5,2)),VALUE(RIGHT(A683,2)))</f>
        <v/>
      </c>
      <c r="L683" s="395">
        <f>DATEVALUE(LEFT(F683,10))</f>
        <v/>
      </c>
      <c r="M683" s="396">
        <f>TIMEVALUE(MID(F683,12,8))</f>
        <v/>
      </c>
      <c r="N683" s="395">
        <f>DATEVALUE(LEFT(G683,10))</f>
        <v/>
      </c>
      <c r="O683" s="396">
        <f>TIMEVALUE(MID(G683,12,8))</f>
        <v/>
      </c>
      <c r="P683" s="396">
        <f>IFERROR(_xlfn.MINIFS($M:$M,$E:$E,$E683,$K:$K,$K683,$M:$M,"&gt;"&amp;$O683),"")</f>
        <v/>
      </c>
      <c r="Q683" s="396">
        <f>IF($P683="","",$P683-$O683)</f>
        <v/>
      </c>
    </row>
    <row r="684" ht="15" customHeight="1" s="231">
      <c r="A684" s="397" t="n"/>
      <c r="B684" s="397" t="n"/>
      <c r="C684" s="397" t="n"/>
      <c r="D684" s="397" t="n"/>
      <c r="E684" s="397" t="n"/>
      <c r="F684" s="397" t="n"/>
      <c r="G684" s="397" t="n"/>
      <c r="I684" s="397" t="n"/>
      <c r="J684" s="397" t="n"/>
      <c r="K684" s="395">
        <f>DATE(VALUE(LEFT(A684,4)),VALUE(MID(A684,5,2)),VALUE(RIGHT(A684,2)))</f>
        <v/>
      </c>
      <c r="L684" s="395">
        <f>DATEVALUE(LEFT(F684,10))</f>
        <v/>
      </c>
      <c r="M684" s="396">
        <f>TIMEVALUE(MID(F684,12,8))</f>
        <v/>
      </c>
      <c r="N684" s="395">
        <f>DATEVALUE(LEFT(G684,10))</f>
        <v/>
      </c>
      <c r="O684" s="396">
        <f>TIMEVALUE(MID(G684,12,8))</f>
        <v/>
      </c>
      <c r="P684" s="396">
        <f>IFERROR(_xlfn.MINIFS($M:$M,$E:$E,$E684,$K:$K,$K684,$M:$M,"&gt;"&amp;$O684),"")</f>
        <v/>
      </c>
      <c r="Q684" s="396">
        <f>IF($P684="","",$P684-$O684)</f>
        <v/>
      </c>
    </row>
    <row r="685" ht="15" customHeight="1" s="231">
      <c r="A685" s="397" t="n"/>
      <c r="B685" s="397" t="n"/>
      <c r="C685" s="397" t="n"/>
      <c r="D685" s="397" t="n"/>
      <c r="E685" s="397" t="n"/>
      <c r="F685" s="397" t="n"/>
      <c r="G685" s="397" t="n"/>
      <c r="I685" s="397" t="n"/>
      <c r="J685" s="397" t="n"/>
      <c r="K685" s="395">
        <f>DATE(VALUE(LEFT(A685,4)),VALUE(MID(A685,5,2)),VALUE(RIGHT(A685,2)))</f>
        <v/>
      </c>
      <c r="L685" s="395">
        <f>DATEVALUE(LEFT(F685,10))</f>
        <v/>
      </c>
      <c r="M685" s="396">
        <f>TIMEVALUE(MID(F685,12,8))</f>
        <v/>
      </c>
      <c r="N685" s="395">
        <f>DATEVALUE(LEFT(G685,10))</f>
        <v/>
      </c>
      <c r="O685" s="396">
        <f>TIMEVALUE(MID(G685,12,8))</f>
        <v/>
      </c>
      <c r="P685" s="396">
        <f>IFERROR(_xlfn.MINIFS($M:$M,$E:$E,$E685,$K:$K,$K685,$M:$M,"&gt;"&amp;$O685),"")</f>
        <v/>
      </c>
      <c r="Q685" s="396">
        <f>IF($P685="","",$P685-$O685)</f>
        <v/>
      </c>
    </row>
    <row r="686" ht="15" customHeight="1" s="231">
      <c r="A686" s="397" t="n"/>
      <c r="B686" s="397" t="n"/>
      <c r="C686" s="397" t="n"/>
      <c r="D686" s="397" t="n"/>
      <c r="E686" s="397" t="n"/>
      <c r="F686" s="397" t="n"/>
      <c r="G686" s="397" t="n"/>
      <c r="I686" s="397" t="n"/>
      <c r="J686" s="397" t="n"/>
      <c r="K686" s="395">
        <f>DATE(VALUE(LEFT(A686,4)),VALUE(MID(A686,5,2)),VALUE(RIGHT(A686,2)))</f>
        <v/>
      </c>
      <c r="L686" s="395">
        <f>DATEVALUE(LEFT(F686,10))</f>
        <v/>
      </c>
      <c r="M686" s="396">
        <f>TIMEVALUE(MID(F686,12,8))</f>
        <v/>
      </c>
      <c r="N686" s="395">
        <f>DATEVALUE(LEFT(G686,10))</f>
        <v/>
      </c>
      <c r="O686" s="396">
        <f>TIMEVALUE(MID(G686,12,8))</f>
        <v/>
      </c>
      <c r="P686" s="396">
        <f>IFERROR(_xlfn.MINIFS($M:$M,$E:$E,$E686,$K:$K,$K686,$M:$M,"&gt;"&amp;$O686),"")</f>
        <v/>
      </c>
      <c r="Q686" s="396">
        <f>IF($P686="","",$P686-$O686)</f>
        <v/>
      </c>
    </row>
    <row r="687" ht="15" customHeight="1" s="231">
      <c r="A687" s="397" t="n"/>
      <c r="B687" s="397" t="n"/>
      <c r="C687" s="397" t="n"/>
      <c r="D687" s="397" t="n"/>
      <c r="E687" s="397" t="n"/>
      <c r="F687" s="397" t="n"/>
      <c r="G687" s="397" t="n"/>
      <c r="I687" s="397" t="n"/>
      <c r="J687" s="397" t="n"/>
      <c r="K687" s="395">
        <f>DATE(VALUE(LEFT(A687,4)),VALUE(MID(A687,5,2)),VALUE(RIGHT(A687,2)))</f>
        <v/>
      </c>
      <c r="L687" s="395">
        <f>DATEVALUE(LEFT(F687,10))</f>
        <v/>
      </c>
      <c r="M687" s="396">
        <f>TIMEVALUE(MID(F687,12,8))</f>
        <v/>
      </c>
      <c r="N687" s="395">
        <f>DATEVALUE(LEFT(G687,10))</f>
        <v/>
      </c>
      <c r="O687" s="396">
        <f>TIMEVALUE(MID(G687,12,8))</f>
        <v/>
      </c>
      <c r="P687" s="396">
        <f>IFERROR(_xlfn.MINIFS($M:$M,$E:$E,$E687,$K:$K,$K687,$M:$M,"&gt;"&amp;$O687),"")</f>
        <v/>
      </c>
      <c r="Q687" s="396">
        <f>IF($P687="","",$P687-$O687)</f>
        <v/>
      </c>
    </row>
    <row r="688" ht="15" customHeight="1" s="231">
      <c r="A688" s="397" t="n"/>
      <c r="B688" s="397" t="n"/>
      <c r="C688" s="397" t="n"/>
      <c r="D688" s="397" t="n"/>
      <c r="E688" s="397" t="n"/>
      <c r="F688" s="397" t="n"/>
      <c r="G688" s="397" t="n"/>
      <c r="I688" s="397" t="n"/>
      <c r="J688" s="397" t="n"/>
      <c r="K688" s="395">
        <f>DATE(VALUE(LEFT(A688,4)),VALUE(MID(A688,5,2)),VALUE(RIGHT(A688,2)))</f>
        <v/>
      </c>
      <c r="L688" s="395">
        <f>DATEVALUE(LEFT(F688,10))</f>
        <v/>
      </c>
      <c r="M688" s="396">
        <f>TIMEVALUE(MID(F688,12,8))</f>
        <v/>
      </c>
      <c r="N688" s="395">
        <f>DATEVALUE(LEFT(G688,10))</f>
        <v/>
      </c>
      <c r="O688" s="396">
        <f>TIMEVALUE(MID(G688,12,8))</f>
        <v/>
      </c>
      <c r="P688" s="396">
        <f>IFERROR(_xlfn.MINIFS($M:$M,$E:$E,$E688,$K:$K,$K688,$M:$M,"&gt;"&amp;$O688),"")</f>
        <v/>
      </c>
      <c r="Q688" s="396">
        <f>IF($P688="","",$P688-$O688)</f>
        <v/>
      </c>
    </row>
    <row r="689" ht="15" customHeight="1" s="231">
      <c r="A689" s="397" t="n"/>
      <c r="B689" s="397" t="n"/>
      <c r="C689" s="397" t="n"/>
      <c r="D689" s="397" t="n"/>
      <c r="E689" s="397" t="n"/>
      <c r="F689" s="397" t="n"/>
      <c r="G689" s="397" t="n"/>
      <c r="I689" s="397" t="n"/>
      <c r="J689" s="397" t="n"/>
      <c r="K689" s="395">
        <f>DATE(VALUE(LEFT(A689,4)),VALUE(MID(A689,5,2)),VALUE(RIGHT(A689,2)))</f>
        <v/>
      </c>
      <c r="L689" s="395">
        <f>DATEVALUE(LEFT(F689,10))</f>
        <v/>
      </c>
      <c r="M689" s="396">
        <f>TIMEVALUE(MID(F689,12,8))</f>
        <v/>
      </c>
      <c r="N689" s="395">
        <f>DATEVALUE(LEFT(G689,10))</f>
        <v/>
      </c>
      <c r="O689" s="396">
        <f>TIMEVALUE(MID(G689,12,8))</f>
        <v/>
      </c>
      <c r="P689" s="396">
        <f>IFERROR(_xlfn.MINIFS($M:$M,$E:$E,$E689,$K:$K,$K689,$M:$M,"&gt;"&amp;$O689),"")</f>
        <v/>
      </c>
      <c r="Q689" s="396">
        <f>IF($P689="","",$P689-$O689)</f>
        <v/>
      </c>
    </row>
    <row r="690" ht="15" customHeight="1" s="231">
      <c r="A690" s="397" t="n"/>
      <c r="B690" s="397" t="n"/>
      <c r="C690" s="397" t="n"/>
      <c r="D690" s="397" t="n"/>
      <c r="E690" s="397" t="n"/>
      <c r="F690" s="397" t="n"/>
      <c r="G690" s="397" t="n"/>
      <c r="I690" s="397" t="n"/>
      <c r="J690" s="397" t="n"/>
      <c r="K690" s="395">
        <f>DATE(VALUE(LEFT(A690,4)),VALUE(MID(A690,5,2)),VALUE(RIGHT(A690,2)))</f>
        <v/>
      </c>
      <c r="L690" s="395">
        <f>DATEVALUE(LEFT(F690,10))</f>
        <v/>
      </c>
      <c r="M690" s="396">
        <f>TIMEVALUE(MID(F690,12,8))</f>
        <v/>
      </c>
      <c r="N690" s="395">
        <f>DATEVALUE(LEFT(G690,10))</f>
        <v/>
      </c>
      <c r="O690" s="396">
        <f>TIMEVALUE(MID(G690,12,8))</f>
        <v/>
      </c>
      <c r="P690" s="396">
        <f>IFERROR(_xlfn.MINIFS($M:$M,$E:$E,$E690,$K:$K,$K690,$M:$M,"&gt;"&amp;$O690),"")</f>
        <v/>
      </c>
      <c r="Q690" s="396">
        <f>IF($P690="","",$P690-$O690)</f>
        <v/>
      </c>
    </row>
    <row r="691" ht="15" customHeight="1" s="231">
      <c r="A691" s="397" t="n"/>
      <c r="B691" s="397" t="n"/>
      <c r="C691" s="397" t="n"/>
      <c r="D691" s="397" t="n"/>
      <c r="E691" s="397" t="n"/>
      <c r="F691" s="397" t="n"/>
      <c r="G691" s="397" t="n"/>
      <c r="I691" s="397" t="n"/>
      <c r="J691" s="397" t="n"/>
      <c r="K691" s="395">
        <f>DATE(VALUE(LEFT(A691,4)),VALUE(MID(A691,5,2)),VALUE(RIGHT(A691,2)))</f>
        <v/>
      </c>
      <c r="L691" s="395">
        <f>DATEVALUE(LEFT(F691,10))</f>
        <v/>
      </c>
      <c r="M691" s="396">
        <f>TIMEVALUE(MID(F691,12,8))</f>
        <v/>
      </c>
      <c r="N691" s="395">
        <f>DATEVALUE(LEFT(G691,10))</f>
        <v/>
      </c>
      <c r="O691" s="396">
        <f>TIMEVALUE(MID(G691,12,8))</f>
        <v/>
      </c>
      <c r="P691" s="396">
        <f>IFERROR(_xlfn.MINIFS($M:$M,$E:$E,$E691,$K:$K,$K691,$M:$M,"&gt;"&amp;$O691),"")</f>
        <v/>
      </c>
      <c r="Q691" s="396">
        <f>IF($P691="","",$P691-$O691)</f>
        <v/>
      </c>
    </row>
    <row r="692" ht="15" customHeight="1" s="231">
      <c r="A692" s="397" t="n"/>
      <c r="B692" s="397" t="n"/>
      <c r="C692" s="397" t="n"/>
      <c r="D692" s="397" t="n"/>
      <c r="E692" s="397" t="n"/>
      <c r="F692" s="397" t="n"/>
      <c r="G692" s="397" t="n"/>
      <c r="I692" s="397" t="n"/>
      <c r="J692" s="397" t="n"/>
      <c r="K692" s="395">
        <f>DATE(VALUE(LEFT(A692,4)),VALUE(MID(A692,5,2)),VALUE(RIGHT(A692,2)))</f>
        <v/>
      </c>
      <c r="L692" s="395">
        <f>DATEVALUE(LEFT(F692,10))</f>
        <v/>
      </c>
      <c r="M692" s="396">
        <f>TIMEVALUE(MID(F692,12,8))</f>
        <v/>
      </c>
      <c r="N692" s="395">
        <f>DATEVALUE(LEFT(G692,10))</f>
        <v/>
      </c>
      <c r="O692" s="396">
        <f>TIMEVALUE(MID(G692,12,8))</f>
        <v/>
      </c>
      <c r="P692" s="396">
        <f>IFERROR(_xlfn.MINIFS($M:$M,$E:$E,$E692,$K:$K,$K692,$M:$M,"&gt;"&amp;$O692),"")</f>
        <v/>
      </c>
      <c r="Q692" s="396">
        <f>IF($P692="","",$P692-$O692)</f>
        <v/>
      </c>
    </row>
    <row r="693" ht="15" customHeight="1" s="231">
      <c r="A693" s="397" t="n"/>
      <c r="B693" s="397" t="n"/>
      <c r="C693" s="397" t="n"/>
      <c r="D693" s="397" t="n"/>
      <c r="E693" s="397" t="n"/>
      <c r="F693" s="397" t="n"/>
      <c r="G693" s="397" t="n"/>
      <c r="I693" s="397" t="n"/>
      <c r="J693" s="397" t="n"/>
      <c r="K693" s="395">
        <f>DATE(VALUE(LEFT(A693,4)),VALUE(MID(A693,5,2)),VALUE(RIGHT(A693,2)))</f>
        <v/>
      </c>
      <c r="L693" s="395">
        <f>DATEVALUE(LEFT(F693,10))</f>
        <v/>
      </c>
      <c r="M693" s="396">
        <f>TIMEVALUE(MID(F693,12,8))</f>
        <v/>
      </c>
      <c r="N693" s="395">
        <f>DATEVALUE(LEFT(G693,10))</f>
        <v/>
      </c>
      <c r="O693" s="396">
        <f>TIMEVALUE(MID(G693,12,8))</f>
        <v/>
      </c>
      <c r="P693" s="396">
        <f>IFERROR(_xlfn.MINIFS($M:$M,$E:$E,$E693,$K:$K,$K693,$M:$M,"&gt;"&amp;$O693),"")</f>
        <v/>
      </c>
      <c r="Q693" s="396">
        <f>IF($P693="","",$P693-$O693)</f>
        <v/>
      </c>
    </row>
    <row r="694" ht="15" customHeight="1" s="231">
      <c r="A694" s="397" t="n"/>
      <c r="B694" s="397" t="n"/>
      <c r="C694" s="397" t="n"/>
      <c r="D694" s="397" t="n"/>
      <c r="E694" s="397" t="n"/>
      <c r="F694" s="397" t="n"/>
      <c r="G694" s="397" t="n"/>
      <c r="I694" s="397" t="n"/>
      <c r="J694" s="397" t="n"/>
      <c r="K694" s="395">
        <f>DATE(VALUE(LEFT(A694,4)),VALUE(MID(A694,5,2)),VALUE(RIGHT(A694,2)))</f>
        <v/>
      </c>
      <c r="L694" s="395">
        <f>DATEVALUE(LEFT(F694,10))</f>
        <v/>
      </c>
      <c r="M694" s="396">
        <f>TIMEVALUE(MID(F694,12,8))</f>
        <v/>
      </c>
      <c r="N694" s="395">
        <f>DATEVALUE(LEFT(G694,10))</f>
        <v/>
      </c>
      <c r="O694" s="396">
        <f>TIMEVALUE(MID(G694,12,8))</f>
        <v/>
      </c>
      <c r="P694" s="396">
        <f>IFERROR(_xlfn.MINIFS($M:$M,$E:$E,$E694,$K:$K,$K694,$M:$M,"&gt;"&amp;$O694),"")</f>
        <v/>
      </c>
      <c r="Q694" s="396">
        <f>IF($P694="","",$P694-$O694)</f>
        <v/>
      </c>
    </row>
    <row r="695" ht="15" customHeight="1" s="231">
      <c r="A695" s="397" t="n"/>
      <c r="B695" s="397" t="n"/>
      <c r="C695" s="397" t="n"/>
      <c r="D695" s="397" t="n"/>
      <c r="E695" s="397" t="n"/>
      <c r="F695" s="397" t="n"/>
      <c r="G695" s="397" t="n"/>
      <c r="I695" s="397" t="n"/>
      <c r="J695" s="397" t="n"/>
      <c r="K695" s="395">
        <f>DATE(VALUE(LEFT(A695,4)),VALUE(MID(A695,5,2)),VALUE(RIGHT(A695,2)))</f>
        <v/>
      </c>
      <c r="L695" s="395">
        <f>DATEVALUE(LEFT(F695,10))</f>
        <v/>
      </c>
      <c r="M695" s="396">
        <f>TIMEVALUE(MID(F695,12,8))</f>
        <v/>
      </c>
      <c r="N695" s="395">
        <f>DATEVALUE(LEFT(G695,10))</f>
        <v/>
      </c>
      <c r="O695" s="396">
        <f>TIMEVALUE(MID(G695,12,8))</f>
        <v/>
      </c>
      <c r="P695" s="396">
        <f>IFERROR(_xlfn.MINIFS($M:$M,$E:$E,$E695,$K:$K,$K695,$M:$M,"&gt;"&amp;$O695),"")</f>
        <v/>
      </c>
      <c r="Q695" s="396">
        <f>IF($P695="","",$P695-$O695)</f>
        <v/>
      </c>
    </row>
    <row r="696" ht="15" customHeight="1" s="231">
      <c r="A696" s="397" t="n"/>
      <c r="B696" s="397" t="n"/>
      <c r="C696" s="397" t="n"/>
      <c r="D696" s="397" t="n"/>
      <c r="E696" s="397" t="n"/>
      <c r="F696" s="397" t="n"/>
      <c r="G696" s="397" t="n"/>
      <c r="I696" s="397" t="n"/>
      <c r="J696" s="397" t="n"/>
      <c r="K696" s="395">
        <f>DATE(VALUE(LEFT(A696,4)),VALUE(MID(A696,5,2)),VALUE(RIGHT(A696,2)))</f>
        <v/>
      </c>
      <c r="L696" s="395">
        <f>DATEVALUE(LEFT(F696,10))</f>
        <v/>
      </c>
      <c r="M696" s="396">
        <f>TIMEVALUE(MID(F696,12,8))</f>
        <v/>
      </c>
      <c r="N696" s="395">
        <f>DATEVALUE(LEFT(G696,10))</f>
        <v/>
      </c>
      <c r="O696" s="396">
        <f>TIMEVALUE(MID(G696,12,8))</f>
        <v/>
      </c>
      <c r="P696" s="396">
        <f>IFERROR(_xlfn.MINIFS($M:$M,$E:$E,$E696,$K:$K,$K696,$M:$M,"&gt;"&amp;$O696),"")</f>
        <v/>
      </c>
      <c r="Q696" s="396">
        <f>IF($P696="","",$P696-$O696)</f>
        <v/>
      </c>
    </row>
    <row r="697" ht="15" customHeight="1" s="231">
      <c r="A697" s="397" t="n"/>
      <c r="B697" s="397" t="n"/>
      <c r="C697" s="397" t="n"/>
      <c r="D697" s="397" t="n"/>
      <c r="E697" s="397" t="n"/>
      <c r="F697" s="397" t="n"/>
      <c r="G697" s="397" t="n"/>
      <c r="I697" s="397" t="n"/>
      <c r="J697" s="397" t="n"/>
      <c r="K697" s="395">
        <f>DATE(VALUE(LEFT(A697,4)),VALUE(MID(A697,5,2)),VALUE(RIGHT(A697,2)))</f>
        <v/>
      </c>
      <c r="L697" s="395">
        <f>DATEVALUE(LEFT(F697,10))</f>
        <v/>
      </c>
      <c r="M697" s="396">
        <f>TIMEVALUE(MID(F697,12,8))</f>
        <v/>
      </c>
      <c r="N697" s="395">
        <f>DATEVALUE(LEFT(G697,10))</f>
        <v/>
      </c>
      <c r="O697" s="396">
        <f>TIMEVALUE(MID(G697,12,8))</f>
        <v/>
      </c>
      <c r="P697" s="396">
        <f>IFERROR(_xlfn.MINIFS($M:$M,$E:$E,$E697,$K:$K,$K697,$M:$M,"&gt;"&amp;$O697),"")</f>
        <v/>
      </c>
      <c r="Q697" s="396">
        <f>IF($P697="","",$P697-$O697)</f>
        <v/>
      </c>
    </row>
    <row r="698" ht="15" customHeight="1" s="231">
      <c r="A698" s="397" t="n"/>
      <c r="B698" s="397" t="n"/>
      <c r="C698" s="397" t="n"/>
      <c r="D698" s="397" t="n"/>
      <c r="E698" s="397" t="n"/>
      <c r="F698" s="397" t="n"/>
      <c r="G698" s="397" t="n"/>
      <c r="I698" s="397" t="n"/>
      <c r="J698" s="397" t="n"/>
      <c r="K698" s="395">
        <f>DATE(VALUE(LEFT(A698,4)),VALUE(MID(A698,5,2)),VALUE(RIGHT(A698,2)))</f>
        <v/>
      </c>
      <c r="L698" s="395">
        <f>DATEVALUE(LEFT(F698,10))</f>
        <v/>
      </c>
      <c r="M698" s="396">
        <f>TIMEVALUE(MID(F698,12,8))</f>
        <v/>
      </c>
      <c r="N698" s="395">
        <f>DATEVALUE(LEFT(G698,10))</f>
        <v/>
      </c>
      <c r="O698" s="396">
        <f>TIMEVALUE(MID(G698,12,8))</f>
        <v/>
      </c>
      <c r="P698" s="396">
        <f>IFERROR(_xlfn.MINIFS($M:$M,$E:$E,$E698,$K:$K,$K698,$M:$M,"&gt;"&amp;$O698),"")</f>
        <v/>
      </c>
      <c r="Q698" s="396">
        <f>IF($P698="","",$P698-$O698)</f>
        <v/>
      </c>
    </row>
    <row r="699" ht="15" customHeight="1" s="231">
      <c r="A699" s="397" t="n"/>
      <c r="B699" s="397" t="n"/>
      <c r="C699" s="397" t="n"/>
      <c r="D699" s="397" t="n"/>
      <c r="E699" s="397" t="n"/>
      <c r="F699" s="397" t="n"/>
      <c r="G699" s="397" t="n"/>
      <c r="I699" s="397" t="n"/>
      <c r="J699" s="397" t="n"/>
      <c r="K699" s="395">
        <f>DATE(VALUE(LEFT(A699,4)),VALUE(MID(A699,5,2)),VALUE(RIGHT(A699,2)))</f>
        <v/>
      </c>
      <c r="L699" s="395">
        <f>DATEVALUE(LEFT(F699,10))</f>
        <v/>
      </c>
      <c r="M699" s="396">
        <f>TIMEVALUE(MID(F699,12,8))</f>
        <v/>
      </c>
      <c r="N699" s="395">
        <f>DATEVALUE(LEFT(G699,10))</f>
        <v/>
      </c>
      <c r="O699" s="396">
        <f>TIMEVALUE(MID(G699,12,8))</f>
        <v/>
      </c>
      <c r="P699" s="396">
        <f>IFERROR(_xlfn.MINIFS($M:$M,$E:$E,$E699,$K:$K,$K699,$M:$M,"&gt;"&amp;$O699),"")</f>
        <v/>
      </c>
      <c r="Q699" s="396">
        <f>IF($P699="","",$P699-$O699)</f>
        <v/>
      </c>
    </row>
    <row r="700" ht="15" customHeight="1" s="231">
      <c r="A700" s="397" t="n"/>
      <c r="B700" s="397" t="n"/>
      <c r="C700" s="397" t="n"/>
      <c r="D700" s="397" t="n"/>
      <c r="E700" s="397" t="n"/>
      <c r="F700" s="397" t="n"/>
      <c r="G700" s="397" t="n"/>
      <c r="I700" s="397" t="n"/>
      <c r="J700" s="397" t="n"/>
      <c r="K700" s="395">
        <f>DATE(VALUE(LEFT(A700,4)),VALUE(MID(A700,5,2)),VALUE(RIGHT(A700,2)))</f>
        <v/>
      </c>
      <c r="L700" s="395">
        <f>DATEVALUE(LEFT(F700,10))</f>
        <v/>
      </c>
      <c r="M700" s="396">
        <f>TIMEVALUE(MID(F700,12,8))</f>
        <v/>
      </c>
      <c r="N700" s="395">
        <f>DATEVALUE(LEFT(G700,10))</f>
        <v/>
      </c>
      <c r="O700" s="396">
        <f>TIMEVALUE(MID(G700,12,8))</f>
        <v/>
      </c>
      <c r="P700" s="396">
        <f>IFERROR(_xlfn.MINIFS($M:$M,$E:$E,$E700,$K:$K,$K700,$M:$M,"&gt;"&amp;$O700),"")</f>
        <v/>
      </c>
      <c r="Q700" s="396">
        <f>IF($P700="","",$P700-$O700)</f>
        <v/>
      </c>
    </row>
    <row r="701" ht="15" customHeight="1" s="231">
      <c r="A701" s="397" t="n"/>
      <c r="B701" s="397" t="n"/>
      <c r="C701" s="397" t="n"/>
      <c r="D701" s="397" t="n"/>
      <c r="E701" s="397" t="n"/>
      <c r="F701" s="397" t="n"/>
      <c r="G701" s="397" t="n"/>
      <c r="I701" s="397" t="n"/>
      <c r="J701" s="397" t="n"/>
      <c r="K701" s="395">
        <f>DATE(VALUE(LEFT(A701,4)),VALUE(MID(A701,5,2)),VALUE(RIGHT(A701,2)))</f>
        <v/>
      </c>
      <c r="L701" s="395">
        <f>DATEVALUE(LEFT(F701,10))</f>
        <v/>
      </c>
      <c r="M701" s="396">
        <f>TIMEVALUE(MID(F701,12,8))</f>
        <v/>
      </c>
      <c r="N701" s="395">
        <f>DATEVALUE(LEFT(G701,10))</f>
        <v/>
      </c>
      <c r="O701" s="396">
        <f>TIMEVALUE(MID(G701,12,8))</f>
        <v/>
      </c>
      <c r="P701" s="396">
        <f>IFERROR(_xlfn.MINIFS($M:$M,$E:$E,$E701,$K:$K,$K701,$M:$M,"&gt;"&amp;$O701),"")</f>
        <v/>
      </c>
      <c r="Q701" s="396">
        <f>IF($P701="","",$P701-$O701)</f>
        <v/>
      </c>
    </row>
    <row r="702" ht="15" customHeight="1" s="231">
      <c r="A702" s="397" t="n"/>
      <c r="B702" s="397" t="n"/>
      <c r="C702" s="397" t="n"/>
      <c r="D702" s="397" t="n"/>
      <c r="E702" s="397" t="n"/>
      <c r="F702" s="397" t="n"/>
      <c r="G702" s="397" t="n"/>
      <c r="I702" s="397" t="n"/>
      <c r="J702" s="397" t="n"/>
      <c r="K702" s="395">
        <f>DATE(VALUE(LEFT(A702,4)),VALUE(MID(A702,5,2)),VALUE(RIGHT(A702,2)))</f>
        <v/>
      </c>
      <c r="L702" s="395">
        <f>DATEVALUE(LEFT(F702,10))</f>
        <v/>
      </c>
      <c r="M702" s="396">
        <f>TIMEVALUE(MID(F702,12,8))</f>
        <v/>
      </c>
      <c r="N702" s="395">
        <f>DATEVALUE(LEFT(G702,10))</f>
        <v/>
      </c>
      <c r="O702" s="396">
        <f>TIMEVALUE(MID(G702,12,8))</f>
        <v/>
      </c>
      <c r="P702" s="396">
        <f>IFERROR(_xlfn.MINIFS($M:$M,$E:$E,$E702,$K:$K,$K702,$M:$M,"&gt;"&amp;$O702),"")</f>
        <v/>
      </c>
      <c r="Q702" s="396">
        <f>IF($P702="","",$P702-$O702)</f>
        <v/>
      </c>
    </row>
    <row r="703" ht="15" customHeight="1" s="231">
      <c r="A703" s="397" t="n"/>
      <c r="B703" s="397" t="n"/>
      <c r="C703" s="397" t="n"/>
      <c r="D703" s="397" t="n"/>
      <c r="E703" s="397" t="n"/>
      <c r="F703" s="397" t="n"/>
      <c r="G703" s="397" t="n"/>
      <c r="I703" s="397" t="n"/>
      <c r="J703" s="397" t="n"/>
      <c r="K703" s="395">
        <f>DATE(VALUE(LEFT(A703,4)),VALUE(MID(A703,5,2)),VALUE(RIGHT(A703,2)))</f>
        <v/>
      </c>
      <c r="L703" s="395">
        <f>DATEVALUE(LEFT(F703,10))</f>
        <v/>
      </c>
      <c r="M703" s="396">
        <f>TIMEVALUE(MID(F703,12,8))</f>
        <v/>
      </c>
      <c r="N703" s="395">
        <f>DATEVALUE(LEFT(G703,10))</f>
        <v/>
      </c>
      <c r="O703" s="396">
        <f>TIMEVALUE(MID(G703,12,8))</f>
        <v/>
      </c>
      <c r="P703" s="396">
        <f>IFERROR(_xlfn.MINIFS($M:$M,$E:$E,$E703,$K:$K,$K703,$M:$M,"&gt;"&amp;$O703),"")</f>
        <v/>
      </c>
      <c r="Q703" s="396">
        <f>IF($P703="","",$P703-$O703)</f>
        <v/>
      </c>
    </row>
    <row r="704" ht="15" customHeight="1" s="231">
      <c r="A704" s="397" t="n"/>
      <c r="B704" s="397" t="n"/>
      <c r="C704" s="397" t="n"/>
      <c r="D704" s="397" t="n"/>
      <c r="E704" s="397" t="n"/>
      <c r="F704" s="397" t="n"/>
      <c r="G704" s="397" t="n"/>
      <c r="I704" s="397" t="n"/>
      <c r="J704" s="397" t="n"/>
      <c r="K704" s="395">
        <f>DATE(VALUE(LEFT(A704,4)),VALUE(MID(A704,5,2)),VALUE(RIGHT(A704,2)))</f>
        <v/>
      </c>
      <c r="L704" s="395">
        <f>DATEVALUE(LEFT(F704,10))</f>
        <v/>
      </c>
      <c r="M704" s="396">
        <f>TIMEVALUE(MID(F704,12,8))</f>
        <v/>
      </c>
      <c r="N704" s="395">
        <f>DATEVALUE(LEFT(G704,10))</f>
        <v/>
      </c>
      <c r="O704" s="396">
        <f>TIMEVALUE(MID(G704,12,8))</f>
        <v/>
      </c>
      <c r="P704" s="396">
        <f>IFERROR(_xlfn.MINIFS($M:$M,$E:$E,$E704,$K:$K,$K704,$M:$M,"&gt;"&amp;$O704),"")</f>
        <v/>
      </c>
      <c r="Q704" s="396">
        <f>IF($P704="","",$P704-$O704)</f>
        <v/>
      </c>
    </row>
    <row r="705" ht="15" customHeight="1" s="231">
      <c r="A705" s="397" t="n"/>
      <c r="B705" s="397" t="n"/>
      <c r="C705" s="397" t="n"/>
      <c r="D705" s="397" t="n"/>
      <c r="E705" s="397" t="n"/>
      <c r="F705" s="397" t="n"/>
      <c r="G705" s="397" t="n"/>
      <c r="I705" s="397" t="n"/>
      <c r="J705" s="397" t="n"/>
      <c r="K705" s="395">
        <f>DATE(VALUE(LEFT(A705,4)),VALUE(MID(A705,5,2)),VALUE(RIGHT(A705,2)))</f>
        <v/>
      </c>
      <c r="L705" s="395">
        <f>DATEVALUE(LEFT(F705,10))</f>
        <v/>
      </c>
      <c r="M705" s="396">
        <f>TIMEVALUE(MID(F705,12,8))</f>
        <v/>
      </c>
      <c r="N705" s="395">
        <f>DATEVALUE(LEFT(G705,10))</f>
        <v/>
      </c>
      <c r="O705" s="396">
        <f>TIMEVALUE(MID(G705,12,8))</f>
        <v/>
      </c>
      <c r="P705" s="396">
        <f>IFERROR(_xlfn.MINIFS($M:$M,$E:$E,$E705,$K:$K,$K705,$M:$M,"&gt;"&amp;$O705),"")</f>
        <v/>
      </c>
      <c r="Q705" s="396">
        <f>IF($P705="","",$P705-$O705)</f>
        <v/>
      </c>
    </row>
    <row r="706" ht="15" customHeight="1" s="231">
      <c r="A706" s="397" t="n"/>
      <c r="B706" s="397" t="n"/>
      <c r="C706" s="397" t="n"/>
      <c r="D706" s="397" t="n"/>
      <c r="E706" s="397" t="n"/>
      <c r="F706" s="397" t="n"/>
      <c r="G706" s="397" t="n"/>
      <c r="I706" s="397" t="n"/>
      <c r="J706" s="397" t="n"/>
      <c r="K706" s="395">
        <f>DATE(VALUE(LEFT(A706,4)),VALUE(MID(A706,5,2)),VALUE(RIGHT(A706,2)))</f>
        <v/>
      </c>
      <c r="L706" s="395">
        <f>DATEVALUE(LEFT(F706,10))</f>
        <v/>
      </c>
      <c r="M706" s="396">
        <f>TIMEVALUE(MID(F706,12,8))</f>
        <v/>
      </c>
      <c r="N706" s="395">
        <f>DATEVALUE(LEFT(G706,10))</f>
        <v/>
      </c>
      <c r="O706" s="396">
        <f>TIMEVALUE(MID(G706,12,8))</f>
        <v/>
      </c>
      <c r="P706" s="396">
        <f>IFERROR(_xlfn.MINIFS($M:$M,$E:$E,$E706,$K:$K,$K706,$M:$M,"&gt;"&amp;$O706),"")</f>
        <v/>
      </c>
      <c r="Q706" s="396">
        <f>IF($P706="","",$P706-$O706)</f>
        <v/>
      </c>
    </row>
    <row r="707" ht="15" customHeight="1" s="231">
      <c r="A707" s="397" t="n"/>
      <c r="B707" s="397" t="n"/>
      <c r="C707" s="397" t="n"/>
      <c r="D707" s="397" t="n"/>
      <c r="E707" s="397" t="n"/>
      <c r="F707" s="397" t="n"/>
      <c r="G707" s="397" t="n"/>
      <c r="I707" s="397" t="n"/>
      <c r="J707" s="397" t="n"/>
      <c r="K707" s="395">
        <f>DATE(VALUE(LEFT(A707,4)),VALUE(MID(A707,5,2)),VALUE(RIGHT(A707,2)))</f>
        <v/>
      </c>
      <c r="L707" s="395">
        <f>DATEVALUE(LEFT(F707,10))</f>
        <v/>
      </c>
      <c r="M707" s="396">
        <f>TIMEVALUE(MID(F707,12,8))</f>
        <v/>
      </c>
      <c r="N707" s="395">
        <f>DATEVALUE(LEFT(G707,10))</f>
        <v/>
      </c>
      <c r="O707" s="396">
        <f>TIMEVALUE(MID(G707,12,8))</f>
        <v/>
      </c>
      <c r="P707" s="396">
        <f>IFERROR(_xlfn.MINIFS($M:$M,$E:$E,$E707,$K:$K,$K707,$M:$M,"&gt;"&amp;$O707),"")</f>
        <v/>
      </c>
      <c r="Q707" s="396">
        <f>IF($P707="","",$P707-$O707)</f>
        <v/>
      </c>
    </row>
    <row r="708" ht="15" customHeight="1" s="231">
      <c r="A708" s="397" t="n"/>
      <c r="B708" s="397" t="n"/>
      <c r="C708" s="397" t="n"/>
      <c r="D708" s="397" t="n"/>
      <c r="E708" s="397" t="n"/>
      <c r="F708" s="397" t="n"/>
      <c r="G708" s="397" t="n"/>
      <c r="I708" s="397" t="n"/>
      <c r="J708" s="397" t="n"/>
      <c r="K708" s="395">
        <f>DATE(VALUE(LEFT(A708,4)),VALUE(MID(A708,5,2)),VALUE(RIGHT(A708,2)))</f>
        <v/>
      </c>
      <c r="L708" s="395">
        <f>DATEVALUE(LEFT(F708,10))</f>
        <v/>
      </c>
      <c r="M708" s="396">
        <f>TIMEVALUE(MID(F708,12,8))</f>
        <v/>
      </c>
      <c r="N708" s="395">
        <f>DATEVALUE(LEFT(G708,10))</f>
        <v/>
      </c>
      <c r="O708" s="396">
        <f>TIMEVALUE(MID(G708,12,8))</f>
        <v/>
      </c>
      <c r="P708" s="396">
        <f>IFERROR(_xlfn.MINIFS($M:$M,$E:$E,$E708,$K:$K,$K708,$M:$M,"&gt;"&amp;$O708),"")</f>
        <v/>
      </c>
      <c r="Q708" s="396">
        <f>IF($P708="","",$P708-$O708)</f>
        <v/>
      </c>
    </row>
    <row r="709" ht="15" customHeight="1" s="231">
      <c r="A709" s="397" t="n"/>
      <c r="B709" s="397" t="n"/>
      <c r="C709" s="397" t="n"/>
      <c r="D709" s="397" t="n"/>
      <c r="E709" s="397" t="n"/>
      <c r="F709" s="397" t="n"/>
      <c r="G709" s="397" t="n"/>
      <c r="I709" s="397" t="n"/>
      <c r="J709" s="397" t="n"/>
      <c r="K709" s="395">
        <f>DATE(VALUE(LEFT(A709,4)),VALUE(MID(A709,5,2)),VALUE(RIGHT(A709,2)))</f>
        <v/>
      </c>
      <c r="L709" s="395">
        <f>DATEVALUE(LEFT(F709,10))</f>
        <v/>
      </c>
      <c r="M709" s="396">
        <f>TIMEVALUE(MID(F709,12,8))</f>
        <v/>
      </c>
      <c r="N709" s="395">
        <f>DATEVALUE(LEFT(G709,10))</f>
        <v/>
      </c>
      <c r="O709" s="396">
        <f>TIMEVALUE(MID(G709,12,8))</f>
        <v/>
      </c>
      <c r="P709" s="396">
        <f>IFERROR(_xlfn.MINIFS($M:$M,$E:$E,$E709,$K:$K,$K709,$M:$M,"&gt;"&amp;$O709),"")</f>
        <v/>
      </c>
      <c r="Q709" s="396">
        <f>IF($P709="","",$P709-$O709)</f>
        <v/>
      </c>
    </row>
    <row r="710" ht="15" customHeight="1" s="231">
      <c r="A710" s="397" t="n"/>
      <c r="B710" s="397" t="n"/>
      <c r="C710" s="397" t="n"/>
      <c r="D710" s="397" t="n"/>
      <c r="E710" s="397" t="n"/>
      <c r="F710" s="397" t="n"/>
      <c r="G710" s="397" t="n"/>
      <c r="I710" s="397" t="n"/>
      <c r="J710" s="397" t="n"/>
      <c r="K710" s="395">
        <f>DATE(VALUE(LEFT(A710,4)),VALUE(MID(A710,5,2)),VALUE(RIGHT(A710,2)))</f>
        <v/>
      </c>
      <c r="L710" s="395">
        <f>DATEVALUE(LEFT(F710,10))</f>
        <v/>
      </c>
      <c r="M710" s="396">
        <f>TIMEVALUE(MID(F710,12,8))</f>
        <v/>
      </c>
      <c r="N710" s="395">
        <f>DATEVALUE(LEFT(G710,10))</f>
        <v/>
      </c>
      <c r="O710" s="396">
        <f>TIMEVALUE(MID(G710,12,8))</f>
        <v/>
      </c>
      <c r="P710" s="396">
        <f>IFERROR(_xlfn.MINIFS($M:$M,$E:$E,$E710,$K:$K,$K710,$M:$M,"&gt;"&amp;$O710),"")</f>
        <v/>
      </c>
      <c r="Q710" s="396">
        <f>IF($P710="","",$P710-$O710)</f>
        <v/>
      </c>
    </row>
    <row r="711" ht="15" customHeight="1" s="231">
      <c r="A711" s="397" t="n"/>
      <c r="B711" s="397" t="n"/>
      <c r="C711" s="397" t="n"/>
      <c r="D711" s="397" t="n"/>
      <c r="E711" s="397" t="n"/>
      <c r="F711" s="397" t="n"/>
      <c r="G711" s="397" t="n"/>
      <c r="I711" s="397" t="n"/>
      <c r="J711" s="397" t="n"/>
      <c r="K711" s="395">
        <f>DATE(VALUE(LEFT(A711,4)),VALUE(MID(A711,5,2)),VALUE(RIGHT(A711,2)))</f>
        <v/>
      </c>
      <c r="L711" s="395">
        <f>DATEVALUE(LEFT(F711,10))</f>
        <v/>
      </c>
      <c r="M711" s="396">
        <f>TIMEVALUE(MID(F711,12,8))</f>
        <v/>
      </c>
      <c r="N711" s="395">
        <f>DATEVALUE(LEFT(G711,10))</f>
        <v/>
      </c>
      <c r="O711" s="396">
        <f>TIMEVALUE(MID(G711,12,8))</f>
        <v/>
      </c>
      <c r="P711" s="396">
        <f>IFERROR(_xlfn.MINIFS($M:$M,$E:$E,$E711,$K:$K,$K711,$M:$M,"&gt;"&amp;$O711),"")</f>
        <v/>
      </c>
      <c r="Q711" s="396">
        <f>IF($P711="","",$P711-$O711)</f>
        <v/>
      </c>
    </row>
    <row r="712" ht="15" customHeight="1" s="231">
      <c r="A712" s="397" t="n"/>
      <c r="B712" s="397" t="n"/>
      <c r="C712" s="397" t="n"/>
      <c r="D712" s="397" t="n"/>
      <c r="E712" s="397" t="n"/>
      <c r="F712" s="397" t="n"/>
      <c r="G712" s="397" t="n"/>
      <c r="I712" s="397" t="n"/>
      <c r="J712" s="397" t="n"/>
      <c r="K712" s="395">
        <f>DATE(VALUE(LEFT(A712,4)),VALUE(MID(A712,5,2)),VALUE(RIGHT(A712,2)))</f>
        <v/>
      </c>
      <c r="L712" s="395">
        <f>DATEVALUE(LEFT(F712,10))</f>
        <v/>
      </c>
      <c r="M712" s="396">
        <f>TIMEVALUE(MID(F712,12,8))</f>
        <v/>
      </c>
      <c r="N712" s="395">
        <f>DATEVALUE(LEFT(G712,10))</f>
        <v/>
      </c>
      <c r="O712" s="396">
        <f>TIMEVALUE(MID(G712,12,8))</f>
        <v/>
      </c>
      <c r="P712" s="396">
        <f>IFERROR(_xlfn.MINIFS($M:$M,$E:$E,$E712,$K:$K,$K712,$M:$M,"&gt;"&amp;$O712),"")</f>
        <v/>
      </c>
      <c r="Q712" s="396">
        <f>IF($P712="","",$P712-$O712)</f>
        <v/>
      </c>
    </row>
    <row r="713" ht="15" customHeight="1" s="231">
      <c r="A713" s="397" t="n"/>
      <c r="B713" s="397" t="n"/>
      <c r="C713" s="397" t="n"/>
      <c r="D713" s="397" t="n"/>
      <c r="E713" s="397" t="n"/>
      <c r="F713" s="397" t="n"/>
      <c r="G713" s="397" t="n"/>
      <c r="I713" s="397" t="n"/>
      <c r="J713" s="397" t="n"/>
      <c r="K713" s="395">
        <f>DATE(VALUE(LEFT(A713,4)),VALUE(MID(A713,5,2)),VALUE(RIGHT(A713,2)))</f>
        <v/>
      </c>
      <c r="L713" s="395">
        <f>DATEVALUE(LEFT(F713,10))</f>
        <v/>
      </c>
      <c r="M713" s="396">
        <f>TIMEVALUE(MID(F713,12,8))</f>
        <v/>
      </c>
      <c r="N713" s="395">
        <f>DATEVALUE(LEFT(G713,10))</f>
        <v/>
      </c>
      <c r="O713" s="396">
        <f>TIMEVALUE(MID(G713,12,8))</f>
        <v/>
      </c>
      <c r="P713" s="396">
        <f>IFERROR(_xlfn.MINIFS($M:$M,$E:$E,$E713,$K:$K,$K713,$M:$M,"&gt;"&amp;$O713),"")</f>
        <v/>
      </c>
      <c r="Q713" s="396">
        <f>IF($P713="","",$P713-$O713)</f>
        <v/>
      </c>
    </row>
    <row r="714" ht="15" customHeight="1" s="231">
      <c r="A714" s="397" t="n"/>
      <c r="B714" s="397" t="n"/>
      <c r="C714" s="397" t="n"/>
      <c r="D714" s="397" t="n"/>
      <c r="E714" s="397" t="n"/>
      <c r="F714" s="397" t="n"/>
      <c r="G714" s="397" t="n"/>
      <c r="I714" s="397" t="n"/>
      <c r="J714" s="397" t="n"/>
      <c r="K714" s="395">
        <f>DATE(VALUE(LEFT(A714,4)),VALUE(MID(A714,5,2)),VALUE(RIGHT(A714,2)))</f>
        <v/>
      </c>
      <c r="L714" s="395">
        <f>DATEVALUE(LEFT(F714,10))</f>
        <v/>
      </c>
      <c r="M714" s="396">
        <f>TIMEVALUE(MID(F714,12,8))</f>
        <v/>
      </c>
      <c r="N714" s="395">
        <f>DATEVALUE(LEFT(G714,10))</f>
        <v/>
      </c>
      <c r="O714" s="396">
        <f>TIMEVALUE(MID(G714,12,8))</f>
        <v/>
      </c>
      <c r="P714" s="396">
        <f>IFERROR(_xlfn.MINIFS($M:$M,$E:$E,$E714,$K:$K,$K714,$M:$M,"&gt;"&amp;$O714),"")</f>
        <v/>
      </c>
      <c r="Q714" s="396">
        <f>IF($P714="","",$P714-$O714)</f>
        <v/>
      </c>
    </row>
    <row r="715" ht="15" customHeight="1" s="231">
      <c r="A715" s="397" t="n"/>
      <c r="B715" s="397" t="n"/>
      <c r="C715" s="397" t="n"/>
      <c r="D715" s="397" t="n"/>
      <c r="E715" s="397" t="n"/>
      <c r="F715" s="397" t="n"/>
      <c r="G715" s="397" t="n"/>
      <c r="I715" s="397" t="n"/>
      <c r="J715" s="397" t="n"/>
      <c r="K715" s="395">
        <f>DATE(VALUE(LEFT(A715,4)),VALUE(MID(A715,5,2)),VALUE(RIGHT(A715,2)))</f>
        <v/>
      </c>
      <c r="L715" s="395">
        <f>DATEVALUE(LEFT(F715,10))</f>
        <v/>
      </c>
      <c r="M715" s="396">
        <f>TIMEVALUE(MID(F715,12,8))</f>
        <v/>
      </c>
      <c r="N715" s="395">
        <f>DATEVALUE(LEFT(G715,10))</f>
        <v/>
      </c>
      <c r="O715" s="396">
        <f>TIMEVALUE(MID(G715,12,8))</f>
        <v/>
      </c>
      <c r="P715" s="396">
        <f>IFERROR(_xlfn.MINIFS($M:$M,$E:$E,$E715,$K:$K,$K715,$M:$M,"&gt;"&amp;$O715),"")</f>
        <v/>
      </c>
      <c r="Q715" s="396">
        <f>IF($P715="","",$P715-$O715)</f>
        <v/>
      </c>
    </row>
    <row r="716" ht="15" customHeight="1" s="231">
      <c r="A716" s="397" t="n"/>
      <c r="B716" s="397" t="n"/>
      <c r="C716" s="397" t="n"/>
      <c r="D716" s="397" t="n"/>
      <c r="E716" s="397" t="n"/>
      <c r="F716" s="397" t="n"/>
      <c r="G716" s="397" t="n"/>
      <c r="I716" s="397" t="n"/>
      <c r="J716" s="397" t="n"/>
      <c r="K716" s="395">
        <f>DATE(VALUE(LEFT(A716,4)),VALUE(MID(A716,5,2)),VALUE(RIGHT(A716,2)))</f>
        <v/>
      </c>
      <c r="L716" s="395">
        <f>DATEVALUE(LEFT(F716,10))</f>
        <v/>
      </c>
      <c r="M716" s="396">
        <f>TIMEVALUE(MID(F716,12,8))</f>
        <v/>
      </c>
      <c r="N716" s="395">
        <f>DATEVALUE(LEFT(G716,10))</f>
        <v/>
      </c>
      <c r="O716" s="396">
        <f>TIMEVALUE(MID(G716,12,8))</f>
        <v/>
      </c>
      <c r="P716" s="396">
        <f>IFERROR(_xlfn.MINIFS($M:$M,$E:$E,$E716,$K:$K,$K716,$M:$M,"&gt;"&amp;$O716),"")</f>
        <v/>
      </c>
      <c r="Q716" s="396">
        <f>IF($P716="","",$P716-$O716)</f>
        <v/>
      </c>
    </row>
    <row r="717" ht="15" customHeight="1" s="231">
      <c r="A717" s="397" t="n"/>
      <c r="B717" s="397" t="n"/>
      <c r="C717" s="397" t="n"/>
      <c r="D717" s="397" t="n"/>
      <c r="E717" s="397" t="n"/>
      <c r="F717" s="397" t="n"/>
      <c r="G717" s="397" t="n"/>
      <c r="I717" s="397" t="n"/>
      <c r="J717" s="397" t="n"/>
      <c r="K717" s="395">
        <f>DATE(VALUE(LEFT(A717,4)),VALUE(MID(A717,5,2)),VALUE(RIGHT(A717,2)))</f>
        <v/>
      </c>
      <c r="L717" s="395">
        <f>DATEVALUE(LEFT(F717,10))</f>
        <v/>
      </c>
      <c r="M717" s="396">
        <f>TIMEVALUE(MID(F717,12,8))</f>
        <v/>
      </c>
      <c r="N717" s="395">
        <f>DATEVALUE(LEFT(G717,10))</f>
        <v/>
      </c>
      <c r="O717" s="396">
        <f>TIMEVALUE(MID(G717,12,8))</f>
        <v/>
      </c>
      <c r="P717" s="396">
        <f>IFERROR(_xlfn.MINIFS($M:$M,$E:$E,$E717,$K:$K,$K717,$M:$M,"&gt;"&amp;$O717),"")</f>
        <v/>
      </c>
      <c r="Q717" s="396">
        <f>IF($P717="","",$P717-$O717)</f>
        <v/>
      </c>
    </row>
    <row r="718" ht="15" customHeight="1" s="231">
      <c r="A718" s="397" t="n"/>
      <c r="B718" s="397" t="n"/>
      <c r="C718" s="397" t="n"/>
      <c r="D718" s="397" t="n"/>
      <c r="E718" s="397" t="n"/>
      <c r="F718" s="397" t="n"/>
      <c r="G718" s="397" t="n"/>
      <c r="I718" s="397" t="n"/>
      <c r="J718" s="397" t="n"/>
      <c r="K718" s="395">
        <f>DATE(VALUE(LEFT(A718,4)),VALUE(MID(A718,5,2)),VALUE(RIGHT(A718,2)))</f>
        <v/>
      </c>
      <c r="L718" s="395">
        <f>DATEVALUE(LEFT(F718,10))</f>
        <v/>
      </c>
      <c r="M718" s="396">
        <f>TIMEVALUE(MID(F718,12,8))</f>
        <v/>
      </c>
      <c r="N718" s="395">
        <f>DATEVALUE(LEFT(G718,10))</f>
        <v/>
      </c>
      <c r="O718" s="396">
        <f>TIMEVALUE(MID(G718,12,8))</f>
        <v/>
      </c>
      <c r="P718" s="396">
        <f>IFERROR(_xlfn.MINIFS($M:$M,$E:$E,$E718,$K:$K,$K718,$M:$M,"&gt;"&amp;$O718),"")</f>
        <v/>
      </c>
      <c r="Q718" s="396">
        <f>IF($P718="","",$P718-$O718)</f>
        <v/>
      </c>
    </row>
    <row r="719" ht="15" customHeight="1" s="231">
      <c r="A719" s="397" t="n"/>
      <c r="B719" s="397" t="n"/>
      <c r="C719" s="397" t="n"/>
      <c r="D719" s="397" t="n"/>
      <c r="E719" s="397" t="n"/>
      <c r="F719" s="397" t="n"/>
      <c r="G719" s="397" t="n"/>
      <c r="I719" s="397" t="n"/>
      <c r="J719" s="397" t="n"/>
      <c r="K719" s="395">
        <f>DATE(VALUE(LEFT(A719,4)),VALUE(MID(A719,5,2)),VALUE(RIGHT(A719,2)))</f>
        <v/>
      </c>
      <c r="L719" s="395">
        <f>DATEVALUE(LEFT(F719,10))</f>
        <v/>
      </c>
      <c r="M719" s="396">
        <f>TIMEVALUE(MID(F719,12,8))</f>
        <v/>
      </c>
      <c r="N719" s="395">
        <f>DATEVALUE(LEFT(G719,10))</f>
        <v/>
      </c>
      <c r="O719" s="396">
        <f>TIMEVALUE(MID(G719,12,8))</f>
        <v/>
      </c>
      <c r="P719" s="396">
        <f>IFERROR(_xlfn.MINIFS($M:$M,$E:$E,$E719,$K:$K,$K719,$M:$M,"&gt;"&amp;$O719),"")</f>
        <v/>
      </c>
      <c r="Q719" s="396">
        <f>IF($P719="","",$P719-$O719)</f>
        <v/>
      </c>
    </row>
    <row r="720" ht="15" customHeight="1" s="231">
      <c r="A720" s="397" t="n"/>
      <c r="B720" s="397" t="n"/>
      <c r="C720" s="397" t="n"/>
      <c r="D720" s="397" t="n"/>
      <c r="E720" s="397" t="n"/>
      <c r="F720" s="397" t="n"/>
      <c r="G720" s="397" t="n"/>
      <c r="I720" s="397" t="n"/>
      <c r="J720" s="397" t="n"/>
      <c r="K720" s="395">
        <f>DATE(VALUE(LEFT(A720,4)),VALUE(MID(A720,5,2)),VALUE(RIGHT(A720,2)))</f>
        <v/>
      </c>
      <c r="L720" s="395">
        <f>DATEVALUE(LEFT(F720,10))</f>
        <v/>
      </c>
      <c r="M720" s="396">
        <f>TIMEVALUE(MID(F720,12,8))</f>
        <v/>
      </c>
      <c r="N720" s="395">
        <f>DATEVALUE(LEFT(G720,10))</f>
        <v/>
      </c>
      <c r="O720" s="396">
        <f>TIMEVALUE(MID(G720,12,8))</f>
        <v/>
      </c>
      <c r="P720" s="396">
        <f>IFERROR(_xlfn.MINIFS($M:$M,$E:$E,$E720,$K:$K,$K720,$M:$M,"&gt;"&amp;$O720),"")</f>
        <v/>
      </c>
      <c r="Q720" s="396">
        <f>IF($P720="","",$P720-$O720)</f>
        <v/>
      </c>
    </row>
    <row r="721" ht="15" customHeight="1" s="231">
      <c r="A721" s="397" t="n"/>
      <c r="B721" s="397" t="n"/>
      <c r="C721" s="397" t="n"/>
      <c r="D721" s="397" t="n"/>
      <c r="E721" s="397" t="n"/>
      <c r="F721" s="397" t="n"/>
      <c r="G721" s="397" t="n"/>
      <c r="I721" s="397" t="n"/>
      <c r="J721" s="397" t="n"/>
      <c r="K721" s="395">
        <f>DATE(VALUE(LEFT(A721,4)),VALUE(MID(A721,5,2)),VALUE(RIGHT(A721,2)))</f>
        <v/>
      </c>
      <c r="L721" s="395">
        <f>DATEVALUE(LEFT(F721,10))</f>
        <v/>
      </c>
      <c r="M721" s="396">
        <f>TIMEVALUE(MID(F721,12,8))</f>
        <v/>
      </c>
      <c r="N721" s="395">
        <f>DATEVALUE(LEFT(G721,10))</f>
        <v/>
      </c>
      <c r="O721" s="396">
        <f>TIMEVALUE(MID(G721,12,8))</f>
        <v/>
      </c>
      <c r="P721" s="396">
        <f>IFERROR(_xlfn.MINIFS($M:$M,$E:$E,$E721,$K:$K,$K721,$M:$M,"&gt;"&amp;$O721),"")</f>
        <v/>
      </c>
      <c r="Q721" s="396">
        <f>IF($P721="","",$P721-$O721)</f>
        <v/>
      </c>
    </row>
    <row r="722" ht="15" customHeight="1" s="231">
      <c r="A722" s="397" t="n"/>
      <c r="B722" s="397" t="n"/>
      <c r="C722" s="397" t="n"/>
      <c r="D722" s="397" t="n"/>
      <c r="E722" s="397" t="n"/>
      <c r="F722" s="397" t="n"/>
      <c r="G722" s="397" t="n"/>
      <c r="I722" s="397" t="n"/>
      <c r="J722" s="397" t="n"/>
      <c r="K722" s="395">
        <f>DATE(VALUE(LEFT(A722,4)),VALUE(MID(A722,5,2)),VALUE(RIGHT(A722,2)))</f>
        <v/>
      </c>
      <c r="L722" s="395">
        <f>DATEVALUE(LEFT(F722,10))</f>
        <v/>
      </c>
      <c r="M722" s="396">
        <f>TIMEVALUE(MID(F722,12,8))</f>
        <v/>
      </c>
      <c r="N722" s="395">
        <f>DATEVALUE(LEFT(G722,10))</f>
        <v/>
      </c>
      <c r="O722" s="396">
        <f>TIMEVALUE(MID(G722,12,8))</f>
        <v/>
      </c>
      <c r="P722" s="396">
        <f>IFERROR(_xlfn.MINIFS($M:$M,$E:$E,$E722,$K:$K,$K722,$M:$M,"&gt;"&amp;$O722),"")</f>
        <v/>
      </c>
      <c r="Q722" s="396">
        <f>IF($P722="","",$P722-$O722)</f>
        <v/>
      </c>
    </row>
    <row r="723" ht="15" customHeight="1" s="231">
      <c r="A723" s="397" t="n"/>
      <c r="B723" s="397" t="n"/>
      <c r="C723" s="397" t="n"/>
      <c r="D723" s="397" t="n"/>
      <c r="E723" s="397" t="n"/>
      <c r="F723" s="397" t="n"/>
      <c r="G723" s="397" t="n"/>
      <c r="I723" s="397" t="n"/>
      <c r="J723" s="397" t="n"/>
      <c r="K723" s="395">
        <f>DATE(VALUE(LEFT(A723,4)),VALUE(MID(A723,5,2)),VALUE(RIGHT(A723,2)))</f>
        <v/>
      </c>
      <c r="L723" s="395">
        <f>DATEVALUE(LEFT(F723,10))</f>
        <v/>
      </c>
      <c r="M723" s="396">
        <f>TIMEVALUE(MID(F723,12,8))</f>
        <v/>
      </c>
      <c r="N723" s="395">
        <f>DATEVALUE(LEFT(G723,10))</f>
        <v/>
      </c>
      <c r="O723" s="396">
        <f>TIMEVALUE(MID(G723,12,8))</f>
        <v/>
      </c>
      <c r="P723" s="396">
        <f>IFERROR(_xlfn.MINIFS($M:$M,$E:$E,$E723,$K:$K,$K723,$M:$M,"&gt;"&amp;$O723),"")</f>
        <v/>
      </c>
      <c r="Q723" s="396">
        <f>IF($P723="","",$P723-$O723)</f>
        <v/>
      </c>
    </row>
    <row r="724" ht="15" customHeight="1" s="231">
      <c r="A724" s="397" t="n"/>
      <c r="B724" s="397" t="n"/>
      <c r="C724" s="397" t="n"/>
      <c r="D724" s="397" t="n"/>
      <c r="E724" s="397" t="n"/>
      <c r="F724" s="397" t="n"/>
      <c r="G724" s="397" t="n"/>
      <c r="I724" s="397" t="n"/>
      <c r="J724" s="397" t="n"/>
      <c r="K724" s="395">
        <f>DATE(VALUE(LEFT(A724,4)),VALUE(MID(A724,5,2)),VALUE(RIGHT(A724,2)))</f>
        <v/>
      </c>
      <c r="L724" s="395">
        <f>DATEVALUE(LEFT(F724,10))</f>
        <v/>
      </c>
      <c r="M724" s="396">
        <f>TIMEVALUE(MID(F724,12,8))</f>
        <v/>
      </c>
      <c r="N724" s="395">
        <f>DATEVALUE(LEFT(G724,10))</f>
        <v/>
      </c>
      <c r="O724" s="396">
        <f>TIMEVALUE(MID(G724,12,8))</f>
        <v/>
      </c>
      <c r="P724" s="396">
        <f>IFERROR(_xlfn.MINIFS($M:$M,$E:$E,$E724,$K:$K,$K724,$M:$M,"&gt;"&amp;$O724),"")</f>
        <v/>
      </c>
      <c r="Q724" s="396">
        <f>IF($P724="","",$P724-$O724)</f>
        <v/>
      </c>
    </row>
    <row r="725" ht="15" customHeight="1" s="231">
      <c r="A725" s="397" t="n"/>
      <c r="B725" s="397" t="n"/>
      <c r="C725" s="397" t="n"/>
      <c r="D725" s="397" t="n"/>
      <c r="E725" s="397" t="n"/>
      <c r="F725" s="397" t="n"/>
      <c r="G725" s="397" t="n"/>
      <c r="I725" s="397" t="n"/>
      <c r="J725" s="397" t="n"/>
      <c r="K725" s="395">
        <f>DATE(VALUE(LEFT(A725,4)),VALUE(MID(A725,5,2)),VALUE(RIGHT(A725,2)))</f>
        <v/>
      </c>
      <c r="L725" s="395">
        <f>DATEVALUE(LEFT(F725,10))</f>
        <v/>
      </c>
      <c r="M725" s="396">
        <f>TIMEVALUE(MID(F725,12,8))</f>
        <v/>
      </c>
      <c r="N725" s="395">
        <f>DATEVALUE(LEFT(G725,10))</f>
        <v/>
      </c>
      <c r="O725" s="396">
        <f>TIMEVALUE(MID(G725,12,8))</f>
        <v/>
      </c>
      <c r="P725" s="396">
        <f>IFERROR(_xlfn.MINIFS($M:$M,$E:$E,$E725,$K:$K,$K725,$M:$M,"&gt;"&amp;$O725),"")</f>
        <v/>
      </c>
      <c r="Q725" s="396">
        <f>IF($P725="","",$P725-$O725)</f>
        <v/>
      </c>
    </row>
    <row r="726" ht="15" customHeight="1" s="231">
      <c r="A726" s="397" t="n"/>
      <c r="B726" s="397" t="n"/>
      <c r="C726" s="397" t="n"/>
      <c r="D726" s="397" t="n"/>
      <c r="E726" s="397" t="n"/>
      <c r="F726" s="397" t="n"/>
      <c r="G726" s="397" t="n"/>
      <c r="I726" s="397" t="n"/>
      <c r="J726" s="397" t="n"/>
      <c r="K726" s="395">
        <f>DATE(VALUE(LEFT(A726,4)),VALUE(MID(A726,5,2)),VALUE(RIGHT(A726,2)))</f>
        <v/>
      </c>
      <c r="L726" s="395">
        <f>DATEVALUE(LEFT(F726,10))</f>
        <v/>
      </c>
      <c r="M726" s="396">
        <f>TIMEVALUE(MID(F726,12,8))</f>
        <v/>
      </c>
      <c r="N726" s="395">
        <f>DATEVALUE(LEFT(G726,10))</f>
        <v/>
      </c>
      <c r="O726" s="396">
        <f>TIMEVALUE(MID(G726,12,8))</f>
        <v/>
      </c>
      <c r="P726" s="396">
        <f>IFERROR(_xlfn.MINIFS($M:$M,$E:$E,$E726,$K:$K,$K726,$M:$M,"&gt;"&amp;$O726),"")</f>
        <v/>
      </c>
      <c r="Q726" s="396">
        <f>IF($P726="","",$P726-$O726)</f>
        <v/>
      </c>
    </row>
    <row r="727" ht="15" customHeight="1" s="231">
      <c r="A727" s="397" t="n"/>
      <c r="B727" s="397" t="n"/>
      <c r="C727" s="397" t="n"/>
      <c r="D727" s="397" t="n"/>
      <c r="E727" s="397" t="n"/>
      <c r="F727" s="397" t="n"/>
      <c r="G727" s="397" t="n"/>
      <c r="I727" s="397" t="n"/>
      <c r="J727" s="397" t="n"/>
      <c r="K727" s="395">
        <f>DATE(VALUE(LEFT(A727,4)),VALUE(MID(A727,5,2)),VALUE(RIGHT(A727,2)))</f>
        <v/>
      </c>
      <c r="L727" s="395">
        <f>DATEVALUE(LEFT(F727,10))</f>
        <v/>
      </c>
      <c r="M727" s="396">
        <f>TIMEVALUE(MID(F727,12,8))</f>
        <v/>
      </c>
      <c r="N727" s="395">
        <f>DATEVALUE(LEFT(G727,10))</f>
        <v/>
      </c>
      <c r="O727" s="396">
        <f>TIMEVALUE(MID(G727,12,8))</f>
        <v/>
      </c>
      <c r="P727" s="396">
        <f>IFERROR(_xlfn.MINIFS($M:$M,$E:$E,$E727,$K:$K,$K727,$M:$M,"&gt;"&amp;$O727),"")</f>
        <v/>
      </c>
      <c r="Q727" s="396">
        <f>IF($P727="","",$P727-$O727)</f>
        <v/>
      </c>
    </row>
    <row r="728" ht="15" customHeight="1" s="231">
      <c r="A728" s="397" t="n"/>
      <c r="B728" s="397" t="n"/>
      <c r="C728" s="397" t="n"/>
      <c r="D728" s="397" t="n"/>
      <c r="E728" s="397" t="n"/>
      <c r="F728" s="397" t="n"/>
      <c r="G728" s="397" t="n"/>
      <c r="I728" s="397" t="n"/>
      <c r="J728" s="397" t="n"/>
      <c r="K728" s="395">
        <f>DATE(VALUE(LEFT(A728,4)),VALUE(MID(A728,5,2)),VALUE(RIGHT(A728,2)))</f>
        <v/>
      </c>
      <c r="L728" s="395">
        <f>DATEVALUE(LEFT(F728,10))</f>
        <v/>
      </c>
      <c r="M728" s="396">
        <f>TIMEVALUE(MID(F728,12,8))</f>
        <v/>
      </c>
      <c r="N728" s="395">
        <f>DATEVALUE(LEFT(G728,10))</f>
        <v/>
      </c>
      <c r="O728" s="396">
        <f>TIMEVALUE(MID(G728,12,8))</f>
        <v/>
      </c>
      <c r="P728" s="396">
        <f>IFERROR(_xlfn.MINIFS($M:$M,$E:$E,$E728,$K:$K,$K728,$M:$M,"&gt;"&amp;$O728),"")</f>
        <v/>
      </c>
      <c r="Q728" s="396">
        <f>IF($P728="","",$P728-$O728)</f>
        <v/>
      </c>
    </row>
    <row r="729" ht="15" customHeight="1" s="231">
      <c r="A729" s="397" t="n"/>
      <c r="B729" s="397" t="n"/>
      <c r="C729" s="397" t="n"/>
      <c r="D729" s="397" t="n"/>
      <c r="E729" s="397" t="n"/>
      <c r="F729" s="397" t="n"/>
      <c r="G729" s="397" t="n"/>
      <c r="I729" s="397" t="n"/>
      <c r="J729" s="397" t="n"/>
      <c r="K729" s="395">
        <f>DATE(VALUE(LEFT(A729,4)),VALUE(MID(A729,5,2)),VALUE(RIGHT(A729,2)))</f>
        <v/>
      </c>
      <c r="L729" s="395">
        <f>DATEVALUE(LEFT(F729,10))</f>
        <v/>
      </c>
      <c r="M729" s="396">
        <f>TIMEVALUE(MID(F729,12,8))</f>
        <v/>
      </c>
      <c r="N729" s="395">
        <f>DATEVALUE(LEFT(G729,10))</f>
        <v/>
      </c>
      <c r="O729" s="396">
        <f>TIMEVALUE(MID(G729,12,8))</f>
        <v/>
      </c>
      <c r="P729" s="396">
        <f>IFERROR(_xlfn.MINIFS($M:$M,$E:$E,$E729,$K:$K,$K729,$M:$M,"&gt;"&amp;$O729),"")</f>
        <v/>
      </c>
      <c r="Q729" s="396">
        <f>IF($P729="","",$P729-$O729)</f>
        <v/>
      </c>
    </row>
    <row r="730" ht="15" customHeight="1" s="231">
      <c r="A730" s="397" t="n"/>
      <c r="B730" s="397" t="n"/>
      <c r="C730" s="397" t="n"/>
      <c r="D730" s="397" t="n"/>
      <c r="E730" s="397" t="n"/>
      <c r="F730" s="397" t="n"/>
      <c r="G730" s="397" t="n"/>
      <c r="I730" s="397" t="n"/>
      <c r="J730" s="397" t="n"/>
      <c r="K730" s="395">
        <f>DATE(VALUE(LEFT(A730,4)),VALUE(MID(A730,5,2)),VALUE(RIGHT(A730,2)))</f>
        <v/>
      </c>
      <c r="L730" s="395">
        <f>DATEVALUE(LEFT(F730,10))</f>
        <v/>
      </c>
      <c r="M730" s="396">
        <f>TIMEVALUE(MID(F730,12,8))</f>
        <v/>
      </c>
      <c r="N730" s="395">
        <f>DATEVALUE(LEFT(G730,10))</f>
        <v/>
      </c>
      <c r="O730" s="396">
        <f>TIMEVALUE(MID(G730,12,8))</f>
        <v/>
      </c>
      <c r="P730" s="396">
        <f>IFERROR(_xlfn.MINIFS($M:$M,$E:$E,$E730,$K:$K,$K730,$M:$M,"&gt;"&amp;$O730),"")</f>
        <v/>
      </c>
      <c r="Q730" s="396">
        <f>IF($P730="","",$P730-$O730)</f>
        <v/>
      </c>
    </row>
    <row r="731" ht="15" customHeight="1" s="231">
      <c r="A731" s="397" t="n"/>
      <c r="B731" s="397" t="n"/>
      <c r="C731" s="397" t="n"/>
      <c r="D731" s="397" t="n"/>
      <c r="E731" s="397" t="n"/>
      <c r="F731" s="397" t="n"/>
      <c r="G731" s="397" t="n"/>
      <c r="I731" s="397" t="n"/>
      <c r="J731" s="397" t="n"/>
      <c r="K731" s="395">
        <f>DATE(VALUE(LEFT(A731,4)),VALUE(MID(A731,5,2)),VALUE(RIGHT(A731,2)))</f>
        <v/>
      </c>
      <c r="L731" s="395">
        <f>DATEVALUE(LEFT(F731,10))</f>
        <v/>
      </c>
      <c r="M731" s="396">
        <f>TIMEVALUE(MID(F731,12,8))</f>
        <v/>
      </c>
      <c r="N731" s="395">
        <f>DATEVALUE(LEFT(G731,10))</f>
        <v/>
      </c>
      <c r="O731" s="396">
        <f>TIMEVALUE(MID(G731,12,8))</f>
        <v/>
      </c>
      <c r="P731" s="396">
        <f>IFERROR(_xlfn.MINIFS($M:$M,$E:$E,$E731,$K:$K,$K731,$M:$M,"&gt;"&amp;$O731),"")</f>
        <v/>
      </c>
      <c r="Q731" s="396">
        <f>IF($P731="","",$P731-$O731)</f>
        <v/>
      </c>
    </row>
    <row r="732" ht="15" customHeight="1" s="231">
      <c r="A732" s="397" t="n"/>
      <c r="B732" s="397" t="n"/>
      <c r="C732" s="397" t="n"/>
      <c r="D732" s="397" t="n"/>
      <c r="E732" s="397" t="n"/>
      <c r="F732" s="397" t="n"/>
      <c r="G732" s="397" t="n"/>
      <c r="I732" s="397" t="n"/>
      <c r="J732" s="397" t="n"/>
      <c r="K732" s="395">
        <f>DATE(VALUE(LEFT(A732,4)),VALUE(MID(A732,5,2)),VALUE(RIGHT(A732,2)))</f>
        <v/>
      </c>
      <c r="L732" s="395">
        <f>DATEVALUE(LEFT(F732,10))</f>
        <v/>
      </c>
      <c r="M732" s="396">
        <f>TIMEVALUE(MID(F732,12,8))</f>
        <v/>
      </c>
      <c r="N732" s="395">
        <f>DATEVALUE(LEFT(G732,10))</f>
        <v/>
      </c>
      <c r="O732" s="396">
        <f>TIMEVALUE(MID(G732,12,8))</f>
        <v/>
      </c>
      <c r="P732" s="396">
        <f>IFERROR(_xlfn.MINIFS($M:$M,$E:$E,$E732,$K:$K,$K732,$M:$M,"&gt;"&amp;$O732),"")</f>
        <v/>
      </c>
      <c r="Q732" s="396">
        <f>IF($P732="","",$P732-$O732)</f>
        <v/>
      </c>
    </row>
    <row r="733" ht="15" customHeight="1" s="231">
      <c r="A733" s="397" t="n"/>
      <c r="B733" s="397" t="n"/>
      <c r="C733" s="397" t="n"/>
      <c r="D733" s="397" t="n"/>
      <c r="E733" s="397" t="n"/>
      <c r="F733" s="397" t="n"/>
      <c r="G733" s="397" t="n"/>
      <c r="I733" s="397" t="n"/>
      <c r="J733" s="397" t="n"/>
      <c r="K733" s="395">
        <f>DATE(VALUE(LEFT(A733,4)),VALUE(MID(A733,5,2)),VALUE(RIGHT(A733,2)))</f>
        <v/>
      </c>
      <c r="L733" s="395">
        <f>DATEVALUE(LEFT(F733,10))</f>
        <v/>
      </c>
      <c r="M733" s="396">
        <f>TIMEVALUE(MID(F733,12,8))</f>
        <v/>
      </c>
      <c r="N733" s="395">
        <f>DATEVALUE(LEFT(G733,10))</f>
        <v/>
      </c>
      <c r="O733" s="396">
        <f>TIMEVALUE(MID(G733,12,8))</f>
        <v/>
      </c>
      <c r="P733" s="396">
        <f>IFERROR(_xlfn.MINIFS($M:$M,$E:$E,$E733,$K:$K,$K733,$M:$M,"&gt;"&amp;$O733),"")</f>
        <v/>
      </c>
      <c r="Q733" s="396">
        <f>IF($P733="","",$P733-$O733)</f>
        <v/>
      </c>
    </row>
    <row r="734" ht="15" customHeight="1" s="231">
      <c r="A734" s="397" t="n"/>
      <c r="B734" s="397" t="n"/>
      <c r="C734" s="397" t="n"/>
      <c r="D734" s="397" t="n"/>
      <c r="E734" s="397" t="n"/>
      <c r="F734" s="397" t="n"/>
      <c r="G734" s="397" t="n"/>
      <c r="I734" s="397" t="n"/>
      <c r="J734" s="397" t="n"/>
      <c r="K734" s="395">
        <f>DATE(VALUE(LEFT(A734,4)),VALUE(MID(A734,5,2)),VALUE(RIGHT(A734,2)))</f>
        <v/>
      </c>
      <c r="L734" s="395">
        <f>DATEVALUE(LEFT(F734,10))</f>
        <v/>
      </c>
      <c r="M734" s="396">
        <f>TIMEVALUE(MID(F734,12,8))</f>
        <v/>
      </c>
      <c r="N734" s="395">
        <f>DATEVALUE(LEFT(G734,10))</f>
        <v/>
      </c>
      <c r="O734" s="396">
        <f>TIMEVALUE(MID(G734,12,8))</f>
        <v/>
      </c>
      <c r="P734" s="396">
        <f>IFERROR(_xlfn.MINIFS($M:$M,$E:$E,$E734,$K:$K,$K734,$M:$M,"&gt;"&amp;$O734),"")</f>
        <v/>
      </c>
      <c r="Q734" s="396">
        <f>IF($P734="","",$P734-$O734)</f>
        <v/>
      </c>
    </row>
    <row r="735" ht="15" customHeight="1" s="231">
      <c r="A735" s="397" t="n"/>
      <c r="B735" s="397" t="n"/>
      <c r="C735" s="397" t="n"/>
      <c r="D735" s="397" t="n"/>
      <c r="E735" s="397" t="n"/>
      <c r="F735" s="397" t="n"/>
      <c r="G735" s="397" t="n"/>
      <c r="I735" s="397" t="n"/>
      <c r="J735" s="397" t="n"/>
      <c r="K735" s="395">
        <f>DATE(VALUE(LEFT(A735,4)),VALUE(MID(A735,5,2)),VALUE(RIGHT(A735,2)))</f>
        <v/>
      </c>
      <c r="L735" s="395">
        <f>DATEVALUE(LEFT(F735,10))</f>
        <v/>
      </c>
      <c r="M735" s="396">
        <f>TIMEVALUE(MID(F735,12,8))</f>
        <v/>
      </c>
      <c r="N735" s="395">
        <f>DATEVALUE(LEFT(G735,10))</f>
        <v/>
      </c>
      <c r="O735" s="396">
        <f>TIMEVALUE(MID(G735,12,8))</f>
        <v/>
      </c>
      <c r="P735" s="396">
        <f>IFERROR(_xlfn.MINIFS($M:$M,$E:$E,$E735,$K:$K,$K735,$M:$M,"&gt;"&amp;$O735),"")</f>
        <v/>
      </c>
      <c r="Q735" s="396">
        <f>IF($P735="","",$P735-$O735)</f>
        <v/>
      </c>
    </row>
    <row r="736" ht="15" customHeight="1" s="231">
      <c r="A736" s="397" t="n"/>
      <c r="B736" s="397" t="n"/>
      <c r="C736" s="397" t="n"/>
      <c r="D736" s="397" t="n"/>
      <c r="E736" s="397" t="n"/>
      <c r="F736" s="397" t="n"/>
      <c r="G736" s="397" t="n"/>
      <c r="I736" s="397" t="n"/>
      <c r="J736" s="397" t="n"/>
      <c r="K736" s="395">
        <f>DATE(VALUE(LEFT(A736,4)),VALUE(MID(A736,5,2)),VALUE(RIGHT(A736,2)))</f>
        <v/>
      </c>
      <c r="L736" s="395">
        <f>DATEVALUE(LEFT(F736,10))</f>
        <v/>
      </c>
      <c r="M736" s="396">
        <f>TIMEVALUE(MID(F736,12,8))</f>
        <v/>
      </c>
      <c r="N736" s="395">
        <f>DATEVALUE(LEFT(G736,10))</f>
        <v/>
      </c>
      <c r="O736" s="396">
        <f>TIMEVALUE(MID(G736,12,8))</f>
        <v/>
      </c>
      <c r="P736" s="396">
        <f>IFERROR(_xlfn.MINIFS($M:$M,$E:$E,$E736,$K:$K,$K736,$M:$M,"&gt;"&amp;$O736),"")</f>
        <v/>
      </c>
      <c r="Q736" s="396">
        <f>IF($P736="","",$P736-$O736)</f>
        <v/>
      </c>
    </row>
    <row r="737" ht="15" customHeight="1" s="231">
      <c r="A737" s="397" t="n"/>
      <c r="B737" s="397" t="n"/>
      <c r="C737" s="397" t="n"/>
      <c r="D737" s="397" t="n"/>
      <c r="E737" s="397" t="n"/>
      <c r="F737" s="397" t="n"/>
      <c r="G737" s="397" t="n"/>
      <c r="I737" s="397" t="n"/>
      <c r="J737" s="397" t="n"/>
      <c r="K737" s="395">
        <f>DATE(VALUE(LEFT(A737,4)),VALUE(MID(A737,5,2)),VALUE(RIGHT(A737,2)))</f>
        <v/>
      </c>
      <c r="L737" s="395">
        <f>DATEVALUE(LEFT(F737,10))</f>
        <v/>
      </c>
      <c r="M737" s="396">
        <f>TIMEVALUE(MID(F737,12,8))</f>
        <v/>
      </c>
      <c r="N737" s="395">
        <f>DATEVALUE(LEFT(G737,10))</f>
        <v/>
      </c>
      <c r="O737" s="396">
        <f>TIMEVALUE(MID(G737,12,8))</f>
        <v/>
      </c>
      <c r="P737" s="396">
        <f>IFERROR(_xlfn.MINIFS($M:$M,$E:$E,$E737,$K:$K,$K737,$M:$M,"&gt;"&amp;$O737),"")</f>
        <v/>
      </c>
      <c r="Q737" s="396">
        <f>IF($P737="","",$P737-$O737)</f>
        <v/>
      </c>
    </row>
    <row r="738" ht="15" customHeight="1" s="231">
      <c r="A738" s="397" t="n"/>
      <c r="B738" s="397" t="n"/>
      <c r="C738" s="397" t="n"/>
      <c r="D738" s="397" t="n"/>
      <c r="E738" s="397" t="n"/>
      <c r="F738" s="397" t="n"/>
      <c r="G738" s="397" t="n"/>
      <c r="I738" s="397" t="n"/>
      <c r="J738" s="397" t="n"/>
      <c r="K738" s="395">
        <f>DATE(VALUE(LEFT(A738,4)),VALUE(MID(A738,5,2)),VALUE(RIGHT(A738,2)))</f>
        <v/>
      </c>
      <c r="L738" s="395">
        <f>DATEVALUE(LEFT(F738,10))</f>
        <v/>
      </c>
      <c r="M738" s="396">
        <f>TIMEVALUE(MID(F738,12,8))</f>
        <v/>
      </c>
      <c r="N738" s="395">
        <f>DATEVALUE(LEFT(G738,10))</f>
        <v/>
      </c>
      <c r="O738" s="396">
        <f>TIMEVALUE(MID(G738,12,8))</f>
        <v/>
      </c>
      <c r="P738" s="396">
        <f>IFERROR(_xlfn.MINIFS($M:$M,$E:$E,$E738,$K:$K,$K738,$M:$M,"&gt;"&amp;$O738),"")</f>
        <v/>
      </c>
      <c r="Q738" s="396">
        <f>IF($P738="","",$P738-$O738)</f>
        <v/>
      </c>
    </row>
    <row r="739" ht="15" customHeight="1" s="231">
      <c r="A739" s="397" t="n"/>
      <c r="B739" s="397" t="n"/>
      <c r="C739" s="397" t="n"/>
      <c r="D739" s="397" t="n"/>
      <c r="E739" s="397" t="n"/>
      <c r="F739" s="397" t="n"/>
      <c r="G739" s="397" t="n"/>
      <c r="I739" s="397" t="n"/>
      <c r="J739" s="397" t="n"/>
      <c r="K739" s="395">
        <f>DATE(VALUE(LEFT(A739,4)),VALUE(MID(A739,5,2)),VALUE(RIGHT(A739,2)))</f>
        <v/>
      </c>
      <c r="L739" s="395">
        <f>DATEVALUE(LEFT(F739,10))</f>
        <v/>
      </c>
      <c r="M739" s="396">
        <f>TIMEVALUE(MID(F739,12,8))</f>
        <v/>
      </c>
      <c r="N739" s="395">
        <f>DATEVALUE(LEFT(G739,10))</f>
        <v/>
      </c>
      <c r="O739" s="396">
        <f>TIMEVALUE(MID(G739,12,8))</f>
        <v/>
      </c>
      <c r="P739" s="396">
        <f>IFERROR(_xlfn.MINIFS($M:$M,$E:$E,$E739,$K:$K,$K739,$M:$M,"&gt;"&amp;$O739),"")</f>
        <v/>
      </c>
      <c r="Q739" s="396">
        <f>IF($P739="","",$P739-$O739)</f>
        <v/>
      </c>
    </row>
    <row r="740" ht="15" customHeight="1" s="231">
      <c r="A740" s="397" t="n"/>
      <c r="B740" s="397" t="n"/>
      <c r="C740" s="397" t="n"/>
      <c r="D740" s="397" t="n"/>
      <c r="E740" s="397" t="n"/>
      <c r="F740" s="397" t="n"/>
      <c r="G740" s="397" t="n"/>
      <c r="I740" s="397" t="n"/>
      <c r="J740" s="397" t="n"/>
      <c r="K740" s="395">
        <f>DATE(VALUE(LEFT(A740,4)),VALUE(MID(A740,5,2)),VALUE(RIGHT(A740,2)))</f>
        <v/>
      </c>
      <c r="L740" s="395">
        <f>DATEVALUE(LEFT(F740,10))</f>
        <v/>
      </c>
      <c r="M740" s="396">
        <f>TIMEVALUE(MID(F740,12,8))</f>
        <v/>
      </c>
      <c r="N740" s="395">
        <f>DATEVALUE(LEFT(G740,10))</f>
        <v/>
      </c>
      <c r="O740" s="396">
        <f>TIMEVALUE(MID(G740,12,8))</f>
        <v/>
      </c>
      <c r="P740" s="396">
        <f>IFERROR(_xlfn.MINIFS($M:$M,$E:$E,$E740,$K:$K,$K740,$M:$M,"&gt;"&amp;$O740),"")</f>
        <v/>
      </c>
      <c r="Q740" s="396">
        <f>IF($P740="","",$P740-$O740)</f>
        <v/>
      </c>
    </row>
    <row r="741" ht="15" customHeight="1" s="231">
      <c r="A741" s="397" t="n"/>
      <c r="B741" s="397" t="n"/>
      <c r="C741" s="397" t="n"/>
      <c r="D741" s="397" t="n"/>
      <c r="E741" s="397" t="n"/>
      <c r="F741" s="397" t="n"/>
      <c r="G741" s="397" t="n"/>
      <c r="I741" s="397" t="n"/>
      <c r="J741" s="397" t="n"/>
      <c r="K741" s="395">
        <f>DATE(VALUE(LEFT(A741,4)),VALUE(MID(A741,5,2)),VALUE(RIGHT(A741,2)))</f>
        <v/>
      </c>
      <c r="L741" s="395">
        <f>DATEVALUE(LEFT(F741,10))</f>
        <v/>
      </c>
      <c r="M741" s="396">
        <f>TIMEVALUE(MID(F741,12,8))</f>
        <v/>
      </c>
      <c r="N741" s="395">
        <f>DATEVALUE(LEFT(G741,10))</f>
        <v/>
      </c>
      <c r="O741" s="396">
        <f>TIMEVALUE(MID(G741,12,8))</f>
        <v/>
      </c>
      <c r="P741" s="396">
        <f>IFERROR(_xlfn.MINIFS($M:$M,$E:$E,$E741,$K:$K,$K741,$M:$M,"&gt;"&amp;$O741),"")</f>
        <v/>
      </c>
      <c r="Q741" s="396">
        <f>IF($P741="","",$P741-$O741)</f>
        <v/>
      </c>
    </row>
    <row r="742" ht="15" customHeight="1" s="231">
      <c r="A742" s="397" t="n"/>
      <c r="B742" s="397" t="n"/>
      <c r="C742" s="397" t="n"/>
      <c r="D742" s="397" t="n"/>
      <c r="E742" s="397" t="n"/>
      <c r="F742" s="397" t="n"/>
      <c r="G742" s="397" t="n"/>
      <c r="I742" s="397" t="n"/>
      <c r="J742" s="397" t="n"/>
      <c r="K742" s="395">
        <f>DATE(VALUE(LEFT(A742,4)),VALUE(MID(A742,5,2)),VALUE(RIGHT(A742,2)))</f>
        <v/>
      </c>
      <c r="L742" s="395">
        <f>DATEVALUE(LEFT(F742,10))</f>
        <v/>
      </c>
      <c r="M742" s="396">
        <f>TIMEVALUE(MID(F742,12,8))</f>
        <v/>
      </c>
      <c r="N742" s="395">
        <f>DATEVALUE(LEFT(G742,10))</f>
        <v/>
      </c>
      <c r="O742" s="396">
        <f>TIMEVALUE(MID(G742,12,8))</f>
        <v/>
      </c>
      <c r="P742" s="396">
        <f>IFERROR(_xlfn.MINIFS($M:$M,$E:$E,$E742,$K:$K,$K742,$M:$M,"&gt;"&amp;$O742),"")</f>
        <v/>
      </c>
      <c r="Q742" s="396">
        <f>IF($P742="","",$P742-$O742)</f>
        <v/>
      </c>
    </row>
    <row r="743" ht="15" customHeight="1" s="231">
      <c r="A743" s="397" t="n"/>
      <c r="B743" s="397" t="n"/>
      <c r="C743" s="397" t="n"/>
      <c r="D743" s="397" t="n"/>
      <c r="E743" s="397" t="n"/>
      <c r="F743" s="397" t="n"/>
      <c r="G743" s="397" t="n"/>
      <c r="I743" s="397" t="n"/>
      <c r="J743" s="397" t="n"/>
      <c r="K743" s="395">
        <f>DATE(VALUE(LEFT(A743,4)),VALUE(MID(A743,5,2)),VALUE(RIGHT(A743,2)))</f>
        <v/>
      </c>
      <c r="L743" s="395">
        <f>DATEVALUE(LEFT(F743,10))</f>
        <v/>
      </c>
      <c r="M743" s="396">
        <f>TIMEVALUE(MID(F743,12,8))</f>
        <v/>
      </c>
      <c r="N743" s="395">
        <f>DATEVALUE(LEFT(G743,10))</f>
        <v/>
      </c>
      <c r="O743" s="396">
        <f>TIMEVALUE(MID(G743,12,8))</f>
        <v/>
      </c>
      <c r="P743" s="396">
        <f>IFERROR(_xlfn.MINIFS($M:$M,$E:$E,$E743,$K:$K,$K743,$M:$M,"&gt;"&amp;$O743),"")</f>
        <v/>
      </c>
      <c r="Q743" s="396">
        <f>IF($P743="","",$P743-$O743)</f>
        <v/>
      </c>
    </row>
    <row r="744" ht="15" customHeight="1" s="231">
      <c r="A744" s="397" t="n"/>
      <c r="B744" s="397" t="n"/>
      <c r="C744" s="397" t="n"/>
      <c r="D744" s="397" t="n"/>
      <c r="E744" s="397" t="n"/>
      <c r="F744" s="397" t="n"/>
      <c r="G744" s="397" t="n"/>
      <c r="I744" s="397" t="n"/>
      <c r="J744" s="397" t="n"/>
      <c r="K744" s="395">
        <f>DATE(VALUE(LEFT(A744,4)),VALUE(MID(A744,5,2)),VALUE(RIGHT(A744,2)))</f>
        <v/>
      </c>
      <c r="L744" s="395">
        <f>DATEVALUE(LEFT(F744,10))</f>
        <v/>
      </c>
      <c r="M744" s="396">
        <f>TIMEVALUE(MID(F744,12,8))</f>
        <v/>
      </c>
      <c r="N744" s="395">
        <f>DATEVALUE(LEFT(G744,10))</f>
        <v/>
      </c>
      <c r="O744" s="396">
        <f>TIMEVALUE(MID(G744,12,8))</f>
        <v/>
      </c>
      <c r="P744" s="396">
        <f>IFERROR(_xlfn.MINIFS($M:$M,$E:$E,$E744,$K:$K,$K744,$M:$M,"&gt;"&amp;$O744),"")</f>
        <v/>
      </c>
      <c r="Q744" s="396">
        <f>IF($P744="","",$P744-$O744)</f>
        <v/>
      </c>
    </row>
    <row r="745" ht="15" customHeight="1" s="231">
      <c r="A745" s="397" t="n"/>
      <c r="B745" s="397" t="n"/>
      <c r="C745" s="397" t="n"/>
      <c r="D745" s="397" t="n"/>
      <c r="E745" s="397" t="n"/>
      <c r="F745" s="397" t="n"/>
      <c r="G745" s="397" t="n"/>
      <c r="I745" s="397" t="n"/>
      <c r="J745" s="397" t="n"/>
      <c r="K745" s="395">
        <f>DATE(VALUE(LEFT(A745,4)),VALUE(MID(A745,5,2)),VALUE(RIGHT(A745,2)))</f>
        <v/>
      </c>
      <c r="L745" s="395">
        <f>DATEVALUE(LEFT(F745,10))</f>
        <v/>
      </c>
      <c r="M745" s="396">
        <f>TIMEVALUE(MID(F745,12,8))</f>
        <v/>
      </c>
      <c r="N745" s="395">
        <f>DATEVALUE(LEFT(G745,10))</f>
        <v/>
      </c>
      <c r="O745" s="396">
        <f>TIMEVALUE(MID(G745,12,8))</f>
        <v/>
      </c>
      <c r="P745" s="396">
        <f>IFERROR(_xlfn.MINIFS($M:$M,$E:$E,$E745,$K:$K,$K745,$M:$M,"&gt;"&amp;$O745),"")</f>
        <v/>
      </c>
      <c r="Q745" s="396">
        <f>IF($P745="","",$P745-$O745)</f>
        <v/>
      </c>
    </row>
    <row r="746" ht="15" customHeight="1" s="231">
      <c r="A746" s="397" t="n"/>
      <c r="B746" s="397" t="n"/>
      <c r="C746" s="397" t="n"/>
      <c r="D746" s="397" t="n"/>
      <c r="E746" s="397" t="n"/>
      <c r="F746" s="397" t="n"/>
      <c r="G746" s="397" t="n"/>
      <c r="I746" s="397" t="n"/>
      <c r="J746" s="397" t="n"/>
      <c r="K746" s="395">
        <f>DATE(VALUE(LEFT(A746,4)),VALUE(MID(A746,5,2)),VALUE(RIGHT(A746,2)))</f>
        <v/>
      </c>
      <c r="L746" s="395">
        <f>DATEVALUE(LEFT(F746,10))</f>
        <v/>
      </c>
      <c r="M746" s="396">
        <f>TIMEVALUE(MID(F746,12,8))</f>
        <v/>
      </c>
      <c r="N746" s="395">
        <f>DATEVALUE(LEFT(G746,10))</f>
        <v/>
      </c>
      <c r="O746" s="396">
        <f>TIMEVALUE(MID(G746,12,8))</f>
        <v/>
      </c>
      <c r="P746" s="396">
        <f>IFERROR(_xlfn.MINIFS($M:$M,$E:$E,$E746,$K:$K,$K746,$M:$M,"&gt;"&amp;$O746),"")</f>
        <v/>
      </c>
      <c r="Q746" s="396">
        <f>IF($P746="","",$P746-$O746)</f>
        <v/>
      </c>
    </row>
    <row r="747" ht="15" customHeight="1" s="231">
      <c r="A747" s="397" t="n"/>
      <c r="B747" s="397" t="n"/>
      <c r="C747" s="397" t="n"/>
      <c r="D747" s="397" t="n"/>
      <c r="E747" s="397" t="n"/>
      <c r="F747" s="397" t="n"/>
      <c r="G747" s="397" t="n"/>
      <c r="I747" s="397" t="n"/>
      <c r="J747" s="397" t="n"/>
      <c r="K747" s="395">
        <f>DATE(VALUE(LEFT(A747,4)),VALUE(MID(A747,5,2)),VALUE(RIGHT(A747,2)))</f>
        <v/>
      </c>
      <c r="L747" s="395">
        <f>DATEVALUE(LEFT(F747,10))</f>
        <v/>
      </c>
      <c r="M747" s="396">
        <f>TIMEVALUE(MID(F747,12,8))</f>
        <v/>
      </c>
      <c r="N747" s="395">
        <f>DATEVALUE(LEFT(G747,10))</f>
        <v/>
      </c>
      <c r="O747" s="396">
        <f>TIMEVALUE(MID(G747,12,8))</f>
        <v/>
      </c>
      <c r="P747" s="396">
        <f>IFERROR(_xlfn.MINIFS($M:$M,$E:$E,$E747,$K:$K,$K747,$M:$M,"&gt;"&amp;$O747),"")</f>
        <v/>
      </c>
      <c r="Q747" s="396">
        <f>IF($P747="","",$P747-$O747)</f>
        <v/>
      </c>
    </row>
    <row r="748" ht="15" customHeight="1" s="231">
      <c r="A748" s="397" t="n"/>
      <c r="B748" s="397" t="n"/>
      <c r="C748" s="397" t="n"/>
      <c r="D748" s="397" t="n"/>
      <c r="E748" s="397" t="n"/>
      <c r="F748" s="397" t="n"/>
      <c r="G748" s="397" t="n"/>
      <c r="I748" s="397" t="n"/>
      <c r="J748" s="397" t="n"/>
      <c r="K748" s="395">
        <f>DATE(VALUE(LEFT(A748,4)),VALUE(MID(A748,5,2)),VALUE(RIGHT(A748,2)))</f>
        <v/>
      </c>
      <c r="L748" s="395">
        <f>DATEVALUE(LEFT(F748,10))</f>
        <v/>
      </c>
      <c r="M748" s="396">
        <f>TIMEVALUE(MID(F748,12,8))</f>
        <v/>
      </c>
      <c r="N748" s="395">
        <f>DATEVALUE(LEFT(G748,10))</f>
        <v/>
      </c>
      <c r="O748" s="396">
        <f>TIMEVALUE(MID(G748,12,8))</f>
        <v/>
      </c>
      <c r="P748" s="396">
        <f>IFERROR(_xlfn.MINIFS($M:$M,$E:$E,$E748,$K:$K,$K748,$M:$M,"&gt;"&amp;$O748),"")</f>
        <v/>
      </c>
      <c r="Q748" s="396">
        <f>IF($P748="","",$P748-$O748)</f>
        <v/>
      </c>
    </row>
    <row r="749" ht="15" customHeight="1" s="231">
      <c r="A749" s="397" t="n"/>
      <c r="B749" s="397" t="n"/>
      <c r="C749" s="397" t="n"/>
      <c r="D749" s="397" t="n"/>
      <c r="E749" s="397" t="n"/>
      <c r="F749" s="397" t="n"/>
      <c r="G749" s="397" t="n"/>
      <c r="I749" s="397" t="n"/>
      <c r="J749" s="397" t="n"/>
      <c r="K749" s="395">
        <f>DATE(VALUE(LEFT(A749,4)),VALUE(MID(A749,5,2)),VALUE(RIGHT(A749,2)))</f>
        <v/>
      </c>
      <c r="L749" s="395">
        <f>DATEVALUE(LEFT(F749,10))</f>
        <v/>
      </c>
      <c r="M749" s="396">
        <f>TIMEVALUE(MID(F749,12,8))</f>
        <v/>
      </c>
      <c r="N749" s="395">
        <f>DATEVALUE(LEFT(G749,10))</f>
        <v/>
      </c>
      <c r="O749" s="396">
        <f>TIMEVALUE(MID(G749,12,8))</f>
        <v/>
      </c>
      <c r="P749" s="396">
        <f>IFERROR(_xlfn.MINIFS($M:$M,$E:$E,$E749,$K:$K,$K749,$M:$M,"&gt;"&amp;$O749),"")</f>
        <v/>
      </c>
      <c r="Q749" s="396">
        <f>IF($P749="","",$P749-$O749)</f>
        <v/>
      </c>
    </row>
    <row r="750" ht="15" customHeight="1" s="231">
      <c r="A750" s="397" t="n"/>
      <c r="B750" s="397" t="n"/>
      <c r="C750" s="397" t="n"/>
      <c r="D750" s="397" t="n"/>
      <c r="E750" s="397" t="n"/>
      <c r="F750" s="397" t="n"/>
      <c r="G750" s="397" t="n"/>
      <c r="I750" s="397" t="n"/>
      <c r="J750" s="397" t="n"/>
      <c r="K750" s="395">
        <f>DATE(VALUE(LEFT(A750,4)),VALUE(MID(A750,5,2)),VALUE(RIGHT(A750,2)))</f>
        <v/>
      </c>
      <c r="L750" s="395">
        <f>DATEVALUE(LEFT(F750,10))</f>
        <v/>
      </c>
      <c r="M750" s="396">
        <f>TIMEVALUE(MID(F750,12,8))</f>
        <v/>
      </c>
      <c r="N750" s="395">
        <f>DATEVALUE(LEFT(G750,10))</f>
        <v/>
      </c>
      <c r="O750" s="396">
        <f>TIMEVALUE(MID(G750,12,8))</f>
        <v/>
      </c>
      <c r="P750" s="396">
        <f>IFERROR(_xlfn.MINIFS($M:$M,$E:$E,$E750,$K:$K,$K750,$M:$M,"&gt;"&amp;$O750),"")</f>
        <v/>
      </c>
      <c r="Q750" s="396">
        <f>IF($P750="","",$P750-$O750)</f>
        <v/>
      </c>
    </row>
    <row r="751" ht="15" customHeight="1" s="231">
      <c r="A751" s="397" t="n"/>
      <c r="B751" s="397" t="n"/>
      <c r="C751" s="397" t="n"/>
      <c r="D751" s="397" t="n"/>
      <c r="E751" s="397" t="n"/>
      <c r="F751" s="397" t="n"/>
      <c r="G751" s="397" t="n"/>
      <c r="I751" s="397" t="n"/>
      <c r="J751" s="397" t="n"/>
      <c r="K751" s="395">
        <f>DATE(VALUE(LEFT(A751,4)),VALUE(MID(A751,5,2)),VALUE(RIGHT(A751,2)))</f>
        <v/>
      </c>
      <c r="L751" s="395">
        <f>DATEVALUE(LEFT(F751,10))</f>
        <v/>
      </c>
      <c r="M751" s="396">
        <f>TIMEVALUE(MID(F751,12,8))</f>
        <v/>
      </c>
      <c r="N751" s="395">
        <f>DATEVALUE(LEFT(G751,10))</f>
        <v/>
      </c>
      <c r="O751" s="396">
        <f>TIMEVALUE(MID(G751,12,8))</f>
        <v/>
      </c>
      <c r="P751" s="396">
        <f>IFERROR(_xlfn.MINIFS($M:$M,$E:$E,$E751,$K:$K,$K751,$M:$M,"&gt;"&amp;$O751),"")</f>
        <v/>
      </c>
      <c r="Q751" s="396">
        <f>IF($P751="","",$P751-$O751)</f>
        <v/>
      </c>
    </row>
    <row r="752" ht="15" customHeight="1" s="231">
      <c r="A752" s="397" t="n"/>
      <c r="B752" s="397" t="n"/>
      <c r="C752" s="397" t="n"/>
      <c r="D752" s="397" t="n"/>
      <c r="E752" s="397" t="n"/>
      <c r="F752" s="397" t="n"/>
      <c r="G752" s="397" t="n"/>
      <c r="I752" s="397" t="n"/>
      <c r="J752" s="397" t="n"/>
      <c r="K752" s="395">
        <f>DATE(VALUE(LEFT(A752,4)),VALUE(MID(A752,5,2)),VALUE(RIGHT(A752,2)))</f>
        <v/>
      </c>
      <c r="L752" s="395">
        <f>DATEVALUE(LEFT(F752,10))</f>
        <v/>
      </c>
      <c r="M752" s="396">
        <f>TIMEVALUE(MID(F752,12,8))</f>
        <v/>
      </c>
      <c r="N752" s="395">
        <f>DATEVALUE(LEFT(G752,10))</f>
        <v/>
      </c>
      <c r="O752" s="396">
        <f>TIMEVALUE(MID(G752,12,8))</f>
        <v/>
      </c>
      <c r="P752" s="396">
        <f>IFERROR(_xlfn.MINIFS($M:$M,$E:$E,$E752,$K:$K,$K752,$M:$M,"&gt;"&amp;$O752),"")</f>
        <v/>
      </c>
      <c r="Q752" s="396">
        <f>IF($P752="","",$P752-$O752)</f>
        <v/>
      </c>
    </row>
    <row r="753" ht="15" customHeight="1" s="231">
      <c r="A753" s="397" t="n"/>
      <c r="B753" s="397" t="n"/>
      <c r="C753" s="397" t="n"/>
      <c r="D753" s="397" t="n"/>
      <c r="E753" s="397" t="n"/>
      <c r="F753" s="397" t="n"/>
      <c r="G753" s="397" t="n"/>
      <c r="I753" s="397" t="n"/>
      <c r="J753" s="397" t="n"/>
      <c r="K753" s="395">
        <f>DATE(VALUE(LEFT(A753,4)),VALUE(MID(A753,5,2)),VALUE(RIGHT(A753,2)))</f>
        <v/>
      </c>
      <c r="L753" s="395">
        <f>DATEVALUE(LEFT(F753,10))</f>
        <v/>
      </c>
      <c r="M753" s="396">
        <f>TIMEVALUE(MID(F753,12,8))</f>
        <v/>
      </c>
      <c r="N753" s="395">
        <f>DATEVALUE(LEFT(G753,10))</f>
        <v/>
      </c>
      <c r="O753" s="396">
        <f>TIMEVALUE(MID(G753,12,8))</f>
        <v/>
      </c>
      <c r="P753" s="396">
        <f>IFERROR(_xlfn.MINIFS($M:$M,$E:$E,$E753,$K:$K,$K753,$M:$M,"&gt;"&amp;$O753),"")</f>
        <v/>
      </c>
      <c r="Q753" s="396">
        <f>IF($P753="","",$P753-$O753)</f>
        <v/>
      </c>
    </row>
    <row r="754" ht="15" customHeight="1" s="231">
      <c r="A754" s="397" t="n"/>
      <c r="B754" s="397" t="n"/>
      <c r="C754" s="397" t="n"/>
      <c r="D754" s="397" t="n"/>
      <c r="E754" s="397" t="n"/>
      <c r="F754" s="397" t="n"/>
      <c r="G754" s="397" t="n"/>
      <c r="I754" s="397" t="n"/>
      <c r="J754" s="397" t="n"/>
      <c r="K754" s="395">
        <f>DATE(VALUE(LEFT(A754,4)),VALUE(MID(A754,5,2)),VALUE(RIGHT(A754,2)))</f>
        <v/>
      </c>
      <c r="L754" s="395">
        <f>DATEVALUE(LEFT(F754,10))</f>
        <v/>
      </c>
      <c r="M754" s="396">
        <f>TIMEVALUE(MID(F754,12,8))</f>
        <v/>
      </c>
      <c r="N754" s="395">
        <f>DATEVALUE(LEFT(G754,10))</f>
        <v/>
      </c>
      <c r="O754" s="396">
        <f>TIMEVALUE(MID(G754,12,8))</f>
        <v/>
      </c>
      <c r="P754" s="396">
        <f>IFERROR(_xlfn.MINIFS($M:$M,$E:$E,$E754,$K:$K,$K754,$M:$M,"&gt;"&amp;$O754),"")</f>
        <v/>
      </c>
      <c r="Q754" s="396">
        <f>IF($P754="","",$P754-$O754)</f>
        <v/>
      </c>
    </row>
    <row r="755" ht="15" customHeight="1" s="231">
      <c r="A755" s="397" t="n"/>
      <c r="B755" s="397" t="n"/>
      <c r="C755" s="397" t="n"/>
      <c r="D755" s="397" t="n"/>
      <c r="E755" s="397" t="n"/>
      <c r="F755" s="397" t="n"/>
      <c r="G755" s="397" t="n"/>
      <c r="I755" s="397" t="n"/>
      <c r="J755" s="397" t="n"/>
      <c r="K755" s="395">
        <f>DATE(VALUE(LEFT(A755,4)),VALUE(MID(A755,5,2)),VALUE(RIGHT(A755,2)))</f>
        <v/>
      </c>
      <c r="L755" s="395">
        <f>DATEVALUE(LEFT(F755,10))</f>
        <v/>
      </c>
      <c r="M755" s="396">
        <f>TIMEVALUE(MID(F755,12,8))</f>
        <v/>
      </c>
      <c r="N755" s="395">
        <f>DATEVALUE(LEFT(G755,10))</f>
        <v/>
      </c>
      <c r="O755" s="396">
        <f>TIMEVALUE(MID(G755,12,8))</f>
        <v/>
      </c>
      <c r="P755" s="396">
        <f>IFERROR(_xlfn.MINIFS($M:$M,$E:$E,$E755,$K:$K,$K755,$M:$M,"&gt;"&amp;$O755),"")</f>
        <v/>
      </c>
      <c r="Q755" s="396">
        <f>IF($P755="","",$P755-$O755)</f>
        <v/>
      </c>
    </row>
    <row r="756" ht="15" customHeight="1" s="231">
      <c r="A756" s="397" t="n"/>
      <c r="B756" s="397" t="n"/>
      <c r="C756" s="397" t="n"/>
      <c r="D756" s="397" t="n"/>
      <c r="E756" s="397" t="n"/>
      <c r="F756" s="397" t="n"/>
      <c r="G756" s="397" t="n"/>
      <c r="I756" s="397" t="n"/>
      <c r="J756" s="397" t="n"/>
      <c r="K756" s="395">
        <f>DATE(VALUE(LEFT(A756,4)),VALUE(MID(A756,5,2)),VALUE(RIGHT(A756,2)))</f>
        <v/>
      </c>
      <c r="L756" s="395">
        <f>DATEVALUE(LEFT(F756,10))</f>
        <v/>
      </c>
      <c r="M756" s="396">
        <f>TIMEVALUE(MID(F756,12,8))</f>
        <v/>
      </c>
      <c r="N756" s="395">
        <f>DATEVALUE(LEFT(G756,10))</f>
        <v/>
      </c>
      <c r="O756" s="396">
        <f>TIMEVALUE(MID(G756,12,8))</f>
        <v/>
      </c>
      <c r="P756" s="396">
        <f>IFERROR(_xlfn.MINIFS($M:$M,$E:$E,$E756,$K:$K,$K756,$M:$M,"&gt;"&amp;$O756),"")</f>
        <v/>
      </c>
      <c r="Q756" s="396">
        <f>IF($P756="","",$P756-$O756)</f>
        <v/>
      </c>
    </row>
    <row r="757" ht="15" customHeight="1" s="231">
      <c r="A757" s="397" t="n"/>
      <c r="B757" s="397" t="n"/>
      <c r="C757" s="397" t="n"/>
      <c r="D757" s="397" t="n"/>
      <c r="E757" s="397" t="n"/>
      <c r="F757" s="397" t="n"/>
      <c r="G757" s="397" t="n"/>
      <c r="I757" s="397" t="n"/>
      <c r="J757" s="397" t="n"/>
      <c r="K757" s="395">
        <f>DATE(VALUE(LEFT(A757,4)),VALUE(MID(A757,5,2)),VALUE(RIGHT(A757,2)))</f>
        <v/>
      </c>
      <c r="L757" s="395">
        <f>DATEVALUE(LEFT(F757,10))</f>
        <v/>
      </c>
      <c r="M757" s="396">
        <f>TIMEVALUE(MID(F757,12,8))</f>
        <v/>
      </c>
      <c r="N757" s="395">
        <f>DATEVALUE(LEFT(G757,10))</f>
        <v/>
      </c>
      <c r="O757" s="396">
        <f>TIMEVALUE(MID(G757,12,8))</f>
        <v/>
      </c>
      <c r="P757" s="396">
        <f>IFERROR(_xlfn.MINIFS($M:$M,$E:$E,$E757,$K:$K,$K757,$M:$M,"&gt;"&amp;$O757),"")</f>
        <v/>
      </c>
      <c r="Q757" s="396">
        <f>IF($P757="","",$P757-$O757)</f>
        <v/>
      </c>
    </row>
    <row r="758" ht="15" customHeight="1" s="231">
      <c r="A758" s="397" t="n"/>
      <c r="B758" s="397" t="n"/>
      <c r="C758" s="397" t="n"/>
      <c r="D758" s="397" t="n"/>
      <c r="E758" s="397" t="n"/>
      <c r="F758" s="397" t="n"/>
      <c r="G758" s="397" t="n"/>
      <c r="I758" s="397" t="n"/>
      <c r="J758" s="397" t="n"/>
      <c r="K758" s="395">
        <f>DATE(VALUE(LEFT(A758,4)),VALUE(MID(A758,5,2)),VALUE(RIGHT(A758,2)))</f>
        <v/>
      </c>
      <c r="L758" s="395">
        <f>DATEVALUE(LEFT(F758,10))</f>
        <v/>
      </c>
      <c r="M758" s="396">
        <f>TIMEVALUE(MID(F758,12,8))</f>
        <v/>
      </c>
      <c r="N758" s="395">
        <f>DATEVALUE(LEFT(G758,10))</f>
        <v/>
      </c>
      <c r="O758" s="396">
        <f>TIMEVALUE(MID(G758,12,8))</f>
        <v/>
      </c>
      <c r="P758" s="396">
        <f>IFERROR(_xlfn.MINIFS($M:$M,$E:$E,$E758,$K:$K,$K758,$M:$M,"&gt;"&amp;$O758),"")</f>
        <v/>
      </c>
      <c r="Q758" s="396">
        <f>IF($P758="","",$P758-$O758)</f>
        <v/>
      </c>
    </row>
    <row r="759" ht="15" customHeight="1" s="231">
      <c r="A759" s="397" t="n"/>
      <c r="B759" s="397" t="n"/>
      <c r="C759" s="397" t="n"/>
      <c r="D759" s="397" t="n"/>
      <c r="E759" s="397" t="n"/>
      <c r="F759" s="397" t="n"/>
      <c r="G759" s="397" t="n"/>
      <c r="I759" s="397" t="n"/>
      <c r="J759" s="397" t="n"/>
      <c r="K759" s="395">
        <f>DATE(VALUE(LEFT(A759,4)),VALUE(MID(A759,5,2)),VALUE(RIGHT(A759,2)))</f>
        <v/>
      </c>
      <c r="L759" s="395">
        <f>DATEVALUE(LEFT(F759,10))</f>
        <v/>
      </c>
      <c r="M759" s="396">
        <f>TIMEVALUE(MID(F759,12,8))</f>
        <v/>
      </c>
      <c r="N759" s="395">
        <f>DATEVALUE(LEFT(G759,10))</f>
        <v/>
      </c>
      <c r="O759" s="396">
        <f>TIMEVALUE(MID(G759,12,8))</f>
        <v/>
      </c>
      <c r="P759" s="396">
        <f>IFERROR(_xlfn.MINIFS($M:$M,$E:$E,$E759,$K:$K,$K759,$M:$M,"&gt;"&amp;$O759),"")</f>
        <v/>
      </c>
      <c r="Q759" s="396">
        <f>IF($P759="","",$P759-$O759)</f>
        <v/>
      </c>
    </row>
    <row r="760" ht="15" customHeight="1" s="231">
      <c r="A760" s="397" t="n"/>
      <c r="B760" s="397" t="n"/>
      <c r="C760" s="397" t="n"/>
      <c r="D760" s="397" t="n"/>
      <c r="E760" s="397" t="n"/>
      <c r="F760" s="397" t="n"/>
      <c r="G760" s="397" t="n"/>
      <c r="I760" s="397" t="n"/>
      <c r="J760" s="397" t="n"/>
      <c r="K760" s="395">
        <f>DATE(VALUE(LEFT(A760,4)),VALUE(MID(A760,5,2)),VALUE(RIGHT(A760,2)))</f>
        <v/>
      </c>
      <c r="L760" s="395">
        <f>DATEVALUE(LEFT(F760,10))</f>
        <v/>
      </c>
      <c r="M760" s="396">
        <f>TIMEVALUE(MID(F760,12,8))</f>
        <v/>
      </c>
      <c r="N760" s="395">
        <f>DATEVALUE(LEFT(G760,10))</f>
        <v/>
      </c>
      <c r="O760" s="396">
        <f>TIMEVALUE(MID(G760,12,8))</f>
        <v/>
      </c>
      <c r="P760" s="396">
        <f>IFERROR(_xlfn.MINIFS($M:$M,$E:$E,$E760,$K:$K,$K760,$M:$M,"&gt;"&amp;$O760),"")</f>
        <v/>
      </c>
      <c r="Q760" s="396">
        <f>IF($P760="","",$P760-$O760)</f>
        <v/>
      </c>
    </row>
    <row r="761" ht="15" customHeight="1" s="231">
      <c r="A761" s="397" t="n"/>
      <c r="B761" s="397" t="n"/>
      <c r="C761" s="397" t="n"/>
      <c r="D761" s="397" t="n"/>
      <c r="E761" s="397" t="n"/>
      <c r="F761" s="397" t="n"/>
      <c r="G761" s="397" t="n"/>
      <c r="I761" s="397" t="n"/>
      <c r="J761" s="397" t="n"/>
      <c r="K761" s="395">
        <f>DATE(VALUE(LEFT(A761,4)),VALUE(MID(A761,5,2)),VALUE(RIGHT(A761,2)))</f>
        <v/>
      </c>
      <c r="L761" s="395">
        <f>DATEVALUE(LEFT(F761,10))</f>
        <v/>
      </c>
      <c r="M761" s="396">
        <f>TIMEVALUE(MID(F761,12,8))</f>
        <v/>
      </c>
      <c r="N761" s="395">
        <f>DATEVALUE(LEFT(G761,10))</f>
        <v/>
      </c>
      <c r="O761" s="396">
        <f>TIMEVALUE(MID(G761,12,8))</f>
        <v/>
      </c>
      <c r="P761" s="396">
        <f>IFERROR(_xlfn.MINIFS($M:$M,$E:$E,$E761,$K:$K,$K761,$M:$M,"&gt;"&amp;$O761),"")</f>
        <v/>
      </c>
      <c r="Q761" s="396">
        <f>IF($P761="","",$P761-$O761)</f>
        <v/>
      </c>
    </row>
    <row r="762" ht="15" customHeight="1" s="231">
      <c r="A762" s="397" t="n"/>
      <c r="B762" s="397" t="n"/>
      <c r="C762" s="397" t="n"/>
      <c r="D762" s="397" t="n"/>
      <c r="E762" s="397" t="n"/>
      <c r="F762" s="397" t="n"/>
      <c r="G762" s="397" t="n"/>
      <c r="I762" s="397" t="n"/>
      <c r="J762" s="397" t="n"/>
      <c r="K762" s="395">
        <f>DATE(VALUE(LEFT(A762,4)),VALUE(MID(A762,5,2)),VALUE(RIGHT(A762,2)))</f>
        <v/>
      </c>
      <c r="L762" s="395">
        <f>DATEVALUE(LEFT(F762,10))</f>
        <v/>
      </c>
      <c r="M762" s="396">
        <f>TIMEVALUE(MID(F762,12,8))</f>
        <v/>
      </c>
      <c r="N762" s="395">
        <f>DATEVALUE(LEFT(G762,10))</f>
        <v/>
      </c>
      <c r="O762" s="396">
        <f>TIMEVALUE(MID(G762,12,8))</f>
        <v/>
      </c>
      <c r="P762" s="396">
        <f>IFERROR(_xlfn.MINIFS($M:$M,$E:$E,$E762,$K:$K,$K762,$M:$M,"&gt;"&amp;$O762),"")</f>
        <v/>
      </c>
      <c r="Q762" s="396">
        <f>IF($P762="","",$P762-$O762)</f>
        <v/>
      </c>
    </row>
    <row r="763" ht="15" customHeight="1" s="231">
      <c r="A763" s="397" t="n"/>
      <c r="B763" s="397" t="n"/>
      <c r="C763" s="397" t="n"/>
      <c r="D763" s="397" t="n"/>
      <c r="E763" s="397" t="n"/>
      <c r="F763" s="397" t="n"/>
      <c r="G763" s="397" t="n"/>
      <c r="I763" s="397" t="n"/>
      <c r="J763" s="397" t="n"/>
      <c r="K763" s="395">
        <f>DATE(VALUE(LEFT(A763,4)),VALUE(MID(A763,5,2)),VALUE(RIGHT(A763,2)))</f>
        <v/>
      </c>
      <c r="L763" s="395">
        <f>DATEVALUE(LEFT(F763,10))</f>
        <v/>
      </c>
      <c r="M763" s="396">
        <f>TIMEVALUE(MID(F763,12,8))</f>
        <v/>
      </c>
      <c r="N763" s="395">
        <f>DATEVALUE(LEFT(G763,10))</f>
        <v/>
      </c>
      <c r="O763" s="396">
        <f>TIMEVALUE(MID(G763,12,8))</f>
        <v/>
      </c>
      <c r="P763" s="396">
        <f>IFERROR(_xlfn.MINIFS($M:$M,$E:$E,$E763,$K:$K,$K763,$M:$M,"&gt;"&amp;$O763),"")</f>
        <v/>
      </c>
      <c r="Q763" s="396">
        <f>IF($P763="","",$P763-$O763)</f>
        <v/>
      </c>
    </row>
    <row r="764" ht="15" customHeight="1" s="231">
      <c r="A764" s="397" t="n"/>
      <c r="B764" s="397" t="n"/>
      <c r="C764" s="397" t="n"/>
      <c r="D764" s="397" t="n"/>
      <c r="E764" s="397" t="n"/>
      <c r="F764" s="397" t="n"/>
      <c r="G764" s="397" t="n"/>
      <c r="I764" s="397" t="n"/>
      <c r="J764" s="397" t="n"/>
      <c r="K764" s="395">
        <f>DATE(VALUE(LEFT(A764,4)),VALUE(MID(A764,5,2)),VALUE(RIGHT(A764,2)))</f>
        <v/>
      </c>
      <c r="L764" s="395">
        <f>DATEVALUE(LEFT(F764,10))</f>
        <v/>
      </c>
      <c r="M764" s="396">
        <f>TIMEVALUE(MID(F764,12,8))</f>
        <v/>
      </c>
      <c r="N764" s="395">
        <f>DATEVALUE(LEFT(G764,10))</f>
        <v/>
      </c>
      <c r="O764" s="396">
        <f>TIMEVALUE(MID(G764,12,8))</f>
        <v/>
      </c>
      <c r="P764" s="396">
        <f>IFERROR(_xlfn.MINIFS($M:$M,$E:$E,$E764,$K:$K,$K764,$M:$M,"&gt;"&amp;$O764),"")</f>
        <v/>
      </c>
      <c r="Q764" s="396">
        <f>IF($P764="","",$P764-$O764)</f>
        <v/>
      </c>
    </row>
    <row r="765" ht="15" customHeight="1" s="231">
      <c r="A765" s="397" t="n"/>
      <c r="B765" s="397" t="n"/>
      <c r="C765" s="397" t="n"/>
      <c r="D765" s="397" t="n"/>
      <c r="E765" s="397" t="n"/>
      <c r="F765" s="397" t="n"/>
      <c r="G765" s="397" t="n"/>
      <c r="I765" s="397" t="n"/>
      <c r="J765" s="397" t="n"/>
      <c r="K765" s="395">
        <f>DATE(VALUE(LEFT(A765,4)),VALUE(MID(A765,5,2)),VALUE(RIGHT(A765,2)))</f>
        <v/>
      </c>
      <c r="L765" s="395">
        <f>DATEVALUE(LEFT(F765,10))</f>
        <v/>
      </c>
      <c r="M765" s="396">
        <f>TIMEVALUE(MID(F765,12,8))</f>
        <v/>
      </c>
      <c r="N765" s="395">
        <f>DATEVALUE(LEFT(G765,10))</f>
        <v/>
      </c>
      <c r="O765" s="396">
        <f>TIMEVALUE(MID(G765,12,8))</f>
        <v/>
      </c>
      <c r="P765" s="396">
        <f>IFERROR(_xlfn.MINIFS($M:$M,$E:$E,$E765,$K:$K,$K765,$M:$M,"&gt;"&amp;$O765),"")</f>
        <v/>
      </c>
      <c r="Q765" s="396">
        <f>IF($P765="","",$P765-$O765)</f>
        <v/>
      </c>
    </row>
    <row r="766" ht="15" customHeight="1" s="231">
      <c r="A766" s="397" t="n"/>
      <c r="B766" s="397" t="n"/>
      <c r="C766" s="397" t="n"/>
      <c r="D766" s="397" t="n"/>
      <c r="E766" s="397" t="n"/>
      <c r="F766" s="397" t="n"/>
      <c r="G766" s="397" t="n"/>
      <c r="I766" s="397" t="n"/>
      <c r="J766" s="397" t="n"/>
      <c r="K766" s="395">
        <f>DATE(VALUE(LEFT(A766,4)),VALUE(MID(A766,5,2)),VALUE(RIGHT(A766,2)))</f>
        <v/>
      </c>
      <c r="L766" s="395">
        <f>DATEVALUE(LEFT(F766,10))</f>
        <v/>
      </c>
      <c r="M766" s="396">
        <f>TIMEVALUE(MID(F766,12,8))</f>
        <v/>
      </c>
      <c r="N766" s="395">
        <f>DATEVALUE(LEFT(G766,10))</f>
        <v/>
      </c>
      <c r="O766" s="396">
        <f>TIMEVALUE(MID(G766,12,8))</f>
        <v/>
      </c>
      <c r="P766" s="396">
        <f>IFERROR(_xlfn.MINIFS($M:$M,$E:$E,$E766,$K:$K,$K766,$M:$M,"&gt;"&amp;$O766),"")</f>
        <v/>
      </c>
      <c r="Q766" s="396">
        <f>IF($P766="","",$P766-$O766)</f>
        <v/>
      </c>
    </row>
    <row r="767" ht="15" customHeight="1" s="231">
      <c r="A767" s="397" t="n"/>
      <c r="B767" s="397" t="n"/>
      <c r="C767" s="397" t="n"/>
      <c r="D767" s="397" t="n"/>
      <c r="E767" s="397" t="n"/>
      <c r="F767" s="397" t="n"/>
      <c r="G767" s="397" t="n"/>
      <c r="I767" s="397" t="n"/>
      <c r="J767" s="397" t="n"/>
      <c r="K767" s="395">
        <f>DATE(VALUE(LEFT(A767,4)),VALUE(MID(A767,5,2)),VALUE(RIGHT(A767,2)))</f>
        <v/>
      </c>
      <c r="L767" s="395">
        <f>DATEVALUE(LEFT(F767,10))</f>
        <v/>
      </c>
      <c r="M767" s="396">
        <f>TIMEVALUE(MID(F767,12,8))</f>
        <v/>
      </c>
      <c r="N767" s="395">
        <f>DATEVALUE(LEFT(G767,10))</f>
        <v/>
      </c>
      <c r="O767" s="396">
        <f>TIMEVALUE(MID(G767,12,8))</f>
        <v/>
      </c>
      <c r="P767" s="396">
        <f>IFERROR(_xlfn.MINIFS($M:$M,$E:$E,$E767,$K:$K,$K767,$M:$M,"&gt;"&amp;$O767),"")</f>
        <v/>
      </c>
      <c r="Q767" s="396">
        <f>IF($P767="","",$P767-$O767)</f>
        <v/>
      </c>
    </row>
    <row r="768" ht="15" customHeight="1" s="231">
      <c r="A768" s="397" t="n"/>
      <c r="B768" s="397" t="n"/>
      <c r="C768" s="397" t="n"/>
      <c r="D768" s="397" t="n"/>
      <c r="E768" s="397" t="n"/>
      <c r="F768" s="397" t="n"/>
      <c r="G768" s="397" t="n"/>
      <c r="I768" s="397" t="n"/>
      <c r="J768" s="397" t="n"/>
      <c r="K768" s="395">
        <f>DATE(VALUE(LEFT(A768,4)),VALUE(MID(A768,5,2)),VALUE(RIGHT(A768,2)))</f>
        <v/>
      </c>
      <c r="L768" s="395">
        <f>DATEVALUE(LEFT(F768,10))</f>
        <v/>
      </c>
      <c r="M768" s="396">
        <f>TIMEVALUE(MID(F768,12,8))</f>
        <v/>
      </c>
      <c r="N768" s="395">
        <f>DATEVALUE(LEFT(G768,10))</f>
        <v/>
      </c>
      <c r="O768" s="396">
        <f>TIMEVALUE(MID(G768,12,8))</f>
        <v/>
      </c>
      <c r="P768" s="396">
        <f>IFERROR(_xlfn.MINIFS($M:$M,$E:$E,$E768,$K:$K,$K768,$M:$M,"&gt;"&amp;$O768),"")</f>
        <v/>
      </c>
      <c r="Q768" s="396">
        <f>IF($P768="","",$P768-$O768)</f>
        <v/>
      </c>
    </row>
    <row r="769" ht="15" customHeight="1" s="231">
      <c r="A769" s="397" t="n"/>
      <c r="B769" s="397" t="n"/>
      <c r="C769" s="397" t="n"/>
      <c r="D769" s="397" t="n"/>
      <c r="E769" s="397" t="n"/>
      <c r="F769" s="397" t="n"/>
      <c r="G769" s="397" t="n"/>
      <c r="I769" s="397" t="n"/>
      <c r="J769" s="397" t="n"/>
      <c r="K769" s="395">
        <f>DATE(VALUE(LEFT(A769,4)),VALUE(MID(A769,5,2)),VALUE(RIGHT(A769,2)))</f>
        <v/>
      </c>
      <c r="L769" s="395">
        <f>DATEVALUE(LEFT(F769,10))</f>
        <v/>
      </c>
      <c r="M769" s="396">
        <f>TIMEVALUE(MID(F769,12,8))</f>
        <v/>
      </c>
      <c r="N769" s="395">
        <f>DATEVALUE(LEFT(G769,10))</f>
        <v/>
      </c>
      <c r="O769" s="396">
        <f>TIMEVALUE(MID(G769,12,8))</f>
        <v/>
      </c>
      <c r="P769" s="396">
        <f>IFERROR(_xlfn.MINIFS($M:$M,$E:$E,$E769,$K:$K,$K769,$M:$M,"&gt;"&amp;$O769),"")</f>
        <v/>
      </c>
      <c r="Q769" s="396">
        <f>IF($P769="","",$P769-$O769)</f>
        <v/>
      </c>
    </row>
    <row r="770" ht="15" customHeight="1" s="231">
      <c r="A770" s="397" t="n"/>
      <c r="B770" s="397" t="n"/>
      <c r="C770" s="397" t="n"/>
      <c r="D770" s="397" t="n"/>
      <c r="E770" s="397" t="n"/>
      <c r="F770" s="397" t="n"/>
      <c r="G770" s="397" t="n"/>
      <c r="I770" s="397" t="n"/>
      <c r="J770" s="397" t="n"/>
      <c r="K770" s="395">
        <f>DATE(VALUE(LEFT(A770,4)),VALUE(MID(A770,5,2)),VALUE(RIGHT(A770,2)))</f>
        <v/>
      </c>
      <c r="L770" s="395">
        <f>DATEVALUE(LEFT(F770,10))</f>
        <v/>
      </c>
      <c r="M770" s="396">
        <f>TIMEVALUE(MID(F770,12,8))</f>
        <v/>
      </c>
      <c r="N770" s="395">
        <f>DATEVALUE(LEFT(G770,10))</f>
        <v/>
      </c>
      <c r="O770" s="396">
        <f>TIMEVALUE(MID(G770,12,8))</f>
        <v/>
      </c>
      <c r="P770" s="396">
        <f>IFERROR(_xlfn.MINIFS($M:$M,$E:$E,$E770,$K:$K,$K770,$M:$M,"&gt;"&amp;$O770),"")</f>
        <v/>
      </c>
      <c r="Q770" s="396">
        <f>IF($P770="","",$P770-$O770)</f>
        <v/>
      </c>
    </row>
    <row r="771" ht="15" customHeight="1" s="231">
      <c r="A771" s="397" t="n"/>
      <c r="B771" s="397" t="n"/>
      <c r="C771" s="397" t="n"/>
      <c r="D771" s="397" t="n"/>
      <c r="E771" s="397" t="n"/>
      <c r="F771" s="397" t="n"/>
      <c r="G771" s="397" t="n"/>
      <c r="I771" s="397" t="n"/>
      <c r="J771" s="397" t="n"/>
      <c r="K771" s="395">
        <f>DATE(VALUE(LEFT(A771,4)),VALUE(MID(A771,5,2)),VALUE(RIGHT(A771,2)))</f>
        <v/>
      </c>
      <c r="L771" s="395">
        <f>DATEVALUE(LEFT(F771,10))</f>
        <v/>
      </c>
      <c r="M771" s="396">
        <f>TIMEVALUE(MID(F771,12,8))</f>
        <v/>
      </c>
      <c r="N771" s="395">
        <f>DATEVALUE(LEFT(G771,10))</f>
        <v/>
      </c>
      <c r="O771" s="396">
        <f>TIMEVALUE(MID(G771,12,8))</f>
        <v/>
      </c>
      <c r="P771" s="396">
        <f>IFERROR(_xlfn.MINIFS($M:$M,$E:$E,$E771,$K:$K,$K771,$M:$M,"&gt;"&amp;$O771),"")</f>
        <v/>
      </c>
      <c r="Q771" s="396">
        <f>IF($P771="","",$P771-$O771)</f>
        <v/>
      </c>
    </row>
    <row r="772" ht="15" customHeight="1" s="231">
      <c r="A772" s="397" t="n"/>
      <c r="B772" s="397" t="n"/>
      <c r="C772" s="397" t="n"/>
      <c r="D772" s="397" t="n"/>
      <c r="E772" s="397" t="n"/>
      <c r="F772" s="397" t="n"/>
      <c r="G772" s="397" t="n"/>
      <c r="I772" s="397" t="n"/>
      <c r="J772" s="397" t="n"/>
      <c r="K772" s="395">
        <f>DATE(VALUE(LEFT(A772,4)),VALUE(MID(A772,5,2)),VALUE(RIGHT(A772,2)))</f>
        <v/>
      </c>
      <c r="L772" s="395">
        <f>DATEVALUE(LEFT(F772,10))</f>
        <v/>
      </c>
      <c r="M772" s="396">
        <f>TIMEVALUE(MID(F772,12,8))</f>
        <v/>
      </c>
      <c r="N772" s="395">
        <f>DATEVALUE(LEFT(G772,10))</f>
        <v/>
      </c>
      <c r="O772" s="396">
        <f>TIMEVALUE(MID(G772,12,8))</f>
        <v/>
      </c>
      <c r="P772" s="396">
        <f>IFERROR(_xlfn.MINIFS($M:$M,$E:$E,$E772,$K:$K,$K772,$M:$M,"&gt;"&amp;$O772),"")</f>
        <v/>
      </c>
      <c r="Q772" s="396">
        <f>IF($P772="","",$P772-$O772)</f>
        <v/>
      </c>
    </row>
    <row r="773" ht="15" customHeight="1" s="231">
      <c r="A773" s="397" t="n"/>
      <c r="B773" s="397" t="n"/>
      <c r="C773" s="397" t="n"/>
      <c r="D773" s="397" t="n"/>
      <c r="E773" s="397" t="n"/>
      <c r="F773" s="397" t="n"/>
      <c r="G773" s="397" t="n"/>
      <c r="I773" s="397" t="n"/>
      <c r="J773" s="397" t="n"/>
      <c r="K773" s="395">
        <f>DATE(VALUE(LEFT(A773,4)),VALUE(MID(A773,5,2)),VALUE(RIGHT(A773,2)))</f>
        <v/>
      </c>
      <c r="L773" s="395">
        <f>DATEVALUE(LEFT(F773,10))</f>
        <v/>
      </c>
      <c r="M773" s="396">
        <f>TIMEVALUE(MID(F773,12,8))</f>
        <v/>
      </c>
      <c r="N773" s="395">
        <f>DATEVALUE(LEFT(G773,10))</f>
        <v/>
      </c>
      <c r="O773" s="396">
        <f>TIMEVALUE(MID(G773,12,8))</f>
        <v/>
      </c>
      <c r="P773" s="396">
        <f>IFERROR(_xlfn.MINIFS($M:$M,$E:$E,$E773,$K:$K,$K773,$M:$M,"&gt;"&amp;$O773),"")</f>
        <v/>
      </c>
      <c r="Q773" s="396">
        <f>IF($P773="","",$P773-$O773)</f>
        <v/>
      </c>
    </row>
    <row r="774" ht="15" customHeight="1" s="231">
      <c r="A774" s="397" t="n"/>
      <c r="B774" s="397" t="n"/>
      <c r="C774" s="397" t="n"/>
      <c r="D774" s="397" t="n"/>
      <c r="E774" s="397" t="n"/>
      <c r="F774" s="397" t="n"/>
      <c r="G774" s="397" t="n"/>
      <c r="I774" s="397" t="n"/>
      <c r="J774" s="397" t="n"/>
      <c r="K774" s="395">
        <f>DATE(VALUE(LEFT(A774,4)),VALUE(MID(A774,5,2)),VALUE(RIGHT(A774,2)))</f>
        <v/>
      </c>
      <c r="L774" s="395">
        <f>DATEVALUE(LEFT(F774,10))</f>
        <v/>
      </c>
      <c r="M774" s="396">
        <f>TIMEVALUE(MID(F774,12,8))</f>
        <v/>
      </c>
      <c r="N774" s="395">
        <f>DATEVALUE(LEFT(G774,10))</f>
        <v/>
      </c>
      <c r="O774" s="396">
        <f>TIMEVALUE(MID(G774,12,8))</f>
        <v/>
      </c>
      <c r="P774" s="396">
        <f>IFERROR(_xlfn.MINIFS($M:$M,$E:$E,$E774,$K:$K,$K774,$M:$M,"&gt;"&amp;$O774),"")</f>
        <v/>
      </c>
      <c r="Q774" s="396">
        <f>IF($P774="","",$P774-$O774)</f>
        <v/>
      </c>
    </row>
    <row r="775" ht="15" customHeight="1" s="231">
      <c r="A775" s="397" t="n"/>
      <c r="B775" s="397" t="n"/>
      <c r="C775" s="397" t="n"/>
      <c r="D775" s="397" t="n"/>
      <c r="E775" s="397" t="n"/>
      <c r="F775" s="397" t="n"/>
      <c r="G775" s="397" t="n"/>
      <c r="I775" s="397" t="n"/>
      <c r="J775" s="397" t="n"/>
      <c r="K775" s="395">
        <f>DATE(VALUE(LEFT(A775,4)),VALUE(MID(A775,5,2)),VALUE(RIGHT(A775,2)))</f>
        <v/>
      </c>
      <c r="L775" s="395">
        <f>DATEVALUE(LEFT(F775,10))</f>
        <v/>
      </c>
      <c r="M775" s="396">
        <f>TIMEVALUE(MID(F775,12,8))</f>
        <v/>
      </c>
      <c r="N775" s="395">
        <f>DATEVALUE(LEFT(G775,10))</f>
        <v/>
      </c>
      <c r="O775" s="396">
        <f>TIMEVALUE(MID(G775,12,8))</f>
        <v/>
      </c>
      <c r="P775" s="396">
        <f>IFERROR(_xlfn.MINIFS($M:$M,$E:$E,$E775,$K:$K,$K775,$M:$M,"&gt;"&amp;$O775),"")</f>
        <v/>
      </c>
      <c r="Q775" s="396">
        <f>IF($P775="","",$P775-$O775)</f>
        <v/>
      </c>
    </row>
    <row r="776" ht="15" customHeight="1" s="231">
      <c r="A776" s="397" t="n"/>
      <c r="B776" s="397" t="n"/>
      <c r="C776" s="397" t="n"/>
      <c r="D776" s="397" t="n"/>
      <c r="E776" s="397" t="n"/>
      <c r="F776" s="397" t="n"/>
      <c r="G776" s="397" t="n"/>
      <c r="I776" s="397" t="n"/>
      <c r="J776" s="397" t="n"/>
      <c r="K776" s="395">
        <f>DATE(VALUE(LEFT(A776,4)),VALUE(MID(A776,5,2)),VALUE(RIGHT(A776,2)))</f>
        <v/>
      </c>
      <c r="L776" s="395">
        <f>DATEVALUE(LEFT(F776,10))</f>
        <v/>
      </c>
      <c r="M776" s="396">
        <f>TIMEVALUE(MID(F776,12,8))</f>
        <v/>
      </c>
      <c r="N776" s="395">
        <f>DATEVALUE(LEFT(G776,10))</f>
        <v/>
      </c>
      <c r="O776" s="396">
        <f>TIMEVALUE(MID(G776,12,8))</f>
        <v/>
      </c>
      <c r="P776" s="396">
        <f>IFERROR(_xlfn.MINIFS($M:$M,$E:$E,$E776,$K:$K,$K776,$M:$M,"&gt;"&amp;$O776),"")</f>
        <v/>
      </c>
      <c r="Q776" s="396">
        <f>IF($P776="","",$P776-$O776)</f>
        <v/>
      </c>
    </row>
    <row r="777" ht="15" customHeight="1" s="231">
      <c r="A777" s="397" t="n"/>
      <c r="B777" s="397" t="n"/>
      <c r="C777" s="397" t="n"/>
      <c r="D777" s="397" t="n"/>
      <c r="E777" s="397" t="n"/>
      <c r="F777" s="397" t="n"/>
      <c r="G777" s="397" t="n"/>
      <c r="I777" s="397" t="n"/>
      <c r="J777" s="397" t="n"/>
      <c r="K777" s="395">
        <f>DATE(VALUE(LEFT(A777,4)),VALUE(MID(A777,5,2)),VALUE(RIGHT(A777,2)))</f>
        <v/>
      </c>
      <c r="L777" s="395">
        <f>DATEVALUE(LEFT(F777,10))</f>
        <v/>
      </c>
      <c r="M777" s="396">
        <f>TIMEVALUE(MID(F777,12,8))</f>
        <v/>
      </c>
      <c r="N777" s="395">
        <f>DATEVALUE(LEFT(G777,10))</f>
        <v/>
      </c>
      <c r="O777" s="396">
        <f>TIMEVALUE(MID(G777,12,8))</f>
        <v/>
      </c>
      <c r="P777" s="396">
        <f>IFERROR(_xlfn.MINIFS($M:$M,$E:$E,$E777,$K:$K,$K777,$M:$M,"&gt;"&amp;$O777),"")</f>
        <v/>
      </c>
      <c r="Q777" s="396">
        <f>IF($P777="","",$P777-$O777)</f>
        <v/>
      </c>
    </row>
    <row r="778" ht="15" customHeight="1" s="231">
      <c r="A778" s="397" t="n"/>
      <c r="B778" s="397" t="n"/>
      <c r="C778" s="397" t="n"/>
      <c r="D778" s="397" t="n"/>
      <c r="E778" s="397" t="n"/>
      <c r="F778" s="397" t="n"/>
      <c r="G778" s="397" t="n"/>
      <c r="I778" s="397" t="n"/>
      <c r="J778" s="397" t="n"/>
      <c r="K778" s="395">
        <f>DATE(VALUE(LEFT(A778,4)),VALUE(MID(A778,5,2)),VALUE(RIGHT(A778,2)))</f>
        <v/>
      </c>
      <c r="L778" s="395">
        <f>DATEVALUE(LEFT(F778,10))</f>
        <v/>
      </c>
      <c r="M778" s="396">
        <f>TIMEVALUE(MID(F778,12,8))</f>
        <v/>
      </c>
      <c r="N778" s="395">
        <f>DATEVALUE(LEFT(G778,10))</f>
        <v/>
      </c>
      <c r="O778" s="396">
        <f>TIMEVALUE(MID(G778,12,8))</f>
        <v/>
      </c>
      <c r="P778" s="396">
        <f>IFERROR(_xlfn.MINIFS($M:$M,$E:$E,$E778,$K:$K,$K778,$M:$M,"&gt;"&amp;$O778),"")</f>
        <v/>
      </c>
      <c r="Q778" s="396">
        <f>IF($P778="","",$P778-$O778)</f>
        <v/>
      </c>
    </row>
    <row r="779" ht="15" customHeight="1" s="231">
      <c r="A779" s="397" t="n"/>
      <c r="B779" s="397" t="n"/>
      <c r="C779" s="397" t="n"/>
      <c r="D779" s="397" t="n"/>
      <c r="E779" s="397" t="n"/>
      <c r="F779" s="397" t="n"/>
      <c r="G779" s="397" t="n"/>
      <c r="I779" s="397" t="n"/>
      <c r="J779" s="397" t="n"/>
      <c r="K779" s="395">
        <f>DATE(VALUE(LEFT(A779,4)),VALUE(MID(A779,5,2)),VALUE(RIGHT(A779,2)))</f>
        <v/>
      </c>
      <c r="L779" s="395">
        <f>DATEVALUE(LEFT(F779,10))</f>
        <v/>
      </c>
      <c r="M779" s="396">
        <f>TIMEVALUE(MID(F779,12,8))</f>
        <v/>
      </c>
      <c r="N779" s="395">
        <f>DATEVALUE(LEFT(G779,10))</f>
        <v/>
      </c>
      <c r="O779" s="396">
        <f>TIMEVALUE(MID(G779,12,8))</f>
        <v/>
      </c>
      <c r="P779" s="396">
        <f>IFERROR(_xlfn.MINIFS($M:$M,$E:$E,$E779,$K:$K,$K779,$M:$M,"&gt;"&amp;$O779),"")</f>
        <v/>
      </c>
      <c r="Q779" s="396">
        <f>IF($P779="","",$P779-$O779)</f>
        <v/>
      </c>
    </row>
    <row r="780" ht="15" customHeight="1" s="231">
      <c r="A780" s="397" t="n"/>
      <c r="B780" s="397" t="n"/>
      <c r="C780" s="397" t="n"/>
      <c r="D780" s="397" t="n"/>
      <c r="E780" s="397" t="n"/>
      <c r="F780" s="397" t="n"/>
      <c r="G780" s="397" t="n"/>
      <c r="I780" s="397" t="n"/>
      <c r="J780" s="397" t="n"/>
      <c r="K780" s="395">
        <f>DATE(VALUE(LEFT(A780,4)),VALUE(MID(A780,5,2)),VALUE(RIGHT(A780,2)))</f>
        <v/>
      </c>
      <c r="L780" s="395">
        <f>DATEVALUE(LEFT(F780,10))</f>
        <v/>
      </c>
      <c r="M780" s="396">
        <f>TIMEVALUE(MID(F780,12,8))</f>
        <v/>
      </c>
      <c r="N780" s="395">
        <f>DATEVALUE(LEFT(G780,10))</f>
        <v/>
      </c>
      <c r="O780" s="396">
        <f>TIMEVALUE(MID(G780,12,8))</f>
        <v/>
      </c>
      <c r="P780" s="396">
        <f>IFERROR(_xlfn.MINIFS($M:$M,$E:$E,$E780,$K:$K,$K780,$M:$M,"&gt;"&amp;$O780),"")</f>
        <v/>
      </c>
      <c r="Q780" s="396">
        <f>IF($P780="","",$P780-$O780)</f>
        <v/>
      </c>
    </row>
    <row r="781" ht="15" customHeight="1" s="231">
      <c r="A781" s="397" t="n"/>
      <c r="B781" s="397" t="n"/>
      <c r="C781" s="397" t="n"/>
      <c r="D781" s="397" t="n"/>
      <c r="E781" s="397" t="n"/>
      <c r="F781" s="397" t="n"/>
      <c r="G781" s="397" t="n"/>
      <c r="I781" s="397" t="n"/>
      <c r="J781" s="397" t="n"/>
      <c r="K781" s="395">
        <f>DATE(VALUE(LEFT(A781,4)),VALUE(MID(A781,5,2)),VALUE(RIGHT(A781,2)))</f>
        <v/>
      </c>
      <c r="L781" s="395">
        <f>DATEVALUE(LEFT(F781,10))</f>
        <v/>
      </c>
      <c r="M781" s="396">
        <f>TIMEVALUE(MID(F781,12,8))</f>
        <v/>
      </c>
      <c r="N781" s="395">
        <f>DATEVALUE(LEFT(G781,10))</f>
        <v/>
      </c>
      <c r="O781" s="396">
        <f>TIMEVALUE(MID(G781,12,8))</f>
        <v/>
      </c>
      <c r="P781" s="396">
        <f>IFERROR(_xlfn.MINIFS($M:$M,$E:$E,$E781,$K:$K,$K781,$M:$M,"&gt;"&amp;$O781),"")</f>
        <v/>
      </c>
      <c r="Q781" s="396">
        <f>IF($P781="","",$P781-$O781)</f>
        <v/>
      </c>
    </row>
    <row r="782" ht="15" customHeight="1" s="231">
      <c r="A782" s="397" t="n"/>
      <c r="B782" s="397" t="n"/>
      <c r="C782" s="397" t="n"/>
      <c r="D782" s="397" t="n"/>
      <c r="E782" s="397" t="n"/>
      <c r="F782" s="397" t="n"/>
      <c r="G782" s="397" t="n"/>
      <c r="I782" s="397" t="n"/>
      <c r="J782" s="397" t="n"/>
      <c r="K782" s="395">
        <f>DATE(VALUE(LEFT(A782,4)),VALUE(MID(A782,5,2)),VALUE(RIGHT(A782,2)))</f>
        <v/>
      </c>
      <c r="L782" s="395">
        <f>DATEVALUE(LEFT(F782,10))</f>
        <v/>
      </c>
      <c r="M782" s="396">
        <f>TIMEVALUE(MID(F782,12,8))</f>
        <v/>
      </c>
      <c r="N782" s="395">
        <f>DATEVALUE(LEFT(G782,10))</f>
        <v/>
      </c>
      <c r="O782" s="396">
        <f>TIMEVALUE(MID(G782,12,8))</f>
        <v/>
      </c>
      <c r="P782" s="396">
        <f>IFERROR(_xlfn.MINIFS($M:$M,$E:$E,$E782,$K:$K,$K782,$M:$M,"&gt;"&amp;$O782),"")</f>
        <v/>
      </c>
      <c r="Q782" s="396">
        <f>IF($P782="","",$P782-$O782)</f>
        <v/>
      </c>
    </row>
    <row r="783" ht="15" customHeight="1" s="231">
      <c r="A783" s="397" t="n"/>
      <c r="B783" s="397" t="n"/>
      <c r="C783" s="397" t="n"/>
      <c r="D783" s="397" t="n"/>
      <c r="E783" s="397" t="n"/>
      <c r="F783" s="397" t="n"/>
      <c r="G783" s="397" t="n"/>
      <c r="I783" s="397" t="n"/>
      <c r="J783" s="397" t="n"/>
      <c r="K783" s="395">
        <f>DATE(VALUE(LEFT(A783,4)),VALUE(MID(A783,5,2)),VALUE(RIGHT(A783,2)))</f>
        <v/>
      </c>
      <c r="L783" s="395">
        <f>DATEVALUE(LEFT(F783,10))</f>
        <v/>
      </c>
      <c r="M783" s="396">
        <f>TIMEVALUE(MID(F783,12,8))</f>
        <v/>
      </c>
      <c r="N783" s="395">
        <f>DATEVALUE(LEFT(G783,10))</f>
        <v/>
      </c>
      <c r="O783" s="396">
        <f>TIMEVALUE(MID(G783,12,8))</f>
        <v/>
      </c>
      <c r="P783" s="396">
        <f>IFERROR(_xlfn.MINIFS($M:$M,$E:$E,$E783,$K:$K,$K783,$M:$M,"&gt;"&amp;$O783),"")</f>
        <v/>
      </c>
      <c r="Q783" s="396">
        <f>IF($P783="","",$P783-$O783)</f>
        <v/>
      </c>
    </row>
    <row r="784" ht="15" customHeight="1" s="231">
      <c r="A784" s="397" t="n"/>
      <c r="B784" s="397" t="n"/>
      <c r="C784" s="397" t="n"/>
      <c r="D784" s="397" t="n"/>
      <c r="E784" s="397" t="n"/>
      <c r="F784" s="397" t="n"/>
      <c r="G784" s="397" t="n"/>
      <c r="I784" s="397" t="n"/>
      <c r="J784" s="397" t="n"/>
      <c r="K784" s="395">
        <f>DATE(VALUE(LEFT(A784,4)),VALUE(MID(A784,5,2)),VALUE(RIGHT(A784,2)))</f>
        <v/>
      </c>
      <c r="L784" s="395">
        <f>DATEVALUE(LEFT(F784,10))</f>
        <v/>
      </c>
      <c r="M784" s="396">
        <f>TIMEVALUE(MID(F784,12,8))</f>
        <v/>
      </c>
      <c r="N784" s="395">
        <f>DATEVALUE(LEFT(G784,10))</f>
        <v/>
      </c>
      <c r="O784" s="396">
        <f>TIMEVALUE(MID(G784,12,8))</f>
        <v/>
      </c>
      <c r="P784" s="396">
        <f>IFERROR(_xlfn.MINIFS($M:$M,$E:$E,$E784,$K:$K,$K784,$M:$M,"&gt;"&amp;$O784),"")</f>
        <v/>
      </c>
      <c r="Q784" s="396">
        <f>IF($P784="","",$P784-$O784)</f>
        <v/>
      </c>
    </row>
    <row r="785" ht="15" customHeight="1" s="231">
      <c r="A785" s="397" t="n"/>
      <c r="B785" s="397" t="n"/>
      <c r="C785" s="397" t="n"/>
      <c r="D785" s="397" t="n"/>
      <c r="E785" s="397" t="n"/>
      <c r="F785" s="397" t="n"/>
      <c r="G785" s="397" t="n"/>
      <c r="I785" s="397" t="n"/>
      <c r="J785" s="397" t="n"/>
      <c r="K785" s="395">
        <f>DATE(VALUE(LEFT(A785,4)),VALUE(MID(A785,5,2)),VALUE(RIGHT(A785,2)))</f>
        <v/>
      </c>
      <c r="L785" s="395">
        <f>DATEVALUE(LEFT(F785,10))</f>
        <v/>
      </c>
      <c r="M785" s="396">
        <f>TIMEVALUE(MID(F785,12,8))</f>
        <v/>
      </c>
      <c r="N785" s="395">
        <f>DATEVALUE(LEFT(G785,10))</f>
        <v/>
      </c>
      <c r="O785" s="396">
        <f>TIMEVALUE(MID(G785,12,8))</f>
        <v/>
      </c>
      <c r="P785" s="396">
        <f>IFERROR(_xlfn.MINIFS($M:$M,$E:$E,$E785,$K:$K,$K785,$M:$M,"&gt;"&amp;$O785),"")</f>
        <v/>
      </c>
      <c r="Q785" s="396">
        <f>IF($P785="","",$P785-$O785)</f>
        <v/>
      </c>
    </row>
    <row r="786" ht="15" customHeight="1" s="231">
      <c r="A786" s="397" t="n"/>
      <c r="B786" s="397" t="n"/>
      <c r="C786" s="397" t="n"/>
      <c r="D786" s="397" t="n"/>
      <c r="E786" s="397" t="n"/>
      <c r="F786" s="397" t="n"/>
      <c r="G786" s="397" t="n"/>
      <c r="I786" s="397" t="n"/>
      <c r="J786" s="397" t="n"/>
      <c r="K786" s="395">
        <f>DATE(VALUE(LEFT(A786,4)),VALUE(MID(A786,5,2)),VALUE(RIGHT(A786,2)))</f>
        <v/>
      </c>
      <c r="L786" s="395">
        <f>DATEVALUE(LEFT(F786,10))</f>
        <v/>
      </c>
      <c r="M786" s="396">
        <f>TIMEVALUE(MID(F786,12,8))</f>
        <v/>
      </c>
      <c r="N786" s="395">
        <f>DATEVALUE(LEFT(G786,10))</f>
        <v/>
      </c>
      <c r="O786" s="396">
        <f>TIMEVALUE(MID(G786,12,8))</f>
        <v/>
      </c>
      <c r="P786" s="396">
        <f>IFERROR(_xlfn.MINIFS($M:$M,$E:$E,$E786,$K:$K,$K786,$M:$M,"&gt;"&amp;$O786),"")</f>
        <v/>
      </c>
      <c r="Q786" s="396">
        <f>IF($P786="","",$P786-$O786)</f>
        <v/>
      </c>
    </row>
    <row r="787" ht="15" customHeight="1" s="231">
      <c r="A787" s="397" t="n"/>
      <c r="B787" s="397" t="n"/>
      <c r="C787" s="397" t="n"/>
      <c r="D787" s="397" t="n"/>
      <c r="E787" s="397" t="n"/>
      <c r="F787" s="397" t="n"/>
      <c r="G787" s="397" t="n"/>
      <c r="I787" s="397" t="n"/>
      <c r="J787" s="397" t="n"/>
      <c r="K787" s="395">
        <f>DATE(VALUE(LEFT(A787,4)),VALUE(MID(A787,5,2)),VALUE(RIGHT(A787,2)))</f>
        <v/>
      </c>
      <c r="L787" s="395">
        <f>DATEVALUE(LEFT(F787,10))</f>
        <v/>
      </c>
      <c r="M787" s="396">
        <f>TIMEVALUE(MID(F787,12,8))</f>
        <v/>
      </c>
      <c r="N787" s="395">
        <f>DATEVALUE(LEFT(G787,10))</f>
        <v/>
      </c>
      <c r="O787" s="396">
        <f>TIMEVALUE(MID(G787,12,8))</f>
        <v/>
      </c>
      <c r="P787" s="396">
        <f>IFERROR(_xlfn.MINIFS($M:$M,$E:$E,$E787,$K:$K,$K787,$M:$M,"&gt;"&amp;$O787),"")</f>
        <v/>
      </c>
      <c r="Q787" s="396">
        <f>IF($P787="","",$P787-$O787)</f>
        <v/>
      </c>
    </row>
    <row r="788" ht="15" customHeight="1" s="231">
      <c r="A788" s="397" t="n"/>
      <c r="B788" s="397" t="n"/>
      <c r="C788" s="397" t="n"/>
      <c r="D788" s="397" t="n"/>
      <c r="E788" s="397" t="n"/>
      <c r="F788" s="397" t="n"/>
      <c r="G788" s="397" t="n"/>
      <c r="I788" s="397" t="n"/>
      <c r="J788" s="397" t="n"/>
      <c r="K788" s="395">
        <f>DATE(VALUE(LEFT(A788,4)),VALUE(MID(A788,5,2)),VALUE(RIGHT(A788,2)))</f>
        <v/>
      </c>
      <c r="L788" s="395">
        <f>DATEVALUE(LEFT(F788,10))</f>
        <v/>
      </c>
      <c r="M788" s="396">
        <f>TIMEVALUE(MID(F788,12,8))</f>
        <v/>
      </c>
      <c r="N788" s="395">
        <f>DATEVALUE(LEFT(G788,10))</f>
        <v/>
      </c>
      <c r="O788" s="396">
        <f>TIMEVALUE(MID(G788,12,8))</f>
        <v/>
      </c>
      <c r="P788" s="396">
        <f>IFERROR(_xlfn.MINIFS($M:$M,$E:$E,$E788,$K:$K,$K788,$M:$M,"&gt;"&amp;$O788),"")</f>
        <v/>
      </c>
      <c r="Q788" s="396">
        <f>IF($P788="","",$P788-$O788)</f>
        <v/>
      </c>
    </row>
    <row r="789" ht="15" customHeight="1" s="231">
      <c r="A789" s="397" t="n"/>
      <c r="B789" s="397" t="n"/>
      <c r="C789" s="397" t="n"/>
      <c r="D789" s="397" t="n"/>
      <c r="E789" s="397" t="n"/>
      <c r="F789" s="397" t="n"/>
      <c r="G789" s="397" t="n"/>
      <c r="I789" s="397" t="n"/>
      <c r="J789" s="397" t="n"/>
      <c r="K789" s="395">
        <f>DATE(VALUE(LEFT(A789,4)),VALUE(MID(A789,5,2)),VALUE(RIGHT(A789,2)))</f>
        <v/>
      </c>
      <c r="L789" s="395">
        <f>DATEVALUE(LEFT(F789,10))</f>
        <v/>
      </c>
      <c r="M789" s="396">
        <f>TIMEVALUE(MID(F789,12,8))</f>
        <v/>
      </c>
      <c r="N789" s="395">
        <f>DATEVALUE(LEFT(G789,10))</f>
        <v/>
      </c>
      <c r="O789" s="396">
        <f>TIMEVALUE(MID(G789,12,8))</f>
        <v/>
      </c>
      <c r="P789" s="396">
        <f>IFERROR(_xlfn.MINIFS($M:$M,$E:$E,$E789,$K:$K,$K789,$M:$M,"&gt;"&amp;$O789),"")</f>
        <v/>
      </c>
      <c r="Q789" s="396">
        <f>IF($P789="","",$P789-$O789)</f>
        <v/>
      </c>
    </row>
    <row r="790" ht="15" customHeight="1" s="231">
      <c r="A790" s="397" t="n"/>
      <c r="B790" s="397" t="n"/>
      <c r="C790" s="397" t="n"/>
      <c r="D790" s="397" t="n"/>
      <c r="E790" s="397" t="n"/>
      <c r="F790" s="397" t="n"/>
      <c r="G790" s="397" t="n"/>
      <c r="I790" s="397" t="n"/>
      <c r="J790" s="397" t="n"/>
      <c r="K790" s="395">
        <f>DATE(VALUE(LEFT(A790,4)),VALUE(MID(A790,5,2)),VALUE(RIGHT(A790,2)))</f>
        <v/>
      </c>
      <c r="L790" s="395">
        <f>DATEVALUE(LEFT(F790,10))</f>
        <v/>
      </c>
      <c r="M790" s="396">
        <f>TIMEVALUE(MID(F790,12,8))</f>
        <v/>
      </c>
      <c r="N790" s="395">
        <f>DATEVALUE(LEFT(G790,10))</f>
        <v/>
      </c>
      <c r="O790" s="396">
        <f>TIMEVALUE(MID(G790,12,8))</f>
        <v/>
      </c>
      <c r="P790" s="396">
        <f>IFERROR(_xlfn.MINIFS($M:$M,$E:$E,$E790,$K:$K,$K790,$M:$M,"&gt;"&amp;$O790),"")</f>
        <v/>
      </c>
      <c r="Q790" s="396">
        <f>IF($P790="","",$P790-$O790)</f>
        <v/>
      </c>
    </row>
    <row r="791" ht="15" customHeight="1" s="231">
      <c r="A791" s="397" t="n"/>
      <c r="B791" s="397" t="n"/>
      <c r="C791" s="397" t="n"/>
      <c r="D791" s="397" t="n"/>
      <c r="E791" s="397" t="n"/>
      <c r="F791" s="397" t="n"/>
      <c r="G791" s="397" t="n"/>
      <c r="I791" s="397" t="n"/>
      <c r="J791" s="397" t="n"/>
      <c r="K791" s="395">
        <f>DATE(VALUE(LEFT(A791,4)),VALUE(MID(A791,5,2)),VALUE(RIGHT(A791,2)))</f>
        <v/>
      </c>
      <c r="L791" s="395">
        <f>DATEVALUE(LEFT(F791,10))</f>
        <v/>
      </c>
      <c r="M791" s="396">
        <f>TIMEVALUE(MID(F791,12,8))</f>
        <v/>
      </c>
      <c r="N791" s="395">
        <f>DATEVALUE(LEFT(G791,10))</f>
        <v/>
      </c>
      <c r="O791" s="396">
        <f>TIMEVALUE(MID(G791,12,8))</f>
        <v/>
      </c>
      <c r="P791" s="396">
        <f>IFERROR(_xlfn.MINIFS($M:$M,$E:$E,$E791,$K:$K,$K791,$M:$M,"&gt;"&amp;$O791),"")</f>
        <v/>
      </c>
      <c r="Q791" s="396">
        <f>IF($P791="","",$P791-$O791)</f>
        <v/>
      </c>
    </row>
    <row r="792" ht="15" customHeight="1" s="231">
      <c r="A792" s="397" t="n"/>
      <c r="B792" s="397" t="n"/>
      <c r="C792" s="397" t="n"/>
      <c r="D792" s="397" t="n"/>
      <c r="E792" s="397" t="n"/>
      <c r="F792" s="397" t="n"/>
      <c r="G792" s="397" t="n"/>
      <c r="I792" s="397" t="n"/>
      <c r="J792" s="397" t="n"/>
      <c r="K792" s="395">
        <f>DATE(VALUE(LEFT(A792,4)),VALUE(MID(A792,5,2)),VALUE(RIGHT(A792,2)))</f>
        <v/>
      </c>
      <c r="L792" s="395">
        <f>DATEVALUE(LEFT(F792,10))</f>
        <v/>
      </c>
      <c r="M792" s="396">
        <f>TIMEVALUE(MID(F792,12,8))</f>
        <v/>
      </c>
      <c r="N792" s="395">
        <f>DATEVALUE(LEFT(G792,10))</f>
        <v/>
      </c>
      <c r="O792" s="396">
        <f>TIMEVALUE(MID(G792,12,8))</f>
        <v/>
      </c>
      <c r="P792" s="396">
        <f>IFERROR(_xlfn.MINIFS($M:$M,$E:$E,$E792,$K:$K,$K792,$M:$M,"&gt;"&amp;$O792),"")</f>
        <v/>
      </c>
      <c r="Q792" s="396">
        <f>IF($P792="","",$P792-$O792)</f>
        <v/>
      </c>
    </row>
    <row r="793" ht="15" customHeight="1" s="231">
      <c r="A793" s="397" t="n"/>
      <c r="B793" s="397" t="n"/>
      <c r="C793" s="397" t="n"/>
      <c r="D793" s="397" t="n"/>
      <c r="E793" s="397" t="n"/>
      <c r="F793" s="397" t="n"/>
      <c r="G793" s="397" t="n"/>
      <c r="I793" s="397" t="n"/>
      <c r="J793" s="397" t="n"/>
      <c r="K793" s="395">
        <f>DATE(VALUE(LEFT(A793,4)),VALUE(MID(A793,5,2)),VALUE(RIGHT(A793,2)))</f>
        <v/>
      </c>
      <c r="L793" s="395">
        <f>DATEVALUE(LEFT(F793,10))</f>
        <v/>
      </c>
      <c r="M793" s="396">
        <f>TIMEVALUE(MID(F793,12,8))</f>
        <v/>
      </c>
      <c r="N793" s="395">
        <f>DATEVALUE(LEFT(G793,10))</f>
        <v/>
      </c>
      <c r="O793" s="396">
        <f>TIMEVALUE(MID(G793,12,8))</f>
        <v/>
      </c>
      <c r="P793" s="396">
        <f>IFERROR(_xlfn.MINIFS($M:$M,$E:$E,$E793,$K:$K,$K793,$M:$M,"&gt;"&amp;$O793),"")</f>
        <v/>
      </c>
      <c r="Q793" s="396">
        <f>IF($P793="","",$P793-$O793)</f>
        <v/>
      </c>
    </row>
    <row r="794" ht="15" customHeight="1" s="231">
      <c r="A794" s="397" t="n"/>
      <c r="B794" s="397" t="n"/>
      <c r="C794" s="397" t="n"/>
      <c r="D794" s="397" t="n"/>
      <c r="E794" s="397" t="n"/>
      <c r="F794" s="397" t="n"/>
      <c r="G794" s="397" t="n"/>
      <c r="I794" s="397" t="n"/>
      <c r="J794" s="397" t="n"/>
      <c r="K794" s="395">
        <f>DATE(VALUE(LEFT(A794,4)),VALUE(MID(A794,5,2)),VALUE(RIGHT(A794,2)))</f>
        <v/>
      </c>
      <c r="L794" s="395">
        <f>DATEVALUE(LEFT(F794,10))</f>
        <v/>
      </c>
      <c r="M794" s="396">
        <f>TIMEVALUE(MID(F794,12,8))</f>
        <v/>
      </c>
      <c r="N794" s="395">
        <f>DATEVALUE(LEFT(G794,10))</f>
        <v/>
      </c>
      <c r="O794" s="396">
        <f>TIMEVALUE(MID(G794,12,8))</f>
        <v/>
      </c>
      <c r="P794" s="396">
        <f>IFERROR(_xlfn.MINIFS($M:$M,$E:$E,$E794,$K:$K,$K794,$M:$M,"&gt;"&amp;$O794),"")</f>
        <v/>
      </c>
      <c r="Q794" s="396">
        <f>IF($P794="","",$P794-$O794)</f>
        <v/>
      </c>
    </row>
    <row r="795" ht="15" customHeight="1" s="231">
      <c r="A795" s="397" t="n"/>
      <c r="B795" s="397" t="n"/>
      <c r="C795" s="397" t="n"/>
      <c r="D795" s="397" t="n"/>
      <c r="E795" s="397" t="n"/>
      <c r="F795" s="397" t="n"/>
      <c r="G795" s="397" t="n"/>
      <c r="I795" s="397" t="n"/>
      <c r="J795" s="397" t="n"/>
      <c r="K795" s="395">
        <f>DATE(VALUE(LEFT(A795,4)),VALUE(MID(A795,5,2)),VALUE(RIGHT(A795,2)))</f>
        <v/>
      </c>
      <c r="L795" s="395">
        <f>DATEVALUE(LEFT(F795,10))</f>
        <v/>
      </c>
      <c r="M795" s="396">
        <f>TIMEVALUE(MID(F795,12,8))</f>
        <v/>
      </c>
      <c r="N795" s="395">
        <f>DATEVALUE(LEFT(G795,10))</f>
        <v/>
      </c>
      <c r="O795" s="396">
        <f>TIMEVALUE(MID(G795,12,8))</f>
        <v/>
      </c>
      <c r="P795" s="396">
        <f>IFERROR(_xlfn.MINIFS($M:$M,$E:$E,$E795,$K:$K,$K795,$M:$M,"&gt;"&amp;$O795),"")</f>
        <v/>
      </c>
      <c r="Q795" s="396">
        <f>IF($P795="","",$P795-$O795)</f>
        <v/>
      </c>
    </row>
    <row r="796" ht="15" customHeight="1" s="231">
      <c r="A796" s="397" t="n"/>
      <c r="B796" s="397" t="n"/>
      <c r="C796" s="397" t="n"/>
      <c r="D796" s="397" t="n"/>
      <c r="E796" s="397" t="n"/>
      <c r="F796" s="397" t="n"/>
      <c r="G796" s="397" t="n"/>
      <c r="I796" s="397" t="n"/>
      <c r="J796" s="397" t="n"/>
      <c r="K796" s="395">
        <f>DATE(VALUE(LEFT(A796,4)),VALUE(MID(A796,5,2)),VALUE(RIGHT(A796,2)))</f>
        <v/>
      </c>
      <c r="L796" s="395">
        <f>DATEVALUE(LEFT(F796,10))</f>
        <v/>
      </c>
      <c r="M796" s="396">
        <f>TIMEVALUE(MID(F796,12,8))</f>
        <v/>
      </c>
      <c r="N796" s="395">
        <f>DATEVALUE(LEFT(G796,10))</f>
        <v/>
      </c>
      <c r="O796" s="396">
        <f>TIMEVALUE(MID(G796,12,8))</f>
        <v/>
      </c>
      <c r="P796" s="396">
        <f>IFERROR(_xlfn.MINIFS($M:$M,$E:$E,$E796,$K:$K,$K796,$M:$M,"&gt;"&amp;$O796),"")</f>
        <v/>
      </c>
      <c r="Q796" s="396">
        <f>IF($P796="","",$P796-$O796)</f>
        <v/>
      </c>
    </row>
    <row r="797" ht="15" customHeight="1" s="231">
      <c r="A797" s="397" t="n"/>
      <c r="B797" s="397" t="n"/>
      <c r="C797" s="397" t="n"/>
      <c r="D797" s="397" t="n"/>
      <c r="E797" s="397" t="n"/>
      <c r="F797" s="397" t="n"/>
      <c r="G797" s="397" t="n"/>
      <c r="I797" s="397" t="n"/>
      <c r="J797" s="397" t="n"/>
      <c r="K797" s="395">
        <f>DATE(VALUE(LEFT(A797,4)),VALUE(MID(A797,5,2)),VALUE(RIGHT(A797,2)))</f>
        <v/>
      </c>
      <c r="L797" s="395">
        <f>DATEVALUE(LEFT(F797,10))</f>
        <v/>
      </c>
      <c r="M797" s="396">
        <f>TIMEVALUE(MID(F797,12,8))</f>
        <v/>
      </c>
      <c r="N797" s="395">
        <f>DATEVALUE(LEFT(G797,10))</f>
        <v/>
      </c>
      <c r="O797" s="396">
        <f>TIMEVALUE(MID(G797,12,8))</f>
        <v/>
      </c>
      <c r="P797" s="396">
        <f>IFERROR(_xlfn.MINIFS($M:$M,$E:$E,$E797,$K:$K,$K797,$M:$M,"&gt;"&amp;$O797),"")</f>
        <v/>
      </c>
      <c r="Q797" s="396">
        <f>IF($P797="","",$P797-$O797)</f>
        <v/>
      </c>
    </row>
    <row r="798" ht="15" customHeight="1" s="231">
      <c r="A798" s="397" t="n"/>
      <c r="B798" s="397" t="n"/>
      <c r="C798" s="397" t="n"/>
      <c r="D798" s="397" t="n"/>
      <c r="E798" s="397" t="n"/>
      <c r="F798" s="397" t="n"/>
      <c r="G798" s="397" t="n"/>
      <c r="I798" s="397" t="n"/>
      <c r="J798" s="397" t="n"/>
      <c r="K798" s="395">
        <f>DATE(VALUE(LEFT(A798,4)),VALUE(MID(A798,5,2)),VALUE(RIGHT(A798,2)))</f>
        <v/>
      </c>
      <c r="L798" s="395">
        <f>DATEVALUE(LEFT(F798,10))</f>
        <v/>
      </c>
      <c r="M798" s="396">
        <f>TIMEVALUE(MID(F798,12,8))</f>
        <v/>
      </c>
      <c r="N798" s="395">
        <f>DATEVALUE(LEFT(G798,10))</f>
        <v/>
      </c>
      <c r="O798" s="396">
        <f>TIMEVALUE(MID(G798,12,8))</f>
        <v/>
      </c>
      <c r="P798" s="396">
        <f>IFERROR(_xlfn.MINIFS($M:$M,$E:$E,$E798,$K:$K,$K798,$M:$M,"&gt;"&amp;$O798),"")</f>
        <v/>
      </c>
      <c r="Q798" s="396">
        <f>IF($P798="","",$P798-$O798)</f>
        <v/>
      </c>
    </row>
    <row r="799" ht="15" customHeight="1" s="231">
      <c r="A799" s="397" t="n"/>
      <c r="B799" s="397" t="n"/>
      <c r="C799" s="397" t="n"/>
      <c r="D799" s="397" t="n"/>
      <c r="E799" s="397" t="n"/>
      <c r="F799" s="397" t="n"/>
      <c r="G799" s="397" t="n"/>
      <c r="I799" s="397" t="n"/>
      <c r="J799" s="397" t="n"/>
      <c r="K799" s="395">
        <f>DATE(VALUE(LEFT(A799,4)),VALUE(MID(A799,5,2)),VALUE(RIGHT(A799,2)))</f>
        <v/>
      </c>
      <c r="L799" s="395">
        <f>DATEVALUE(LEFT(F799,10))</f>
        <v/>
      </c>
      <c r="M799" s="396">
        <f>TIMEVALUE(MID(F799,12,8))</f>
        <v/>
      </c>
      <c r="N799" s="395">
        <f>DATEVALUE(LEFT(G799,10))</f>
        <v/>
      </c>
      <c r="O799" s="396">
        <f>TIMEVALUE(MID(G799,12,8))</f>
        <v/>
      </c>
      <c r="P799" s="396">
        <f>IFERROR(_xlfn.MINIFS($M:$M,$E:$E,$E799,$K:$K,$K799,$M:$M,"&gt;"&amp;$O799),"")</f>
        <v/>
      </c>
      <c r="Q799" s="396">
        <f>IF($P799="","",$P799-$O799)</f>
        <v/>
      </c>
    </row>
    <row r="800" ht="15" customHeight="1" s="231">
      <c r="A800" s="397" t="n"/>
      <c r="B800" s="397" t="n"/>
      <c r="C800" s="397" t="n"/>
      <c r="D800" s="397" t="n"/>
      <c r="E800" s="397" t="n"/>
      <c r="F800" s="397" t="n"/>
      <c r="G800" s="397" t="n"/>
      <c r="I800" s="397" t="n"/>
      <c r="J800" s="397" t="n"/>
      <c r="K800" s="395">
        <f>DATE(VALUE(LEFT(A800,4)),VALUE(MID(A800,5,2)),VALUE(RIGHT(A800,2)))</f>
        <v/>
      </c>
      <c r="L800" s="395">
        <f>DATEVALUE(LEFT(F800,10))</f>
        <v/>
      </c>
      <c r="M800" s="396">
        <f>TIMEVALUE(MID(F800,12,8))</f>
        <v/>
      </c>
      <c r="N800" s="395">
        <f>DATEVALUE(LEFT(G800,10))</f>
        <v/>
      </c>
      <c r="O800" s="396">
        <f>TIMEVALUE(MID(G800,12,8))</f>
        <v/>
      </c>
      <c r="P800" s="396">
        <f>IFERROR(_xlfn.MINIFS($M:$M,$E:$E,$E800,$K:$K,$K800,$M:$M,"&gt;"&amp;$O800),"")</f>
        <v/>
      </c>
      <c r="Q800" s="396">
        <f>IF($P800="","",$P800-$O800)</f>
        <v/>
      </c>
    </row>
    <row r="801" ht="15" customHeight="1" s="231">
      <c r="A801" s="397" t="n"/>
      <c r="B801" s="397" t="n"/>
      <c r="C801" s="397" t="n"/>
      <c r="D801" s="397" t="n"/>
      <c r="E801" s="397" t="n"/>
      <c r="F801" s="397" t="n"/>
      <c r="G801" s="397" t="n"/>
      <c r="I801" s="397" t="n"/>
      <c r="J801" s="397" t="n"/>
      <c r="K801" s="395">
        <f>DATE(VALUE(LEFT(A801,4)),VALUE(MID(A801,5,2)),VALUE(RIGHT(A801,2)))</f>
        <v/>
      </c>
      <c r="L801" s="395">
        <f>DATEVALUE(LEFT(F801,10))</f>
        <v/>
      </c>
      <c r="M801" s="396">
        <f>TIMEVALUE(MID(F801,12,8))</f>
        <v/>
      </c>
      <c r="N801" s="395">
        <f>DATEVALUE(LEFT(G801,10))</f>
        <v/>
      </c>
      <c r="O801" s="396">
        <f>TIMEVALUE(MID(G801,12,8))</f>
        <v/>
      </c>
      <c r="P801" s="396">
        <f>IFERROR(_xlfn.MINIFS($M:$M,$E:$E,$E801,$K:$K,$K801,$M:$M,"&gt;"&amp;$O801),"")</f>
        <v/>
      </c>
      <c r="Q801" s="396">
        <f>IF($P801="","",$P801-$O801)</f>
        <v/>
      </c>
    </row>
    <row r="802" ht="15" customHeight="1" s="231">
      <c r="A802" s="397" t="n"/>
      <c r="B802" s="397" t="n"/>
      <c r="C802" s="397" t="n"/>
      <c r="D802" s="397" t="n"/>
      <c r="E802" s="397" t="n"/>
      <c r="F802" s="397" t="n"/>
      <c r="G802" s="397" t="n"/>
      <c r="I802" s="397" t="n"/>
      <c r="J802" s="397" t="n"/>
      <c r="K802" s="395">
        <f>DATE(VALUE(LEFT(A802,4)),VALUE(MID(A802,5,2)),VALUE(RIGHT(A802,2)))</f>
        <v/>
      </c>
      <c r="L802" s="395">
        <f>DATEVALUE(LEFT(F802,10))</f>
        <v/>
      </c>
      <c r="M802" s="396">
        <f>TIMEVALUE(MID(F802,12,8))</f>
        <v/>
      </c>
      <c r="N802" s="395">
        <f>DATEVALUE(LEFT(G802,10))</f>
        <v/>
      </c>
      <c r="O802" s="396">
        <f>TIMEVALUE(MID(G802,12,8))</f>
        <v/>
      </c>
      <c r="P802" s="396">
        <f>IFERROR(_xlfn.MINIFS($M:$M,$E:$E,$E802,$K:$K,$K802,$M:$M,"&gt;"&amp;$O802),"")</f>
        <v/>
      </c>
      <c r="Q802" s="396">
        <f>IF($P802="","",$P802-$O802)</f>
        <v/>
      </c>
    </row>
    <row r="803" ht="15" customHeight="1" s="231">
      <c r="A803" s="397" t="n"/>
      <c r="B803" s="397" t="n"/>
      <c r="C803" s="397" t="n"/>
      <c r="D803" s="397" t="n"/>
      <c r="E803" s="397" t="n"/>
      <c r="F803" s="397" t="n"/>
      <c r="G803" s="397" t="n"/>
      <c r="I803" s="397" t="n"/>
      <c r="J803" s="397" t="n"/>
      <c r="K803" s="395">
        <f>DATE(VALUE(LEFT(A803,4)),VALUE(MID(A803,5,2)),VALUE(RIGHT(A803,2)))</f>
        <v/>
      </c>
      <c r="L803" s="395">
        <f>DATEVALUE(LEFT(F803,10))</f>
        <v/>
      </c>
      <c r="M803" s="396">
        <f>TIMEVALUE(MID(F803,12,8))</f>
        <v/>
      </c>
      <c r="N803" s="395">
        <f>DATEVALUE(LEFT(G803,10))</f>
        <v/>
      </c>
      <c r="O803" s="396">
        <f>TIMEVALUE(MID(G803,12,8))</f>
        <v/>
      </c>
      <c r="P803" s="396">
        <f>IFERROR(_xlfn.MINIFS($M:$M,$E:$E,$E803,$K:$K,$K803,$M:$M,"&gt;"&amp;$O803),"")</f>
        <v/>
      </c>
      <c r="Q803" s="396">
        <f>IF($P803="","",$P803-$O803)</f>
        <v/>
      </c>
    </row>
    <row r="804" ht="15" customHeight="1" s="231">
      <c r="A804" s="397" t="n"/>
      <c r="B804" s="397" t="n"/>
      <c r="C804" s="397" t="n"/>
      <c r="D804" s="397" t="n"/>
      <c r="E804" s="397" t="n"/>
      <c r="F804" s="397" t="n"/>
      <c r="G804" s="397" t="n"/>
      <c r="I804" s="397" t="n"/>
      <c r="J804" s="397" t="n"/>
      <c r="K804" s="395">
        <f>DATE(VALUE(LEFT(A804,4)),VALUE(MID(A804,5,2)),VALUE(RIGHT(A804,2)))</f>
        <v/>
      </c>
      <c r="L804" s="395">
        <f>DATEVALUE(LEFT(F804,10))</f>
        <v/>
      </c>
      <c r="M804" s="396">
        <f>TIMEVALUE(MID(F804,12,8))</f>
        <v/>
      </c>
      <c r="N804" s="395">
        <f>DATEVALUE(LEFT(G804,10))</f>
        <v/>
      </c>
      <c r="O804" s="396">
        <f>TIMEVALUE(MID(G804,12,8))</f>
        <v/>
      </c>
      <c r="P804" s="396">
        <f>IFERROR(_xlfn.MINIFS($M:$M,$E:$E,$E804,$K:$K,$K804,$M:$M,"&gt;"&amp;$O804),"")</f>
        <v/>
      </c>
      <c r="Q804" s="396">
        <f>IF($P804="","",$P804-$O804)</f>
        <v/>
      </c>
    </row>
    <row r="805" ht="15" customHeight="1" s="231">
      <c r="A805" s="397" t="n"/>
      <c r="B805" s="397" t="n"/>
      <c r="C805" s="397" t="n"/>
      <c r="D805" s="397" t="n"/>
      <c r="E805" s="397" t="n"/>
      <c r="F805" s="397" t="n"/>
      <c r="G805" s="397" t="n"/>
      <c r="I805" s="397" t="n"/>
      <c r="J805" s="397" t="n"/>
      <c r="K805" s="395">
        <f>DATE(VALUE(LEFT(A805,4)),VALUE(MID(A805,5,2)),VALUE(RIGHT(A805,2)))</f>
        <v/>
      </c>
      <c r="L805" s="395">
        <f>DATEVALUE(LEFT(F805,10))</f>
        <v/>
      </c>
      <c r="M805" s="396">
        <f>TIMEVALUE(MID(F805,12,8))</f>
        <v/>
      </c>
      <c r="N805" s="395">
        <f>DATEVALUE(LEFT(G805,10))</f>
        <v/>
      </c>
      <c r="O805" s="396">
        <f>TIMEVALUE(MID(G805,12,8))</f>
        <v/>
      </c>
      <c r="P805" s="396">
        <f>IFERROR(_xlfn.MINIFS($M:$M,$E:$E,$E805,$K:$K,$K805,$M:$M,"&gt;"&amp;$O805),"")</f>
        <v/>
      </c>
      <c r="Q805" s="396">
        <f>IF($P805="","",$P805-$O805)</f>
        <v/>
      </c>
    </row>
    <row r="806" ht="15" customHeight="1" s="231">
      <c r="A806" s="397" t="n"/>
      <c r="B806" s="397" t="n"/>
      <c r="C806" s="397" t="n"/>
      <c r="D806" s="397" t="n"/>
      <c r="E806" s="397" t="n"/>
      <c r="F806" s="397" t="n"/>
      <c r="G806" s="397" t="n"/>
      <c r="I806" s="397" t="n"/>
      <c r="J806" s="397" t="n"/>
      <c r="K806" s="395">
        <f>DATE(VALUE(LEFT(A806,4)),VALUE(MID(A806,5,2)),VALUE(RIGHT(A806,2)))</f>
        <v/>
      </c>
      <c r="L806" s="395">
        <f>DATEVALUE(LEFT(F806,10))</f>
        <v/>
      </c>
      <c r="M806" s="396">
        <f>TIMEVALUE(MID(F806,12,8))</f>
        <v/>
      </c>
      <c r="N806" s="395">
        <f>DATEVALUE(LEFT(G806,10))</f>
        <v/>
      </c>
      <c r="O806" s="396">
        <f>TIMEVALUE(MID(G806,12,8))</f>
        <v/>
      </c>
      <c r="P806" s="396">
        <f>IFERROR(_xlfn.MINIFS($M:$M,$E:$E,$E806,$K:$K,$K806,$M:$M,"&gt;"&amp;$O806),"")</f>
        <v/>
      </c>
      <c r="Q806" s="396">
        <f>IF($P806="","",$P806-$O806)</f>
        <v/>
      </c>
    </row>
    <row r="807" ht="15" customHeight="1" s="231">
      <c r="A807" s="397" t="n"/>
      <c r="B807" s="397" t="n"/>
      <c r="C807" s="397" t="n"/>
      <c r="D807" s="397" t="n"/>
      <c r="E807" s="397" t="n"/>
      <c r="F807" s="397" t="n"/>
      <c r="G807" s="397" t="n"/>
      <c r="I807" s="397" t="n"/>
      <c r="J807" s="397" t="n"/>
      <c r="K807" s="395">
        <f>DATE(VALUE(LEFT(A807,4)),VALUE(MID(A807,5,2)),VALUE(RIGHT(A807,2)))</f>
        <v/>
      </c>
      <c r="L807" s="395">
        <f>DATEVALUE(LEFT(F807,10))</f>
        <v/>
      </c>
      <c r="M807" s="396">
        <f>TIMEVALUE(MID(F807,12,8))</f>
        <v/>
      </c>
      <c r="N807" s="395">
        <f>DATEVALUE(LEFT(G807,10))</f>
        <v/>
      </c>
      <c r="O807" s="396">
        <f>TIMEVALUE(MID(G807,12,8))</f>
        <v/>
      </c>
      <c r="P807" s="396">
        <f>IFERROR(_xlfn.MINIFS($M:$M,$E:$E,$E807,$K:$K,$K807,$M:$M,"&gt;"&amp;$O807),"")</f>
        <v/>
      </c>
      <c r="Q807" s="396">
        <f>IF($P807="","",$P807-$O807)</f>
        <v/>
      </c>
    </row>
    <row r="808" ht="15" customHeight="1" s="231">
      <c r="A808" s="397" t="n"/>
      <c r="B808" s="397" t="n"/>
      <c r="C808" s="397" t="n"/>
      <c r="D808" s="397" t="n"/>
      <c r="E808" s="397" t="n"/>
      <c r="F808" s="397" t="n"/>
      <c r="G808" s="397" t="n"/>
      <c r="I808" s="397" t="n"/>
      <c r="J808" s="397" t="n"/>
      <c r="K808" s="395">
        <f>DATE(VALUE(LEFT(A808,4)),VALUE(MID(A808,5,2)),VALUE(RIGHT(A808,2)))</f>
        <v/>
      </c>
      <c r="L808" s="395">
        <f>DATEVALUE(LEFT(F808,10))</f>
        <v/>
      </c>
      <c r="M808" s="396">
        <f>TIMEVALUE(MID(F808,12,8))</f>
        <v/>
      </c>
      <c r="N808" s="395">
        <f>DATEVALUE(LEFT(G808,10))</f>
        <v/>
      </c>
      <c r="O808" s="396">
        <f>TIMEVALUE(MID(G808,12,8))</f>
        <v/>
      </c>
      <c r="P808" s="396">
        <f>IFERROR(_xlfn.MINIFS($M:$M,$E:$E,$E808,$K:$K,$K808,$M:$M,"&gt;"&amp;$O808),"")</f>
        <v/>
      </c>
      <c r="Q808" s="396">
        <f>IF($P808="","",$P808-$O808)</f>
        <v/>
      </c>
    </row>
    <row r="809" ht="15" customHeight="1" s="231">
      <c r="A809" s="397" t="n"/>
      <c r="B809" s="397" t="n"/>
      <c r="C809" s="397" t="n"/>
      <c r="D809" s="397" t="n"/>
      <c r="E809" s="397" t="n"/>
      <c r="F809" s="397" t="n"/>
      <c r="G809" s="397" t="n"/>
      <c r="I809" s="397" t="n"/>
      <c r="J809" s="397" t="n"/>
      <c r="K809" s="395">
        <f>DATE(VALUE(LEFT(A809,4)),VALUE(MID(A809,5,2)),VALUE(RIGHT(A809,2)))</f>
        <v/>
      </c>
      <c r="L809" s="395">
        <f>DATEVALUE(LEFT(F809,10))</f>
        <v/>
      </c>
      <c r="M809" s="396">
        <f>TIMEVALUE(MID(F809,12,8))</f>
        <v/>
      </c>
      <c r="N809" s="395">
        <f>DATEVALUE(LEFT(G809,10))</f>
        <v/>
      </c>
      <c r="O809" s="396">
        <f>TIMEVALUE(MID(G809,12,8))</f>
        <v/>
      </c>
      <c r="P809" s="396">
        <f>IFERROR(_xlfn.MINIFS($M:$M,$E:$E,$E809,$K:$K,$K809,$M:$M,"&gt;"&amp;$O809),"")</f>
        <v/>
      </c>
      <c r="Q809" s="396">
        <f>IF($P809="","",$P809-$O809)</f>
        <v/>
      </c>
    </row>
    <row r="810" ht="15" customHeight="1" s="231">
      <c r="A810" s="397" t="n"/>
      <c r="B810" s="397" t="n"/>
      <c r="C810" s="397" t="n"/>
      <c r="D810" s="397" t="n"/>
      <c r="E810" s="397" t="n"/>
      <c r="F810" s="397" t="n"/>
      <c r="G810" s="397" t="n"/>
      <c r="I810" s="397" t="n"/>
      <c r="J810" s="397" t="n"/>
      <c r="K810" s="395">
        <f>DATE(VALUE(LEFT(A810,4)),VALUE(MID(A810,5,2)),VALUE(RIGHT(A810,2)))</f>
        <v/>
      </c>
      <c r="L810" s="395">
        <f>DATEVALUE(LEFT(F810,10))</f>
        <v/>
      </c>
      <c r="M810" s="396">
        <f>TIMEVALUE(MID(F810,12,8))</f>
        <v/>
      </c>
      <c r="N810" s="395">
        <f>DATEVALUE(LEFT(G810,10))</f>
        <v/>
      </c>
      <c r="O810" s="396">
        <f>TIMEVALUE(MID(G810,12,8))</f>
        <v/>
      </c>
      <c r="P810" s="396">
        <f>IFERROR(_xlfn.MINIFS($M:$M,$E:$E,$E810,$K:$K,$K810,$M:$M,"&gt;"&amp;$O810),"")</f>
        <v/>
      </c>
      <c r="Q810" s="396">
        <f>IF($P810="","",$P810-$O810)</f>
        <v/>
      </c>
    </row>
    <row r="811" ht="15" customHeight="1" s="231">
      <c r="A811" s="397" t="n"/>
      <c r="B811" s="397" t="n"/>
      <c r="C811" s="397" t="n"/>
      <c r="D811" s="397" t="n"/>
      <c r="E811" s="397" t="n"/>
      <c r="F811" s="397" t="n"/>
      <c r="G811" s="397" t="n"/>
      <c r="I811" s="397" t="n"/>
      <c r="J811" s="397" t="n"/>
      <c r="K811" s="395">
        <f>DATE(VALUE(LEFT(A811,4)),VALUE(MID(A811,5,2)),VALUE(RIGHT(A811,2)))</f>
        <v/>
      </c>
      <c r="L811" s="395">
        <f>DATEVALUE(LEFT(F811,10))</f>
        <v/>
      </c>
      <c r="M811" s="396">
        <f>TIMEVALUE(MID(F811,12,8))</f>
        <v/>
      </c>
      <c r="N811" s="395">
        <f>DATEVALUE(LEFT(G811,10))</f>
        <v/>
      </c>
      <c r="O811" s="396">
        <f>TIMEVALUE(MID(G811,12,8))</f>
        <v/>
      </c>
      <c r="P811" s="396">
        <f>IFERROR(_xlfn.MINIFS($M:$M,$E:$E,$E811,$K:$K,$K811,$M:$M,"&gt;"&amp;$O811),"")</f>
        <v/>
      </c>
      <c r="Q811" s="396">
        <f>IF($P811="","",$P811-$O811)</f>
        <v/>
      </c>
    </row>
    <row r="812" ht="15" customHeight="1" s="231">
      <c r="A812" s="397" t="n"/>
      <c r="B812" s="397" t="n"/>
      <c r="C812" s="397" t="n"/>
      <c r="D812" s="397" t="n"/>
      <c r="E812" s="397" t="n"/>
      <c r="F812" s="397" t="n"/>
      <c r="G812" s="397" t="n"/>
      <c r="I812" s="397" t="n"/>
      <c r="J812" s="397" t="n"/>
      <c r="K812" s="395">
        <f>DATE(VALUE(LEFT(A812,4)),VALUE(MID(A812,5,2)),VALUE(RIGHT(A812,2)))</f>
        <v/>
      </c>
      <c r="L812" s="395">
        <f>DATEVALUE(LEFT(F812,10))</f>
        <v/>
      </c>
      <c r="M812" s="396">
        <f>TIMEVALUE(MID(F812,12,8))</f>
        <v/>
      </c>
      <c r="N812" s="395">
        <f>DATEVALUE(LEFT(G812,10))</f>
        <v/>
      </c>
      <c r="O812" s="396">
        <f>TIMEVALUE(MID(G812,12,8))</f>
        <v/>
      </c>
      <c r="P812" s="396">
        <f>IFERROR(_xlfn.MINIFS($M:$M,$E:$E,$E812,$K:$K,$K812,$M:$M,"&gt;"&amp;$O812),"")</f>
        <v/>
      </c>
      <c r="Q812" s="396">
        <f>IF($P812="","",$P812-$O812)</f>
        <v/>
      </c>
    </row>
    <row r="813" ht="15" customHeight="1" s="231">
      <c r="A813" s="397" t="n"/>
      <c r="B813" s="397" t="n"/>
      <c r="C813" s="397" t="n"/>
      <c r="D813" s="397" t="n"/>
      <c r="E813" s="397" t="n"/>
      <c r="F813" s="397" t="n"/>
      <c r="G813" s="397" t="n"/>
      <c r="I813" s="397" t="n"/>
      <c r="J813" s="397" t="n"/>
      <c r="K813" s="395">
        <f>DATE(VALUE(LEFT(A813,4)),VALUE(MID(A813,5,2)),VALUE(RIGHT(A813,2)))</f>
        <v/>
      </c>
      <c r="L813" s="395">
        <f>DATEVALUE(LEFT(F813,10))</f>
        <v/>
      </c>
      <c r="M813" s="396">
        <f>TIMEVALUE(MID(F813,12,8))</f>
        <v/>
      </c>
      <c r="N813" s="395">
        <f>DATEVALUE(LEFT(G813,10))</f>
        <v/>
      </c>
      <c r="O813" s="396">
        <f>TIMEVALUE(MID(G813,12,8))</f>
        <v/>
      </c>
      <c r="P813" s="396">
        <f>IFERROR(_xlfn.MINIFS($M:$M,$E:$E,$E813,$K:$K,$K813,$M:$M,"&gt;"&amp;$O813),"")</f>
        <v/>
      </c>
      <c r="Q813" s="396">
        <f>IF($P813="","",$P813-$O813)</f>
        <v/>
      </c>
    </row>
    <row r="814" ht="15" customHeight="1" s="231">
      <c r="A814" s="397" t="n"/>
      <c r="B814" s="397" t="n"/>
      <c r="C814" s="397" t="n"/>
      <c r="D814" s="397" t="n"/>
      <c r="E814" s="397" t="n"/>
      <c r="F814" s="397" t="n"/>
      <c r="G814" s="397" t="n"/>
      <c r="I814" s="397" t="n"/>
      <c r="J814" s="397" t="n"/>
      <c r="K814" s="395">
        <f>DATE(VALUE(LEFT(A814,4)),VALUE(MID(A814,5,2)),VALUE(RIGHT(A814,2)))</f>
        <v/>
      </c>
      <c r="L814" s="395">
        <f>DATEVALUE(LEFT(F814,10))</f>
        <v/>
      </c>
      <c r="M814" s="396">
        <f>TIMEVALUE(MID(F814,12,8))</f>
        <v/>
      </c>
      <c r="N814" s="395">
        <f>DATEVALUE(LEFT(G814,10))</f>
        <v/>
      </c>
      <c r="O814" s="396">
        <f>TIMEVALUE(MID(G814,12,8))</f>
        <v/>
      </c>
      <c r="P814" s="396">
        <f>IFERROR(_xlfn.MINIFS($M:$M,$E:$E,$E814,$K:$K,$K814,$M:$M,"&gt;"&amp;$O814),"")</f>
        <v/>
      </c>
      <c r="Q814" s="396">
        <f>IF($P814="","",$P814-$O814)</f>
        <v/>
      </c>
    </row>
    <row r="815" ht="15" customHeight="1" s="231">
      <c r="A815" s="397" t="n"/>
      <c r="B815" s="397" t="n"/>
      <c r="C815" s="397" t="n"/>
      <c r="D815" s="397" t="n"/>
      <c r="E815" s="397" t="n"/>
      <c r="F815" s="397" t="n"/>
      <c r="G815" s="397" t="n"/>
      <c r="I815" s="397" t="n"/>
      <c r="J815" s="397" t="n"/>
      <c r="K815" s="395">
        <f>DATE(VALUE(LEFT(A815,4)),VALUE(MID(A815,5,2)),VALUE(RIGHT(A815,2)))</f>
        <v/>
      </c>
      <c r="L815" s="395">
        <f>DATEVALUE(LEFT(F815,10))</f>
        <v/>
      </c>
      <c r="M815" s="396">
        <f>TIMEVALUE(MID(F815,12,8))</f>
        <v/>
      </c>
      <c r="N815" s="395">
        <f>DATEVALUE(LEFT(G815,10))</f>
        <v/>
      </c>
      <c r="O815" s="396">
        <f>TIMEVALUE(MID(G815,12,8))</f>
        <v/>
      </c>
      <c r="P815" s="396">
        <f>IFERROR(_xlfn.MINIFS($M:$M,$E:$E,$E815,$K:$K,$K815,$M:$M,"&gt;"&amp;$O815),"")</f>
        <v/>
      </c>
      <c r="Q815" s="396">
        <f>IF($P815="","",$P815-$O815)</f>
        <v/>
      </c>
    </row>
    <row r="816" ht="15" customHeight="1" s="231">
      <c r="A816" s="397" t="n"/>
      <c r="B816" s="397" t="n"/>
      <c r="C816" s="397" t="n"/>
      <c r="D816" s="397" t="n"/>
      <c r="E816" s="397" t="n"/>
      <c r="F816" s="397" t="n"/>
      <c r="G816" s="397" t="n"/>
      <c r="I816" s="397" t="n"/>
      <c r="J816" s="397" t="n"/>
      <c r="K816" s="395">
        <f>DATE(VALUE(LEFT(A816,4)),VALUE(MID(A816,5,2)),VALUE(RIGHT(A816,2)))</f>
        <v/>
      </c>
      <c r="L816" s="395">
        <f>DATEVALUE(LEFT(F816,10))</f>
        <v/>
      </c>
      <c r="M816" s="396">
        <f>TIMEVALUE(MID(F816,12,8))</f>
        <v/>
      </c>
      <c r="N816" s="395">
        <f>DATEVALUE(LEFT(G816,10))</f>
        <v/>
      </c>
      <c r="O816" s="396">
        <f>TIMEVALUE(MID(G816,12,8))</f>
        <v/>
      </c>
      <c r="P816" s="396">
        <f>IFERROR(_xlfn.MINIFS($M:$M,$E:$E,$E816,$K:$K,$K816,$M:$M,"&gt;"&amp;$O816),"")</f>
        <v/>
      </c>
      <c r="Q816" s="396">
        <f>IF($P816="","",$P816-$O816)</f>
        <v/>
      </c>
    </row>
    <row r="817" ht="15" customHeight="1" s="231">
      <c r="A817" s="397" t="n"/>
      <c r="B817" s="397" t="n"/>
      <c r="C817" s="397" t="n"/>
      <c r="D817" s="397" t="n"/>
      <c r="E817" s="397" t="n"/>
      <c r="F817" s="397" t="n"/>
      <c r="G817" s="397" t="n"/>
      <c r="I817" s="397" t="n"/>
      <c r="J817" s="397" t="n"/>
      <c r="K817" s="395">
        <f>DATE(VALUE(LEFT(A817,4)),VALUE(MID(A817,5,2)),VALUE(RIGHT(A817,2)))</f>
        <v/>
      </c>
      <c r="L817" s="395">
        <f>DATEVALUE(LEFT(F817,10))</f>
        <v/>
      </c>
      <c r="M817" s="396">
        <f>TIMEVALUE(MID(F817,12,8))</f>
        <v/>
      </c>
      <c r="N817" s="395">
        <f>DATEVALUE(LEFT(G817,10))</f>
        <v/>
      </c>
      <c r="O817" s="396">
        <f>TIMEVALUE(MID(G817,12,8))</f>
        <v/>
      </c>
      <c r="P817" s="396">
        <f>IFERROR(_xlfn.MINIFS($M:$M,$E:$E,$E817,$K:$K,$K817,$M:$M,"&gt;"&amp;$O817),"")</f>
        <v/>
      </c>
      <c r="Q817" s="396">
        <f>IF($P817="","",$P817-$O817)</f>
        <v/>
      </c>
    </row>
    <row r="818" ht="15" customHeight="1" s="231">
      <c r="A818" s="397" t="n"/>
      <c r="B818" s="397" t="n"/>
      <c r="C818" s="397" t="n"/>
      <c r="D818" s="397" t="n"/>
      <c r="E818" s="397" t="n"/>
      <c r="F818" s="397" t="n"/>
      <c r="G818" s="397" t="n"/>
      <c r="I818" s="397" t="n"/>
      <c r="J818" s="397" t="n"/>
      <c r="K818" s="395">
        <f>DATE(VALUE(LEFT(A818,4)),VALUE(MID(A818,5,2)),VALUE(RIGHT(A818,2)))</f>
        <v/>
      </c>
      <c r="L818" s="395">
        <f>DATEVALUE(LEFT(F818,10))</f>
        <v/>
      </c>
      <c r="M818" s="396">
        <f>TIMEVALUE(MID(F818,12,8))</f>
        <v/>
      </c>
      <c r="N818" s="395">
        <f>DATEVALUE(LEFT(G818,10))</f>
        <v/>
      </c>
      <c r="O818" s="396">
        <f>TIMEVALUE(MID(G818,12,8))</f>
        <v/>
      </c>
      <c r="P818" s="396">
        <f>IFERROR(_xlfn.MINIFS($M:$M,$E:$E,$E818,$K:$K,$K818,$M:$M,"&gt;"&amp;$O818),"")</f>
        <v/>
      </c>
      <c r="Q818" s="396">
        <f>IF($P818="","",$P818-$O818)</f>
        <v/>
      </c>
    </row>
    <row r="819" ht="15" customHeight="1" s="231">
      <c r="A819" s="397" t="n"/>
      <c r="B819" s="397" t="n"/>
      <c r="C819" s="397" t="n"/>
      <c r="D819" s="397" t="n"/>
      <c r="E819" s="397" t="n"/>
      <c r="F819" s="397" t="n"/>
      <c r="G819" s="397" t="n"/>
      <c r="I819" s="397" t="n"/>
      <c r="J819" s="397" t="n"/>
      <c r="K819" s="395">
        <f>DATE(VALUE(LEFT(A819,4)),VALUE(MID(A819,5,2)),VALUE(RIGHT(A819,2)))</f>
        <v/>
      </c>
      <c r="L819" s="395">
        <f>DATEVALUE(LEFT(F819,10))</f>
        <v/>
      </c>
      <c r="M819" s="396">
        <f>TIMEVALUE(MID(F819,12,8))</f>
        <v/>
      </c>
      <c r="N819" s="395">
        <f>DATEVALUE(LEFT(G819,10))</f>
        <v/>
      </c>
      <c r="O819" s="396">
        <f>TIMEVALUE(MID(G819,12,8))</f>
        <v/>
      </c>
      <c r="P819" s="396">
        <f>IFERROR(_xlfn.MINIFS($M:$M,$E:$E,$E819,$K:$K,$K819,$M:$M,"&gt;"&amp;$O819),"")</f>
        <v/>
      </c>
      <c r="Q819" s="396">
        <f>IF($P819="","",$P819-$O819)</f>
        <v/>
      </c>
    </row>
    <row r="820" ht="15" customHeight="1" s="231">
      <c r="A820" s="397" t="n"/>
      <c r="B820" s="397" t="n"/>
      <c r="C820" s="397" t="n"/>
      <c r="D820" s="397" t="n"/>
      <c r="E820" s="397" t="n"/>
      <c r="F820" s="397" t="n"/>
      <c r="G820" s="397" t="n"/>
      <c r="I820" s="397" t="n"/>
      <c r="J820" s="397" t="n"/>
      <c r="K820" s="395">
        <f>DATE(VALUE(LEFT(A820,4)),VALUE(MID(A820,5,2)),VALUE(RIGHT(A820,2)))</f>
        <v/>
      </c>
      <c r="L820" s="395">
        <f>DATEVALUE(LEFT(F820,10))</f>
        <v/>
      </c>
      <c r="M820" s="396">
        <f>TIMEVALUE(MID(F820,12,8))</f>
        <v/>
      </c>
      <c r="N820" s="395">
        <f>DATEVALUE(LEFT(G820,10))</f>
        <v/>
      </c>
      <c r="O820" s="396">
        <f>TIMEVALUE(MID(G820,12,8))</f>
        <v/>
      </c>
      <c r="P820" s="396">
        <f>IFERROR(_xlfn.MINIFS($M:$M,$E:$E,$E820,$K:$K,$K820,$M:$M,"&gt;"&amp;$O820),"")</f>
        <v/>
      </c>
      <c r="Q820" s="396">
        <f>IF($P820="","",$P820-$O820)</f>
        <v/>
      </c>
    </row>
    <row r="821" ht="15" customHeight="1" s="231">
      <c r="A821" s="397" t="n"/>
      <c r="B821" s="397" t="n"/>
      <c r="C821" s="397" t="n"/>
      <c r="D821" s="397" t="n"/>
      <c r="E821" s="397" t="n"/>
      <c r="F821" s="397" t="n"/>
      <c r="G821" s="397" t="n"/>
      <c r="I821" s="397" t="n"/>
      <c r="J821" s="397" t="n"/>
      <c r="K821" s="395">
        <f>DATE(VALUE(LEFT(A821,4)),VALUE(MID(A821,5,2)),VALUE(RIGHT(A821,2)))</f>
        <v/>
      </c>
      <c r="L821" s="395">
        <f>DATEVALUE(LEFT(F821,10))</f>
        <v/>
      </c>
      <c r="M821" s="396">
        <f>TIMEVALUE(MID(F821,12,8))</f>
        <v/>
      </c>
      <c r="N821" s="395">
        <f>DATEVALUE(LEFT(G821,10))</f>
        <v/>
      </c>
      <c r="O821" s="396">
        <f>TIMEVALUE(MID(G821,12,8))</f>
        <v/>
      </c>
      <c r="P821" s="396">
        <f>IFERROR(_xlfn.MINIFS($M:$M,$E:$E,$E821,$K:$K,$K821,$M:$M,"&gt;"&amp;$O821),"")</f>
        <v/>
      </c>
      <c r="Q821" s="396">
        <f>IF($P821="","",$P821-$O821)</f>
        <v/>
      </c>
    </row>
    <row r="822" ht="15" customHeight="1" s="231">
      <c r="A822" s="397" t="n"/>
      <c r="B822" s="397" t="n"/>
      <c r="C822" s="397" t="n"/>
      <c r="D822" s="397" t="n"/>
      <c r="E822" s="397" t="n"/>
      <c r="F822" s="397" t="n"/>
      <c r="G822" s="397" t="n"/>
      <c r="I822" s="397" t="n"/>
      <c r="J822" s="397" t="n"/>
      <c r="K822" s="395">
        <f>DATE(VALUE(LEFT(A822,4)),VALUE(MID(A822,5,2)),VALUE(RIGHT(A822,2)))</f>
        <v/>
      </c>
      <c r="L822" s="395">
        <f>DATEVALUE(LEFT(F822,10))</f>
        <v/>
      </c>
      <c r="M822" s="396">
        <f>TIMEVALUE(MID(F822,12,8))</f>
        <v/>
      </c>
      <c r="N822" s="395">
        <f>DATEVALUE(LEFT(G822,10))</f>
        <v/>
      </c>
      <c r="O822" s="396">
        <f>TIMEVALUE(MID(G822,12,8))</f>
        <v/>
      </c>
      <c r="P822" s="396">
        <f>IFERROR(_xlfn.MINIFS($M:$M,$E:$E,$E822,$K:$K,$K822,$M:$M,"&gt;"&amp;$O822),"")</f>
        <v/>
      </c>
      <c r="Q822" s="396">
        <f>IF($P822="","",$P822-$O822)</f>
        <v/>
      </c>
    </row>
    <row r="823" ht="15" customHeight="1" s="231">
      <c r="A823" s="397" t="n"/>
      <c r="B823" s="397" t="n"/>
      <c r="C823" s="397" t="n"/>
      <c r="D823" s="397" t="n"/>
      <c r="E823" s="397" t="n"/>
      <c r="F823" s="397" t="n"/>
      <c r="G823" s="397" t="n"/>
      <c r="I823" s="397" t="n"/>
      <c r="J823" s="397" t="n"/>
      <c r="K823" s="395">
        <f>DATE(VALUE(LEFT(A823,4)),VALUE(MID(A823,5,2)),VALUE(RIGHT(A823,2)))</f>
        <v/>
      </c>
      <c r="L823" s="395">
        <f>DATEVALUE(LEFT(F823,10))</f>
        <v/>
      </c>
      <c r="M823" s="396">
        <f>TIMEVALUE(MID(F823,12,8))</f>
        <v/>
      </c>
      <c r="N823" s="395">
        <f>DATEVALUE(LEFT(G823,10))</f>
        <v/>
      </c>
      <c r="O823" s="396">
        <f>TIMEVALUE(MID(G823,12,8))</f>
        <v/>
      </c>
      <c r="P823" s="396">
        <f>IFERROR(_xlfn.MINIFS($M:$M,$E:$E,$E823,$K:$K,$K823,$M:$M,"&gt;"&amp;$O823),"")</f>
        <v/>
      </c>
      <c r="Q823" s="396">
        <f>IF($P823="","",$P823-$O823)</f>
        <v/>
      </c>
    </row>
    <row r="824" ht="15" customHeight="1" s="231">
      <c r="A824" s="397" t="n"/>
      <c r="B824" s="397" t="n"/>
      <c r="C824" s="397" t="n"/>
      <c r="D824" s="397" t="n"/>
      <c r="E824" s="397" t="n"/>
      <c r="F824" s="397" t="n"/>
      <c r="G824" s="397" t="n"/>
      <c r="I824" s="397" t="n"/>
      <c r="J824" s="397" t="n"/>
      <c r="K824" s="395">
        <f>DATE(VALUE(LEFT(A824,4)),VALUE(MID(A824,5,2)),VALUE(RIGHT(A824,2)))</f>
        <v/>
      </c>
      <c r="L824" s="395">
        <f>DATEVALUE(LEFT(F824,10))</f>
        <v/>
      </c>
      <c r="M824" s="396">
        <f>TIMEVALUE(MID(F824,12,8))</f>
        <v/>
      </c>
      <c r="N824" s="395">
        <f>DATEVALUE(LEFT(G824,10))</f>
        <v/>
      </c>
      <c r="O824" s="396">
        <f>TIMEVALUE(MID(G824,12,8))</f>
        <v/>
      </c>
      <c r="P824" s="396">
        <f>IFERROR(_xlfn.MINIFS($M:$M,$E:$E,$E824,$K:$K,$K824,$M:$M,"&gt;"&amp;$O824),"")</f>
        <v/>
      </c>
      <c r="Q824" s="396">
        <f>IF($P824="","",$P824-$O824)</f>
        <v/>
      </c>
    </row>
    <row r="825" ht="15" customHeight="1" s="231">
      <c r="A825" s="397" t="n"/>
      <c r="B825" s="397" t="n"/>
      <c r="C825" s="397" t="n"/>
      <c r="D825" s="397" t="n"/>
      <c r="E825" s="397" t="n"/>
      <c r="F825" s="397" t="n"/>
      <c r="G825" s="397" t="n"/>
      <c r="I825" s="397" t="n"/>
      <c r="J825" s="397" t="n"/>
      <c r="K825" s="395">
        <f>DATE(VALUE(LEFT(A825,4)),VALUE(MID(A825,5,2)),VALUE(RIGHT(A825,2)))</f>
        <v/>
      </c>
      <c r="L825" s="395">
        <f>DATEVALUE(LEFT(F825,10))</f>
        <v/>
      </c>
      <c r="M825" s="396">
        <f>TIMEVALUE(MID(F825,12,8))</f>
        <v/>
      </c>
      <c r="N825" s="395">
        <f>DATEVALUE(LEFT(G825,10))</f>
        <v/>
      </c>
      <c r="O825" s="396">
        <f>TIMEVALUE(MID(G825,12,8))</f>
        <v/>
      </c>
      <c r="P825" s="396">
        <f>IFERROR(_xlfn.MINIFS($M:$M,$E:$E,$E825,$K:$K,$K825,$M:$M,"&gt;"&amp;$O825),"")</f>
        <v/>
      </c>
      <c r="Q825" s="396">
        <f>IF($P825="","",$P825-$O825)</f>
        <v/>
      </c>
    </row>
    <row r="826" ht="15" customHeight="1" s="231">
      <c r="A826" s="397" t="n"/>
      <c r="B826" s="397" t="n"/>
      <c r="C826" s="397" t="n"/>
      <c r="D826" s="397" t="n"/>
      <c r="E826" s="397" t="n"/>
      <c r="F826" s="397" t="n"/>
      <c r="G826" s="397" t="n"/>
      <c r="I826" s="397" t="n"/>
      <c r="J826" s="397" t="n"/>
      <c r="K826" s="395">
        <f>DATE(VALUE(LEFT(A826,4)),VALUE(MID(A826,5,2)),VALUE(RIGHT(A826,2)))</f>
        <v/>
      </c>
      <c r="L826" s="395">
        <f>DATEVALUE(LEFT(F826,10))</f>
        <v/>
      </c>
      <c r="M826" s="396">
        <f>TIMEVALUE(MID(F826,12,8))</f>
        <v/>
      </c>
      <c r="N826" s="395">
        <f>DATEVALUE(LEFT(G826,10))</f>
        <v/>
      </c>
      <c r="O826" s="396">
        <f>TIMEVALUE(MID(G826,12,8))</f>
        <v/>
      </c>
      <c r="P826" s="396">
        <f>IFERROR(_xlfn.MINIFS($M:$M,$E:$E,$E826,$K:$K,$K826,$M:$M,"&gt;"&amp;$O826),"")</f>
        <v/>
      </c>
      <c r="Q826" s="396">
        <f>IF($P826="","",$P826-$O826)</f>
        <v/>
      </c>
    </row>
    <row r="827" ht="15" customHeight="1" s="231">
      <c r="A827" s="397" t="n"/>
      <c r="B827" s="397" t="n"/>
      <c r="C827" s="397" t="n"/>
      <c r="D827" s="397" t="n"/>
      <c r="E827" s="397" t="n"/>
      <c r="F827" s="397" t="n"/>
      <c r="G827" s="397" t="n"/>
      <c r="I827" s="397" t="n"/>
      <c r="J827" s="397" t="n"/>
      <c r="K827" s="395">
        <f>DATE(VALUE(LEFT(A827,4)),VALUE(MID(A827,5,2)),VALUE(RIGHT(A827,2)))</f>
        <v/>
      </c>
      <c r="L827" s="395">
        <f>DATEVALUE(LEFT(F827,10))</f>
        <v/>
      </c>
      <c r="M827" s="396">
        <f>TIMEVALUE(MID(F827,12,8))</f>
        <v/>
      </c>
      <c r="N827" s="395">
        <f>DATEVALUE(LEFT(G827,10))</f>
        <v/>
      </c>
      <c r="O827" s="396">
        <f>TIMEVALUE(MID(G827,12,8))</f>
        <v/>
      </c>
      <c r="P827" s="396">
        <f>IFERROR(_xlfn.MINIFS($M:$M,$E:$E,$E827,$K:$K,$K827,$M:$M,"&gt;"&amp;$O827),"")</f>
        <v/>
      </c>
      <c r="Q827" s="396">
        <f>IF($P827="","",$P827-$O827)</f>
        <v/>
      </c>
    </row>
    <row r="828" ht="15" customHeight="1" s="231">
      <c r="A828" s="397" t="n"/>
      <c r="B828" s="397" t="n"/>
      <c r="C828" s="397" t="n"/>
      <c r="D828" s="397" t="n"/>
      <c r="E828" s="397" t="n"/>
      <c r="F828" s="397" t="n"/>
      <c r="G828" s="397" t="n"/>
      <c r="I828" s="397" t="n"/>
      <c r="J828" s="397" t="n"/>
      <c r="K828" s="395">
        <f>DATE(VALUE(LEFT(A828,4)),VALUE(MID(A828,5,2)),VALUE(RIGHT(A828,2)))</f>
        <v/>
      </c>
      <c r="L828" s="395">
        <f>DATEVALUE(LEFT(F828,10))</f>
        <v/>
      </c>
      <c r="M828" s="396">
        <f>TIMEVALUE(MID(F828,12,8))</f>
        <v/>
      </c>
      <c r="N828" s="395">
        <f>DATEVALUE(LEFT(G828,10))</f>
        <v/>
      </c>
      <c r="O828" s="396">
        <f>TIMEVALUE(MID(G828,12,8))</f>
        <v/>
      </c>
      <c r="P828" s="396">
        <f>IFERROR(_xlfn.MINIFS($M:$M,$E:$E,$E828,$K:$K,$K828,$M:$M,"&gt;"&amp;$O828),"")</f>
        <v/>
      </c>
      <c r="Q828" s="396">
        <f>IF($P828="","",$P828-$O828)</f>
        <v/>
      </c>
    </row>
    <row r="829" ht="15" customHeight="1" s="231">
      <c r="A829" s="397" t="n"/>
      <c r="B829" s="397" t="n"/>
      <c r="C829" s="397" t="n"/>
      <c r="D829" s="397" t="n"/>
      <c r="E829" s="397" t="n"/>
      <c r="F829" s="397" t="n"/>
      <c r="G829" s="397" t="n"/>
      <c r="I829" s="397" t="n"/>
      <c r="J829" s="397" t="n"/>
      <c r="K829" s="395">
        <f>DATE(VALUE(LEFT(A829,4)),VALUE(MID(A829,5,2)),VALUE(RIGHT(A829,2)))</f>
        <v/>
      </c>
      <c r="L829" s="395">
        <f>DATEVALUE(LEFT(F829,10))</f>
        <v/>
      </c>
      <c r="M829" s="396">
        <f>TIMEVALUE(MID(F829,12,8))</f>
        <v/>
      </c>
      <c r="N829" s="395">
        <f>DATEVALUE(LEFT(G829,10))</f>
        <v/>
      </c>
      <c r="O829" s="396">
        <f>TIMEVALUE(MID(G829,12,8))</f>
        <v/>
      </c>
      <c r="P829" s="396">
        <f>IFERROR(_xlfn.MINIFS($M:$M,$E:$E,$E829,$K:$K,$K829,$M:$M,"&gt;"&amp;$O829),"")</f>
        <v/>
      </c>
      <c r="Q829" s="396">
        <f>IF($P829="","",$P829-$O829)</f>
        <v/>
      </c>
    </row>
    <row r="830" ht="15" customHeight="1" s="231">
      <c r="A830" s="397" t="n"/>
      <c r="B830" s="397" t="n"/>
      <c r="C830" s="397" t="n"/>
      <c r="D830" s="397" t="n"/>
      <c r="E830" s="397" t="n"/>
      <c r="F830" s="397" t="n"/>
      <c r="G830" s="397" t="n"/>
      <c r="I830" s="397" t="n"/>
      <c r="J830" s="397" t="n"/>
      <c r="K830" s="395">
        <f>DATE(VALUE(LEFT(A830,4)),VALUE(MID(A830,5,2)),VALUE(RIGHT(A830,2)))</f>
        <v/>
      </c>
      <c r="L830" s="395">
        <f>DATEVALUE(LEFT(F830,10))</f>
        <v/>
      </c>
      <c r="M830" s="396">
        <f>TIMEVALUE(MID(F830,12,8))</f>
        <v/>
      </c>
      <c r="N830" s="395">
        <f>DATEVALUE(LEFT(G830,10))</f>
        <v/>
      </c>
      <c r="O830" s="396">
        <f>TIMEVALUE(MID(G830,12,8))</f>
        <v/>
      </c>
      <c r="P830" s="396">
        <f>IFERROR(_xlfn.MINIFS($M:$M,$E:$E,$E830,$K:$K,$K830,$M:$M,"&gt;"&amp;$O830),"")</f>
        <v/>
      </c>
      <c r="Q830" s="396">
        <f>IF($P830="","",$P830-$O830)</f>
        <v/>
      </c>
    </row>
    <row r="831" ht="15" customHeight="1" s="231">
      <c r="A831" s="397" t="n"/>
      <c r="B831" s="397" t="n"/>
      <c r="C831" s="397" t="n"/>
      <c r="D831" s="397" t="n"/>
      <c r="E831" s="397" t="n"/>
      <c r="F831" s="397" t="n"/>
      <c r="G831" s="397" t="n"/>
      <c r="I831" s="397" t="n"/>
      <c r="J831" s="397" t="n"/>
      <c r="K831" s="395">
        <f>DATE(VALUE(LEFT(A831,4)),VALUE(MID(A831,5,2)),VALUE(RIGHT(A831,2)))</f>
        <v/>
      </c>
      <c r="L831" s="395">
        <f>DATEVALUE(LEFT(F831,10))</f>
        <v/>
      </c>
      <c r="M831" s="396">
        <f>TIMEVALUE(MID(F831,12,8))</f>
        <v/>
      </c>
      <c r="N831" s="395">
        <f>DATEVALUE(LEFT(G831,10))</f>
        <v/>
      </c>
      <c r="O831" s="396">
        <f>TIMEVALUE(MID(G831,12,8))</f>
        <v/>
      </c>
      <c r="P831" s="396">
        <f>IFERROR(_xlfn.MINIFS($M:$M,$E:$E,$E831,$K:$K,$K831,$M:$M,"&gt;"&amp;$O831),"")</f>
        <v/>
      </c>
      <c r="Q831" s="396">
        <f>IF($P831="","",$P831-$O831)</f>
        <v/>
      </c>
    </row>
    <row r="832" ht="15" customHeight="1" s="231">
      <c r="A832" s="397" t="n"/>
      <c r="B832" s="397" t="n"/>
      <c r="C832" s="397" t="n"/>
      <c r="D832" s="397" t="n"/>
      <c r="E832" s="397" t="n"/>
      <c r="F832" s="397" t="n"/>
      <c r="G832" s="397" t="n"/>
      <c r="I832" s="397" t="n"/>
      <c r="J832" s="397" t="n"/>
      <c r="K832" s="395">
        <f>DATE(VALUE(LEFT(A832,4)),VALUE(MID(A832,5,2)),VALUE(RIGHT(A832,2)))</f>
        <v/>
      </c>
      <c r="L832" s="395">
        <f>DATEVALUE(LEFT(F832,10))</f>
        <v/>
      </c>
      <c r="M832" s="396">
        <f>TIMEVALUE(MID(F832,12,8))</f>
        <v/>
      </c>
      <c r="N832" s="395">
        <f>DATEVALUE(LEFT(G832,10))</f>
        <v/>
      </c>
      <c r="O832" s="396">
        <f>TIMEVALUE(MID(G832,12,8))</f>
        <v/>
      </c>
      <c r="P832" s="396">
        <f>IFERROR(_xlfn.MINIFS($M:$M,$E:$E,$E832,$K:$K,$K832,$M:$M,"&gt;"&amp;$O832),"")</f>
        <v/>
      </c>
      <c r="Q832" s="396">
        <f>IF($P832="","",$P832-$O832)</f>
        <v/>
      </c>
    </row>
    <row r="833" ht="15" customHeight="1" s="231">
      <c r="A833" s="397" t="n"/>
      <c r="B833" s="397" t="n"/>
      <c r="C833" s="397" t="n"/>
      <c r="D833" s="397" t="n"/>
      <c r="E833" s="397" t="n"/>
      <c r="F833" s="397" t="n"/>
      <c r="G833" s="397" t="n"/>
      <c r="I833" s="397" t="n"/>
      <c r="J833" s="397" t="n"/>
      <c r="K833" s="395">
        <f>DATE(VALUE(LEFT(A833,4)),VALUE(MID(A833,5,2)),VALUE(RIGHT(A833,2)))</f>
        <v/>
      </c>
      <c r="L833" s="395">
        <f>DATEVALUE(LEFT(F833,10))</f>
        <v/>
      </c>
      <c r="M833" s="396">
        <f>TIMEVALUE(MID(F833,12,8))</f>
        <v/>
      </c>
      <c r="N833" s="395">
        <f>DATEVALUE(LEFT(G833,10))</f>
        <v/>
      </c>
      <c r="O833" s="396">
        <f>TIMEVALUE(MID(G833,12,8))</f>
        <v/>
      </c>
      <c r="P833" s="396">
        <f>IFERROR(_xlfn.MINIFS($M:$M,$E:$E,$E833,$K:$K,$K833,$M:$M,"&gt;"&amp;$O833),"")</f>
        <v/>
      </c>
      <c r="Q833" s="396">
        <f>IF($P833="","",$P833-$O833)</f>
        <v/>
      </c>
    </row>
    <row r="834" ht="15" customHeight="1" s="231">
      <c r="A834" s="397" t="n"/>
      <c r="B834" s="397" t="n"/>
      <c r="C834" s="397" t="n"/>
      <c r="D834" s="397" t="n"/>
      <c r="E834" s="397" t="n"/>
      <c r="F834" s="397" t="n"/>
      <c r="G834" s="397" t="n"/>
      <c r="I834" s="397" t="n"/>
      <c r="J834" s="397" t="n"/>
      <c r="K834" s="395">
        <f>DATE(VALUE(LEFT(A834,4)),VALUE(MID(A834,5,2)),VALUE(RIGHT(A834,2)))</f>
        <v/>
      </c>
      <c r="L834" s="395">
        <f>DATEVALUE(LEFT(F834,10))</f>
        <v/>
      </c>
      <c r="M834" s="396">
        <f>TIMEVALUE(MID(F834,12,8))</f>
        <v/>
      </c>
      <c r="N834" s="395">
        <f>DATEVALUE(LEFT(G834,10))</f>
        <v/>
      </c>
      <c r="O834" s="396">
        <f>TIMEVALUE(MID(G834,12,8))</f>
        <v/>
      </c>
      <c r="P834" s="396">
        <f>IFERROR(_xlfn.MINIFS($M:$M,$E:$E,$E834,$K:$K,$K834,$M:$M,"&gt;"&amp;$O834),"")</f>
        <v/>
      </c>
      <c r="Q834" s="396">
        <f>IF($P834="","",$P834-$O834)</f>
        <v/>
      </c>
    </row>
    <row r="835" ht="15" customHeight="1" s="231">
      <c r="A835" s="397" t="n"/>
      <c r="B835" s="397" t="n"/>
      <c r="C835" s="397" t="n"/>
      <c r="D835" s="397" t="n"/>
      <c r="E835" s="397" t="n"/>
      <c r="F835" s="397" t="n"/>
      <c r="G835" s="397" t="n"/>
      <c r="I835" s="397" t="n"/>
      <c r="J835" s="397" t="n"/>
      <c r="K835" s="395">
        <f>DATE(VALUE(LEFT(A835,4)),VALUE(MID(A835,5,2)),VALUE(RIGHT(A835,2)))</f>
        <v/>
      </c>
      <c r="L835" s="395">
        <f>DATEVALUE(LEFT(F835,10))</f>
        <v/>
      </c>
      <c r="M835" s="396">
        <f>TIMEVALUE(MID(F835,12,8))</f>
        <v/>
      </c>
      <c r="N835" s="395">
        <f>DATEVALUE(LEFT(G835,10))</f>
        <v/>
      </c>
      <c r="O835" s="396">
        <f>TIMEVALUE(MID(G835,12,8))</f>
        <v/>
      </c>
      <c r="P835" s="396">
        <f>IFERROR(_xlfn.MINIFS($M:$M,$E:$E,$E835,$K:$K,$K835,$M:$M,"&gt;"&amp;$O835),"")</f>
        <v/>
      </c>
      <c r="Q835" s="396">
        <f>IF($P835="","",$P835-$O835)</f>
        <v/>
      </c>
    </row>
    <row r="836" ht="15" customHeight="1" s="231">
      <c r="A836" s="397" t="n"/>
      <c r="B836" s="397" t="n"/>
      <c r="C836" s="397" t="n"/>
      <c r="D836" s="397" t="n"/>
      <c r="E836" s="397" t="n"/>
      <c r="F836" s="397" t="n"/>
      <c r="G836" s="397" t="n"/>
      <c r="I836" s="397" t="n"/>
      <c r="J836" s="397" t="n"/>
      <c r="K836" s="395">
        <f>DATE(VALUE(LEFT(A836,4)),VALUE(MID(A836,5,2)),VALUE(RIGHT(A836,2)))</f>
        <v/>
      </c>
      <c r="L836" s="395">
        <f>DATEVALUE(LEFT(F836,10))</f>
        <v/>
      </c>
      <c r="M836" s="396">
        <f>TIMEVALUE(MID(F836,12,8))</f>
        <v/>
      </c>
      <c r="N836" s="395">
        <f>DATEVALUE(LEFT(G836,10))</f>
        <v/>
      </c>
      <c r="O836" s="396">
        <f>TIMEVALUE(MID(G836,12,8))</f>
        <v/>
      </c>
      <c r="P836" s="396">
        <f>IFERROR(_xlfn.MINIFS($M:$M,$E:$E,$E836,$K:$K,$K836,$M:$M,"&gt;"&amp;$O836),"")</f>
        <v/>
      </c>
      <c r="Q836" s="396">
        <f>IF($P836="","",$P836-$O836)</f>
        <v/>
      </c>
    </row>
    <row r="837" ht="15" customHeight="1" s="231">
      <c r="A837" s="397" t="n"/>
      <c r="B837" s="397" t="n"/>
      <c r="C837" s="397" t="n"/>
      <c r="D837" s="397" t="n"/>
      <c r="E837" s="397" t="n"/>
      <c r="F837" s="397" t="n"/>
      <c r="G837" s="397" t="n"/>
      <c r="I837" s="397" t="n"/>
      <c r="J837" s="397" t="n"/>
      <c r="K837" s="395">
        <f>DATE(VALUE(LEFT(A837,4)),VALUE(MID(A837,5,2)),VALUE(RIGHT(A837,2)))</f>
        <v/>
      </c>
      <c r="L837" s="395">
        <f>DATEVALUE(LEFT(F837,10))</f>
        <v/>
      </c>
      <c r="M837" s="396">
        <f>TIMEVALUE(MID(F837,12,8))</f>
        <v/>
      </c>
      <c r="N837" s="395">
        <f>DATEVALUE(LEFT(G837,10))</f>
        <v/>
      </c>
      <c r="O837" s="396">
        <f>TIMEVALUE(MID(G837,12,8))</f>
        <v/>
      </c>
      <c r="P837" s="396">
        <f>IFERROR(_xlfn.MINIFS($M:$M,$E:$E,$E837,$K:$K,$K837,$M:$M,"&gt;"&amp;$O837),"")</f>
        <v/>
      </c>
      <c r="Q837" s="396">
        <f>IF($P837="","",$P837-$O837)</f>
        <v/>
      </c>
    </row>
    <row r="838" ht="15" customHeight="1" s="231">
      <c r="A838" s="397" t="n"/>
      <c r="B838" s="397" t="n"/>
      <c r="C838" s="397" t="n"/>
      <c r="D838" s="397" t="n"/>
      <c r="E838" s="397" t="n"/>
      <c r="F838" s="397" t="n"/>
      <c r="G838" s="397" t="n"/>
      <c r="I838" s="397" t="n"/>
      <c r="J838" s="397" t="n"/>
      <c r="K838" s="395">
        <f>DATE(VALUE(LEFT(A838,4)),VALUE(MID(A838,5,2)),VALUE(RIGHT(A838,2)))</f>
        <v/>
      </c>
      <c r="L838" s="395">
        <f>DATEVALUE(LEFT(F838,10))</f>
        <v/>
      </c>
      <c r="M838" s="396">
        <f>TIMEVALUE(MID(F838,12,8))</f>
        <v/>
      </c>
      <c r="N838" s="395">
        <f>DATEVALUE(LEFT(G838,10))</f>
        <v/>
      </c>
      <c r="O838" s="396">
        <f>TIMEVALUE(MID(G838,12,8))</f>
        <v/>
      </c>
      <c r="P838" s="396">
        <f>IFERROR(_xlfn.MINIFS($M:$M,$E:$E,$E838,$K:$K,$K838,$M:$M,"&gt;"&amp;$O838),"")</f>
        <v/>
      </c>
      <c r="Q838" s="396">
        <f>IF($P838="","",$P838-$O838)</f>
        <v/>
      </c>
    </row>
    <row r="839" ht="15" customHeight="1" s="231">
      <c r="A839" s="397" t="n"/>
      <c r="B839" s="397" t="n"/>
      <c r="C839" s="397" t="n"/>
      <c r="D839" s="397" t="n"/>
      <c r="E839" s="397" t="n"/>
      <c r="F839" s="397" t="n"/>
      <c r="G839" s="397" t="n"/>
      <c r="I839" s="397" t="n"/>
      <c r="J839" s="397" t="n"/>
      <c r="K839" s="395">
        <f>DATE(VALUE(LEFT(A839,4)),VALUE(MID(A839,5,2)),VALUE(RIGHT(A839,2)))</f>
        <v/>
      </c>
      <c r="L839" s="395">
        <f>DATEVALUE(LEFT(F839,10))</f>
        <v/>
      </c>
      <c r="M839" s="396">
        <f>TIMEVALUE(MID(F839,12,8))</f>
        <v/>
      </c>
      <c r="N839" s="395">
        <f>DATEVALUE(LEFT(G839,10))</f>
        <v/>
      </c>
      <c r="O839" s="396">
        <f>TIMEVALUE(MID(G839,12,8))</f>
        <v/>
      </c>
      <c r="P839" s="396">
        <f>IFERROR(_xlfn.MINIFS($M:$M,$E:$E,$E839,$K:$K,$K839,$M:$M,"&gt;"&amp;$O839),"")</f>
        <v/>
      </c>
      <c r="Q839" s="396">
        <f>IF($P839="","",$P839-$O839)</f>
        <v/>
      </c>
    </row>
    <row r="840" ht="15" customHeight="1" s="231">
      <c r="A840" s="397" t="n"/>
      <c r="B840" s="397" t="n"/>
      <c r="C840" s="397" t="n"/>
      <c r="D840" s="397" t="n"/>
      <c r="E840" s="397" t="n"/>
      <c r="F840" s="397" t="n"/>
      <c r="G840" s="397" t="n"/>
      <c r="I840" s="397" t="n"/>
      <c r="J840" s="397" t="n"/>
      <c r="K840" s="395">
        <f>DATE(VALUE(LEFT(A840,4)),VALUE(MID(A840,5,2)),VALUE(RIGHT(A840,2)))</f>
        <v/>
      </c>
      <c r="L840" s="395">
        <f>DATEVALUE(LEFT(F840,10))</f>
        <v/>
      </c>
      <c r="M840" s="396">
        <f>TIMEVALUE(MID(F840,12,8))</f>
        <v/>
      </c>
      <c r="N840" s="395">
        <f>DATEVALUE(LEFT(G840,10))</f>
        <v/>
      </c>
      <c r="O840" s="396">
        <f>TIMEVALUE(MID(G840,12,8))</f>
        <v/>
      </c>
      <c r="P840" s="396">
        <f>IFERROR(_xlfn.MINIFS($M:$M,$E:$E,$E840,$K:$K,$K840,$M:$M,"&gt;"&amp;$O840),"")</f>
        <v/>
      </c>
      <c r="Q840" s="396">
        <f>IF($P840="","",$P840-$O840)</f>
        <v/>
      </c>
    </row>
    <row r="841" ht="15" customHeight="1" s="231">
      <c r="A841" s="397" t="n"/>
      <c r="B841" s="397" t="n"/>
      <c r="C841" s="397" t="n"/>
      <c r="D841" s="397" t="n"/>
      <c r="E841" s="397" t="n"/>
      <c r="F841" s="397" t="n"/>
      <c r="G841" s="397" t="n"/>
      <c r="I841" s="397" t="n"/>
      <c r="J841" s="397" t="n"/>
      <c r="K841" s="395">
        <f>DATE(VALUE(LEFT(A841,4)),VALUE(MID(A841,5,2)),VALUE(RIGHT(A841,2)))</f>
        <v/>
      </c>
      <c r="L841" s="395">
        <f>DATEVALUE(LEFT(F841,10))</f>
        <v/>
      </c>
      <c r="M841" s="396">
        <f>TIMEVALUE(MID(F841,12,8))</f>
        <v/>
      </c>
      <c r="N841" s="395">
        <f>DATEVALUE(LEFT(G841,10))</f>
        <v/>
      </c>
      <c r="O841" s="396">
        <f>TIMEVALUE(MID(G841,12,8))</f>
        <v/>
      </c>
      <c r="P841" s="396">
        <f>IFERROR(_xlfn.MINIFS($M:$M,$E:$E,$E841,$K:$K,$K841,$M:$M,"&gt;"&amp;$O841),"")</f>
        <v/>
      </c>
      <c r="Q841" s="396">
        <f>IF($P841="","",$P841-$O841)</f>
        <v/>
      </c>
    </row>
    <row r="842" ht="15" customHeight="1" s="231">
      <c r="A842" s="397" t="n"/>
      <c r="B842" s="397" t="n"/>
      <c r="C842" s="397" t="n"/>
      <c r="D842" s="397" t="n"/>
      <c r="E842" s="397" t="n"/>
      <c r="F842" s="397" t="n"/>
      <c r="G842" s="397" t="n"/>
      <c r="I842" s="397" t="n"/>
      <c r="J842" s="397" t="n"/>
      <c r="K842" s="395">
        <f>DATE(VALUE(LEFT(A842,4)),VALUE(MID(A842,5,2)),VALUE(RIGHT(A842,2)))</f>
        <v/>
      </c>
      <c r="L842" s="395">
        <f>DATEVALUE(LEFT(F842,10))</f>
        <v/>
      </c>
      <c r="M842" s="396">
        <f>TIMEVALUE(MID(F842,12,8))</f>
        <v/>
      </c>
      <c r="N842" s="395">
        <f>DATEVALUE(LEFT(G842,10))</f>
        <v/>
      </c>
      <c r="O842" s="396">
        <f>TIMEVALUE(MID(G842,12,8))</f>
        <v/>
      </c>
      <c r="P842" s="396">
        <f>IFERROR(_xlfn.MINIFS($M:$M,$E:$E,$E842,$K:$K,$K842,$M:$M,"&gt;"&amp;$O842),"")</f>
        <v/>
      </c>
      <c r="Q842" s="396">
        <f>IF($P842="","",$P842-$O842)</f>
        <v/>
      </c>
    </row>
    <row r="843" ht="15" customHeight="1" s="231">
      <c r="A843" s="397" t="n"/>
      <c r="B843" s="397" t="n"/>
      <c r="C843" s="397" t="n"/>
      <c r="D843" s="397" t="n"/>
      <c r="E843" s="397" t="n"/>
      <c r="F843" s="397" t="n"/>
      <c r="G843" s="397" t="n"/>
      <c r="I843" s="397" t="n"/>
      <c r="J843" s="397" t="n"/>
      <c r="K843" s="395">
        <f>DATE(VALUE(LEFT(A843,4)),VALUE(MID(A843,5,2)),VALUE(RIGHT(A843,2)))</f>
        <v/>
      </c>
      <c r="L843" s="395">
        <f>DATEVALUE(LEFT(F843,10))</f>
        <v/>
      </c>
      <c r="M843" s="396">
        <f>TIMEVALUE(MID(F843,12,8))</f>
        <v/>
      </c>
      <c r="N843" s="395">
        <f>DATEVALUE(LEFT(G843,10))</f>
        <v/>
      </c>
      <c r="O843" s="396">
        <f>TIMEVALUE(MID(G843,12,8))</f>
        <v/>
      </c>
      <c r="P843" s="396">
        <f>IFERROR(_xlfn.MINIFS($M:$M,$E:$E,$E843,$K:$K,$K843,$M:$M,"&gt;"&amp;$O843),"")</f>
        <v/>
      </c>
      <c r="Q843" s="396">
        <f>IF($P843="","",$P843-$O843)</f>
        <v/>
      </c>
    </row>
    <row r="844" ht="15" customHeight="1" s="231">
      <c r="A844" s="397" t="n"/>
      <c r="B844" s="397" t="n"/>
      <c r="C844" s="397" t="n"/>
      <c r="D844" s="397" t="n"/>
      <c r="E844" s="397" t="n"/>
      <c r="F844" s="397" t="n"/>
      <c r="G844" s="397" t="n"/>
      <c r="I844" s="397" t="n"/>
      <c r="J844" s="397" t="n"/>
      <c r="K844" s="395">
        <f>DATE(VALUE(LEFT(A844,4)),VALUE(MID(A844,5,2)),VALUE(RIGHT(A844,2)))</f>
        <v/>
      </c>
      <c r="L844" s="395">
        <f>DATEVALUE(LEFT(F844,10))</f>
        <v/>
      </c>
      <c r="M844" s="396">
        <f>TIMEVALUE(MID(F844,12,8))</f>
        <v/>
      </c>
      <c r="N844" s="395">
        <f>DATEVALUE(LEFT(G844,10))</f>
        <v/>
      </c>
      <c r="O844" s="396">
        <f>TIMEVALUE(MID(G844,12,8))</f>
        <v/>
      </c>
      <c r="P844" s="396">
        <f>IFERROR(_xlfn.MINIFS($M:$M,$E:$E,$E844,$K:$K,$K844,$M:$M,"&gt;"&amp;$O844),"")</f>
        <v/>
      </c>
      <c r="Q844" s="396">
        <f>IF($P844="","",$P844-$O844)</f>
        <v/>
      </c>
    </row>
    <row r="845" ht="15" customHeight="1" s="231">
      <c r="A845" s="397" t="n"/>
      <c r="B845" s="397" t="n"/>
      <c r="C845" s="397" t="n"/>
      <c r="D845" s="397" t="n"/>
      <c r="E845" s="397" t="n"/>
      <c r="F845" s="397" t="n"/>
      <c r="G845" s="397" t="n"/>
      <c r="I845" s="397" t="n"/>
      <c r="J845" s="397" t="n"/>
      <c r="K845" s="395">
        <f>DATE(VALUE(LEFT(A845,4)),VALUE(MID(A845,5,2)),VALUE(RIGHT(A845,2)))</f>
        <v/>
      </c>
      <c r="L845" s="395">
        <f>DATEVALUE(LEFT(F845,10))</f>
        <v/>
      </c>
      <c r="M845" s="396">
        <f>TIMEVALUE(MID(F845,12,8))</f>
        <v/>
      </c>
      <c r="N845" s="395">
        <f>DATEVALUE(LEFT(G845,10))</f>
        <v/>
      </c>
      <c r="O845" s="396">
        <f>TIMEVALUE(MID(G845,12,8))</f>
        <v/>
      </c>
      <c r="P845" s="396">
        <f>IFERROR(_xlfn.MINIFS($M:$M,$E:$E,$E845,$K:$K,$K845,$M:$M,"&gt;"&amp;$O845),"")</f>
        <v/>
      </c>
      <c r="Q845" s="396">
        <f>IF($P845="","",$P845-$O845)</f>
        <v/>
      </c>
    </row>
    <row r="846" ht="15" customHeight="1" s="231">
      <c r="A846" s="397" t="n"/>
      <c r="B846" s="397" t="n"/>
      <c r="C846" s="397" t="n"/>
      <c r="D846" s="397" t="n"/>
      <c r="E846" s="397" t="n"/>
      <c r="F846" s="397" t="n"/>
      <c r="G846" s="397" t="n"/>
      <c r="I846" s="397" t="n"/>
      <c r="J846" s="397" t="n"/>
      <c r="K846" s="395">
        <f>DATE(VALUE(LEFT(A846,4)),VALUE(MID(A846,5,2)),VALUE(RIGHT(A846,2)))</f>
        <v/>
      </c>
      <c r="L846" s="395">
        <f>DATEVALUE(LEFT(F846,10))</f>
        <v/>
      </c>
      <c r="M846" s="396">
        <f>TIMEVALUE(MID(F846,12,8))</f>
        <v/>
      </c>
      <c r="N846" s="395">
        <f>DATEVALUE(LEFT(G846,10))</f>
        <v/>
      </c>
      <c r="O846" s="396">
        <f>TIMEVALUE(MID(G846,12,8))</f>
        <v/>
      </c>
      <c r="P846" s="396">
        <f>IFERROR(_xlfn.MINIFS($M:$M,$E:$E,$E846,$K:$K,$K846,$M:$M,"&gt;"&amp;$O846),"")</f>
        <v/>
      </c>
      <c r="Q846" s="396">
        <f>IF($P846="","",$P846-$O846)</f>
        <v/>
      </c>
    </row>
    <row r="847" ht="15" customHeight="1" s="231">
      <c r="A847" s="397" t="n"/>
      <c r="B847" s="397" t="n"/>
      <c r="C847" s="397" t="n"/>
      <c r="D847" s="397" t="n"/>
      <c r="E847" s="397" t="n"/>
      <c r="F847" s="397" t="n"/>
      <c r="G847" s="397" t="n"/>
      <c r="I847" s="397" t="n"/>
      <c r="J847" s="397" t="n"/>
      <c r="K847" s="395">
        <f>DATE(VALUE(LEFT(A847,4)),VALUE(MID(A847,5,2)),VALUE(RIGHT(A847,2)))</f>
        <v/>
      </c>
      <c r="L847" s="395">
        <f>DATEVALUE(LEFT(F847,10))</f>
        <v/>
      </c>
      <c r="M847" s="396">
        <f>TIMEVALUE(MID(F847,12,8))</f>
        <v/>
      </c>
      <c r="N847" s="395">
        <f>DATEVALUE(LEFT(G847,10))</f>
        <v/>
      </c>
      <c r="O847" s="396">
        <f>TIMEVALUE(MID(G847,12,8))</f>
        <v/>
      </c>
      <c r="P847" s="396">
        <f>IFERROR(_xlfn.MINIFS($M:$M,$E:$E,$E847,$K:$K,$K847,$M:$M,"&gt;"&amp;$O847),"")</f>
        <v/>
      </c>
      <c r="Q847" s="396">
        <f>IF($P847="","",$P847-$O847)</f>
        <v/>
      </c>
    </row>
    <row r="848" ht="15" customHeight="1" s="231">
      <c r="A848" s="397" t="n"/>
      <c r="B848" s="397" t="n"/>
      <c r="C848" s="397" t="n"/>
      <c r="D848" s="397" t="n"/>
      <c r="E848" s="397" t="n"/>
      <c r="F848" s="397" t="n"/>
      <c r="G848" s="397" t="n"/>
      <c r="I848" s="397" t="n"/>
      <c r="J848" s="397" t="n"/>
      <c r="K848" s="395">
        <f>DATE(VALUE(LEFT(A848,4)),VALUE(MID(A848,5,2)),VALUE(RIGHT(A848,2)))</f>
        <v/>
      </c>
      <c r="L848" s="395">
        <f>DATEVALUE(LEFT(F848,10))</f>
        <v/>
      </c>
      <c r="M848" s="396">
        <f>TIMEVALUE(MID(F848,12,8))</f>
        <v/>
      </c>
      <c r="N848" s="395">
        <f>DATEVALUE(LEFT(G848,10))</f>
        <v/>
      </c>
      <c r="O848" s="396">
        <f>TIMEVALUE(MID(G848,12,8))</f>
        <v/>
      </c>
      <c r="P848" s="396">
        <f>IFERROR(_xlfn.MINIFS($M:$M,$E:$E,$E848,$K:$K,$K848,$M:$M,"&gt;"&amp;$O848),"")</f>
        <v/>
      </c>
      <c r="Q848" s="396">
        <f>IF($P848="","",$P848-$O848)</f>
        <v/>
      </c>
    </row>
    <row r="849" ht="15" customHeight="1" s="231">
      <c r="A849" s="397" t="n"/>
      <c r="B849" s="397" t="n"/>
      <c r="C849" s="397" t="n"/>
      <c r="D849" s="397" t="n"/>
      <c r="E849" s="397" t="n"/>
      <c r="F849" s="397" t="n"/>
      <c r="G849" s="397" t="n"/>
      <c r="I849" s="397" t="n"/>
      <c r="J849" s="397" t="n"/>
      <c r="K849" s="395">
        <f>DATE(VALUE(LEFT(A849,4)),VALUE(MID(A849,5,2)),VALUE(RIGHT(A849,2)))</f>
        <v/>
      </c>
      <c r="L849" s="395">
        <f>DATEVALUE(LEFT(F849,10))</f>
        <v/>
      </c>
      <c r="M849" s="396">
        <f>TIMEVALUE(MID(F849,12,8))</f>
        <v/>
      </c>
      <c r="N849" s="395">
        <f>DATEVALUE(LEFT(G849,10))</f>
        <v/>
      </c>
      <c r="O849" s="396">
        <f>TIMEVALUE(MID(G849,12,8))</f>
        <v/>
      </c>
      <c r="P849" s="396">
        <f>IFERROR(_xlfn.MINIFS($M:$M,$E:$E,$E849,$K:$K,$K849,$M:$M,"&gt;"&amp;$O849),"")</f>
        <v/>
      </c>
      <c r="Q849" s="396">
        <f>IF($P849="","",$P849-$O849)</f>
        <v/>
      </c>
    </row>
    <row r="850" ht="15" customHeight="1" s="231">
      <c r="A850" s="397" t="n"/>
      <c r="B850" s="397" t="n"/>
      <c r="C850" s="397" t="n"/>
      <c r="D850" s="397" t="n"/>
      <c r="E850" s="397" t="n"/>
      <c r="F850" s="397" t="n"/>
      <c r="G850" s="397" t="n"/>
      <c r="I850" s="397" t="n"/>
      <c r="J850" s="397" t="n"/>
      <c r="K850" s="395">
        <f>DATE(VALUE(LEFT(A850,4)),VALUE(MID(A850,5,2)),VALUE(RIGHT(A850,2)))</f>
        <v/>
      </c>
      <c r="L850" s="395">
        <f>DATEVALUE(LEFT(F850,10))</f>
        <v/>
      </c>
      <c r="M850" s="396">
        <f>TIMEVALUE(MID(F850,12,8))</f>
        <v/>
      </c>
      <c r="N850" s="395">
        <f>DATEVALUE(LEFT(G850,10))</f>
        <v/>
      </c>
      <c r="O850" s="396">
        <f>TIMEVALUE(MID(G850,12,8))</f>
        <v/>
      </c>
      <c r="P850" s="396">
        <f>IFERROR(_xlfn.MINIFS($M:$M,$E:$E,$E850,$K:$K,$K850,$M:$M,"&gt;"&amp;$O850),"")</f>
        <v/>
      </c>
      <c r="Q850" s="396">
        <f>IF($P850="","",$P850-$O850)</f>
        <v/>
      </c>
    </row>
    <row r="851" ht="15" customHeight="1" s="231">
      <c r="A851" s="397" t="n"/>
      <c r="B851" s="397" t="n"/>
      <c r="C851" s="397" t="n"/>
      <c r="D851" s="397" t="n"/>
      <c r="E851" s="397" t="n"/>
      <c r="F851" s="397" t="n"/>
      <c r="G851" s="397" t="n"/>
      <c r="I851" s="397" t="n"/>
      <c r="J851" s="397" t="n"/>
      <c r="K851" s="395">
        <f>DATE(VALUE(LEFT(A851,4)),VALUE(MID(A851,5,2)),VALUE(RIGHT(A851,2)))</f>
        <v/>
      </c>
      <c r="L851" s="395">
        <f>DATEVALUE(LEFT(F851,10))</f>
        <v/>
      </c>
      <c r="M851" s="396">
        <f>TIMEVALUE(MID(F851,12,8))</f>
        <v/>
      </c>
      <c r="N851" s="395">
        <f>DATEVALUE(LEFT(G851,10))</f>
        <v/>
      </c>
      <c r="O851" s="396">
        <f>TIMEVALUE(MID(G851,12,8))</f>
        <v/>
      </c>
      <c r="P851" s="396">
        <f>IFERROR(_xlfn.MINIFS($M:$M,$E:$E,$E851,$K:$K,$K851,$M:$M,"&gt;"&amp;$O851),"")</f>
        <v/>
      </c>
      <c r="Q851" s="396">
        <f>IF($P851="","",$P851-$O851)</f>
        <v/>
      </c>
    </row>
    <row r="852" ht="15" customHeight="1" s="231">
      <c r="A852" s="397" t="n"/>
      <c r="B852" s="397" t="n"/>
      <c r="C852" s="397" t="n"/>
      <c r="D852" s="397" t="n"/>
      <c r="E852" s="397" t="n"/>
      <c r="F852" s="397" t="n"/>
      <c r="G852" s="397" t="n"/>
      <c r="I852" s="397" t="n"/>
      <c r="J852" s="397" t="n"/>
      <c r="K852" s="395">
        <f>DATE(VALUE(LEFT(A852,4)),VALUE(MID(A852,5,2)),VALUE(RIGHT(A852,2)))</f>
        <v/>
      </c>
      <c r="L852" s="395">
        <f>DATEVALUE(LEFT(F852,10))</f>
        <v/>
      </c>
      <c r="M852" s="396">
        <f>TIMEVALUE(MID(F852,12,8))</f>
        <v/>
      </c>
      <c r="N852" s="395">
        <f>DATEVALUE(LEFT(G852,10))</f>
        <v/>
      </c>
      <c r="O852" s="396">
        <f>TIMEVALUE(MID(G852,12,8))</f>
        <v/>
      </c>
      <c r="P852" s="396">
        <f>IFERROR(_xlfn.MINIFS($M:$M,$E:$E,$E852,$K:$K,$K852,$M:$M,"&gt;"&amp;$O852),"")</f>
        <v/>
      </c>
      <c r="Q852" s="396">
        <f>IF($P852="","",$P852-$O852)</f>
        <v/>
      </c>
    </row>
    <row r="853" ht="15" customHeight="1" s="231">
      <c r="A853" s="397" t="n"/>
      <c r="B853" s="397" t="n"/>
      <c r="C853" s="397" t="n"/>
      <c r="D853" s="397" t="n"/>
      <c r="E853" s="397" t="n"/>
      <c r="F853" s="397" t="n"/>
      <c r="G853" s="397" t="n"/>
      <c r="I853" s="397" t="n"/>
      <c r="J853" s="397" t="n"/>
      <c r="K853" s="395">
        <f>DATE(VALUE(LEFT(A853,4)),VALUE(MID(A853,5,2)),VALUE(RIGHT(A853,2)))</f>
        <v/>
      </c>
      <c r="L853" s="395">
        <f>DATEVALUE(LEFT(F853,10))</f>
        <v/>
      </c>
      <c r="M853" s="396">
        <f>TIMEVALUE(MID(F853,12,8))</f>
        <v/>
      </c>
      <c r="N853" s="395">
        <f>DATEVALUE(LEFT(G853,10))</f>
        <v/>
      </c>
      <c r="O853" s="396">
        <f>TIMEVALUE(MID(G853,12,8))</f>
        <v/>
      </c>
      <c r="P853" s="396">
        <f>IFERROR(_xlfn.MINIFS($M:$M,$E:$E,$E853,$K:$K,$K853,$M:$M,"&gt;"&amp;$O853),"")</f>
        <v/>
      </c>
      <c r="Q853" s="396">
        <f>IF($P853="","",$P853-$O853)</f>
        <v/>
      </c>
    </row>
    <row r="854" ht="15" customHeight="1" s="231">
      <c r="A854" s="397" t="n"/>
      <c r="B854" s="397" t="n"/>
      <c r="C854" s="397" t="n"/>
      <c r="D854" s="397" t="n"/>
      <c r="E854" s="397" t="n"/>
      <c r="F854" s="397" t="n"/>
      <c r="G854" s="397" t="n"/>
      <c r="I854" s="397" t="n"/>
      <c r="J854" s="397" t="n"/>
      <c r="K854" s="395">
        <f>DATE(VALUE(LEFT(A854,4)),VALUE(MID(A854,5,2)),VALUE(RIGHT(A854,2)))</f>
        <v/>
      </c>
      <c r="L854" s="395">
        <f>DATEVALUE(LEFT(F854,10))</f>
        <v/>
      </c>
      <c r="M854" s="396">
        <f>TIMEVALUE(MID(F854,12,8))</f>
        <v/>
      </c>
      <c r="N854" s="395">
        <f>DATEVALUE(LEFT(G854,10))</f>
        <v/>
      </c>
      <c r="O854" s="396">
        <f>TIMEVALUE(MID(G854,12,8))</f>
        <v/>
      </c>
      <c r="P854" s="396">
        <f>IFERROR(_xlfn.MINIFS($M:$M,$E:$E,$E854,$K:$K,$K854,$M:$M,"&gt;"&amp;$O854),"")</f>
        <v/>
      </c>
      <c r="Q854" s="396">
        <f>IF($P854="","",$P854-$O854)</f>
        <v/>
      </c>
    </row>
    <row r="855" ht="15" customHeight="1" s="231">
      <c r="A855" s="397" t="n"/>
      <c r="B855" s="397" t="n"/>
      <c r="C855" s="397" t="n"/>
      <c r="D855" s="397" t="n"/>
      <c r="E855" s="397" t="n"/>
      <c r="F855" s="397" t="n"/>
      <c r="G855" s="397" t="n"/>
      <c r="I855" s="397" t="n"/>
      <c r="J855" s="397" t="n"/>
      <c r="K855" s="395">
        <f>DATE(VALUE(LEFT(A855,4)),VALUE(MID(A855,5,2)),VALUE(RIGHT(A855,2)))</f>
        <v/>
      </c>
      <c r="L855" s="395">
        <f>DATEVALUE(LEFT(F855,10))</f>
        <v/>
      </c>
      <c r="M855" s="396">
        <f>TIMEVALUE(MID(F855,12,8))</f>
        <v/>
      </c>
      <c r="N855" s="395">
        <f>DATEVALUE(LEFT(G855,10))</f>
        <v/>
      </c>
      <c r="O855" s="396">
        <f>TIMEVALUE(MID(G855,12,8))</f>
        <v/>
      </c>
      <c r="P855" s="396">
        <f>IFERROR(_xlfn.MINIFS($M:$M,$E:$E,$E855,$K:$K,$K855,$M:$M,"&gt;"&amp;$O855),"")</f>
        <v/>
      </c>
      <c r="Q855" s="396">
        <f>IF($P855="","",$P855-$O855)</f>
        <v/>
      </c>
    </row>
    <row r="856" ht="15" customHeight="1" s="231">
      <c r="A856" s="397" t="n"/>
      <c r="B856" s="397" t="n"/>
      <c r="C856" s="397" t="n"/>
      <c r="D856" s="397" t="n"/>
      <c r="E856" s="397" t="n"/>
      <c r="F856" s="397" t="n"/>
      <c r="G856" s="397" t="n"/>
      <c r="I856" s="397" t="n"/>
      <c r="J856" s="397" t="n"/>
      <c r="K856" s="395">
        <f>DATE(VALUE(LEFT(A856,4)),VALUE(MID(A856,5,2)),VALUE(RIGHT(A856,2)))</f>
        <v/>
      </c>
      <c r="L856" s="395">
        <f>DATEVALUE(LEFT(F856,10))</f>
        <v/>
      </c>
      <c r="M856" s="396">
        <f>TIMEVALUE(MID(F856,12,8))</f>
        <v/>
      </c>
      <c r="N856" s="395">
        <f>DATEVALUE(LEFT(G856,10))</f>
        <v/>
      </c>
      <c r="O856" s="396">
        <f>TIMEVALUE(MID(G856,12,8))</f>
        <v/>
      </c>
      <c r="P856" s="396">
        <f>IFERROR(_xlfn.MINIFS($M:$M,$E:$E,$E856,$K:$K,$K856,$M:$M,"&gt;"&amp;$O856),"")</f>
        <v/>
      </c>
      <c r="Q856" s="396">
        <f>IF($P856="","",$P856-$O856)</f>
        <v/>
      </c>
    </row>
    <row r="857" ht="15" customHeight="1" s="231">
      <c r="A857" s="397" t="n"/>
      <c r="B857" s="397" t="n"/>
      <c r="C857" s="397" t="n"/>
      <c r="D857" s="397" t="n"/>
      <c r="E857" s="397" t="n"/>
      <c r="F857" s="397" t="n"/>
      <c r="G857" s="397" t="n"/>
      <c r="I857" s="397" t="n"/>
      <c r="J857" s="397" t="n"/>
      <c r="K857" s="395">
        <f>DATE(VALUE(LEFT(A857,4)),VALUE(MID(A857,5,2)),VALUE(RIGHT(A857,2)))</f>
        <v/>
      </c>
      <c r="L857" s="395">
        <f>DATEVALUE(LEFT(F857,10))</f>
        <v/>
      </c>
      <c r="M857" s="396">
        <f>TIMEVALUE(MID(F857,12,8))</f>
        <v/>
      </c>
      <c r="N857" s="395">
        <f>DATEVALUE(LEFT(G857,10))</f>
        <v/>
      </c>
      <c r="O857" s="396">
        <f>TIMEVALUE(MID(G857,12,8))</f>
        <v/>
      </c>
      <c r="P857" s="396">
        <f>IFERROR(_xlfn.MINIFS($M:$M,$E:$E,$E857,$K:$K,$K857,$M:$M,"&gt;"&amp;$O857),"")</f>
        <v/>
      </c>
      <c r="Q857" s="396">
        <f>IF($P857="","",$P857-$O857)</f>
        <v/>
      </c>
    </row>
    <row r="858" ht="15" customHeight="1" s="231">
      <c r="A858" s="397" t="n"/>
      <c r="B858" s="397" t="n"/>
      <c r="C858" s="397" t="n"/>
      <c r="D858" s="397" t="n"/>
      <c r="E858" s="397" t="n"/>
      <c r="F858" s="397" t="n"/>
      <c r="G858" s="397" t="n"/>
      <c r="I858" s="397" t="n"/>
      <c r="J858" s="397" t="n"/>
      <c r="K858" s="395">
        <f>DATE(VALUE(LEFT(A858,4)),VALUE(MID(A858,5,2)),VALUE(RIGHT(A858,2)))</f>
        <v/>
      </c>
      <c r="L858" s="395">
        <f>DATEVALUE(LEFT(F858,10))</f>
        <v/>
      </c>
      <c r="M858" s="396">
        <f>TIMEVALUE(MID(F858,12,8))</f>
        <v/>
      </c>
      <c r="N858" s="395">
        <f>DATEVALUE(LEFT(G858,10))</f>
        <v/>
      </c>
      <c r="O858" s="396">
        <f>TIMEVALUE(MID(G858,12,8))</f>
        <v/>
      </c>
      <c r="P858" s="396">
        <f>IFERROR(_xlfn.MINIFS($M:$M,$E:$E,$E858,$K:$K,$K858,$M:$M,"&gt;"&amp;$O858),"")</f>
        <v/>
      </c>
      <c r="Q858" s="396">
        <f>IF($P858="","",$P858-$O858)</f>
        <v/>
      </c>
    </row>
    <row r="859" ht="15" customHeight="1" s="231">
      <c r="A859" s="397" t="n"/>
      <c r="B859" s="397" t="n"/>
      <c r="C859" s="397" t="n"/>
      <c r="D859" s="397" t="n"/>
      <c r="E859" s="397" t="n"/>
      <c r="F859" s="397" t="n"/>
      <c r="G859" s="397" t="n"/>
      <c r="I859" s="397" t="n"/>
      <c r="J859" s="397" t="n"/>
      <c r="K859" s="395">
        <f>DATE(VALUE(LEFT(A859,4)),VALUE(MID(A859,5,2)),VALUE(RIGHT(A859,2)))</f>
        <v/>
      </c>
      <c r="L859" s="395">
        <f>DATEVALUE(LEFT(F859,10))</f>
        <v/>
      </c>
      <c r="M859" s="396">
        <f>TIMEVALUE(MID(F859,12,8))</f>
        <v/>
      </c>
      <c r="N859" s="395">
        <f>DATEVALUE(LEFT(G859,10))</f>
        <v/>
      </c>
      <c r="O859" s="396">
        <f>TIMEVALUE(MID(G859,12,8))</f>
        <v/>
      </c>
      <c r="P859" s="396">
        <f>IFERROR(_xlfn.MINIFS($M:$M,$E:$E,$E859,$K:$K,$K859,$M:$M,"&gt;"&amp;$O859),"")</f>
        <v/>
      </c>
      <c r="Q859" s="396">
        <f>IF($P859="","",$P859-$O859)</f>
        <v/>
      </c>
    </row>
    <row r="860" ht="15" customHeight="1" s="231">
      <c r="A860" s="397" t="n"/>
      <c r="B860" s="397" t="n"/>
      <c r="C860" s="397" t="n"/>
      <c r="D860" s="397" t="n"/>
      <c r="E860" s="397" t="n"/>
      <c r="F860" s="397" t="n"/>
      <c r="G860" s="397" t="n"/>
      <c r="I860" s="397" t="n"/>
      <c r="J860" s="397" t="n"/>
      <c r="K860" s="395">
        <f>DATE(VALUE(LEFT(A860,4)),VALUE(MID(A860,5,2)),VALUE(RIGHT(A860,2)))</f>
        <v/>
      </c>
      <c r="L860" s="395">
        <f>DATEVALUE(LEFT(F860,10))</f>
        <v/>
      </c>
      <c r="M860" s="396">
        <f>TIMEVALUE(MID(F860,12,8))</f>
        <v/>
      </c>
      <c r="N860" s="395">
        <f>DATEVALUE(LEFT(G860,10))</f>
        <v/>
      </c>
      <c r="O860" s="396">
        <f>TIMEVALUE(MID(G860,12,8))</f>
        <v/>
      </c>
      <c r="P860" s="396">
        <f>IFERROR(_xlfn.MINIFS($M:$M,$E:$E,$E860,$K:$K,$K860,$M:$M,"&gt;"&amp;$O860),"")</f>
        <v/>
      </c>
      <c r="Q860" s="396">
        <f>IF($P860="","",$P860-$O860)</f>
        <v/>
      </c>
    </row>
    <row r="861" ht="15" customHeight="1" s="231">
      <c r="A861" s="397" t="n"/>
      <c r="B861" s="397" t="n"/>
      <c r="C861" s="397" t="n"/>
      <c r="D861" s="397" t="n"/>
      <c r="E861" s="397" t="n"/>
      <c r="F861" s="397" t="n"/>
      <c r="G861" s="397" t="n"/>
      <c r="I861" s="397" t="n"/>
      <c r="J861" s="397" t="n"/>
      <c r="K861" s="395">
        <f>DATE(VALUE(LEFT(A861,4)),VALUE(MID(A861,5,2)),VALUE(RIGHT(A861,2)))</f>
        <v/>
      </c>
      <c r="L861" s="395">
        <f>DATEVALUE(LEFT(F861,10))</f>
        <v/>
      </c>
      <c r="M861" s="396">
        <f>TIMEVALUE(MID(F861,12,8))</f>
        <v/>
      </c>
      <c r="N861" s="395">
        <f>DATEVALUE(LEFT(G861,10))</f>
        <v/>
      </c>
      <c r="O861" s="396">
        <f>TIMEVALUE(MID(G861,12,8))</f>
        <v/>
      </c>
      <c r="P861" s="396">
        <f>IFERROR(_xlfn.MINIFS($M:$M,$E:$E,$E861,$K:$K,$K861,$M:$M,"&gt;"&amp;$O861),"")</f>
        <v/>
      </c>
      <c r="Q861" s="396">
        <f>IF($P861="","",$P861-$O861)</f>
        <v/>
      </c>
    </row>
    <row r="862" ht="15" customHeight="1" s="231">
      <c r="A862" s="397" t="n"/>
      <c r="B862" s="397" t="n"/>
      <c r="C862" s="397" t="n"/>
      <c r="D862" s="397" t="n"/>
      <c r="E862" s="397" t="n"/>
      <c r="F862" s="397" t="n"/>
      <c r="G862" s="397" t="n"/>
      <c r="I862" s="397" t="n"/>
      <c r="J862" s="397" t="n"/>
      <c r="K862" s="395">
        <f>DATE(VALUE(LEFT(A862,4)),VALUE(MID(A862,5,2)),VALUE(RIGHT(A862,2)))</f>
        <v/>
      </c>
      <c r="L862" s="395">
        <f>DATEVALUE(LEFT(F862,10))</f>
        <v/>
      </c>
      <c r="M862" s="396">
        <f>TIMEVALUE(MID(F862,12,8))</f>
        <v/>
      </c>
      <c r="N862" s="395">
        <f>DATEVALUE(LEFT(G862,10))</f>
        <v/>
      </c>
      <c r="O862" s="396">
        <f>TIMEVALUE(MID(G862,12,8))</f>
        <v/>
      </c>
      <c r="P862" s="396">
        <f>IFERROR(_xlfn.MINIFS($M:$M,$E:$E,$E862,$K:$K,$K862,$M:$M,"&gt;"&amp;$O862),"")</f>
        <v/>
      </c>
      <c r="Q862" s="396">
        <f>IF($P862="","",$P862-$O862)</f>
        <v/>
      </c>
    </row>
    <row r="863" ht="15" customHeight="1" s="231">
      <c r="A863" s="397" t="n"/>
      <c r="B863" s="397" t="n"/>
      <c r="C863" s="397" t="n"/>
      <c r="D863" s="397" t="n"/>
      <c r="E863" s="397" t="n"/>
      <c r="F863" s="397" t="n"/>
      <c r="G863" s="397" t="n"/>
      <c r="I863" s="397" t="n"/>
      <c r="J863" s="397" t="n"/>
      <c r="K863" s="395">
        <f>DATE(VALUE(LEFT(A863,4)),VALUE(MID(A863,5,2)),VALUE(RIGHT(A863,2)))</f>
        <v/>
      </c>
      <c r="L863" s="395">
        <f>DATEVALUE(LEFT(F863,10))</f>
        <v/>
      </c>
      <c r="M863" s="396">
        <f>TIMEVALUE(MID(F863,12,8))</f>
        <v/>
      </c>
      <c r="N863" s="395">
        <f>DATEVALUE(LEFT(G863,10))</f>
        <v/>
      </c>
      <c r="O863" s="396">
        <f>TIMEVALUE(MID(G863,12,8))</f>
        <v/>
      </c>
      <c r="P863" s="396">
        <f>IFERROR(_xlfn.MINIFS($M:$M,$E:$E,$E863,$K:$K,$K863,$M:$M,"&gt;"&amp;$O863),"")</f>
        <v/>
      </c>
      <c r="Q863" s="396">
        <f>IF($P863="","",$P863-$O863)</f>
        <v/>
      </c>
    </row>
    <row r="864" ht="15" customHeight="1" s="231">
      <c r="A864" s="397" t="n"/>
      <c r="B864" s="397" t="n"/>
      <c r="C864" s="397" t="n"/>
      <c r="D864" s="397" t="n"/>
      <c r="E864" s="397" t="n"/>
      <c r="F864" s="397" t="n"/>
      <c r="G864" s="397" t="n"/>
      <c r="I864" s="397" t="n"/>
      <c r="J864" s="397" t="n"/>
      <c r="K864" s="395">
        <f>DATE(VALUE(LEFT(A864,4)),VALUE(MID(A864,5,2)),VALUE(RIGHT(A864,2)))</f>
        <v/>
      </c>
      <c r="L864" s="395">
        <f>DATEVALUE(LEFT(F864,10))</f>
        <v/>
      </c>
      <c r="M864" s="396">
        <f>TIMEVALUE(MID(F864,12,8))</f>
        <v/>
      </c>
      <c r="N864" s="395">
        <f>DATEVALUE(LEFT(G864,10))</f>
        <v/>
      </c>
      <c r="O864" s="396">
        <f>TIMEVALUE(MID(G864,12,8))</f>
        <v/>
      </c>
      <c r="P864" s="396">
        <f>IFERROR(_xlfn.MINIFS($M:$M,$E:$E,$E864,$K:$K,$K864,$M:$M,"&gt;"&amp;$O864),"")</f>
        <v/>
      </c>
      <c r="Q864" s="396">
        <f>IF($P864="","",$P864-$O864)</f>
        <v/>
      </c>
    </row>
    <row r="865" ht="15" customHeight="1" s="231">
      <c r="A865" s="397" t="n"/>
      <c r="B865" s="397" t="n"/>
      <c r="C865" s="397" t="n"/>
      <c r="D865" s="397" t="n"/>
      <c r="E865" s="397" t="n"/>
      <c r="F865" s="397" t="n"/>
      <c r="G865" s="397" t="n"/>
      <c r="I865" s="397" t="n"/>
      <c r="J865" s="397" t="n"/>
      <c r="K865" s="395">
        <f>DATE(VALUE(LEFT(A865,4)),VALUE(MID(A865,5,2)),VALUE(RIGHT(A865,2)))</f>
        <v/>
      </c>
      <c r="L865" s="395">
        <f>DATEVALUE(LEFT(F865,10))</f>
        <v/>
      </c>
      <c r="M865" s="396">
        <f>TIMEVALUE(MID(F865,12,8))</f>
        <v/>
      </c>
      <c r="N865" s="395">
        <f>DATEVALUE(LEFT(G865,10))</f>
        <v/>
      </c>
      <c r="O865" s="396">
        <f>TIMEVALUE(MID(G865,12,8))</f>
        <v/>
      </c>
      <c r="P865" s="396">
        <f>IFERROR(_xlfn.MINIFS($M:$M,$E:$E,$E865,$K:$K,$K865,$M:$M,"&gt;"&amp;$O865),"")</f>
        <v/>
      </c>
      <c r="Q865" s="396">
        <f>IF($P865="","",$P865-$O865)</f>
        <v/>
      </c>
    </row>
    <row r="866" ht="15" customHeight="1" s="231">
      <c r="A866" s="397" t="n"/>
      <c r="B866" s="397" t="n"/>
      <c r="C866" s="397" t="n"/>
      <c r="D866" s="397" t="n"/>
      <c r="E866" s="397" t="n"/>
      <c r="F866" s="397" t="n"/>
      <c r="G866" s="397" t="n"/>
      <c r="I866" s="397" t="n"/>
      <c r="J866" s="397" t="n"/>
      <c r="K866" s="395">
        <f>DATE(VALUE(LEFT(A866,4)),VALUE(MID(A866,5,2)),VALUE(RIGHT(A866,2)))</f>
        <v/>
      </c>
      <c r="L866" s="395">
        <f>DATEVALUE(LEFT(F866,10))</f>
        <v/>
      </c>
      <c r="M866" s="396">
        <f>TIMEVALUE(MID(F866,12,8))</f>
        <v/>
      </c>
      <c r="N866" s="395">
        <f>DATEVALUE(LEFT(G866,10))</f>
        <v/>
      </c>
      <c r="O866" s="396">
        <f>TIMEVALUE(MID(G866,12,8))</f>
        <v/>
      </c>
      <c r="P866" s="396">
        <f>IFERROR(_xlfn.MINIFS($M:$M,$E:$E,$E866,$K:$K,$K866,$M:$M,"&gt;"&amp;$O866),"")</f>
        <v/>
      </c>
      <c r="Q866" s="396">
        <f>IF($P866="","",$P866-$O866)</f>
        <v/>
      </c>
    </row>
    <row r="867" ht="15" customHeight="1" s="231">
      <c r="A867" s="397" t="n"/>
      <c r="B867" s="397" t="n"/>
      <c r="C867" s="397" t="n"/>
      <c r="D867" s="397" t="n"/>
      <c r="E867" s="397" t="n"/>
      <c r="F867" s="397" t="n"/>
      <c r="G867" s="397" t="n"/>
      <c r="I867" s="397" t="n"/>
      <c r="J867" s="397" t="n"/>
      <c r="K867" s="395">
        <f>DATE(VALUE(LEFT(A867,4)),VALUE(MID(A867,5,2)),VALUE(RIGHT(A867,2)))</f>
        <v/>
      </c>
      <c r="L867" s="395">
        <f>DATEVALUE(LEFT(F867,10))</f>
        <v/>
      </c>
      <c r="M867" s="396">
        <f>TIMEVALUE(MID(F867,12,8))</f>
        <v/>
      </c>
      <c r="N867" s="395">
        <f>DATEVALUE(LEFT(G867,10))</f>
        <v/>
      </c>
      <c r="O867" s="396">
        <f>TIMEVALUE(MID(G867,12,8))</f>
        <v/>
      </c>
      <c r="P867" s="396">
        <f>IFERROR(_xlfn.MINIFS($M:$M,$E:$E,$E867,$K:$K,$K867,$M:$M,"&gt;"&amp;$O867),"")</f>
        <v/>
      </c>
      <c r="Q867" s="396">
        <f>IF($P867="","",$P867-$O867)</f>
        <v/>
      </c>
    </row>
    <row r="868" ht="15" customHeight="1" s="231">
      <c r="A868" s="397" t="n"/>
      <c r="B868" s="397" t="n"/>
      <c r="C868" s="397" t="n"/>
      <c r="D868" s="397" t="n"/>
      <c r="E868" s="397" t="n"/>
      <c r="F868" s="397" t="n"/>
      <c r="G868" s="397" t="n"/>
      <c r="I868" s="397" t="n"/>
      <c r="J868" s="397" t="n"/>
      <c r="K868" s="395">
        <f>DATE(VALUE(LEFT(A868,4)),VALUE(MID(A868,5,2)),VALUE(RIGHT(A868,2)))</f>
        <v/>
      </c>
      <c r="L868" s="395">
        <f>DATEVALUE(LEFT(F868,10))</f>
        <v/>
      </c>
      <c r="M868" s="396">
        <f>TIMEVALUE(MID(F868,12,8))</f>
        <v/>
      </c>
      <c r="N868" s="395">
        <f>DATEVALUE(LEFT(G868,10))</f>
        <v/>
      </c>
      <c r="O868" s="396">
        <f>TIMEVALUE(MID(G868,12,8))</f>
        <v/>
      </c>
      <c r="P868" s="396">
        <f>IFERROR(_xlfn.MINIFS($M:$M,$E:$E,$E868,$K:$K,$K868,$M:$M,"&gt;"&amp;$O868),"")</f>
        <v/>
      </c>
      <c r="Q868" s="396">
        <f>IF($P868="","",$P868-$O868)</f>
        <v/>
      </c>
    </row>
    <row r="869" ht="15" customHeight="1" s="231">
      <c r="A869" s="397" t="n"/>
      <c r="B869" s="397" t="n"/>
      <c r="C869" s="397" t="n"/>
      <c r="D869" s="397" t="n"/>
      <c r="E869" s="397" t="n"/>
      <c r="F869" s="397" t="n"/>
      <c r="G869" s="397" t="n"/>
      <c r="I869" s="397" t="n"/>
      <c r="J869" s="397" t="n"/>
      <c r="K869" s="395">
        <f>DATE(VALUE(LEFT(A869,4)),VALUE(MID(A869,5,2)),VALUE(RIGHT(A869,2)))</f>
        <v/>
      </c>
      <c r="L869" s="395">
        <f>DATEVALUE(LEFT(F869,10))</f>
        <v/>
      </c>
      <c r="M869" s="396">
        <f>TIMEVALUE(MID(F869,12,8))</f>
        <v/>
      </c>
      <c r="N869" s="395">
        <f>DATEVALUE(LEFT(G869,10))</f>
        <v/>
      </c>
      <c r="O869" s="396">
        <f>TIMEVALUE(MID(G869,12,8))</f>
        <v/>
      </c>
      <c r="P869" s="396">
        <f>IFERROR(_xlfn.MINIFS($M:$M,$E:$E,$E869,$K:$K,$K869,$M:$M,"&gt;"&amp;$O869),"")</f>
        <v/>
      </c>
      <c r="Q869" s="396">
        <f>IF($P869="","",$P869-$O869)</f>
        <v/>
      </c>
    </row>
    <row r="870" ht="15" customHeight="1" s="231">
      <c r="A870" s="397" t="n"/>
      <c r="B870" s="397" t="n"/>
      <c r="C870" s="397" t="n"/>
      <c r="D870" s="397" t="n"/>
      <c r="E870" s="397" t="n"/>
      <c r="F870" s="397" t="n"/>
      <c r="G870" s="397" t="n"/>
      <c r="I870" s="397" t="n"/>
      <c r="J870" s="397" t="n"/>
      <c r="K870" s="395">
        <f>DATE(VALUE(LEFT(A870,4)),VALUE(MID(A870,5,2)),VALUE(RIGHT(A870,2)))</f>
        <v/>
      </c>
      <c r="L870" s="395">
        <f>DATEVALUE(LEFT(F870,10))</f>
        <v/>
      </c>
      <c r="M870" s="396">
        <f>TIMEVALUE(MID(F870,12,8))</f>
        <v/>
      </c>
      <c r="N870" s="395">
        <f>DATEVALUE(LEFT(G870,10))</f>
        <v/>
      </c>
      <c r="O870" s="396">
        <f>TIMEVALUE(MID(G870,12,8))</f>
        <v/>
      </c>
      <c r="P870" s="396">
        <f>IFERROR(_xlfn.MINIFS($M:$M,$E:$E,$E870,$K:$K,$K870,$M:$M,"&gt;"&amp;$O870),"")</f>
        <v/>
      </c>
      <c r="Q870" s="396">
        <f>IF($P870="","",$P870-$O870)</f>
        <v/>
      </c>
    </row>
    <row r="871" ht="15" customHeight="1" s="231">
      <c r="A871" s="397" t="n"/>
      <c r="B871" s="397" t="n"/>
      <c r="C871" s="397" t="n"/>
      <c r="D871" s="397" t="n"/>
      <c r="E871" s="397" t="n"/>
      <c r="F871" s="397" t="n"/>
      <c r="G871" s="397" t="n"/>
      <c r="I871" s="397" t="n"/>
      <c r="J871" s="397" t="n"/>
      <c r="K871" s="395">
        <f>DATE(VALUE(LEFT(A871,4)),VALUE(MID(A871,5,2)),VALUE(RIGHT(A871,2)))</f>
        <v/>
      </c>
      <c r="L871" s="395">
        <f>DATEVALUE(LEFT(F871,10))</f>
        <v/>
      </c>
      <c r="M871" s="396">
        <f>TIMEVALUE(MID(F871,12,8))</f>
        <v/>
      </c>
      <c r="N871" s="395">
        <f>DATEVALUE(LEFT(G871,10))</f>
        <v/>
      </c>
      <c r="O871" s="396">
        <f>TIMEVALUE(MID(G871,12,8))</f>
        <v/>
      </c>
      <c r="P871" s="396">
        <f>IFERROR(_xlfn.MINIFS($M:$M,$E:$E,$E871,$K:$K,$K871,$M:$M,"&gt;"&amp;$O871),"")</f>
        <v/>
      </c>
      <c r="Q871" s="396">
        <f>IF($P871="","",$P871-$O871)</f>
        <v/>
      </c>
    </row>
    <row r="872" ht="15" customHeight="1" s="231">
      <c r="A872" s="397" t="n"/>
      <c r="B872" s="397" t="n"/>
      <c r="C872" s="397" t="n"/>
      <c r="D872" s="397" t="n"/>
      <c r="E872" s="397" t="n"/>
      <c r="F872" s="397" t="n"/>
      <c r="G872" s="397" t="n"/>
      <c r="I872" s="397" t="n"/>
      <c r="J872" s="397" t="n"/>
      <c r="K872" s="395">
        <f>DATE(VALUE(LEFT(A872,4)),VALUE(MID(A872,5,2)),VALUE(RIGHT(A872,2)))</f>
        <v/>
      </c>
      <c r="L872" s="395">
        <f>DATEVALUE(LEFT(F872,10))</f>
        <v/>
      </c>
      <c r="M872" s="396">
        <f>TIMEVALUE(MID(F872,12,8))</f>
        <v/>
      </c>
      <c r="N872" s="395">
        <f>DATEVALUE(LEFT(G872,10))</f>
        <v/>
      </c>
      <c r="O872" s="396">
        <f>TIMEVALUE(MID(G872,12,8))</f>
        <v/>
      </c>
      <c r="P872" s="396">
        <f>IFERROR(_xlfn.MINIFS($M:$M,$E:$E,$E872,$K:$K,$K872,$M:$M,"&gt;"&amp;$O872),"")</f>
        <v/>
      </c>
      <c r="Q872" s="396">
        <f>IF($P872="","",$P872-$O872)</f>
        <v/>
      </c>
    </row>
    <row r="873" ht="15" customHeight="1" s="231">
      <c r="A873" s="397" t="n"/>
      <c r="B873" s="397" t="n"/>
      <c r="C873" s="397" t="n"/>
      <c r="D873" s="397" t="n"/>
      <c r="E873" s="397" t="n"/>
      <c r="F873" s="397" t="n"/>
      <c r="G873" s="397" t="n"/>
      <c r="I873" s="397" t="n"/>
      <c r="J873" s="397" t="n"/>
      <c r="K873" s="395">
        <f>DATE(VALUE(LEFT(A873,4)),VALUE(MID(A873,5,2)),VALUE(RIGHT(A873,2)))</f>
        <v/>
      </c>
      <c r="L873" s="395">
        <f>DATEVALUE(LEFT(F873,10))</f>
        <v/>
      </c>
      <c r="M873" s="396">
        <f>TIMEVALUE(MID(F873,12,8))</f>
        <v/>
      </c>
      <c r="N873" s="395">
        <f>DATEVALUE(LEFT(G873,10))</f>
        <v/>
      </c>
      <c r="O873" s="396">
        <f>TIMEVALUE(MID(G873,12,8))</f>
        <v/>
      </c>
      <c r="P873" s="396">
        <f>IFERROR(_xlfn.MINIFS($M:$M,$E:$E,$E873,$K:$K,$K873,$M:$M,"&gt;"&amp;$O873),"")</f>
        <v/>
      </c>
      <c r="Q873" s="396">
        <f>IF($P873="","",$P873-$O873)</f>
        <v/>
      </c>
    </row>
    <row r="874" ht="15" customHeight="1" s="231">
      <c r="A874" s="397" t="n"/>
      <c r="B874" s="397" t="n"/>
      <c r="C874" s="397" t="n"/>
      <c r="D874" s="397" t="n"/>
      <c r="E874" s="397" t="n"/>
      <c r="F874" s="397" t="n"/>
      <c r="G874" s="397" t="n"/>
      <c r="I874" s="397" t="n"/>
      <c r="J874" s="397" t="n"/>
      <c r="K874" s="395">
        <f>DATE(VALUE(LEFT(A874,4)),VALUE(MID(A874,5,2)),VALUE(RIGHT(A874,2)))</f>
        <v/>
      </c>
      <c r="L874" s="395">
        <f>DATEVALUE(LEFT(F874,10))</f>
        <v/>
      </c>
      <c r="M874" s="396">
        <f>TIMEVALUE(MID(F874,12,8))</f>
        <v/>
      </c>
      <c r="N874" s="395">
        <f>DATEVALUE(LEFT(G874,10))</f>
        <v/>
      </c>
      <c r="O874" s="396">
        <f>TIMEVALUE(MID(G874,12,8))</f>
        <v/>
      </c>
      <c r="P874" s="396">
        <f>IFERROR(_xlfn.MINIFS($M:$M,$E:$E,$E874,$K:$K,$K874,$M:$M,"&gt;"&amp;$O874),"")</f>
        <v/>
      </c>
      <c r="Q874" s="396">
        <f>IF($P874="","",$P874-$O874)</f>
        <v/>
      </c>
    </row>
    <row r="875" ht="15" customHeight="1" s="231">
      <c r="A875" s="397" t="n"/>
      <c r="B875" s="397" t="n"/>
      <c r="C875" s="397" t="n"/>
      <c r="D875" s="397" t="n"/>
      <c r="E875" s="397" t="n"/>
      <c r="F875" s="397" t="n"/>
      <c r="G875" s="397" t="n"/>
      <c r="I875" s="397" t="n"/>
      <c r="J875" s="397" t="n"/>
      <c r="K875" s="395">
        <f>DATE(VALUE(LEFT(A875,4)),VALUE(MID(A875,5,2)),VALUE(RIGHT(A875,2)))</f>
        <v/>
      </c>
      <c r="L875" s="395">
        <f>DATEVALUE(LEFT(F875,10))</f>
        <v/>
      </c>
      <c r="M875" s="396">
        <f>TIMEVALUE(MID(F875,12,8))</f>
        <v/>
      </c>
      <c r="N875" s="395">
        <f>DATEVALUE(LEFT(G875,10))</f>
        <v/>
      </c>
      <c r="O875" s="396">
        <f>TIMEVALUE(MID(G875,12,8))</f>
        <v/>
      </c>
      <c r="P875" s="396">
        <f>IFERROR(_xlfn.MINIFS($M:$M,$E:$E,$E875,$K:$K,$K875,$M:$M,"&gt;"&amp;$O875),"")</f>
        <v/>
      </c>
      <c r="Q875" s="396">
        <f>IF($P875="","",$P875-$O875)</f>
        <v/>
      </c>
    </row>
    <row r="876" ht="15" customHeight="1" s="231">
      <c r="A876" s="397" t="n"/>
      <c r="B876" s="397" t="n"/>
      <c r="C876" s="397" t="n"/>
      <c r="D876" s="397" t="n"/>
      <c r="E876" s="397" t="n"/>
      <c r="F876" s="397" t="n"/>
      <c r="G876" s="397" t="n"/>
      <c r="I876" s="397" t="n"/>
      <c r="J876" s="397" t="n"/>
      <c r="K876" s="395">
        <f>DATE(VALUE(LEFT(A876,4)),VALUE(MID(A876,5,2)),VALUE(RIGHT(A876,2)))</f>
        <v/>
      </c>
      <c r="L876" s="395">
        <f>DATEVALUE(LEFT(F876,10))</f>
        <v/>
      </c>
      <c r="M876" s="396">
        <f>TIMEVALUE(MID(F876,12,8))</f>
        <v/>
      </c>
      <c r="N876" s="395">
        <f>DATEVALUE(LEFT(G876,10))</f>
        <v/>
      </c>
      <c r="O876" s="396">
        <f>TIMEVALUE(MID(G876,12,8))</f>
        <v/>
      </c>
      <c r="P876" s="396">
        <f>IFERROR(_xlfn.MINIFS($M:$M,$E:$E,$E876,$K:$K,$K876,$M:$M,"&gt;"&amp;$O876),"")</f>
        <v/>
      </c>
      <c r="Q876" s="396">
        <f>IF($P876="","",$P876-$O876)</f>
        <v/>
      </c>
    </row>
    <row r="877" ht="15" customHeight="1" s="231">
      <c r="A877" s="397" t="n"/>
      <c r="B877" s="397" t="n"/>
      <c r="C877" s="397" t="n"/>
      <c r="D877" s="397" t="n"/>
      <c r="E877" s="397" t="n"/>
      <c r="F877" s="397" t="n"/>
      <c r="G877" s="397" t="n"/>
      <c r="I877" s="397" t="n"/>
      <c r="J877" s="397" t="n"/>
      <c r="K877" s="395">
        <f>DATE(VALUE(LEFT(A877,4)),VALUE(MID(A877,5,2)),VALUE(RIGHT(A877,2)))</f>
        <v/>
      </c>
      <c r="L877" s="395">
        <f>DATEVALUE(LEFT(F877,10))</f>
        <v/>
      </c>
      <c r="M877" s="396">
        <f>TIMEVALUE(MID(F877,12,8))</f>
        <v/>
      </c>
      <c r="N877" s="395">
        <f>DATEVALUE(LEFT(G877,10))</f>
        <v/>
      </c>
      <c r="O877" s="396">
        <f>TIMEVALUE(MID(G877,12,8))</f>
        <v/>
      </c>
      <c r="P877" s="396">
        <f>IFERROR(_xlfn.MINIFS($M:$M,$E:$E,$E877,$K:$K,$K877,$M:$M,"&gt;"&amp;$O877),"")</f>
        <v/>
      </c>
      <c r="Q877" s="396">
        <f>IF($P877="","",$P877-$O877)</f>
        <v/>
      </c>
    </row>
    <row r="878" ht="15" customHeight="1" s="231">
      <c r="A878" s="397" t="n"/>
      <c r="B878" s="397" t="n"/>
      <c r="C878" s="397" t="n"/>
      <c r="D878" s="397" t="n"/>
      <c r="E878" s="397" t="n"/>
      <c r="F878" s="397" t="n"/>
      <c r="G878" s="397" t="n"/>
      <c r="I878" s="397" t="n"/>
      <c r="J878" s="397" t="n"/>
      <c r="K878" s="395">
        <f>DATE(VALUE(LEFT(A878,4)),VALUE(MID(A878,5,2)),VALUE(RIGHT(A878,2)))</f>
        <v/>
      </c>
      <c r="L878" s="395">
        <f>DATEVALUE(LEFT(F878,10))</f>
        <v/>
      </c>
      <c r="M878" s="396">
        <f>TIMEVALUE(MID(F878,12,8))</f>
        <v/>
      </c>
      <c r="N878" s="395">
        <f>DATEVALUE(LEFT(G878,10))</f>
        <v/>
      </c>
      <c r="O878" s="396">
        <f>TIMEVALUE(MID(G878,12,8))</f>
        <v/>
      </c>
      <c r="P878" s="396">
        <f>IFERROR(_xlfn.MINIFS($M:$M,$E:$E,$E878,$K:$K,$K878,$M:$M,"&gt;"&amp;$O878),"")</f>
        <v/>
      </c>
      <c r="Q878" s="396">
        <f>IF($P878="","",$P878-$O878)</f>
        <v/>
      </c>
    </row>
    <row r="879" ht="15" customHeight="1" s="231">
      <c r="A879" s="397" t="n"/>
      <c r="B879" s="397" t="n"/>
      <c r="C879" s="397" t="n"/>
      <c r="D879" s="397" t="n"/>
      <c r="E879" s="397" t="n"/>
      <c r="F879" s="397" t="n"/>
      <c r="G879" s="397" t="n"/>
      <c r="I879" s="397" t="n"/>
      <c r="J879" s="397" t="n"/>
      <c r="K879" s="395">
        <f>DATE(VALUE(LEFT(A879,4)),VALUE(MID(A879,5,2)),VALUE(RIGHT(A879,2)))</f>
        <v/>
      </c>
      <c r="L879" s="395">
        <f>DATEVALUE(LEFT(F879,10))</f>
        <v/>
      </c>
      <c r="M879" s="396">
        <f>TIMEVALUE(MID(F879,12,8))</f>
        <v/>
      </c>
      <c r="N879" s="395">
        <f>DATEVALUE(LEFT(G879,10))</f>
        <v/>
      </c>
      <c r="O879" s="396">
        <f>TIMEVALUE(MID(G879,12,8))</f>
        <v/>
      </c>
      <c r="P879" s="396">
        <f>IFERROR(_xlfn.MINIFS($M:$M,$E:$E,$E879,$K:$K,$K879,$M:$M,"&gt;"&amp;$O879),"")</f>
        <v/>
      </c>
      <c r="Q879" s="396">
        <f>IF($P879="","",$P879-$O879)</f>
        <v/>
      </c>
    </row>
    <row r="880" ht="15" customHeight="1" s="231">
      <c r="A880" s="397" t="n"/>
      <c r="B880" s="397" t="n"/>
      <c r="C880" s="397" t="n"/>
      <c r="D880" s="397" t="n"/>
      <c r="E880" s="397" t="n"/>
      <c r="F880" s="397" t="n"/>
      <c r="G880" s="397" t="n"/>
      <c r="I880" s="397" t="n"/>
      <c r="J880" s="397" t="n"/>
      <c r="K880" s="395">
        <f>DATE(VALUE(LEFT(A880,4)),VALUE(MID(A880,5,2)),VALUE(RIGHT(A880,2)))</f>
        <v/>
      </c>
      <c r="L880" s="395">
        <f>DATEVALUE(LEFT(F880,10))</f>
        <v/>
      </c>
      <c r="M880" s="396">
        <f>TIMEVALUE(MID(F880,12,8))</f>
        <v/>
      </c>
      <c r="N880" s="395">
        <f>DATEVALUE(LEFT(G880,10))</f>
        <v/>
      </c>
      <c r="O880" s="396">
        <f>TIMEVALUE(MID(G880,12,8))</f>
        <v/>
      </c>
      <c r="P880" s="396">
        <f>IFERROR(_xlfn.MINIFS($M:$M,$E:$E,$E880,$K:$K,$K880,$M:$M,"&gt;"&amp;$O880),"")</f>
        <v/>
      </c>
      <c r="Q880" s="396">
        <f>IF($P880="","",$P880-$O880)</f>
        <v/>
      </c>
    </row>
    <row r="881" ht="15" customHeight="1" s="231">
      <c r="A881" s="397" t="n"/>
      <c r="B881" s="397" t="n"/>
      <c r="C881" s="397" t="n"/>
      <c r="D881" s="397" t="n"/>
      <c r="E881" s="397" t="n"/>
      <c r="F881" s="397" t="n"/>
      <c r="G881" s="397" t="n"/>
      <c r="I881" s="397" t="n"/>
      <c r="J881" s="397" t="n"/>
      <c r="K881" s="395">
        <f>DATE(VALUE(LEFT(A881,4)),VALUE(MID(A881,5,2)),VALUE(RIGHT(A881,2)))</f>
        <v/>
      </c>
      <c r="L881" s="395">
        <f>DATEVALUE(LEFT(F881,10))</f>
        <v/>
      </c>
      <c r="M881" s="396">
        <f>TIMEVALUE(MID(F881,12,8))</f>
        <v/>
      </c>
      <c r="N881" s="395">
        <f>DATEVALUE(LEFT(G881,10))</f>
        <v/>
      </c>
      <c r="O881" s="396">
        <f>TIMEVALUE(MID(G881,12,8))</f>
        <v/>
      </c>
      <c r="P881" s="396">
        <f>IFERROR(_xlfn.MINIFS($M:$M,$E:$E,$E881,$K:$K,$K881,$M:$M,"&gt;"&amp;$O881),"")</f>
        <v/>
      </c>
      <c r="Q881" s="396">
        <f>IF($P881="","",$P881-$O881)</f>
        <v/>
      </c>
    </row>
    <row r="882" ht="15" customHeight="1" s="231">
      <c r="A882" s="397" t="n"/>
      <c r="B882" s="397" t="n"/>
      <c r="C882" s="397" t="n"/>
      <c r="D882" s="397" t="n"/>
      <c r="E882" s="397" t="n"/>
      <c r="F882" s="397" t="n"/>
      <c r="G882" s="397" t="n"/>
      <c r="I882" s="397" t="n"/>
      <c r="J882" s="397" t="n"/>
      <c r="K882" s="395">
        <f>DATE(VALUE(LEFT(A882,4)),VALUE(MID(A882,5,2)),VALUE(RIGHT(A882,2)))</f>
        <v/>
      </c>
      <c r="L882" s="395">
        <f>DATEVALUE(LEFT(F882,10))</f>
        <v/>
      </c>
      <c r="M882" s="396">
        <f>TIMEVALUE(MID(F882,12,8))</f>
        <v/>
      </c>
      <c r="N882" s="395">
        <f>DATEVALUE(LEFT(G882,10))</f>
        <v/>
      </c>
      <c r="O882" s="396">
        <f>TIMEVALUE(MID(G882,12,8))</f>
        <v/>
      </c>
      <c r="P882" s="396">
        <f>IFERROR(_xlfn.MINIFS($M:$M,$E:$E,$E882,$K:$K,$K882,$M:$M,"&gt;"&amp;$O882),"")</f>
        <v/>
      </c>
      <c r="Q882" s="396">
        <f>IF($P882="","",$P882-$O882)</f>
        <v/>
      </c>
    </row>
    <row r="883" ht="15" customHeight="1" s="231">
      <c r="A883" s="397" t="n"/>
      <c r="B883" s="397" t="n"/>
      <c r="C883" s="397" t="n"/>
      <c r="D883" s="397" t="n"/>
      <c r="E883" s="397" t="n"/>
      <c r="F883" s="397" t="n"/>
      <c r="G883" s="397" t="n"/>
      <c r="I883" s="397" t="n"/>
      <c r="J883" s="397" t="n"/>
      <c r="K883" s="395">
        <f>DATE(VALUE(LEFT(A883,4)),VALUE(MID(A883,5,2)),VALUE(RIGHT(A883,2)))</f>
        <v/>
      </c>
      <c r="L883" s="395">
        <f>DATEVALUE(LEFT(F883,10))</f>
        <v/>
      </c>
      <c r="M883" s="396">
        <f>TIMEVALUE(MID(F883,12,8))</f>
        <v/>
      </c>
      <c r="N883" s="395">
        <f>DATEVALUE(LEFT(G883,10))</f>
        <v/>
      </c>
      <c r="O883" s="396">
        <f>TIMEVALUE(MID(G883,12,8))</f>
        <v/>
      </c>
      <c r="P883" s="396">
        <f>IFERROR(_xlfn.MINIFS($M:$M,$E:$E,$E883,$K:$K,$K883,$M:$M,"&gt;"&amp;$O883),"")</f>
        <v/>
      </c>
      <c r="Q883" s="396">
        <f>IF($P883="","",$P883-$O883)</f>
        <v/>
      </c>
    </row>
    <row r="884" ht="15" customHeight="1" s="231">
      <c r="A884" s="397" t="n"/>
      <c r="B884" s="397" t="n"/>
      <c r="C884" s="397" t="n"/>
      <c r="D884" s="397" t="n"/>
      <c r="E884" s="397" t="n"/>
      <c r="F884" s="397" t="n"/>
      <c r="G884" s="397" t="n"/>
      <c r="I884" s="397" t="n"/>
      <c r="J884" s="397" t="n"/>
      <c r="K884" s="395">
        <f>DATE(VALUE(LEFT(A884,4)),VALUE(MID(A884,5,2)),VALUE(RIGHT(A884,2)))</f>
        <v/>
      </c>
      <c r="L884" s="395">
        <f>DATEVALUE(LEFT(F884,10))</f>
        <v/>
      </c>
      <c r="M884" s="396">
        <f>TIMEVALUE(MID(F884,12,8))</f>
        <v/>
      </c>
      <c r="N884" s="395">
        <f>DATEVALUE(LEFT(G884,10))</f>
        <v/>
      </c>
      <c r="O884" s="396">
        <f>TIMEVALUE(MID(G884,12,8))</f>
        <v/>
      </c>
      <c r="P884" s="396">
        <f>IFERROR(_xlfn.MINIFS($M:$M,$E:$E,$E884,$K:$K,$K884,$M:$M,"&gt;"&amp;$O884),"")</f>
        <v/>
      </c>
      <c r="Q884" s="396">
        <f>IF($P884="","",$P884-$O884)</f>
        <v/>
      </c>
    </row>
    <row r="885" ht="15" customHeight="1" s="231">
      <c r="A885" s="397" t="n"/>
      <c r="B885" s="397" t="n"/>
      <c r="C885" s="397" t="n"/>
      <c r="D885" s="397" t="n"/>
      <c r="E885" s="397" t="n"/>
      <c r="F885" s="397" t="n"/>
      <c r="G885" s="397" t="n"/>
      <c r="I885" s="397" t="n"/>
      <c r="J885" s="397" t="n"/>
      <c r="K885" s="395">
        <f>DATE(VALUE(LEFT(A885,4)),VALUE(MID(A885,5,2)),VALUE(RIGHT(A885,2)))</f>
        <v/>
      </c>
      <c r="L885" s="395">
        <f>DATEVALUE(LEFT(F885,10))</f>
        <v/>
      </c>
      <c r="M885" s="396">
        <f>TIMEVALUE(MID(F885,12,8))</f>
        <v/>
      </c>
      <c r="N885" s="395">
        <f>DATEVALUE(LEFT(G885,10))</f>
        <v/>
      </c>
      <c r="O885" s="396">
        <f>TIMEVALUE(MID(G885,12,8))</f>
        <v/>
      </c>
      <c r="P885" s="396">
        <f>IFERROR(_xlfn.MINIFS($M:$M,$E:$E,$E885,$K:$K,$K885,$M:$M,"&gt;"&amp;$O885),"")</f>
        <v/>
      </c>
      <c r="Q885" s="396">
        <f>IF($P885="","",$P885-$O885)</f>
        <v/>
      </c>
    </row>
    <row r="886" ht="15" customHeight="1" s="231">
      <c r="A886" s="397" t="n"/>
      <c r="B886" s="397" t="n"/>
      <c r="C886" s="397" t="n"/>
      <c r="D886" s="397" t="n"/>
      <c r="E886" s="397" t="n"/>
      <c r="F886" s="397" t="n"/>
      <c r="G886" s="397" t="n"/>
      <c r="I886" s="397" t="n"/>
      <c r="J886" s="397" t="n"/>
      <c r="K886" s="395">
        <f>DATE(VALUE(LEFT(A886,4)),VALUE(MID(A886,5,2)),VALUE(RIGHT(A886,2)))</f>
        <v/>
      </c>
      <c r="L886" s="395">
        <f>DATEVALUE(LEFT(F886,10))</f>
        <v/>
      </c>
      <c r="M886" s="396">
        <f>TIMEVALUE(MID(F886,12,8))</f>
        <v/>
      </c>
      <c r="N886" s="395">
        <f>DATEVALUE(LEFT(G886,10))</f>
        <v/>
      </c>
      <c r="O886" s="396">
        <f>TIMEVALUE(MID(G886,12,8))</f>
        <v/>
      </c>
      <c r="P886" s="396">
        <f>IFERROR(_xlfn.MINIFS($M:$M,$E:$E,$E886,$K:$K,$K886,$M:$M,"&gt;"&amp;$O886),"")</f>
        <v/>
      </c>
      <c r="Q886" s="396">
        <f>IF($P886="","",$P886-$O886)</f>
        <v/>
      </c>
    </row>
    <row r="887" ht="15" customHeight="1" s="231">
      <c r="A887" s="397" t="n"/>
      <c r="B887" s="397" t="n"/>
      <c r="C887" s="397" t="n"/>
      <c r="D887" s="397" t="n"/>
      <c r="E887" s="397" t="n"/>
      <c r="F887" s="397" t="n"/>
      <c r="G887" s="397" t="n"/>
      <c r="I887" s="397" t="n"/>
      <c r="J887" s="397" t="n"/>
      <c r="K887" s="395">
        <f>DATE(VALUE(LEFT(A887,4)),VALUE(MID(A887,5,2)),VALUE(RIGHT(A887,2)))</f>
        <v/>
      </c>
      <c r="L887" s="395">
        <f>DATEVALUE(LEFT(F887,10))</f>
        <v/>
      </c>
      <c r="M887" s="396">
        <f>TIMEVALUE(MID(F887,12,8))</f>
        <v/>
      </c>
      <c r="N887" s="395">
        <f>DATEVALUE(LEFT(G887,10))</f>
        <v/>
      </c>
      <c r="O887" s="396">
        <f>TIMEVALUE(MID(G887,12,8))</f>
        <v/>
      </c>
      <c r="P887" s="396">
        <f>IFERROR(_xlfn.MINIFS($M:$M,$E:$E,$E887,$K:$K,$K887,$M:$M,"&gt;"&amp;$O887),"")</f>
        <v/>
      </c>
      <c r="Q887" s="396">
        <f>IF($P887="","",$P887-$O887)</f>
        <v/>
      </c>
    </row>
    <row r="888" ht="15" customHeight="1" s="231">
      <c r="A888" s="397" t="n"/>
      <c r="B888" s="397" t="n"/>
      <c r="C888" s="397" t="n"/>
      <c r="D888" s="397" t="n"/>
      <c r="E888" s="397" t="n"/>
      <c r="F888" s="397" t="n"/>
      <c r="G888" s="397" t="n"/>
      <c r="I888" s="397" t="n"/>
      <c r="J888" s="397" t="n"/>
      <c r="K888" s="395">
        <f>DATE(VALUE(LEFT(A888,4)),VALUE(MID(A888,5,2)),VALUE(RIGHT(A888,2)))</f>
        <v/>
      </c>
      <c r="L888" s="395">
        <f>DATEVALUE(LEFT(F888,10))</f>
        <v/>
      </c>
      <c r="M888" s="396">
        <f>TIMEVALUE(MID(F888,12,8))</f>
        <v/>
      </c>
      <c r="N888" s="395">
        <f>DATEVALUE(LEFT(G888,10))</f>
        <v/>
      </c>
      <c r="O888" s="396">
        <f>TIMEVALUE(MID(G888,12,8))</f>
        <v/>
      </c>
      <c r="P888" s="396">
        <f>IFERROR(_xlfn.MINIFS($M:$M,$E:$E,$E888,$K:$K,$K888,$M:$M,"&gt;"&amp;$O888),"")</f>
        <v/>
      </c>
      <c r="Q888" s="396">
        <f>IF($P888="","",$P888-$O888)</f>
        <v/>
      </c>
    </row>
    <row r="889" ht="15" customHeight="1" s="231">
      <c r="A889" s="397" t="n"/>
      <c r="B889" s="397" t="n"/>
      <c r="C889" s="397" t="n"/>
      <c r="D889" s="397" t="n"/>
      <c r="E889" s="397" t="n"/>
      <c r="F889" s="397" t="n"/>
      <c r="G889" s="397" t="n"/>
      <c r="I889" s="397" t="n"/>
      <c r="J889" s="397" t="n"/>
      <c r="K889" s="395">
        <f>DATE(VALUE(LEFT(A889,4)),VALUE(MID(A889,5,2)),VALUE(RIGHT(A889,2)))</f>
        <v/>
      </c>
      <c r="L889" s="395">
        <f>DATEVALUE(LEFT(F889,10))</f>
        <v/>
      </c>
      <c r="M889" s="396">
        <f>TIMEVALUE(MID(F889,12,8))</f>
        <v/>
      </c>
      <c r="N889" s="395">
        <f>DATEVALUE(LEFT(G889,10))</f>
        <v/>
      </c>
      <c r="O889" s="396">
        <f>TIMEVALUE(MID(G889,12,8))</f>
        <v/>
      </c>
      <c r="P889" s="396">
        <f>IFERROR(_xlfn.MINIFS($M:$M,$E:$E,$E889,$K:$K,$K889,$M:$M,"&gt;"&amp;$O889),"")</f>
        <v/>
      </c>
      <c r="Q889" s="396">
        <f>IF($P889="","",$P889-$O889)</f>
        <v/>
      </c>
    </row>
    <row r="890" ht="15" customHeight="1" s="231">
      <c r="A890" s="397" t="n"/>
      <c r="B890" s="397" t="n"/>
      <c r="C890" s="397" t="n"/>
      <c r="D890" s="397" t="n"/>
      <c r="E890" s="397" t="n"/>
      <c r="F890" s="397" t="n"/>
      <c r="G890" s="397" t="n"/>
      <c r="I890" s="397" t="n"/>
      <c r="J890" s="397" t="n"/>
      <c r="K890" s="395">
        <f>DATE(VALUE(LEFT(A890,4)),VALUE(MID(A890,5,2)),VALUE(RIGHT(A890,2)))</f>
        <v/>
      </c>
      <c r="L890" s="395">
        <f>DATEVALUE(LEFT(F890,10))</f>
        <v/>
      </c>
      <c r="M890" s="396">
        <f>TIMEVALUE(MID(F890,12,8))</f>
        <v/>
      </c>
      <c r="N890" s="395">
        <f>DATEVALUE(LEFT(G890,10))</f>
        <v/>
      </c>
      <c r="O890" s="396">
        <f>TIMEVALUE(MID(G890,12,8))</f>
        <v/>
      </c>
      <c r="P890" s="396">
        <f>IFERROR(_xlfn.MINIFS($M:$M,$E:$E,$E890,$K:$K,$K890,$M:$M,"&gt;"&amp;$O890),"")</f>
        <v/>
      </c>
      <c r="Q890" s="396">
        <f>IF($P890="","",$P890-$O890)</f>
        <v/>
      </c>
    </row>
    <row r="891" ht="15" customHeight="1" s="231">
      <c r="A891" s="397" t="n"/>
      <c r="B891" s="397" t="n"/>
      <c r="C891" s="397" t="n"/>
      <c r="D891" s="397" t="n"/>
      <c r="E891" s="397" t="n"/>
      <c r="F891" s="397" t="n"/>
      <c r="G891" s="397" t="n"/>
      <c r="I891" s="397" t="n"/>
      <c r="J891" s="397" t="n"/>
      <c r="K891" s="395">
        <f>DATE(VALUE(LEFT(A891,4)),VALUE(MID(A891,5,2)),VALUE(RIGHT(A891,2)))</f>
        <v/>
      </c>
      <c r="L891" s="395">
        <f>DATEVALUE(LEFT(F891,10))</f>
        <v/>
      </c>
      <c r="M891" s="396">
        <f>TIMEVALUE(MID(F891,12,8))</f>
        <v/>
      </c>
      <c r="N891" s="395">
        <f>DATEVALUE(LEFT(G891,10))</f>
        <v/>
      </c>
      <c r="O891" s="396">
        <f>TIMEVALUE(MID(G891,12,8))</f>
        <v/>
      </c>
      <c r="P891" s="396">
        <f>IFERROR(_xlfn.MINIFS($M:$M,$E:$E,$E891,$K:$K,$K891,$M:$M,"&gt;"&amp;$O891),"")</f>
        <v/>
      </c>
      <c r="Q891" s="396">
        <f>IF($P891="","",$P891-$O891)</f>
        <v/>
      </c>
    </row>
    <row r="892" ht="15" customHeight="1" s="231">
      <c r="A892" s="397" t="n"/>
      <c r="B892" s="397" t="n"/>
      <c r="C892" s="397" t="n"/>
      <c r="D892" s="397" t="n"/>
      <c r="E892" s="397" t="n"/>
      <c r="F892" s="397" t="n"/>
      <c r="G892" s="397" t="n"/>
      <c r="I892" s="397" t="n"/>
      <c r="J892" s="397" t="n"/>
      <c r="K892" s="395">
        <f>DATE(VALUE(LEFT(A892,4)),VALUE(MID(A892,5,2)),VALUE(RIGHT(A892,2)))</f>
        <v/>
      </c>
      <c r="L892" s="395">
        <f>DATEVALUE(LEFT(F892,10))</f>
        <v/>
      </c>
      <c r="M892" s="396">
        <f>TIMEVALUE(MID(F892,12,8))</f>
        <v/>
      </c>
      <c r="N892" s="395">
        <f>DATEVALUE(LEFT(G892,10))</f>
        <v/>
      </c>
      <c r="O892" s="396">
        <f>TIMEVALUE(MID(G892,12,8))</f>
        <v/>
      </c>
      <c r="P892" s="396">
        <f>IFERROR(_xlfn.MINIFS($M:$M,$E:$E,$E892,$K:$K,$K892,$M:$M,"&gt;"&amp;$O892),"")</f>
        <v/>
      </c>
      <c r="Q892" s="396">
        <f>IF($P892="","",$P892-$O892)</f>
        <v/>
      </c>
    </row>
    <row r="893" ht="15" customHeight="1" s="231">
      <c r="A893" s="397" t="n"/>
      <c r="B893" s="397" t="n"/>
      <c r="C893" s="397" t="n"/>
      <c r="D893" s="397" t="n"/>
      <c r="E893" s="397" t="n"/>
      <c r="F893" s="397" t="n"/>
      <c r="G893" s="397" t="n"/>
      <c r="I893" s="397" t="n"/>
      <c r="J893" s="397" t="n"/>
      <c r="K893" s="395">
        <f>DATE(VALUE(LEFT(A893,4)),VALUE(MID(A893,5,2)),VALUE(RIGHT(A893,2)))</f>
        <v/>
      </c>
      <c r="L893" s="395">
        <f>DATEVALUE(LEFT(F893,10))</f>
        <v/>
      </c>
      <c r="M893" s="396">
        <f>TIMEVALUE(MID(F893,12,8))</f>
        <v/>
      </c>
      <c r="N893" s="395">
        <f>DATEVALUE(LEFT(G893,10))</f>
        <v/>
      </c>
      <c r="O893" s="396">
        <f>TIMEVALUE(MID(G893,12,8))</f>
        <v/>
      </c>
      <c r="P893" s="396">
        <f>IFERROR(_xlfn.MINIFS($M:$M,$E:$E,$E893,$K:$K,$K893,$M:$M,"&gt;"&amp;$O893),"")</f>
        <v/>
      </c>
      <c r="Q893" s="396">
        <f>IF($P893="","",$P893-$O893)</f>
        <v/>
      </c>
    </row>
    <row r="894" ht="15" customHeight="1" s="231">
      <c r="A894" s="397" t="n"/>
      <c r="B894" s="397" t="n"/>
      <c r="C894" s="397" t="n"/>
      <c r="D894" s="397" t="n"/>
      <c r="E894" s="397" t="n"/>
      <c r="F894" s="397" t="n"/>
      <c r="G894" s="397" t="n"/>
      <c r="I894" s="397" t="n"/>
      <c r="J894" s="397" t="n"/>
      <c r="K894" s="395">
        <f>DATE(VALUE(LEFT(A894,4)),VALUE(MID(A894,5,2)),VALUE(RIGHT(A894,2)))</f>
        <v/>
      </c>
      <c r="L894" s="395">
        <f>DATEVALUE(LEFT(F894,10))</f>
        <v/>
      </c>
      <c r="M894" s="396">
        <f>TIMEVALUE(MID(F894,12,8))</f>
        <v/>
      </c>
      <c r="N894" s="395">
        <f>DATEVALUE(LEFT(G894,10))</f>
        <v/>
      </c>
      <c r="O894" s="396">
        <f>TIMEVALUE(MID(G894,12,8))</f>
        <v/>
      </c>
      <c r="P894" s="396">
        <f>IFERROR(_xlfn.MINIFS($M:$M,$E:$E,$E894,$K:$K,$K894,$M:$M,"&gt;"&amp;$O894),"")</f>
        <v/>
      </c>
      <c r="Q894" s="396">
        <f>IF($P894="","",$P894-$O894)</f>
        <v/>
      </c>
    </row>
    <row r="895" ht="15" customHeight="1" s="231">
      <c r="A895" s="397" t="n"/>
      <c r="B895" s="397" t="n"/>
      <c r="C895" s="397" t="n"/>
      <c r="D895" s="397" t="n"/>
      <c r="E895" s="397" t="n"/>
      <c r="F895" s="397" t="n"/>
      <c r="G895" s="397" t="n"/>
      <c r="I895" s="397" t="n"/>
      <c r="J895" s="397" t="n"/>
      <c r="K895" s="395">
        <f>DATE(VALUE(LEFT(A895,4)),VALUE(MID(A895,5,2)),VALUE(RIGHT(A895,2)))</f>
        <v/>
      </c>
      <c r="L895" s="395">
        <f>DATEVALUE(LEFT(F895,10))</f>
        <v/>
      </c>
      <c r="M895" s="396">
        <f>TIMEVALUE(MID(F895,12,8))</f>
        <v/>
      </c>
      <c r="N895" s="395">
        <f>DATEVALUE(LEFT(G895,10))</f>
        <v/>
      </c>
      <c r="O895" s="396">
        <f>TIMEVALUE(MID(G895,12,8))</f>
        <v/>
      </c>
      <c r="P895" s="396">
        <f>IFERROR(_xlfn.MINIFS($M:$M,$E:$E,$E895,$K:$K,$K895,$M:$M,"&gt;"&amp;$O895),"")</f>
        <v/>
      </c>
      <c r="Q895" s="396">
        <f>IF($P895="","",$P895-$O895)</f>
        <v/>
      </c>
    </row>
    <row r="896" ht="15" customHeight="1" s="231">
      <c r="A896" s="397" t="n"/>
      <c r="B896" s="397" t="n"/>
      <c r="C896" s="397" t="n"/>
      <c r="D896" s="397" t="n"/>
      <c r="E896" s="397" t="n"/>
      <c r="F896" s="397" t="n"/>
      <c r="G896" s="397" t="n"/>
      <c r="I896" s="397" t="n"/>
      <c r="J896" s="397" t="n"/>
      <c r="K896" s="395">
        <f>DATE(VALUE(LEFT(A896,4)),VALUE(MID(A896,5,2)),VALUE(RIGHT(A896,2)))</f>
        <v/>
      </c>
      <c r="L896" s="395">
        <f>DATEVALUE(LEFT(F896,10))</f>
        <v/>
      </c>
      <c r="M896" s="396">
        <f>TIMEVALUE(MID(F896,12,8))</f>
        <v/>
      </c>
      <c r="N896" s="395">
        <f>DATEVALUE(LEFT(G896,10))</f>
        <v/>
      </c>
      <c r="O896" s="396">
        <f>TIMEVALUE(MID(G896,12,8))</f>
        <v/>
      </c>
      <c r="P896" s="396">
        <f>IFERROR(_xlfn.MINIFS($M:$M,$E:$E,$E896,$K:$K,$K896,$M:$M,"&gt;"&amp;$O896),"")</f>
        <v/>
      </c>
      <c r="Q896" s="396">
        <f>IF($P896="","",$P896-$O896)</f>
        <v/>
      </c>
    </row>
    <row r="897" ht="15" customHeight="1" s="231">
      <c r="A897" s="397" t="n"/>
      <c r="B897" s="397" t="n"/>
      <c r="C897" s="397" t="n"/>
      <c r="D897" s="397" t="n"/>
      <c r="E897" s="397" t="n"/>
      <c r="F897" s="397" t="n"/>
      <c r="G897" s="397" t="n"/>
      <c r="I897" s="397" t="n"/>
      <c r="J897" s="397" t="n"/>
      <c r="K897" s="395">
        <f>DATE(VALUE(LEFT(A897,4)),VALUE(MID(A897,5,2)),VALUE(RIGHT(A897,2)))</f>
        <v/>
      </c>
      <c r="L897" s="395">
        <f>DATEVALUE(LEFT(F897,10))</f>
        <v/>
      </c>
      <c r="M897" s="396">
        <f>TIMEVALUE(MID(F897,12,8))</f>
        <v/>
      </c>
      <c r="N897" s="395">
        <f>DATEVALUE(LEFT(G897,10))</f>
        <v/>
      </c>
      <c r="O897" s="396">
        <f>TIMEVALUE(MID(G897,12,8))</f>
        <v/>
      </c>
      <c r="P897" s="396">
        <f>IFERROR(_xlfn.MINIFS($M:$M,$E:$E,$E897,$K:$K,$K897,$M:$M,"&gt;"&amp;$O897),"")</f>
        <v/>
      </c>
      <c r="Q897" s="396">
        <f>IF($P897="","",$P897-$O897)</f>
        <v/>
      </c>
    </row>
    <row r="898" ht="15" customHeight="1" s="231">
      <c r="A898" s="397" t="n"/>
      <c r="B898" s="397" t="n"/>
      <c r="C898" s="397" t="n"/>
      <c r="D898" s="397" t="n"/>
      <c r="E898" s="397" t="n"/>
      <c r="F898" s="397" t="n"/>
      <c r="G898" s="397" t="n"/>
      <c r="I898" s="397" t="n"/>
      <c r="J898" s="397" t="n"/>
      <c r="K898" s="395">
        <f>DATE(VALUE(LEFT(A898,4)),VALUE(MID(A898,5,2)),VALUE(RIGHT(A898,2)))</f>
        <v/>
      </c>
      <c r="L898" s="395">
        <f>DATEVALUE(LEFT(F898,10))</f>
        <v/>
      </c>
      <c r="M898" s="396">
        <f>TIMEVALUE(MID(F898,12,8))</f>
        <v/>
      </c>
      <c r="N898" s="395">
        <f>DATEVALUE(LEFT(G898,10))</f>
        <v/>
      </c>
      <c r="O898" s="396">
        <f>TIMEVALUE(MID(G898,12,8))</f>
        <v/>
      </c>
      <c r="P898" s="396">
        <f>IFERROR(_xlfn.MINIFS($M:$M,$E:$E,$E898,$K:$K,$K898,$M:$M,"&gt;"&amp;$O898),"")</f>
        <v/>
      </c>
      <c r="Q898" s="396">
        <f>IF($P898="","",$P898-$O898)</f>
        <v/>
      </c>
    </row>
    <row r="899" ht="15" customHeight="1" s="231">
      <c r="A899" s="397" t="n"/>
      <c r="B899" s="397" t="n"/>
      <c r="C899" s="397" t="n"/>
      <c r="D899" s="397" t="n"/>
      <c r="E899" s="397" t="n"/>
      <c r="F899" s="397" t="n"/>
      <c r="G899" s="397" t="n"/>
      <c r="I899" s="397" t="n"/>
      <c r="J899" s="397" t="n"/>
      <c r="K899" s="395">
        <f>DATE(VALUE(LEFT(A899,4)),VALUE(MID(A899,5,2)),VALUE(RIGHT(A899,2)))</f>
        <v/>
      </c>
      <c r="L899" s="395">
        <f>DATEVALUE(LEFT(F899,10))</f>
        <v/>
      </c>
      <c r="M899" s="396">
        <f>TIMEVALUE(MID(F899,12,8))</f>
        <v/>
      </c>
      <c r="N899" s="395">
        <f>DATEVALUE(LEFT(G899,10))</f>
        <v/>
      </c>
      <c r="O899" s="396">
        <f>TIMEVALUE(MID(G899,12,8))</f>
        <v/>
      </c>
      <c r="P899" s="396">
        <f>IFERROR(_xlfn.MINIFS($M:$M,$E:$E,$E899,$K:$K,$K899,$M:$M,"&gt;"&amp;$O899),"")</f>
        <v/>
      </c>
      <c r="Q899" s="396">
        <f>IF($P899="","",$P899-$O899)</f>
        <v/>
      </c>
    </row>
    <row r="900" ht="15" customHeight="1" s="231">
      <c r="A900" s="397" t="n"/>
      <c r="B900" s="397" t="n"/>
      <c r="C900" s="397" t="n"/>
      <c r="D900" s="397" t="n"/>
      <c r="E900" s="397" t="n"/>
      <c r="F900" s="397" t="n"/>
      <c r="G900" s="397" t="n"/>
      <c r="I900" s="397" t="n"/>
      <c r="J900" s="397" t="n"/>
      <c r="K900" s="395">
        <f>DATE(VALUE(LEFT(A900,4)),VALUE(MID(A900,5,2)),VALUE(RIGHT(A900,2)))</f>
        <v/>
      </c>
      <c r="L900" s="395">
        <f>DATEVALUE(LEFT(F900,10))</f>
        <v/>
      </c>
      <c r="M900" s="396">
        <f>TIMEVALUE(MID(F900,12,8))</f>
        <v/>
      </c>
      <c r="N900" s="395">
        <f>DATEVALUE(LEFT(G900,10))</f>
        <v/>
      </c>
      <c r="O900" s="396">
        <f>TIMEVALUE(MID(G900,12,8))</f>
        <v/>
      </c>
      <c r="P900" s="396">
        <f>IFERROR(_xlfn.MINIFS($M:$M,$E:$E,$E900,$K:$K,$K900,$M:$M,"&gt;"&amp;$O900),"")</f>
        <v/>
      </c>
      <c r="Q900" s="396">
        <f>IF($P900="","",$P900-$O900)</f>
        <v/>
      </c>
    </row>
    <row r="901" ht="15" customHeight="1" s="231">
      <c r="A901" s="397" t="n"/>
      <c r="B901" s="397" t="n"/>
      <c r="C901" s="397" t="n"/>
      <c r="D901" s="397" t="n"/>
      <c r="E901" s="397" t="n"/>
      <c r="F901" s="397" t="n"/>
      <c r="G901" s="397" t="n"/>
      <c r="I901" s="397" t="n"/>
      <c r="J901" s="397" t="n"/>
      <c r="K901" s="395">
        <f>DATE(VALUE(LEFT(A901,4)),VALUE(MID(A901,5,2)),VALUE(RIGHT(A901,2)))</f>
        <v/>
      </c>
      <c r="L901" s="395">
        <f>DATEVALUE(LEFT(F901,10))</f>
        <v/>
      </c>
      <c r="M901" s="396">
        <f>TIMEVALUE(MID(F901,12,8))</f>
        <v/>
      </c>
      <c r="N901" s="395">
        <f>DATEVALUE(LEFT(G901,10))</f>
        <v/>
      </c>
      <c r="O901" s="396">
        <f>TIMEVALUE(MID(G901,12,8))</f>
        <v/>
      </c>
      <c r="P901" s="396">
        <f>IFERROR(_xlfn.MINIFS($M:$M,$E:$E,$E901,$K:$K,$K901,$M:$M,"&gt;"&amp;$O901),"")</f>
        <v/>
      </c>
      <c r="Q901" s="396">
        <f>IF($P901="","",$P901-$O901)</f>
        <v/>
      </c>
    </row>
    <row r="902" ht="15" customHeight="1" s="231">
      <c r="A902" s="397" t="n"/>
      <c r="B902" s="397" t="n"/>
      <c r="C902" s="397" t="n"/>
      <c r="D902" s="397" t="n"/>
      <c r="E902" s="397" t="n"/>
      <c r="F902" s="397" t="n"/>
      <c r="G902" s="397" t="n"/>
      <c r="I902" s="397" t="n"/>
      <c r="J902" s="397" t="n"/>
      <c r="K902" s="395">
        <f>DATE(VALUE(LEFT(A902,4)),VALUE(MID(A902,5,2)),VALUE(RIGHT(A902,2)))</f>
        <v/>
      </c>
      <c r="L902" s="395">
        <f>DATEVALUE(LEFT(F902,10))</f>
        <v/>
      </c>
      <c r="M902" s="396">
        <f>TIMEVALUE(MID(F902,12,8))</f>
        <v/>
      </c>
      <c r="N902" s="395">
        <f>DATEVALUE(LEFT(G902,10))</f>
        <v/>
      </c>
      <c r="O902" s="396">
        <f>TIMEVALUE(MID(G902,12,8))</f>
        <v/>
      </c>
      <c r="P902" s="396">
        <f>IFERROR(_xlfn.MINIFS($M:$M,$E:$E,$E902,$K:$K,$K902,$M:$M,"&gt;"&amp;$O902),"")</f>
        <v/>
      </c>
      <c r="Q902" s="396">
        <f>IF($P902="","",$P902-$O902)</f>
        <v/>
      </c>
    </row>
    <row r="903" ht="15" customHeight="1" s="231">
      <c r="A903" s="397" t="n"/>
      <c r="B903" s="397" t="n"/>
      <c r="C903" s="397" t="n"/>
      <c r="D903" s="397" t="n"/>
      <c r="E903" s="397" t="n"/>
      <c r="F903" s="397" t="n"/>
      <c r="G903" s="397" t="n"/>
      <c r="I903" s="397" t="n"/>
      <c r="J903" s="397" t="n"/>
      <c r="K903" s="395">
        <f>DATE(VALUE(LEFT(A903,4)),VALUE(MID(A903,5,2)),VALUE(RIGHT(A903,2)))</f>
        <v/>
      </c>
      <c r="L903" s="395">
        <f>DATEVALUE(LEFT(F903,10))</f>
        <v/>
      </c>
      <c r="M903" s="396">
        <f>TIMEVALUE(MID(F903,12,8))</f>
        <v/>
      </c>
      <c r="N903" s="395">
        <f>DATEVALUE(LEFT(G903,10))</f>
        <v/>
      </c>
      <c r="O903" s="396">
        <f>TIMEVALUE(MID(G903,12,8))</f>
        <v/>
      </c>
      <c r="P903" s="396">
        <f>IFERROR(_xlfn.MINIFS($M:$M,$E:$E,$E903,$K:$K,$K903,$M:$M,"&gt;"&amp;$O903),"")</f>
        <v/>
      </c>
      <c r="Q903" s="396">
        <f>IF($P903="","",$P903-$O903)</f>
        <v/>
      </c>
    </row>
    <row r="904" ht="15" customHeight="1" s="231">
      <c r="A904" s="397" t="n"/>
      <c r="B904" s="397" t="n"/>
      <c r="C904" s="397" t="n"/>
      <c r="D904" s="397" t="n"/>
      <c r="E904" s="397" t="n"/>
      <c r="F904" s="397" t="n"/>
      <c r="G904" s="397" t="n"/>
      <c r="I904" s="397" t="n"/>
      <c r="J904" s="397" t="n"/>
      <c r="K904" s="395">
        <f>DATE(VALUE(LEFT(A904,4)),VALUE(MID(A904,5,2)),VALUE(RIGHT(A904,2)))</f>
        <v/>
      </c>
      <c r="L904" s="395">
        <f>DATEVALUE(LEFT(F904,10))</f>
        <v/>
      </c>
      <c r="M904" s="396">
        <f>TIMEVALUE(MID(F904,12,8))</f>
        <v/>
      </c>
      <c r="N904" s="395">
        <f>DATEVALUE(LEFT(G904,10))</f>
        <v/>
      </c>
      <c r="O904" s="396">
        <f>TIMEVALUE(MID(G904,12,8))</f>
        <v/>
      </c>
      <c r="P904" s="396">
        <f>IFERROR(_xlfn.MINIFS($M:$M,$E:$E,$E904,$K:$K,$K904,$M:$M,"&gt;"&amp;$O904),"")</f>
        <v/>
      </c>
      <c r="Q904" s="396">
        <f>IF($P904="","",$P904-$O904)</f>
        <v/>
      </c>
    </row>
    <row r="905" ht="15" customHeight="1" s="231">
      <c r="A905" s="397" t="n"/>
      <c r="B905" s="397" t="n"/>
      <c r="C905" s="397" t="n"/>
      <c r="D905" s="397" t="n"/>
      <c r="E905" s="397" t="n"/>
      <c r="F905" s="397" t="n"/>
      <c r="G905" s="397" t="n"/>
      <c r="I905" s="397" t="n"/>
      <c r="J905" s="397" t="n"/>
      <c r="K905" s="395">
        <f>DATE(VALUE(LEFT(A905,4)),VALUE(MID(A905,5,2)),VALUE(RIGHT(A905,2)))</f>
        <v/>
      </c>
      <c r="L905" s="395">
        <f>DATEVALUE(LEFT(F905,10))</f>
        <v/>
      </c>
      <c r="M905" s="396">
        <f>TIMEVALUE(MID(F905,12,8))</f>
        <v/>
      </c>
      <c r="N905" s="395">
        <f>DATEVALUE(LEFT(G905,10))</f>
        <v/>
      </c>
      <c r="O905" s="396">
        <f>TIMEVALUE(MID(G905,12,8))</f>
        <v/>
      </c>
      <c r="P905" s="396">
        <f>IFERROR(_xlfn.MINIFS($M:$M,$E:$E,$E905,$K:$K,$K905,$M:$M,"&gt;"&amp;$O905),"")</f>
        <v/>
      </c>
      <c r="Q905" s="396">
        <f>IF($P905="","",$P905-$O905)</f>
        <v/>
      </c>
    </row>
    <row r="906" ht="15" customHeight="1" s="231">
      <c r="A906" s="397" t="n"/>
      <c r="B906" s="397" t="n"/>
      <c r="C906" s="397" t="n"/>
      <c r="D906" s="397" t="n"/>
      <c r="E906" s="397" t="n"/>
      <c r="F906" s="397" t="n"/>
      <c r="G906" s="397" t="n"/>
      <c r="I906" s="397" t="n"/>
      <c r="J906" s="397" t="n"/>
      <c r="K906" s="395">
        <f>DATE(VALUE(LEFT(A906,4)),VALUE(MID(A906,5,2)),VALUE(RIGHT(A906,2)))</f>
        <v/>
      </c>
      <c r="L906" s="395">
        <f>DATEVALUE(LEFT(F906,10))</f>
        <v/>
      </c>
      <c r="M906" s="396">
        <f>TIMEVALUE(MID(F906,12,8))</f>
        <v/>
      </c>
      <c r="N906" s="395">
        <f>DATEVALUE(LEFT(G906,10))</f>
        <v/>
      </c>
      <c r="O906" s="396">
        <f>TIMEVALUE(MID(G906,12,8))</f>
        <v/>
      </c>
      <c r="P906" s="396">
        <f>IFERROR(_xlfn.MINIFS($M:$M,$E:$E,$E906,$K:$K,$K906,$M:$M,"&gt;"&amp;$O906),"")</f>
        <v/>
      </c>
      <c r="Q906" s="396">
        <f>IF($P906="","",$P906-$O906)</f>
        <v/>
      </c>
    </row>
    <row r="907" ht="15" customHeight="1" s="231">
      <c r="A907" s="397" t="n"/>
      <c r="B907" s="397" t="n"/>
      <c r="C907" s="397" t="n"/>
      <c r="D907" s="397" t="n"/>
      <c r="E907" s="397" t="n"/>
      <c r="F907" s="397" t="n"/>
      <c r="G907" s="397" t="n"/>
      <c r="I907" s="397" t="n"/>
      <c r="J907" s="397" t="n"/>
      <c r="K907" s="395">
        <f>DATE(VALUE(LEFT(A907,4)),VALUE(MID(A907,5,2)),VALUE(RIGHT(A907,2)))</f>
        <v/>
      </c>
      <c r="L907" s="395">
        <f>DATEVALUE(LEFT(F907,10))</f>
        <v/>
      </c>
      <c r="M907" s="396">
        <f>TIMEVALUE(MID(F907,12,8))</f>
        <v/>
      </c>
      <c r="N907" s="395">
        <f>DATEVALUE(LEFT(G907,10))</f>
        <v/>
      </c>
      <c r="O907" s="396">
        <f>TIMEVALUE(MID(G907,12,8))</f>
        <v/>
      </c>
      <c r="P907" s="396">
        <f>IFERROR(_xlfn.MINIFS($M:$M,$E:$E,$E907,$K:$K,$K907,$M:$M,"&gt;"&amp;$O907),"")</f>
        <v/>
      </c>
      <c r="Q907" s="396">
        <f>IF($P907="","",$P907-$O907)</f>
        <v/>
      </c>
    </row>
    <row r="908" ht="15" customHeight="1" s="231">
      <c r="A908" s="397" t="n"/>
      <c r="B908" s="397" t="n"/>
      <c r="C908" s="397" t="n"/>
      <c r="D908" s="397" t="n"/>
      <c r="E908" s="397" t="n"/>
      <c r="F908" s="397" t="n"/>
      <c r="G908" s="397" t="n"/>
      <c r="I908" s="397" t="n"/>
      <c r="J908" s="397" t="n"/>
      <c r="K908" s="395">
        <f>DATE(VALUE(LEFT(A908,4)),VALUE(MID(A908,5,2)),VALUE(RIGHT(A908,2)))</f>
        <v/>
      </c>
      <c r="L908" s="395">
        <f>DATEVALUE(LEFT(F908,10))</f>
        <v/>
      </c>
      <c r="M908" s="396">
        <f>TIMEVALUE(MID(F908,12,8))</f>
        <v/>
      </c>
      <c r="N908" s="395">
        <f>DATEVALUE(LEFT(G908,10))</f>
        <v/>
      </c>
      <c r="O908" s="396">
        <f>TIMEVALUE(MID(G908,12,8))</f>
        <v/>
      </c>
      <c r="P908" s="396">
        <f>IFERROR(_xlfn.MINIFS($M:$M,$E:$E,$E908,$K:$K,$K908,$M:$M,"&gt;"&amp;$O908),"")</f>
        <v/>
      </c>
      <c r="Q908" s="396">
        <f>IF($P908="","",$P908-$O908)</f>
        <v/>
      </c>
    </row>
    <row r="909" ht="15" customHeight="1" s="231">
      <c r="A909" s="397" t="n"/>
      <c r="B909" s="397" t="n"/>
      <c r="C909" s="397" t="n"/>
      <c r="D909" s="397" t="n"/>
      <c r="E909" s="397" t="n"/>
      <c r="F909" s="397" t="n"/>
      <c r="G909" s="397" t="n"/>
      <c r="I909" s="397" t="n"/>
      <c r="J909" s="397" t="n"/>
      <c r="K909" s="395">
        <f>DATE(VALUE(LEFT(A909,4)),VALUE(MID(A909,5,2)),VALUE(RIGHT(A909,2)))</f>
        <v/>
      </c>
      <c r="L909" s="395">
        <f>DATEVALUE(LEFT(F909,10))</f>
        <v/>
      </c>
      <c r="M909" s="396">
        <f>TIMEVALUE(MID(F909,12,8))</f>
        <v/>
      </c>
      <c r="N909" s="395">
        <f>DATEVALUE(LEFT(G909,10))</f>
        <v/>
      </c>
      <c r="O909" s="396">
        <f>TIMEVALUE(MID(G909,12,8))</f>
        <v/>
      </c>
      <c r="P909" s="396">
        <f>IFERROR(_xlfn.MINIFS($M:$M,$E:$E,$E909,$K:$K,$K909,$M:$M,"&gt;"&amp;$O909),"")</f>
        <v/>
      </c>
      <c r="Q909" s="396">
        <f>IF($P909="","",$P909-$O909)</f>
        <v/>
      </c>
    </row>
    <row r="910" ht="15" customHeight="1" s="231">
      <c r="A910" s="397" t="n"/>
      <c r="B910" s="397" t="n"/>
      <c r="C910" s="397" t="n"/>
      <c r="D910" s="397" t="n"/>
      <c r="E910" s="397" t="n"/>
      <c r="F910" s="397" t="n"/>
      <c r="G910" s="397" t="n"/>
      <c r="I910" s="397" t="n"/>
      <c r="J910" s="397" t="n"/>
      <c r="K910" s="395">
        <f>DATE(VALUE(LEFT(A910,4)),VALUE(MID(A910,5,2)),VALUE(RIGHT(A910,2)))</f>
        <v/>
      </c>
      <c r="L910" s="395">
        <f>DATEVALUE(LEFT(F910,10))</f>
        <v/>
      </c>
      <c r="M910" s="396">
        <f>TIMEVALUE(MID(F910,12,8))</f>
        <v/>
      </c>
      <c r="N910" s="395">
        <f>DATEVALUE(LEFT(G910,10))</f>
        <v/>
      </c>
      <c r="O910" s="396">
        <f>TIMEVALUE(MID(G910,12,8))</f>
        <v/>
      </c>
      <c r="P910" s="396">
        <f>IFERROR(_xlfn.MINIFS($M:$M,$E:$E,$E910,$K:$K,$K910,$M:$M,"&gt;"&amp;$O910),"")</f>
        <v/>
      </c>
      <c r="Q910" s="396">
        <f>IF($P910="","",$P910-$O910)</f>
        <v/>
      </c>
    </row>
    <row r="911" ht="15" customHeight="1" s="231">
      <c r="A911" s="397" t="n"/>
      <c r="B911" s="397" t="n"/>
      <c r="C911" s="397" t="n"/>
      <c r="D911" s="397" t="n"/>
      <c r="E911" s="397" t="n"/>
      <c r="F911" s="397" t="n"/>
      <c r="G911" s="397" t="n"/>
      <c r="I911" s="397" t="n"/>
      <c r="J911" s="397" t="n"/>
      <c r="K911" s="395">
        <f>DATE(VALUE(LEFT(A911,4)),VALUE(MID(A911,5,2)),VALUE(RIGHT(A911,2)))</f>
        <v/>
      </c>
      <c r="L911" s="395">
        <f>DATEVALUE(LEFT(F911,10))</f>
        <v/>
      </c>
      <c r="M911" s="396">
        <f>TIMEVALUE(MID(F911,12,8))</f>
        <v/>
      </c>
      <c r="N911" s="395">
        <f>DATEVALUE(LEFT(G911,10))</f>
        <v/>
      </c>
      <c r="O911" s="396">
        <f>TIMEVALUE(MID(G911,12,8))</f>
        <v/>
      </c>
      <c r="P911" s="396">
        <f>IFERROR(_xlfn.MINIFS($M:$M,$E:$E,$E911,$K:$K,$K911,$M:$M,"&gt;"&amp;$O911),"")</f>
        <v/>
      </c>
      <c r="Q911" s="396">
        <f>IF($P911="","",$P911-$O911)</f>
        <v/>
      </c>
    </row>
    <row r="912" ht="15" customHeight="1" s="231">
      <c r="A912" s="397" t="n"/>
      <c r="B912" s="397" t="n"/>
      <c r="C912" s="397" t="n"/>
      <c r="D912" s="397" t="n"/>
      <c r="E912" s="397" t="n"/>
      <c r="F912" s="397" t="n"/>
      <c r="G912" s="397" t="n"/>
      <c r="I912" s="397" t="n"/>
      <c r="J912" s="397" t="n"/>
      <c r="K912" s="395">
        <f>DATE(VALUE(LEFT(A912,4)),VALUE(MID(A912,5,2)),VALUE(RIGHT(A912,2)))</f>
        <v/>
      </c>
      <c r="L912" s="395">
        <f>DATEVALUE(LEFT(F912,10))</f>
        <v/>
      </c>
      <c r="M912" s="396">
        <f>TIMEVALUE(MID(F912,12,8))</f>
        <v/>
      </c>
      <c r="N912" s="395">
        <f>DATEVALUE(LEFT(G912,10))</f>
        <v/>
      </c>
      <c r="O912" s="396">
        <f>TIMEVALUE(MID(G912,12,8))</f>
        <v/>
      </c>
      <c r="P912" s="396">
        <f>IFERROR(_xlfn.MINIFS($M:$M,$E:$E,$E912,$K:$K,$K912,$M:$M,"&gt;"&amp;$O912),"")</f>
        <v/>
      </c>
      <c r="Q912" s="396">
        <f>IF($P912="","",$P912-$O912)</f>
        <v/>
      </c>
    </row>
    <row r="913" ht="15" customHeight="1" s="231">
      <c r="A913" s="397" t="n"/>
      <c r="B913" s="397" t="n"/>
      <c r="C913" s="397" t="n"/>
      <c r="D913" s="397" t="n"/>
      <c r="E913" s="397" t="n"/>
      <c r="F913" s="397" t="n"/>
      <c r="G913" s="397" t="n"/>
      <c r="I913" s="397" t="n"/>
      <c r="J913" s="397" t="n"/>
      <c r="K913" s="395">
        <f>DATE(VALUE(LEFT(A913,4)),VALUE(MID(A913,5,2)),VALUE(RIGHT(A913,2)))</f>
        <v/>
      </c>
      <c r="L913" s="395">
        <f>DATEVALUE(LEFT(F913,10))</f>
        <v/>
      </c>
      <c r="M913" s="396">
        <f>TIMEVALUE(MID(F913,12,8))</f>
        <v/>
      </c>
      <c r="N913" s="395">
        <f>DATEVALUE(LEFT(G913,10))</f>
        <v/>
      </c>
      <c r="O913" s="396">
        <f>TIMEVALUE(MID(G913,12,8))</f>
        <v/>
      </c>
      <c r="P913" s="396">
        <f>IFERROR(_xlfn.MINIFS($M:$M,$E:$E,$E913,$K:$K,$K913,$M:$M,"&gt;"&amp;$O913),"")</f>
        <v/>
      </c>
      <c r="Q913" s="396">
        <f>IF($P913="","",$P913-$O913)</f>
        <v/>
      </c>
    </row>
    <row r="914" ht="15" customHeight="1" s="231">
      <c r="A914" s="397" t="n"/>
      <c r="B914" s="397" t="n"/>
      <c r="C914" s="397" t="n"/>
      <c r="D914" s="397" t="n"/>
      <c r="E914" s="397" t="n"/>
      <c r="F914" s="397" t="n"/>
      <c r="G914" s="397" t="n"/>
      <c r="I914" s="397" t="n"/>
      <c r="J914" s="397" t="n"/>
      <c r="K914" s="395">
        <f>DATE(VALUE(LEFT(A914,4)),VALUE(MID(A914,5,2)),VALUE(RIGHT(A914,2)))</f>
        <v/>
      </c>
      <c r="L914" s="395">
        <f>DATEVALUE(LEFT(F914,10))</f>
        <v/>
      </c>
      <c r="M914" s="396">
        <f>TIMEVALUE(MID(F914,12,8))</f>
        <v/>
      </c>
      <c r="N914" s="395">
        <f>DATEVALUE(LEFT(G914,10))</f>
        <v/>
      </c>
      <c r="O914" s="396">
        <f>TIMEVALUE(MID(G914,12,8))</f>
        <v/>
      </c>
      <c r="P914" s="396">
        <f>IFERROR(_xlfn.MINIFS($M:$M,$E:$E,$E914,$K:$K,$K914,$M:$M,"&gt;"&amp;$O914),"")</f>
        <v/>
      </c>
      <c r="Q914" s="396">
        <f>IF($P914="","",$P914-$O914)</f>
        <v/>
      </c>
    </row>
    <row r="915" ht="15" customHeight="1" s="231">
      <c r="A915" s="397" t="n"/>
      <c r="B915" s="397" t="n"/>
      <c r="C915" s="397" t="n"/>
      <c r="D915" s="397" t="n"/>
      <c r="E915" s="397" t="n"/>
      <c r="F915" s="397" t="n"/>
      <c r="G915" s="397" t="n"/>
      <c r="I915" s="397" t="n"/>
      <c r="J915" s="397" t="n"/>
      <c r="K915" s="395">
        <f>DATE(VALUE(LEFT(A915,4)),VALUE(MID(A915,5,2)),VALUE(RIGHT(A915,2)))</f>
        <v/>
      </c>
      <c r="L915" s="395">
        <f>DATEVALUE(LEFT(F915,10))</f>
        <v/>
      </c>
      <c r="M915" s="396">
        <f>TIMEVALUE(MID(F915,12,8))</f>
        <v/>
      </c>
      <c r="N915" s="395">
        <f>DATEVALUE(LEFT(G915,10))</f>
        <v/>
      </c>
      <c r="O915" s="396">
        <f>TIMEVALUE(MID(G915,12,8))</f>
        <v/>
      </c>
      <c r="P915" s="396">
        <f>IFERROR(_xlfn.MINIFS($M:$M,$E:$E,$E915,$K:$K,$K915,$M:$M,"&gt;"&amp;$O915),"")</f>
        <v/>
      </c>
      <c r="Q915" s="396">
        <f>IF($P915="","",$P915-$O915)</f>
        <v/>
      </c>
    </row>
    <row r="916" ht="15" customHeight="1" s="231">
      <c r="A916" s="397" t="n"/>
      <c r="B916" s="397" t="n"/>
      <c r="C916" s="397" t="n"/>
      <c r="D916" s="397" t="n"/>
      <c r="E916" s="397" t="n"/>
      <c r="F916" s="397" t="n"/>
      <c r="G916" s="397" t="n"/>
      <c r="I916" s="397" t="n"/>
      <c r="J916" s="397" t="n"/>
      <c r="K916" s="395">
        <f>DATE(VALUE(LEFT(A916,4)),VALUE(MID(A916,5,2)),VALUE(RIGHT(A916,2)))</f>
        <v/>
      </c>
      <c r="L916" s="395">
        <f>DATEVALUE(LEFT(F916,10))</f>
        <v/>
      </c>
      <c r="M916" s="396">
        <f>TIMEVALUE(MID(F916,12,8))</f>
        <v/>
      </c>
      <c r="N916" s="395">
        <f>DATEVALUE(LEFT(G916,10))</f>
        <v/>
      </c>
      <c r="O916" s="396">
        <f>TIMEVALUE(MID(G916,12,8))</f>
        <v/>
      </c>
      <c r="P916" s="396">
        <f>IFERROR(_xlfn.MINIFS($M:$M,$E:$E,$E916,$K:$K,$K916,$M:$M,"&gt;"&amp;$O916),"")</f>
        <v/>
      </c>
      <c r="Q916" s="396">
        <f>IF($P916="","",$P916-$O916)</f>
        <v/>
      </c>
    </row>
    <row r="917" ht="15" customHeight="1" s="231">
      <c r="A917" s="397" t="n"/>
      <c r="B917" s="397" t="n"/>
      <c r="C917" s="397" t="n"/>
      <c r="D917" s="397" t="n"/>
      <c r="E917" s="397" t="n"/>
      <c r="F917" s="397" t="n"/>
      <c r="G917" s="397" t="n"/>
      <c r="I917" s="397" t="n"/>
      <c r="J917" s="397" t="n"/>
      <c r="K917" s="395">
        <f>DATE(VALUE(LEFT(A917,4)),VALUE(MID(A917,5,2)),VALUE(RIGHT(A917,2)))</f>
        <v/>
      </c>
      <c r="L917" s="395">
        <f>DATEVALUE(LEFT(F917,10))</f>
        <v/>
      </c>
      <c r="M917" s="396">
        <f>TIMEVALUE(MID(F917,12,8))</f>
        <v/>
      </c>
      <c r="N917" s="395">
        <f>DATEVALUE(LEFT(G917,10))</f>
        <v/>
      </c>
      <c r="O917" s="396">
        <f>TIMEVALUE(MID(G917,12,8))</f>
        <v/>
      </c>
      <c r="P917" s="396">
        <f>IFERROR(_xlfn.MINIFS($M:$M,$E:$E,$E917,$K:$K,$K917,$M:$M,"&gt;"&amp;$O917),"")</f>
        <v/>
      </c>
      <c r="Q917" s="396">
        <f>IF($P917="","",$P917-$O917)</f>
        <v/>
      </c>
    </row>
    <row r="918" ht="15" customHeight="1" s="231">
      <c r="A918" s="397" t="n"/>
      <c r="B918" s="397" t="n"/>
      <c r="C918" s="397" t="n"/>
      <c r="D918" s="397" t="n"/>
      <c r="E918" s="397" t="n"/>
      <c r="F918" s="397" t="n"/>
      <c r="G918" s="397" t="n"/>
      <c r="I918" s="397" t="n"/>
      <c r="J918" s="397" t="n"/>
      <c r="K918" s="395">
        <f>DATE(VALUE(LEFT(A918,4)),VALUE(MID(A918,5,2)),VALUE(RIGHT(A918,2)))</f>
        <v/>
      </c>
      <c r="L918" s="395">
        <f>DATEVALUE(LEFT(F918,10))</f>
        <v/>
      </c>
      <c r="M918" s="396">
        <f>TIMEVALUE(MID(F918,12,8))</f>
        <v/>
      </c>
      <c r="N918" s="395">
        <f>DATEVALUE(LEFT(G918,10))</f>
        <v/>
      </c>
      <c r="O918" s="396">
        <f>TIMEVALUE(MID(G918,12,8))</f>
        <v/>
      </c>
      <c r="P918" s="396">
        <f>IFERROR(_xlfn.MINIFS($M:$M,$E:$E,$E918,$K:$K,$K918,$M:$M,"&gt;"&amp;$O918),"")</f>
        <v/>
      </c>
      <c r="Q918" s="396">
        <f>IF($P918="","",$P918-$O918)</f>
        <v/>
      </c>
    </row>
    <row r="919" ht="15" customHeight="1" s="231">
      <c r="A919" s="397" t="n"/>
      <c r="B919" s="397" t="n"/>
      <c r="C919" s="397" t="n"/>
      <c r="D919" s="397" t="n"/>
      <c r="E919" s="397" t="n"/>
      <c r="F919" s="397" t="n"/>
      <c r="G919" s="397" t="n"/>
      <c r="I919" s="397" t="n"/>
      <c r="J919" s="397" t="n"/>
      <c r="K919" s="395">
        <f>DATE(VALUE(LEFT(A919,4)),VALUE(MID(A919,5,2)),VALUE(RIGHT(A919,2)))</f>
        <v/>
      </c>
      <c r="L919" s="395">
        <f>DATEVALUE(LEFT(F919,10))</f>
        <v/>
      </c>
      <c r="M919" s="396">
        <f>TIMEVALUE(MID(F919,12,8))</f>
        <v/>
      </c>
      <c r="N919" s="395">
        <f>DATEVALUE(LEFT(G919,10))</f>
        <v/>
      </c>
      <c r="O919" s="396">
        <f>TIMEVALUE(MID(G919,12,8))</f>
        <v/>
      </c>
      <c r="P919" s="396">
        <f>IFERROR(_xlfn.MINIFS($M:$M,$E:$E,$E919,$K:$K,$K919,$M:$M,"&gt;"&amp;$O919),"")</f>
        <v/>
      </c>
      <c r="Q919" s="396">
        <f>IF($P919="","",$P919-$O919)</f>
        <v/>
      </c>
    </row>
    <row r="920" ht="15" customHeight="1" s="231">
      <c r="A920" s="397" t="n"/>
      <c r="B920" s="397" t="n"/>
      <c r="C920" s="397" t="n"/>
      <c r="D920" s="397" t="n"/>
      <c r="E920" s="397" t="n"/>
      <c r="F920" s="397" t="n"/>
      <c r="G920" s="397" t="n"/>
      <c r="I920" s="397" t="n"/>
      <c r="J920" s="397" t="n"/>
      <c r="K920" s="395">
        <f>DATE(VALUE(LEFT(A920,4)),VALUE(MID(A920,5,2)),VALUE(RIGHT(A920,2)))</f>
        <v/>
      </c>
      <c r="L920" s="395">
        <f>DATEVALUE(LEFT(F920,10))</f>
        <v/>
      </c>
      <c r="M920" s="396">
        <f>TIMEVALUE(MID(F920,12,8))</f>
        <v/>
      </c>
      <c r="N920" s="395">
        <f>DATEVALUE(LEFT(G920,10))</f>
        <v/>
      </c>
      <c r="O920" s="396">
        <f>TIMEVALUE(MID(G920,12,8))</f>
        <v/>
      </c>
      <c r="P920" s="396">
        <f>IFERROR(_xlfn.MINIFS($M:$M,$E:$E,$E920,$K:$K,$K920,$M:$M,"&gt;"&amp;$O920),"")</f>
        <v/>
      </c>
      <c r="Q920" s="396">
        <f>IF($P920="","",$P920-$O920)</f>
        <v/>
      </c>
    </row>
    <row r="921" ht="15" customHeight="1" s="231">
      <c r="A921" s="397" t="n"/>
      <c r="B921" s="397" t="n"/>
      <c r="C921" s="397" t="n"/>
      <c r="D921" s="397" t="n"/>
      <c r="E921" s="397" t="n"/>
      <c r="F921" s="397" t="n"/>
      <c r="G921" s="397" t="n"/>
      <c r="I921" s="397" t="n"/>
      <c r="J921" s="397" t="n"/>
      <c r="K921" s="395">
        <f>DATE(VALUE(LEFT(A921,4)),VALUE(MID(A921,5,2)),VALUE(RIGHT(A921,2)))</f>
        <v/>
      </c>
      <c r="L921" s="395">
        <f>DATEVALUE(LEFT(F921,10))</f>
        <v/>
      </c>
      <c r="M921" s="396">
        <f>TIMEVALUE(MID(F921,12,8))</f>
        <v/>
      </c>
      <c r="N921" s="395">
        <f>DATEVALUE(LEFT(G921,10))</f>
        <v/>
      </c>
      <c r="O921" s="396">
        <f>TIMEVALUE(MID(G921,12,8))</f>
        <v/>
      </c>
      <c r="P921" s="396">
        <f>IFERROR(_xlfn.MINIFS($M:$M,$E:$E,$E921,$K:$K,$K921,$M:$M,"&gt;"&amp;$O921),"")</f>
        <v/>
      </c>
      <c r="Q921" s="396">
        <f>IF($P921="","",$P921-$O921)</f>
        <v/>
      </c>
    </row>
    <row r="922" ht="15" customHeight="1" s="231">
      <c r="A922" s="397" t="n"/>
      <c r="B922" s="397" t="n"/>
      <c r="C922" s="397" t="n"/>
      <c r="D922" s="397" t="n"/>
      <c r="E922" s="397" t="n"/>
      <c r="F922" s="397" t="n"/>
      <c r="G922" s="397" t="n"/>
      <c r="I922" s="397" t="n"/>
      <c r="J922" s="397" t="n"/>
      <c r="K922" s="395">
        <f>DATE(VALUE(LEFT(A922,4)),VALUE(MID(A922,5,2)),VALUE(RIGHT(A922,2)))</f>
        <v/>
      </c>
      <c r="L922" s="395">
        <f>DATEVALUE(LEFT(F922,10))</f>
        <v/>
      </c>
      <c r="M922" s="396">
        <f>TIMEVALUE(MID(F922,12,8))</f>
        <v/>
      </c>
      <c r="N922" s="395">
        <f>DATEVALUE(LEFT(G922,10))</f>
        <v/>
      </c>
      <c r="O922" s="396">
        <f>TIMEVALUE(MID(G922,12,8))</f>
        <v/>
      </c>
      <c r="P922" s="396">
        <f>IFERROR(_xlfn.MINIFS($M:$M,$E:$E,$E922,$K:$K,$K922,$M:$M,"&gt;"&amp;$O922),"")</f>
        <v/>
      </c>
      <c r="Q922" s="396">
        <f>IF($P922="","",$P922-$O922)</f>
        <v/>
      </c>
    </row>
    <row r="923" ht="15" customHeight="1" s="231">
      <c r="A923" s="397" t="n"/>
      <c r="B923" s="397" t="n"/>
      <c r="C923" s="397" t="n"/>
      <c r="D923" s="397" t="n"/>
      <c r="E923" s="397" t="n"/>
      <c r="F923" s="397" t="n"/>
      <c r="G923" s="397" t="n"/>
      <c r="I923" s="397" t="n"/>
      <c r="J923" s="397" t="n"/>
      <c r="K923" s="395">
        <f>DATE(VALUE(LEFT(A923,4)),VALUE(MID(A923,5,2)),VALUE(RIGHT(A923,2)))</f>
        <v/>
      </c>
      <c r="L923" s="395">
        <f>DATEVALUE(LEFT(F923,10))</f>
        <v/>
      </c>
      <c r="M923" s="396">
        <f>TIMEVALUE(MID(F923,12,8))</f>
        <v/>
      </c>
      <c r="N923" s="395">
        <f>DATEVALUE(LEFT(G923,10))</f>
        <v/>
      </c>
      <c r="O923" s="396">
        <f>TIMEVALUE(MID(G923,12,8))</f>
        <v/>
      </c>
      <c r="P923" s="396">
        <f>IFERROR(_xlfn.MINIFS($M:$M,$E:$E,$E923,$K:$K,$K923,$M:$M,"&gt;"&amp;$O923),"")</f>
        <v/>
      </c>
      <c r="Q923" s="396">
        <f>IF($P923="","",$P923-$O923)</f>
        <v/>
      </c>
    </row>
    <row r="924" ht="15" customHeight="1" s="231">
      <c r="A924" s="397" t="n"/>
      <c r="B924" s="397" t="n"/>
      <c r="C924" s="397" t="n"/>
      <c r="D924" s="397" t="n"/>
      <c r="E924" s="397" t="n"/>
      <c r="F924" s="397" t="n"/>
      <c r="G924" s="397" t="n"/>
      <c r="I924" s="397" t="n"/>
      <c r="J924" s="397" t="n"/>
      <c r="K924" s="395">
        <f>DATE(VALUE(LEFT(A924,4)),VALUE(MID(A924,5,2)),VALUE(RIGHT(A924,2)))</f>
        <v/>
      </c>
      <c r="L924" s="395">
        <f>DATEVALUE(LEFT(F924,10))</f>
        <v/>
      </c>
      <c r="M924" s="396">
        <f>TIMEVALUE(MID(F924,12,8))</f>
        <v/>
      </c>
      <c r="N924" s="395">
        <f>DATEVALUE(LEFT(G924,10))</f>
        <v/>
      </c>
      <c r="O924" s="396">
        <f>TIMEVALUE(MID(G924,12,8))</f>
        <v/>
      </c>
      <c r="P924" s="396">
        <f>IFERROR(_xlfn.MINIFS($M:$M,$E:$E,$E924,$K:$K,$K924,$M:$M,"&gt;"&amp;$O924),"")</f>
        <v/>
      </c>
      <c r="Q924" s="396">
        <f>IF($P924="","",$P924-$O924)</f>
        <v/>
      </c>
    </row>
    <row r="925" ht="15" customHeight="1" s="231">
      <c r="A925" s="397" t="n"/>
      <c r="B925" s="397" t="n"/>
      <c r="C925" s="397" t="n"/>
      <c r="D925" s="397" t="n"/>
      <c r="E925" s="397" t="n"/>
      <c r="F925" s="397" t="n"/>
      <c r="G925" s="397" t="n"/>
      <c r="I925" s="397" t="n"/>
      <c r="J925" s="397" t="n"/>
      <c r="K925" s="395">
        <f>DATE(VALUE(LEFT(A925,4)),VALUE(MID(A925,5,2)),VALUE(RIGHT(A925,2)))</f>
        <v/>
      </c>
      <c r="L925" s="395">
        <f>DATEVALUE(LEFT(F925,10))</f>
        <v/>
      </c>
      <c r="M925" s="396">
        <f>TIMEVALUE(MID(F925,12,8))</f>
        <v/>
      </c>
      <c r="N925" s="395">
        <f>DATEVALUE(LEFT(G925,10))</f>
        <v/>
      </c>
      <c r="O925" s="396">
        <f>TIMEVALUE(MID(G925,12,8))</f>
        <v/>
      </c>
      <c r="P925" s="396">
        <f>IFERROR(_xlfn.MINIFS($M:$M,$E:$E,$E925,$K:$K,$K925,$M:$M,"&gt;"&amp;$O925),"")</f>
        <v/>
      </c>
      <c r="Q925" s="396">
        <f>IF($P925="","",$P925-$O925)</f>
        <v/>
      </c>
    </row>
    <row r="926" ht="15" customHeight="1" s="231">
      <c r="A926" s="397" t="n"/>
      <c r="B926" s="397" t="n"/>
      <c r="C926" s="397" t="n"/>
      <c r="D926" s="397" t="n"/>
      <c r="E926" s="397" t="n"/>
      <c r="F926" s="397" t="n"/>
      <c r="G926" s="397" t="n"/>
      <c r="I926" s="397" t="n"/>
      <c r="J926" s="397" t="n"/>
      <c r="K926" s="395">
        <f>DATE(VALUE(LEFT(A926,4)),VALUE(MID(A926,5,2)),VALUE(RIGHT(A926,2)))</f>
        <v/>
      </c>
      <c r="L926" s="395">
        <f>DATEVALUE(LEFT(F926,10))</f>
        <v/>
      </c>
      <c r="M926" s="396">
        <f>TIMEVALUE(MID(F926,12,8))</f>
        <v/>
      </c>
      <c r="N926" s="395">
        <f>DATEVALUE(LEFT(G926,10))</f>
        <v/>
      </c>
      <c r="O926" s="396">
        <f>TIMEVALUE(MID(G926,12,8))</f>
        <v/>
      </c>
      <c r="P926" s="396">
        <f>IFERROR(_xlfn.MINIFS($M:$M,$E:$E,$E926,$K:$K,$K926,$M:$M,"&gt;"&amp;$O926),"")</f>
        <v/>
      </c>
      <c r="Q926" s="396">
        <f>IF($P926="","",$P926-$O926)</f>
        <v/>
      </c>
    </row>
    <row r="927" ht="15" customHeight="1" s="231">
      <c r="A927" s="397" t="n"/>
      <c r="B927" s="397" t="n"/>
      <c r="C927" s="397" t="n"/>
      <c r="D927" s="397" t="n"/>
      <c r="E927" s="397" t="n"/>
      <c r="F927" s="397" t="n"/>
      <c r="G927" s="397" t="n"/>
      <c r="I927" s="397" t="n"/>
      <c r="J927" s="397" t="n"/>
      <c r="K927" s="395">
        <f>DATE(VALUE(LEFT(A927,4)),VALUE(MID(A927,5,2)),VALUE(RIGHT(A927,2)))</f>
        <v/>
      </c>
      <c r="L927" s="395">
        <f>DATEVALUE(LEFT(F927,10))</f>
        <v/>
      </c>
      <c r="M927" s="396">
        <f>TIMEVALUE(MID(F927,12,8))</f>
        <v/>
      </c>
      <c r="N927" s="395">
        <f>DATEVALUE(LEFT(G927,10))</f>
        <v/>
      </c>
      <c r="O927" s="396">
        <f>TIMEVALUE(MID(G927,12,8))</f>
        <v/>
      </c>
      <c r="P927" s="396">
        <f>IFERROR(_xlfn.MINIFS($M:$M,$E:$E,$E927,$K:$K,$K927,$M:$M,"&gt;"&amp;$O927),"")</f>
        <v/>
      </c>
      <c r="Q927" s="396">
        <f>IF($P927="","",$P927-$O927)</f>
        <v/>
      </c>
    </row>
    <row r="928" ht="15" customHeight="1" s="231">
      <c r="A928" s="397" t="n"/>
      <c r="B928" s="397" t="n"/>
      <c r="C928" s="397" t="n"/>
      <c r="D928" s="397" t="n"/>
      <c r="E928" s="397" t="n"/>
      <c r="F928" s="397" t="n"/>
      <c r="G928" s="397" t="n"/>
      <c r="I928" s="397" t="n"/>
      <c r="J928" s="397" t="n"/>
      <c r="K928" s="395">
        <f>DATE(VALUE(LEFT(A928,4)),VALUE(MID(A928,5,2)),VALUE(RIGHT(A928,2)))</f>
        <v/>
      </c>
      <c r="L928" s="395">
        <f>DATEVALUE(LEFT(F928,10))</f>
        <v/>
      </c>
      <c r="M928" s="396">
        <f>TIMEVALUE(MID(F928,12,8))</f>
        <v/>
      </c>
      <c r="N928" s="395">
        <f>DATEVALUE(LEFT(G928,10))</f>
        <v/>
      </c>
      <c r="O928" s="396">
        <f>TIMEVALUE(MID(G928,12,8))</f>
        <v/>
      </c>
      <c r="P928" s="396">
        <f>IFERROR(_xlfn.MINIFS($M:$M,$E:$E,$E928,$K:$K,$K928,$M:$M,"&gt;"&amp;$O928),"")</f>
        <v/>
      </c>
      <c r="Q928" s="396">
        <f>IF($P928="","",$P928-$O928)</f>
        <v/>
      </c>
    </row>
    <row r="929" ht="15" customHeight="1" s="231">
      <c r="A929" s="397" t="n"/>
      <c r="B929" s="397" t="n"/>
      <c r="C929" s="397" t="n"/>
      <c r="D929" s="397" t="n"/>
      <c r="E929" s="397" t="n"/>
      <c r="F929" s="397" t="n"/>
      <c r="G929" s="397" t="n"/>
      <c r="I929" s="397" t="n"/>
      <c r="J929" s="397" t="n"/>
      <c r="K929" s="395">
        <f>DATE(VALUE(LEFT(A929,4)),VALUE(MID(A929,5,2)),VALUE(RIGHT(A929,2)))</f>
        <v/>
      </c>
      <c r="L929" s="395">
        <f>DATEVALUE(LEFT(F929,10))</f>
        <v/>
      </c>
      <c r="M929" s="396">
        <f>TIMEVALUE(MID(F929,12,8))</f>
        <v/>
      </c>
      <c r="N929" s="395">
        <f>DATEVALUE(LEFT(G929,10))</f>
        <v/>
      </c>
      <c r="O929" s="396">
        <f>TIMEVALUE(MID(G929,12,8))</f>
        <v/>
      </c>
      <c r="P929" s="396">
        <f>IFERROR(_xlfn.MINIFS($M:$M,$E:$E,$E929,$K:$K,$K929,$M:$M,"&gt;"&amp;$O929),"")</f>
        <v/>
      </c>
      <c r="Q929" s="396">
        <f>IF($P929="","",$P929-$O929)</f>
        <v/>
      </c>
    </row>
    <row r="930" ht="15" customHeight="1" s="231">
      <c r="A930" s="397" t="n"/>
      <c r="B930" s="397" t="n"/>
      <c r="C930" s="397" t="n"/>
      <c r="D930" s="397" t="n"/>
      <c r="E930" s="397" t="n"/>
      <c r="F930" s="397" t="n"/>
      <c r="G930" s="397" t="n"/>
      <c r="I930" s="397" t="n"/>
      <c r="J930" s="397" t="n"/>
      <c r="K930" s="395">
        <f>DATE(VALUE(LEFT(A930,4)),VALUE(MID(A930,5,2)),VALUE(RIGHT(A930,2)))</f>
        <v/>
      </c>
      <c r="L930" s="395">
        <f>DATEVALUE(LEFT(F930,10))</f>
        <v/>
      </c>
      <c r="M930" s="396">
        <f>TIMEVALUE(MID(F930,12,8))</f>
        <v/>
      </c>
      <c r="N930" s="395">
        <f>DATEVALUE(LEFT(G930,10))</f>
        <v/>
      </c>
      <c r="O930" s="396">
        <f>TIMEVALUE(MID(G930,12,8))</f>
        <v/>
      </c>
      <c r="P930" s="396">
        <f>IFERROR(_xlfn.MINIFS($M:$M,$E:$E,$E930,$K:$K,$K930,$M:$M,"&gt;"&amp;$O930),"")</f>
        <v/>
      </c>
      <c r="Q930" s="396">
        <f>IF($P930="","",$P930-$O930)</f>
        <v/>
      </c>
    </row>
    <row r="931" ht="15" customHeight="1" s="231">
      <c r="A931" s="397" t="n"/>
      <c r="B931" s="397" t="n"/>
      <c r="C931" s="397" t="n"/>
      <c r="D931" s="397" t="n"/>
      <c r="E931" s="397" t="n"/>
      <c r="F931" s="397" t="n"/>
      <c r="G931" s="397" t="n"/>
      <c r="I931" s="397" t="n"/>
      <c r="J931" s="397" t="n"/>
      <c r="K931" s="395">
        <f>DATE(VALUE(LEFT(A931,4)),VALUE(MID(A931,5,2)),VALUE(RIGHT(A931,2)))</f>
        <v/>
      </c>
      <c r="L931" s="395">
        <f>DATEVALUE(LEFT(F931,10))</f>
        <v/>
      </c>
      <c r="M931" s="396">
        <f>TIMEVALUE(MID(F931,12,8))</f>
        <v/>
      </c>
      <c r="N931" s="395">
        <f>DATEVALUE(LEFT(G931,10))</f>
        <v/>
      </c>
      <c r="O931" s="396">
        <f>TIMEVALUE(MID(G931,12,8))</f>
        <v/>
      </c>
      <c r="P931" s="396">
        <f>IFERROR(_xlfn.MINIFS($M:$M,$E:$E,$E931,$K:$K,$K931,$M:$M,"&gt;"&amp;$O931),"")</f>
        <v/>
      </c>
      <c r="Q931" s="396">
        <f>IF($P931="","",$P931-$O931)</f>
        <v/>
      </c>
    </row>
    <row r="932" ht="15" customHeight="1" s="231">
      <c r="A932" s="397" t="n"/>
      <c r="B932" s="397" t="n"/>
      <c r="C932" s="397" t="n"/>
      <c r="D932" s="397" t="n"/>
      <c r="E932" s="397" t="n"/>
      <c r="F932" s="397" t="n"/>
      <c r="G932" s="397" t="n"/>
      <c r="I932" s="397" t="n"/>
      <c r="J932" s="397" t="n"/>
      <c r="K932" s="395">
        <f>DATE(VALUE(LEFT(A932,4)),VALUE(MID(A932,5,2)),VALUE(RIGHT(A932,2)))</f>
        <v/>
      </c>
      <c r="L932" s="395">
        <f>DATEVALUE(LEFT(F932,10))</f>
        <v/>
      </c>
      <c r="M932" s="396">
        <f>TIMEVALUE(MID(F932,12,8))</f>
        <v/>
      </c>
      <c r="N932" s="395">
        <f>DATEVALUE(LEFT(G932,10))</f>
        <v/>
      </c>
      <c r="O932" s="396">
        <f>TIMEVALUE(MID(G932,12,8))</f>
        <v/>
      </c>
      <c r="P932" s="396">
        <f>IFERROR(_xlfn.MINIFS($M:$M,$E:$E,$E932,$K:$K,$K932,$M:$M,"&gt;"&amp;$O932),"")</f>
        <v/>
      </c>
      <c r="Q932" s="396">
        <f>IF($P932="","",$P932-$O932)</f>
        <v/>
      </c>
    </row>
    <row r="933" ht="15" customHeight="1" s="231">
      <c r="A933" s="397" t="n"/>
      <c r="B933" s="397" t="n"/>
      <c r="C933" s="397" t="n"/>
      <c r="D933" s="397" t="n"/>
      <c r="E933" s="397" t="n"/>
      <c r="F933" s="397" t="n"/>
      <c r="G933" s="397" t="n"/>
      <c r="I933" s="397" t="n"/>
      <c r="J933" s="397" t="n"/>
      <c r="K933" s="395">
        <f>DATE(VALUE(LEFT(A933,4)),VALUE(MID(A933,5,2)),VALUE(RIGHT(A933,2)))</f>
        <v/>
      </c>
      <c r="L933" s="395">
        <f>DATEVALUE(LEFT(F933,10))</f>
        <v/>
      </c>
      <c r="M933" s="396">
        <f>TIMEVALUE(MID(F933,12,8))</f>
        <v/>
      </c>
      <c r="N933" s="395">
        <f>DATEVALUE(LEFT(G933,10))</f>
        <v/>
      </c>
      <c r="O933" s="396">
        <f>TIMEVALUE(MID(G933,12,8))</f>
        <v/>
      </c>
      <c r="P933" s="396">
        <f>IFERROR(_xlfn.MINIFS($M:$M,$E:$E,$E933,$K:$K,$K933,$M:$M,"&gt;"&amp;$O933),"")</f>
        <v/>
      </c>
      <c r="Q933" s="396">
        <f>IF($P933="","",$P933-$O933)</f>
        <v/>
      </c>
    </row>
    <row r="934" ht="15" customHeight="1" s="231">
      <c r="A934" s="397" t="n"/>
      <c r="B934" s="397" t="n"/>
      <c r="C934" s="397" t="n"/>
      <c r="D934" s="397" t="n"/>
      <c r="E934" s="397" t="n"/>
      <c r="F934" s="397" t="n"/>
      <c r="G934" s="397" t="n"/>
      <c r="I934" s="397" t="n"/>
      <c r="J934" s="397" t="n"/>
      <c r="K934" s="395">
        <f>DATE(VALUE(LEFT(A934,4)),VALUE(MID(A934,5,2)),VALUE(RIGHT(A934,2)))</f>
        <v/>
      </c>
      <c r="L934" s="395">
        <f>DATEVALUE(LEFT(F934,10))</f>
        <v/>
      </c>
      <c r="M934" s="396">
        <f>TIMEVALUE(MID(F934,12,8))</f>
        <v/>
      </c>
      <c r="N934" s="395">
        <f>DATEVALUE(LEFT(G934,10))</f>
        <v/>
      </c>
      <c r="O934" s="396">
        <f>TIMEVALUE(MID(G934,12,8))</f>
        <v/>
      </c>
      <c r="P934" s="396">
        <f>IFERROR(_xlfn.MINIFS($M:$M,$E:$E,$E934,$K:$K,$K934,$M:$M,"&gt;"&amp;$O934),"")</f>
        <v/>
      </c>
      <c r="Q934" s="396">
        <f>IF($P934="","",$P934-$O934)</f>
        <v/>
      </c>
    </row>
    <row r="935" ht="15" customHeight="1" s="231">
      <c r="A935" s="397" t="n"/>
      <c r="B935" s="397" t="n"/>
      <c r="C935" s="397" t="n"/>
      <c r="D935" s="397" t="n"/>
      <c r="E935" s="397" t="n"/>
      <c r="F935" s="397" t="n"/>
      <c r="G935" s="397" t="n"/>
      <c r="I935" s="397" t="n"/>
      <c r="J935" s="397" t="n"/>
      <c r="K935" s="395">
        <f>DATE(VALUE(LEFT(A935,4)),VALUE(MID(A935,5,2)),VALUE(RIGHT(A935,2)))</f>
        <v/>
      </c>
      <c r="L935" s="395">
        <f>DATEVALUE(LEFT(F935,10))</f>
        <v/>
      </c>
      <c r="M935" s="396">
        <f>TIMEVALUE(MID(F935,12,8))</f>
        <v/>
      </c>
      <c r="N935" s="395">
        <f>DATEVALUE(LEFT(G935,10))</f>
        <v/>
      </c>
      <c r="O935" s="396">
        <f>TIMEVALUE(MID(G935,12,8))</f>
        <v/>
      </c>
      <c r="P935" s="396">
        <f>IFERROR(_xlfn.MINIFS($M:$M,$E:$E,$E935,$K:$K,$K935,$M:$M,"&gt;"&amp;$O935),"")</f>
        <v/>
      </c>
      <c r="Q935" s="396">
        <f>IF($P935="","",$P935-$O935)</f>
        <v/>
      </c>
    </row>
    <row r="936" ht="15" customHeight="1" s="231">
      <c r="A936" s="397" t="n"/>
      <c r="B936" s="397" t="n"/>
      <c r="C936" s="397" t="n"/>
      <c r="D936" s="397" t="n"/>
      <c r="E936" s="397" t="n"/>
      <c r="F936" s="397" t="n"/>
      <c r="G936" s="397" t="n"/>
      <c r="I936" s="397" t="n"/>
      <c r="J936" s="397" t="n"/>
      <c r="K936" s="395">
        <f>DATE(VALUE(LEFT(A936,4)),VALUE(MID(A936,5,2)),VALUE(RIGHT(A936,2)))</f>
        <v/>
      </c>
      <c r="L936" s="395">
        <f>DATEVALUE(LEFT(F936,10))</f>
        <v/>
      </c>
      <c r="M936" s="396">
        <f>TIMEVALUE(MID(F936,12,8))</f>
        <v/>
      </c>
      <c r="N936" s="395">
        <f>DATEVALUE(LEFT(G936,10))</f>
        <v/>
      </c>
      <c r="O936" s="396">
        <f>TIMEVALUE(MID(G936,12,8))</f>
        <v/>
      </c>
      <c r="P936" s="396">
        <f>IFERROR(_xlfn.MINIFS($M:$M,$E:$E,$E936,$K:$K,$K936,$M:$M,"&gt;"&amp;$O936),"")</f>
        <v/>
      </c>
      <c r="Q936" s="396">
        <f>IF($P936="","",$P936-$O936)</f>
        <v/>
      </c>
    </row>
    <row r="937" ht="15" customHeight="1" s="231">
      <c r="A937" s="397" t="n"/>
      <c r="B937" s="397" t="n"/>
      <c r="C937" s="397" t="n"/>
      <c r="D937" s="397" t="n"/>
      <c r="E937" s="397" t="n"/>
      <c r="F937" s="397" t="n"/>
      <c r="G937" s="397" t="n"/>
      <c r="I937" s="397" t="n"/>
      <c r="J937" s="397" t="n"/>
      <c r="K937" s="395">
        <f>DATE(VALUE(LEFT(A937,4)),VALUE(MID(A937,5,2)),VALUE(RIGHT(A937,2)))</f>
        <v/>
      </c>
      <c r="L937" s="395">
        <f>DATEVALUE(LEFT(F937,10))</f>
        <v/>
      </c>
      <c r="M937" s="396">
        <f>TIMEVALUE(MID(F937,12,8))</f>
        <v/>
      </c>
      <c r="N937" s="395">
        <f>DATEVALUE(LEFT(G937,10))</f>
        <v/>
      </c>
      <c r="O937" s="396">
        <f>TIMEVALUE(MID(G937,12,8))</f>
        <v/>
      </c>
      <c r="P937" s="396">
        <f>IFERROR(_xlfn.MINIFS($M:$M,$E:$E,$E937,$K:$K,$K937,$M:$M,"&gt;"&amp;$O937),"")</f>
        <v/>
      </c>
      <c r="Q937" s="396">
        <f>IF($P937="","",$P937-$O937)</f>
        <v/>
      </c>
    </row>
    <row r="938" ht="15" customHeight="1" s="231">
      <c r="A938" s="397" t="n"/>
      <c r="B938" s="397" t="n"/>
      <c r="C938" s="397" t="n"/>
      <c r="D938" s="397" t="n"/>
      <c r="E938" s="397" t="n"/>
      <c r="F938" s="397" t="n"/>
      <c r="G938" s="397" t="n"/>
      <c r="I938" s="397" t="n"/>
      <c r="J938" s="397" t="n"/>
      <c r="K938" s="395">
        <f>DATE(VALUE(LEFT(A938,4)),VALUE(MID(A938,5,2)),VALUE(RIGHT(A938,2)))</f>
        <v/>
      </c>
      <c r="L938" s="395">
        <f>DATEVALUE(LEFT(F938,10))</f>
        <v/>
      </c>
      <c r="M938" s="396">
        <f>TIMEVALUE(MID(F938,12,8))</f>
        <v/>
      </c>
      <c r="N938" s="395">
        <f>DATEVALUE(LEFT(G938,10))</f>
        <v/>
      </c>
      <c r="O938" s="396">
        <f>TIMEVALUE(MID(G938,12,8))</f>
        <v/>
      </c>
      <c r="P938" s="396">
        <f>IFERROR(_xlfn.MINIFS($M:$M,$E:$E,$E938,$K:$K,$K938,$M:$M,"&gt;"&amp;$O938),"")</f>
        <v/>
      </c>
      <c r="Q938" s="396">
        <f>IF($P938="","",$P938-$O938)</f>
        <v/>
      </c>
    </row>
    <row r="939" ht="15" customHeight="1" s="231">
      <c r="A939" s="397" t="n"/>
      <c r="B939" s="397" t="n"/>
      <c r="C939" s="397" t="n"/>
      <c r="D939" s="397" t="n"/>
      <c r="E939" s="397" t="n"/>
      <c r="F939" s="397" t="n"/>
      <c r="G939" s="397" t="n"/>
      <c r="I939" s="397" t="n"/>
      <c r="J939" s="397" t="n"/>
      <c r="K939" s="395">
        <f>DATE(VALUE(LEFT(A939,4)),VALUE(MID(A939,5,2)),VALUE(RIGHT(A939,2)))</f>
        <v/>
      </c>
      <c r="L939" s="395">
        <f>DATEVALUE(LEFT(F939,10))</f>
        <v/>
      </c>
      <c r="M939" s="396">
        <f>TIMEVALUE(MID(F939,12,8))</f>
        <v/>
      </c>
      <c r="N939" s="395">
        <f>DATEVALUE(LEFT(G939,10))</f>
        <v/>
      </c>
      <c r="O939" s="396">
        <f>TIMEVALUE(MID(G939,12,8))</f>
        <v/>
      </c>
      <c r="P939" s="396">
        <f>IFERROR(_xlfn.MINIFS($M:$M,$E:$E,$E939,$K:$K,$K939,$M:$M,"&gt;"&amp;$O939),"")</f>
        <v/>
      </c>
      <c r="Q939" s="396">
        <f>IF($P939="","",$P939-$O939)</f>
        <v/>
      </c>
    </row>
    <row r="940" ht="15" customHeight="1" s="231">
      <c r="A940" s="397" t="n"/>
      <c r="B940" s="397" t="n"/>
      <c r="C940" s="397" t="n"/>
      <c r="D940" s="397" t="n"/>
      <c r="E940" s="397" t="n"/>
      <c r="F940" s="397" t="n"/>
      <c r="G940" s="397" t="n"/>
      <c r="I940" s="397" t="n"/>
      <c r="J940" s="397" t="n"/>
      <c r="K940" s="395">
        <f>DATE(VALUE(LEFT(A940,4)),VALUE(MID(A940,5,2)),VALUE(RIGHT(A940,2)))</f>
        <v/>
      </c>
      <c r="L940" s="395">
        <f>DATEVALUE(LEFT(F940,10))</f>
        <v/>
      </c>
      <c r="M940" s="396">
        <f>TIMEVALUE(MID(F940,12,8))</f>
        <v/>
      </c>
      <c r="N940" s="395">
        <f>DATEVALUE(LEFT(G940,10))</f>
        <v/>
      </c>
      <c r="O940" s="396">
        <f>TIMEVALUE(MID(G940,12,8))</f>
        <v/>
      </c>
      <c r="P940" s="396">
        <f>IFERROR(_xlfn.MINIFS($M:$M,$E:$E,$E940,$K:$K,$K940,$M:$M,"&gt;"&amp;$O940),"")</f>
        <v/>
      </c>
      <c r="Q940" s="396">
        <f>IF($P940="","",$P940-$O940)</f>
        <v/>
      </c>
    </row>
    <row r="941" ht="15" customHeight="1" s="231">
      <c r="A941" s="397" t="n"/>
      <c r="B941" s="397" t="n"/>
      <c r="C941" s="397" t="n"/>
      <c r="D941" s="397" t="n"/>
      <c r="E941" s="397" t="n"/>
      <c r="F941" s="397" t="n"/>
      <c r="G941" s="397" t="n"/>
      <c r="I941" s="397" t="n"/>
      <c r="J941" s="397" t="n"/>
      <c r="K941" s="395">
        <f>DATE(VALUE(LEFT(A941,4)),VALUE(MID(A941,5,2)),VALUE(RIGHT(A941,2)))</f>
        <v/>
      </c>
      <c r="L941" s="395">
        <f>DATEVALUE(LEFT(F941,10))</f>
        <v/>
      </c>
      <c r="M941" s="396">
        <f>TIMEVALUE(MID(F941,12,8))</f>
        <v/>
      </c>
      <c r="N941" s="395">
        <f>DATEVALUE(LEFT(G941,10))</f>
        <v/>
      </c>
      <c r="O941" s="396">
        <f>TIMEVALUE(MID(G941,12,8))</f>
        <v/>
      </c>
      <c r="P941" s="396">
        <f>IFERROR(_xlfn.MINIFS($M:$M,$E:$E,$E941,$K:$K,$K941,$M:$M,"&gt;"&amp;$O941),"")</f>
        <v/>
      </c>
      <c r="Q941" s="396">
        <f>IF($P941="","",$P941-$O941)</f>
        <v/>
      </c>
    </row>
    <row r="942" ht="15" customHeight="1" s="231">
      <c r="A942" s="397" t="n"/>
      <c r="B942" s="397" t="n"/>
      <c r="C942" s="397" t="n"/>
      <c r="D942" s="397" t="n"/>
      <c r="E942" s="397" t="n"/>
      <c r="F942" s="397" t="n"/>
      <c r="G942" s="397" t="n"/>
      <c r="I942" s="397" t="n"/>
      <c r="J942" s="397" t="n"/>
      <c r="K942" s="395">
        <f>DATE(VALUE(LEFT(A942,4)),VALUE(MID(A942,5,2)),VALUE(RIGHT(A942,2)))</f>
        <v/>
      </c>
      <c r="L942" s="395">
        <f>DATEVALUE(LEFT(F942,10))</f>
        <v/>
      </c>
      <c r="M942" s="396">
        <f>TIMEVALUE(MID(F942,12,8))</f>
        <v/>
      </c>
      <c r="N942" s="395">
        <f>DATEVALUE(LEFT(G942,10))</f>
        <v/>
      </c>
      <c r="O942" s="396">
        <f>TIMEVALUE(MID(G942,12,8))</f>
        <v/>
      </c>
      <c r="P942" s="396">
        <f>IFERROR(_xlfn.MINIFS($M:$M,$E:$E,$E942,$K:$K,$K942,$M:$M,"&gt;"&amp;$O942),"")</f>
        <v/>
      </c>
      <c r="Q942" s="396">
        <f>IF($P942="","",$P942-$O942)</f>
        <v/>
      </c>
    </row>
    <row r="943" ht="15" customHeight="1" s="231">
      <c r="A943" s="397" t="n"/>
      <c r="B943" s="397" t="n"/>
      <c r="C943" s="397" t="n"/>
      <c r="D943" s="397" t="n"/>
      <c r="E943" s="397" t="n"/>
      <c r="F943" s="397" t="n"/>
      <c r="G943" s="397" t="n"/>
      <c r="I943" s="397" t="n"/>
      <c r="J943" s="397" t="n"/>
      <c r="K943" s="395">
        <f>DATE(VALUE(LEFT(A943,4)),VALUE(MID(A943,5,2)),VALUE(RIGHT(A943,2)))</f>
        <v/>
      </c>
      <c r="L943" s="395">
        <f>DATEVALUE(LEFT(F943,10))</f>
        <v/>
      </c>
      <c r="M943" s="396">
        <f>TIMEVALUE(MID(F943,12,8))</f>
        <v/>
      </c>
      <c r="N943" s="395">
        <f>DATEVALUE(LEFT(G943,10))</f>
        <v/>
      </c>
      <c r="O943" s="396">
        <f>TIMEVALUE(MID(G943,12,8))</f>
        <v/>
      </c>
      <c r="P943" s="396">
        <f>IFERROR(_xlfn.MINIFS($M:$M,$E:$E,$E943,$K:$K,$K943,$M:$M,"&gt;"&amp;$O943),"")</f>
        <v/>
      </c>
      <c r="Q943" s="396">
        <f>IF($P943="","",$P943-$O943)</f>
        <v/>
      </c>
    </row>
    <row r="944" ht="15" customHeight="1" s="231">
      <c r="A944" s="397" t="n"/>
      <c r="B944" s="397" t="n"/>
      <c r="C944" s="397" t="n"/>
      <c r="D944" s="397" t="n"/>
      <c r="E944" s="397" t="n"/>
      <c r="F944" s="397" t="n"/>
      <c r="G944" s="397" t="n"/>
      <c r="I944" s="397" t="n"/>
      <c r="J944" s="397" t="n"/>
      <c r="K944" s="395">
        <f>DATE(VALUE(LEFT(A944,4)),VALUE(MID(A944,5,2)),VALUE(RIGHT(A944,2)))</f>
        <v/>
      </c>
      <c r="L944" s="395">
        <f>DATEVALUE(LEFT(F944,10))</f>
        <v/>
      </c>
      <c r="M944" s="396">
        <f>TIMEVALUE(MID(F944,12,8))</f>
        <v/>
      </c>
      <c r="N944" s="395">
        <f>DATEVALUE(LEFT(G944,10))</f>
        <v/>
      </c>
      <c r="O944" s="396">
        <f>TIMEVALUE(MID(G944,12,8))</f>
        <v/>
      </c>
      <c r="P944" s="396">
        <f>IFERROR(_xlfn.MINIFS($M:$M,$E:$E,$E944,$K:$K,$K944,$M:$M,"&gt;"&amp;$O944),"")</f>
        <v/>
      </c>
      <c r="Q944" s="396">
        <f>IF($P944="","",$P944-$O944)</f>
        <v/>
      </c>
    </row>
    <row r="945" ht="15" customHeight="1" s="231">
      <c r="A945" s="397" t="n"/>
      <c r="B945" s="397" t="n"/>
      <c r="C945" s="397" t="n"/>
      <c r="D945" s="397" t="n"/>
      <c r="E945" s="397" t="n"/>
      <c r="F945" s="397" t="n"/>
      <c r="G945" s="397" t="n"/>
      <c r="I945" s="397" t="n"/>
      <c r="J945" s="397" t="n"/>
      <c r="K945" s="395">
        <f>DATE(VALUE(LEFT(A945,4)),VALUE(MID(A945,5,2)),VALUE(RIGHT(A945,2)))</f>
        <v/>
      </c>
      <c r="L945" s="395">
        <f>DATEVALUE(LEFT(F945,10))</f>
        <v/>
      </c>
      <c r="M945" s="396">
        <f>TIMEVALUE(MID(F945,12,8))</f>
        <v/>
      </c>
      <c r="N945" s="395">
        <f>DATEVALUE(LEFT(G945,10))</f>
        <v/>
      </c>
      <c r="O945" s="396">
        <f>TIMEVALUE(MID(G945,12,8))</f>
        <v/>
      </c>
      <c r="P945" s="396">
        <f>IFERROR(_xlfn.MINIFS($M:$M,$E:$E,$E945,$K:$K,$K945,$M:$M,"&gt;"&amp;$O945),"")</f>
        <v/>
      </c>
      <c r="Q945" s="396">
        <f>IF($P945="","",$P945-$O945)</f>
        <v/>
      </c>
    </row>
    <row r="946" ht="15" customHeight="1" s="231">
      <c r="A946" s="397" t="n"/>
      <c r="B946" s="397" t="n"/>
      <c r="C946" s="397" t="n"/>
      <c r="D946" s="397" t="n"/>
      <c r="E946" s="397" t="n"/>
      <c r="F946" s="397" t="n"/>
      <c r="G946" s="397" t="n"/>
      <c r="I946" s="397" t="n"/>
      <c r="J946" s="397" t="n"/>
      <c r="K946" s="395">
        <f>DATE(VALUE(LEFT(A946,4)),VALUE(MID(A946,5,2)),VALUE(RIGHT(A946,2)))</f>
        <v/>
      </c>
      <c r="L946" s="395">
        <f>DATEVALUE(LEFT(F946,10))</f>
        <v/>
      </c>
      <c r="M946" s="396">
        <f>TIMEVALUE(MID(F946,12,8))</f>
        <v/>
      </c>
      <c r="N946" s="395">
        <f>DATEVALUE(LEFT(G946,10))</f>
        <v/>
      </c>
      <c r="O946" s="396">
        <f>TIMEVALUE(MID(G946,12,8))</f>
        <v/>
      </c>
      <c r="P946" s="396">
        <f>IFERROR(_xlfn.MINIFS($M:$M,$E:$E,$E946,$K:$K,$K946,$M:$M,"&gt;"&amp;$O946),"")</f>
        <v/>
      </c>
      <c r="Q946" s="396">
        <f>IF($P946="","",$P946-$O946)</f>
        <v/>
      </c>
    </row>
    <row r="947" ht="15" customHeight="1" s="231">
      <c r="A947" s="397" t="n"/>
      <c r="B947" s="397" t="n"/>
      <c r="C947" s="397" t="n"/>
      <c r="D947" s="397" t="n"/>
      <c r="E947" s="397" t="n"/>
      <c r="F947" s="397" t="n"/>
      <c r="G947" s="397" t="n"/>
      <c r="I947" s="397" t="n"/>
      <c r="J947" s="397" t="n"/>
      <c r="K947" s="395">
        <f>DATE(VALUE(LEFT(A947,4)),VALUE(MID(A947,5,2)),VALUE(RIGHT(A947,2)))</f>
        <v/>
      </c>
      <c r="L947" s="395">
        <f>DATEVALUE(LEFT(F947,10))</f>
        <v/>
      </c>
      <c r="M947" s="396">
        <f>TIMEVALUE(MID(F947,12,8))</f>
        <v/>
      </c>
      <c r="N947" s="395">
        <f>DATEVALUE(LEFT(G947,10))</f>
        <v/>
      </c>
      <c r="O947" s="396">
        <f>TIMEVALUE(MID(G947,12,8))</f>
        <v/>
      </c>
      <c r="P947" s="396">
        <f>IFERROR(_xlfn.MINIFS($M:$M,$E:$E,$E947,$K:$K,$K947,$M:$M,"&gt;"&amp;$O947),"")</f>
        <v/>
      </c>
      <c r="Q947" s="396">
        <f>IF($P947="","",$P947-$O947)</f>
        <v/>
      </c>
    </row>
    <row r="948" ht="15" customHeight="1" s="231">
      <c r="A948" s="397" t="n"/>
      <c r="B948" s="397" t="n"/>
      <c r="C948" s="397" t="n"/>
      <c r="D948" s="397" t="n"/>
      <c r="E948" s="397" t="n"/>
      <c r="F948" s="397" t="n"/>
      <c r="G948" s="397" t="n"/>
      <c r="I948" s="397" t="n"/>
      <c r="J948" s="397" t="n"/>
      <c r="K948" s="395">
        <f>DATE(VALUE(LEFT(A948,4)),VALUE(MID(A948,5,2)),VALUE(RIGHT(A948,2)))</f>
        <v/>
      </c>
      <c r="L948" s="395">
        <f>DATEVALUE(LEFT(F948,10))</f>
        <v/>
      </c>
      <c r="M948" s="396">
        <f>TIMEVALUE(MID(F948,12,8))</f>
        <v/>
      </c>
      <c r="N948" s="395">
        <f>DATEVALUE(LEFT(G948,10))</f>
        <v/>
      </c>
      <c r="O948" s="396">
        <f>TIMEVALUE(MID(G948,12,8))</f>
        <v/>
      </c>
      <c r="P948" s="396">
        <f>IFERROR(_xlfn.MINIFS($M:$M,$E:$E,$E948,$K:$K,$K948,$M:$M,"&gt;"&amp;$O948),"")</f>
        <v/>
      </c>
      <c r="Q948" s="396">
        <f>IF($P948="","",$P948-$O948)</f>
        <v/>
      </c>
    </row>
    <row r="949" ht="15" customHeight="1" s="231">
      <c r="A949" s="397" t="n"/>
      <c r="B949" s="397" t="n"/>
      <c r="C949" s="397" t="n"/>
      <c r="D949" s="397" t="n"/>
      <c r="E949" s="397" t="n"/>
      <c r="F949" s="397" t="n"/>
      <c r="G949" s="397" t="n"/>
      <c r="I949" s="397" t="n"/>
      <c r="J949" s="397" t="n"/>
      <c r="K949" s="395">
        <f>DATE(VALUE(LEFT(A949,4)),VALUE(MID(A949,5,2)),VALUE(RIGHT(A949,2)))</f>
        <v/>
      </c>
      <c r="L949" s="395">
        <f>DATEVALUE(LEFT(F949,10))</f>
        <v/>
      </c>
      <c r="M949" s="396">
        <f>TIMEVALUE(MID(F949,12,8))</f>
        <v/>
      </c>
      <c r="N949" s="395">
        <f>DATEVALUE(LEFT(G949,10))</f>
        <v/>
      </c>
      <c r="O949" s="396">
        <f>TIMEVALUE(MID(G949,12,8))</f>
        <v/>
      </c>
      <c r="P949" s="396">
        <f>IFERROR(_xlfn.MINIFS($M:$M,$E:$E,$E949,$K:$K,$K949,$M:$M,"&gt;"&amp;$O949),"")</f>
        <v/>
      </c>
      <c r="Q949" s="396">
        <f>IF($P949="","",$P949-$O949)</f>
        <v/>
      </c>
    </row>
    <row r="950" ht="15" customHeight="1" s="231">
      <c r="A950" s="397" t="n"/>
      <c r="B950" s="397" t="n"/>
      <c r="C950" s="397" t="n"/>
      <c r="D950" s="397" t="n"/>
      <c r="E950" s="397" t="n"/>
      <c r="F950" s="397" t="n"/>
      <c r="G950" s="397" t="n"/>
      <c r="I950" s="397" t="n"/>
      <c r="J950" s="397" t="n"/>
      <c r="K950" s="395">
        <f>DATE(VALUE(LEFT(A950,4)),VALUE(MID(A950,5,2)),VALUE(RIGHT(A950,2)))</f>
        <v/>
      </c>
      <c r="L950" s="395">
        <f>DATEVALUE(LEFT(F950,10))</f>
        <v/>
      </c>
      <c r="M950" s="396">
        <f>TIMEVALUE(MID(F950,12,8))</f>
        <v/>
      </c>
      <c r="N950" s="395">
        <f>DATEVALUE(LEFT(G950,10))</f>
        <v/>
      </c>
      <c r="O950" s="396">
        <f>TIMEVALUE(MID(G950,12,8))</f>
        <v/>
      </c>
      <c r="P950" s="396">
        <f>IFERROR(_xlfn.MINIFS($M:$M,$E:$E,$E950,$K:$K,$K950,$M:$M,"&gt;"&amp;$O950),"")</f>
        <v/>
      </c>
      <c r="Q950" s="396">
        <f>IF($P950="","",$P950-$O950)</f>
        <v/>
      </c>
    </row>
    <row r="951" ht="15" customHeight="1" s="231">
      <c r="A951" s="397" t="n"/>
      <c r="B951" s="397" t="n"/>
      <c r="C951" s="397" t="n"/>
      <c r="D951" s="397" t="n"/>
      <c r="E951" s="397" t="n"/>
      <c r="F951" s="397" t="n"/>
      <c r="G951" s="397" t="n"/>
      <c r="I951" s="397" t="n"/>
      <c r="J951" s="397" t="n"/>
      <c r="K951" s="395">
        <f>DATE(VALUE(LEFT(A951,4)),VALUE(MID(A951,5,2)),VALUE(RIGHT(A951,2)))</f>
        <v/>
      </c>
      <c r="L951" s="395">
        <f>DATEVALUE(LEFT(F951,10))</f>
        <v/>
      </c>
      <c r="M951" s="396">
        <f>TIMEVALUE(MID(F951,12,8))</f>
        <v/>
      </c>
      <c r="N951" s="395">
        <f>DATEVALUE(LEFT(G951,10))</f>
        <v/>
      </c>
      <c r="O951" s="396">
        <f>TIMEVALUE(MID(G951,12,8))</f>
        <v/>
      </c>
      <c r="P951" s="396">
        <f>IFERROR(_xlfn.MINIFS($M:$M,$E:$E,$E951,$K:$K,$K951,$M:$M,"&gt;"&amp;$O951),"")</f>
        <v/>
      </c>
      <c r="Q951" s="396">
        <f>IF($P951="","",$P951-$O951)</f>
        <v/>
      </c>
    </row>
    <row r="952" ht="15" customHeight="1" s="231">
      <c r="A952" s="397" t="n"/>
      <c r="B952" s="397" t="n"/>
      <c r="C952" s="397" t="n"/>
      <c r="D952" s="397" t="n"/>
      <c r="E952" s="397" t="n"/>
      <c r="F952" s="397" t="n"/>
      <c r="G952" s="397" t="n"/>
      <c r="I952" s="397" t="n"/>
      <c r="J952" s="397" t="n"/>
      <c r="K952" s="395">
        <f>DATE(VALUE(LEFT(A952,4)),VALUE(MID(A952,5,2)),VALUE(RIGHT(A952,2)))</f>
        <v/>
      </c>
      <c r="L952" s="395">
        <f>DATEVALUE(LEFT(F952,10))</f>
        <v/>
      </c>
      <c r="M952" s="396">
        <f>TIMEVALUE(MID(F952,12,8))</f>
        <v/>
      </c>
      <c r="N952" s="395">
        <f>DATEVALUE(LEFT(G952,10))</f>
        <v/>
      </c>
      <c r="O952" s="396">
        <f>TIMEVALUE(MID(G952,12,8))</f>
        <v/>
      </c>
      <c r="P952" s="396">
        <f>IFERROR(_xlfn.MINIFS($M:$M,$E:$E,$E952,$K:$K,$K952,$M:$M,"&gt;"&amp;$O952),"")</f>
        <v/>
      </c>
      <c r="Q952" s="396">
        <f>IF($P952="","",$P952-$O952)</f>
        <v/>
      </c>
    </row>
    <row r="953" ht="15" customHeight="1" s="231">
      <c r="A953" s="397" t="n"/>
      <c r="B953" s="397" t="n"/>
      <c r="C953" s="397" t="n"/>
      <c r="D953" s="397" t="n"/>
      <c r="E953" s="397" t="n"/>
      <c r="F953" s="397" t="n"/>
      <c r="G953" s="397" t="n"/>
      <c r="I953" s="397" t="n"/>
      <c r="J953" s="397" t="n"/>
      <c r="K953" s="395">
        <f>DATE(VALUE(LEFT(A953,4)),VALUE(MID(A953,5,2)),VALUE(RIGHT(A953,2)))</f>
        <v/>
      </c>
      <c r="L953" s="395">
        <f>DATEVALUE(LEFT(F953,10))</f>
        <v/>
      </c>
      <c r="M953" s="396">
        <f>TIMEVALUE(MID(F953,12,8))</f>
        <v/>
      </c>
      <c r="N953" s="395">
        <f>DATEVALUE(LEFT(G953,10))</f>
        <v/>
      </c>
      <c r="O953" s="396">
        <f>TIMEVALUE(MID(G953,12,8))</f>
        <v/>
      </c>
      <c r="P953" s="396">
        <f>IFERROR(_xlfn.MINIFS($M:$M,$E:$E,$E953,$K:$K,$K953,$M:$M,"&gt;"&amp;$O953),"")</f>
        <v/>
      </c>
      <c r="Q953" s="396">
        <f>IF($P953="","",$P953-$O953)</f>
        <v/>
      </c>
    </row>
    <row r="954" ht="15" customHeight="1" s="231">
      <c r="A954" s="397" t="n"/>
      <c r="B954" s="397" t="n"/>
      <c r="C954" s="397" t="n"/>
      <c r="D954" s="397" t="n"/>
      <c r="E954" s="397" t="n"/>
      <c r="F954" s="397" t="n"/>
      <c r="G954" s="397" t="n"/>
      <c r="I954" s="397" t="n"/>
      <c r="J954" s="397" t="n"/>
      <c r="K954" s="395">
        <f>DATE(VALUE(LEFT(A954,4)),VALUE(MID(A954,5,2)),VALUE(RIGHT(A954,2)))</f>
        <v/>
      </c>
      <c r="L954" s="395">
        <f>DATEVALUE(LEFT(F954,10))</f>
        <v/>
      </c>
      <c r="M954" s="396">
        <f>TIMEVALUE(MID(F954,12,8))</f>
        <v/>
      </c>
      <c r="N954" s="395">
        <f>DATEVALUE(LEFT(G954,10))</f>
        <v/>
      </c>
      <c r="O954" s="396">
        <f>TIMEVALUE(MID(G954,12,8))</f>
        <v/>
      </c>
      <c r="P954" s="396">
        <f>IFERROR(_xlfn.MINIFS($M:$M,$E:$E,$E954,$K:$K,$K954,$M:$M,"&gt;"&amp;$O954),"")</f>
        <v/>
      </c>
      <c r="Q954" s="396">
        <f>IF($P954="","",$P954-$O954)</f>
        <v/>
      </c>
    </row>
    <row r="955" ht="15" customHeight="1" s="231">
      <c r="A955" s="397" t="n"/>
      <c r="B955" s="397" t="n"/>
      <c r="C955" s="397" t="n"/>
      <c r="D955" s="397" t="n"/>
      <c r="E955" s="397" t="n"/>
      <c r="F955" s="397" t="n"/>
      <c r="G955" s="397" t="n"/>
      <c r="I955" s="397" t="n"/>
      <c r="J955" s="397" t="n"/>
      <c r="K955" s="395">
        <f>DATE(VALUE(LEFT(A955,4)),VALUE(MID(A955,5,2)),VALUE(RIGHT(A955,2)))</f>
        <v/>
      </c>
      <c r="L955" s="395">
        <f>DATEVALUE(LEFT(F955,10))</f>
        <v/>
      </c>
      <c r="M955" s="396">
        <f>TIMEVALUE(MID(F955,12,8))</f>
        <v/>
      </c>
      <c r="N955" s="395">
        <f>DATEVALUE(LEFT(G955,10))</f>
        <v/>
      </c>
      <c r="O955" s="396">
        <f>TIMEVALUE(MID(G955,12,8))</f>
        <v/>
      </c>
      <c r="P955" s="396">
        <f>IFERROR(_xlfn.MINIFS($M:$M,$E:$E,$E955,$K:$K,$K955,$M:$M,"&gt;"&amp;$O955),"")</f>
        <v/>
      </c>
      <c r="Q955" s="396">
        <f>IF($P955="","",$P955-$O955)</f>
        <v/>
      </c>
    </row>
    <row r="956" ht="15" customHeight="1" s="231">
      <c r="A956" s="397" t="n"/>
      <c r="B956" s="397" t="n"/>
      <c r="C956" s="397" t="n"/>
      <c r="D956" s="397" t="n"/>
      <c r="E956" s="397" t="n"/>
      <c r="F956" s="397" t="n"/>
      <c r="G956" s="397" t="n"/>
      <c r="I956" s="397" t="n"/>
      <c r="J956" s="397" t="n"/>
      <c r="K956" s="395">
        <f>DATE(VALUE(LEFT(A956,4)),VALUE(MID(A956,5,2)),VALUE(RIGHT(A956,2)))</f>
        <v/>
      </c>
      <c r="L956" s="395">
        <f>DATEVALUE(LEFT(F956,10))</f>
        <v/>
      </c>
      <c r="M956" s="396">
        <f>TIMEVALUE(MID(F956,12,8))</f>
        <v/>
      </c>
      <c r="N956" s="395">
        <f>DATEVALUE(LEFT(G956,10))</f>
        <v/>
      </c>
      <c r="O956" s="396">
        <f>TIMEVALUE(MID(G956,12,8))</f>
        <v/>
      </c>
      <c r="P956" s="396">
        <f>IFERROR(_xlfn.MINIFS($M:$M,$E:$E,$E956,$K:$K,$K956,$M:$M,"&gt;"&amp;$O956),"")</f>
        <v/>
      </c>
      <c r="Q956" s="396">
        <f>IF($P956="","",$P956-$O956)</f>
        <v/>
      </c>
    </row>
    <row r="957" ht="15" customHeight="1" s="231">
      <c r="A957" s="397" t="n"/>
      <c r="B957" s="397" t="n"/>
      <c r="C957" s="397" t="n"/>
      <c r="D957" s="397" t="n"/>
      <c r="E957" s="397" t="n"/>
      <c r="F957" s="397" t="n"/>
      <c r="G957" s="397" t="n"/>
      <c r="I957" s="397" t="n"/>
      <c r="J957" s="397" t="n"/>
      <c r="K957" s="395">
        <f>DATE(VALUE(LEFT(A957,4)),VALUE(MID(A957,5,2)),VALUE(RIGHT(A957,2)))</f>
        <v/>
      </c>
      <c r="L957" s="395">
        <f>DATEVALUE(LEFT(F957,10))</f>
        <v/>
      </c>
      <c r="M957" s="396">
        <f>TIMEVALUE(MID(F957,12,8))</f>
        <v/>
      </c>
      <c r="N957" s="395">
        <f>DATEVALUE(LEFT(G957,10))</f>
        <v/>
      </c>
      <c r="O957" s="396">
        <f>TIMEVALUE(MID(G957,12,8))</f>
        <v/>
      </c>
      <c r="P957" s="396">
        <f>IFERROR(_xlfn.MINIFS($M:$M,$E:$E,$E957,$K:$K,$K957,$M:$M,"&gt;"&amp;$O957),"")</f>
        <v/>
      </c>
      <c r="Q957" s="396">
        <f>IF($P957="","",$P957-$O957)</f>
        <v/>
      </c>
    </row>
    <row r="958" ht="15" customHeight="1" s="231">
      <c r="A958" s="397" t="n"/>
      <c r="B958" s="397" t="n"/>
      <c r="C958" s="397" t="n"/>
      <c r="D958" s="397" t="n"/>
      <c r="E958" s="397" t="n"/>
      <c r="F958" s="397" t="n"/>
      <c r="G958" s="397" t="n"/>
      <c r="I958" s="397" t="n"/>
      <c r="J958" s="397" t="n"/>
      <c r="K958" s="395">
        <f>DATE(VALUE(LEFT(A958,4)),VALUE(MID(A958,5,2)),VALUE(RIGHT(A958,2)))</f>
        <v/>
      </c>
      <c r="L958" s="395">
        <f>DATEVALUE(LEFT(F958,10))</f>
        <v/>
      </c>
      <c r="M958" s="396">
        <f>TIMEVALUE(MID(F958,12,8))</f>
        <v/>
      </c>
      <c r="N958" s="395">
        <f>DATEVALUE(LEFT(G958,10))</f>
        <v/>
      </c>
      <c r="O958" s="396">
        <f>TIMEVALUE(MID(G958,12,8))</f>
        <v/>
      </c>
      <c r="P958" s="396">
        <f>IFERROR(_xlfn.MINIFS($M:$M,$E:$E,$E958,$K:$K,$K958,$M:$M,"&gt;"&amp;$O958),"")</f>
        <v/>
      </c>
      <c r="Q958" s="396">
        <f>IF($P958="","",$P958-$O958)</f>
        <v/>
      </c>
    </row>
    <row r="959" ht="15" customHeight="1" s="231">
      <c r="A959" s="397" t="n"/>
      <c r="B959" s="397" t="n"/>
      <c r="C959" s="397" t="n"/>
      <c r="D959" s="397" t="n"/>
      <c r="E959" s="397" t="n"/>
      <c r="F959" s="397" t="n"/>
      <c r="G959" s="397" t="n"/>
      <c r="I959" s="397" t="n"/>
      <c r="J959" s="397" t="n"/>
      <c r="K959" s="395">
        <f>DATE(VALUE(LEFT(A959,4)),VALUE(MID(A959,5,2)),VALUE(RIGHT(A959,2)))</f>
        <v/>
      </c>
      <c r="L959" s="395">
        <f>DATEVALUE(LEFT(F959,10))</f>
        <v/>
      </c>
      <c r="M959" s="396">
        <f>TIMEVALUE(MID(F959,12,8))</f>
        <v/>
      </c>
      <c r="N959" s="395">
        <f>DATEVALUE(LEFT(G959,10))</f>
        <v/>
      </c>
      <c r="O959" s="396">
        <f>TIMEVALUE(MID(G959,12,8))</f>
        <v/>
      </c>
      <c r="P959" s="396">
        <f>IFERROR(_xlfn.MINIFS($M:$M,$E:$E,$E959,$K:$K,$K959,$M:$M,"&gt;"&amp;$O959),"")</f>
        <v/>
      </c>
      <c r="Q959" s="396">
        <f>IF($P959="","",$P959-$O959)</f>
        <v/>
      </c>
    </row>
    <row r="960" ht="15" customHeight="1" s="231">
      <c r="A960" s="397" t="n"/>
      <c r="B960" s="397" t="n"/>
      <c r="C960" s="397" t="n"/>
      <c r="D960" s="397" t="n"/>
      <c r="E960" s="397" t="n"/>
      <c r="F960" s="397" t="n"/>
      <c r="G960" s="397" t="n"/>
      <c r="I960" s="397" t="n"/>
      <c r="J960" s="397" t="n"/>
      <c r="K960" s="395">
        <f>DATE(VALUE(LEFT(A960,4)),VALUE(MID(A960,5,2)),VALUE(RIGHT(A960,2)))</f>
        <v/>
      </c>
      <c r="L960" s="395">
        <f>DATEVALUE(LEFT(F960,10))</f>
        <v/>
      </c>
      <c r="M960" s="396">
        <f>TIMEVALUE(MID(F960,12,8))</f>
        <v/>
      </c>
      <c r="N960" s="395">
        <f>DATEVALUE(LEFT(G960,10))</f>
        <v/>
      </c>
      <c r="O960" s="396">
        <f>TIMEVALUE(MID(G960,12,8))</f>
        <v/>
      </c>
      <c r="P960" s="396">
        <f>IFERROR(_xlfn.MINIFS($M:$M,$E:$E,$E960,$K:$K,$K960,$M:$M,"&gt;"&amp;$O960),"")</f>
        <v/>
      </c>
      <c r="Q960" s="396">
        <f>IF($P960="","",$P960-$O960)</f>
        <v/>
      </c>
    </row>
    <row r="961" ht="15" customHeight="1" s="231">
      <c r="A961" s="397" t="n"/>
      <c r="B961" s="397" t="n"/>
      <c r="C961" s="397" t="n"/>
      <c r="D961" s="397" t="n"/>
      <c r="E961" s="397" t="n"/>
      <c r="F961" s="397" t="n"/>
      <c r="G961" s="397" t="n"/>
      <c r="I961" s="397" t="n"/>
      <c r="J961" s="397" t="n"/>
      <c r="K961" s="395">
        <f>DATE(VALUE(LEFT(A961,4)),VALUE(MID(A961,5,2)),VALUE(RIGHT(A961,2)))</f>
        <v/>
      </c>
      <c r="L961" s="395">
        <f>DATEVALUE(LEFT(F961,10))</f>
        <v/>
      </c>
      <c r="M961" s="396">
        <f>TIMEVALUE(MID(F961,12,8))</f>
        <v/>
      </c>
      <c r="N961" s="395">
        <f>DATEVALUE(LEFT(G961,10))</f>
        <v/>
      </c>
      <c r="O961" s="396">
        <f>TIMEVALUE(MID(G961,12,8))</f>
        <v/>
      </c>
      <c r="P961" s="396">
        <f>IFERROR(_xlfn.MINIFS($M:$M,$E:$E,$E961,$K:$K,$K961,$M:$M,"&gt;"&amp;$O961),"")</f>
        <v/>
      </c>
      <c r="Q961" s="396">
        <f>IF($P961="","",$P961-$O961)</f>
        <v/>
      </c>
    </row>
    <row r="962" ht="15" customHeight="1" s="231">
      <c r="A962" s="397" t="n"/>
      <c r="B962" s="397" t="n"/>
      <c r="C962" s="397" t="n"/>
      <c r="D962" s="397" t="n"/>
      <c r="E962" s="397" t="n"/>
      <c r="F962" s="397" t="n"/>
      <c r="G962" s="397" t="n"/>
      <c r="I962" s="397" t="n"/>
      <c r="J962" s="397" t="n"/>
      <c r="K962" s="395">
        <f>DATE(VALUE(LEFT(A962,4)),VALUE(MID(A962,5,2)),VALUE(RIGHT(A962,2)))</f>
        <v/>
      </c>
      <c r="L962" s="395">
        <f>DATEVALUE(LEFT(F962,10))</f>
        <v/>
      </c>
      <c r="M962" s="396">
        <f>TIMEVALUE(MID(F962,12,8))</f>
        <v/>
      </c>
      <c r="N962" s="395">
        <f>DATEVALUE(LEFT(G962,10))</f>
        <v/>
      </c>
      <c r="O962" s="396">
        <f>TIMEVALUE(MID(G962,12,8))</f>
        <v/>
      </c>
      <c r="P962" s="396">
        <f>IFERROR(_xlfn.MINIFS($M:$M,$E:$E,$E962,$K:$K,$K962,$M:$M,"&gt;"&amp;$O962),"")</f>
        <v/>
      </c>
      <c r="Q962" s="396">
        <f>IF($P962="","",$P962-$O962)</f>
        <v/>
      </c>
    </row>
    <row r="963" ht="15" customHeight="1" s="231">
      <c r="A963" s="397" t="n"/>
      <c r="B963" s="397" t="n"/>
      <c r="C963" s="397" t="n"/>
      <c r="D963" s="397" t="n"/>
      <c r="E963" s="397" t="n"/>
      <c r="F963" s="397" t="n"/>
      <c r="G963" s="397" t="n"/>
      <c r="I963" s="397" t="n"/>
      <c r="J963" s="397" t="n"/>
      <c r="K963" s="395">
        <f>DATE(VALUE(LEFT(A963,4)),VALUE(MID(A963,5,2)),VALUE(RIGHT(A963,2)))</f>
        <v/>
      </c>
      <c r="L963" s="395">
        <f>DATEVALUE(LEFT(F963,10))</f>
        <v/>
      </c>
      <c r="M963" s="396">
        <f>TIMEVALUE(MID(F963,12,8))</f>
        <v/>
      </c>
      <c r="N963" s="395">
        <f>DATEVALUE(LEFT(G963,10))</f>
        <v/>
      </c>
      <c r="O963" s="396">
        <f>TIMEVALUE(MID(G963,12,8))</f>
        <v/>
      </c>
      <c r="P963" s="396">
        <f>IFERROR(_xlfn.MINIFS($M:$M,$E:$E,$E963,$K:$K,$K963,$M:$M,"&gt;"&amp;$O963),"")</f>
        <v/>
      </c>
      <c r="Q963" s="396">
        <f>IF($P963="","",$P963-$O963)</f>
        <v/>
      </c>
    </row>
    <row r="964" ht="15" customHeight="1" s="231">
      <c r="A964" s="397" t="n"/>
      <c r="B964" s="397" t="n"/>
      <c r="C964" s="397" t="n"/>
      <c r="D964" s="397" t="n"/>
      <c r="E964" s="397" t="n"/>
      <c r="F964" s="397" t="n"/>
      <c r="G964" s="397" t="n"/>
      <c r="I964" s="397" t="n"/>
      <c r="J964" s="397" t="n"/>
      <c r="K964" s="395">
        <f>DATE(VALUE(LEFT(A964,4)),VALUE(MID(A964,5,2)),VALUE(RIGHT(A964,2)))</f>
        <v/>
      </c>
      <c r="L964" s="395">
        <f>DATEVALUE(LEFT(F964,10))</f>
        <v/>
      </c>
      <c r="M964" s="396">
        <f>TIMEVALUE(MID(F964,12,8))</f>
        <v/>
      </c>
      <c r="N964" s="395">
        <f>DATEVALUE(LEFT(G964,10))</f>
        <v/>
      </c>
      <c r="O964" s="396">
        <f>TIMEVALUE(MID(G964,12,8))</f>
        <v/>
      </c>
      <c r="P964" s="396">
        <f>IFERROR(_xlfn.MINIFS($M:$M,$E:$E,$E964,$K:$K,$K964,$M:$M,"&gt;"&amp;$O964),"")</f>
        <v/>
      </c>
      <c r="Q964" s="396">
        <f>IF($P964="","",$P964-$O964)</f>
        <v/>
      </c>
    </row>
    <row r="965" ht="15" customHeight="1" s="231">
      <c r="A965" s="397" t="n"/>
      <c r="B965" s="397" t="n"/>
      <c r="C965" s="397" t="n"/>
      <c r="D965" s="397" t="n"/>
      <c r="E965" s="397" t="n"/>
      <c r="F965" s="397" t="n"/>
      <c r="G965" s="397" t="n"/>
      <c r="I965" s="397" t="n"/>
      <c r="J965" s="397" t="n"/>
      <c r="K965" s="395">
        <f>DATE(VALUE(LEFT(A965,4)),VALUE(MID(A965,5,2)),VALUE(RIGHT(A965,2)))</f>
        <v/>
      </c>
      <c r="L965" s="395">
        <f>DATEVALUE(LEFT(F965,10))</f>
        <v/>
      </c>
      <c r="M965" s="396">
        <f>TIMEVALUE(MID(F965,12,8))</f>
        <v/>
      </c>
      <c r="N965" s="395">
        <f>DATEVALUE(LEFT(G965,10))</f>
        <v/>
      </c>
      <c r="O965" s="396">
        <f>TIMEVALUE(MID(G965,12,8))</f>
        <v/>
      </c>
      <c r="P965" s="396">
        <f>IFERROR(_xlfn.MINIFS($M:$M,$E:$E,$E965,$K:$K,$K965,$M:$M,"&gt;"&amp;$O965),"")</f>
        <v/>
      </c>
      <c r="Q965" s="396">
        <f>IF($P965="","",$P965-$O965)</f>
        <v/>
      </c>
    </row>
    <row r="966" ht="15" customHeight="1" s="231">
      <c r="A966" s="397" t="n"/>
      <c r="B966" s="397" t="n"/>
      <c r="C966" s="397" t="n"/>
      <c r="D966" s="397" t="n"/>
      <c r="E966" s="397" t="n"/>
      <c r="F966" s="397" t="n"/>
      <c r="G966" s="397" t="n"/>
      <c r="I966" s="397" t="n"/>
      <c r="J966" s="397" t="n"/>
      <c r="K966" s="395">
        <f>DATE(VALUE(LEFT(A966,4)),VALUE(MID(A966,5,2)),VALUE(RIGHT(A966,2)))</f>
        <v/>
      </c>
      <c r="L966" s="395">
        <f>DATEVALUE(LEFT(F966,10))</f>
        <v/>
      </c>
      <c r="M966" s="396">
        <f>TIMEVALUE(MID(F966,12,8))</f>
        <v/>
      </c>
      <c r="N966" s="395">
        <f>DATEVALUE(LEFT(G966,10))</f>
        <v/>
      </c>
      <c r="O966" s="396">
        <f>TIMEVALUE(MID(G966,12,8))</f>
        <v/>
      </c>
      <c r="P966" s="396">
        <f>IFERROR(_xlfn.MINIFS($M:$M,$E:$E,$E966,$K:$K,$K966,$M:$M,"&gt;"&amp;$O966),"")</f>
        <v/>
      </c>
      <c r="Q966" s="396">
        <f>IF($P966="","",$P966-$O966)</f>
        <v/>
      </c>
    </row>
    <row r="967" ht="15" customHeight="1" s="231">
      <c r="A967" s="397" t="n"/>
      <c r="B967" s="397" t="n"/>
      <c r="C967" s="397" t="n"/>
      <c r="D967" s="397" t="n"/>
      <c r="E967" s="397" t="n"/>
      <c r="F967" s="397" t="n"/>
      <c r="G967" s="397" t="n"/>
      <c r="I967" s="397" t="n"/>
      <c r="J967" s="397" t="n"/>
      <c r="K967" s="395">
        <f>DATE(VALUE(LEFT(A967,4)),VALUE(MID(A967,5,2)),VALUE(RIGHT(A967,2)))</f>
        <v/>
      </c>
      <c r="L967" s="395">
        <f>DATEVALUE(LEFT(F967,10))</f>
        <v/>
      </c>
      <c r="M967" s="396">
        <f>TIMEVALUE(MID(F967,12,8))</f>
        <v/>
      </c>
      <c r="N967" s="395">
        <f>DATEVALUE(LEFT(G967,10))</f>
        <v/>
      </c>
      <c r="O967" s="396">
        <f>TIMEVALUE(MID(G967,12,8))</f>
        <v/>
      </c>
      <c r="P967" s="396">
        <f>IFERROR(_xlfn.MINIFS($M:$M,$E:$E,$E967,$K:$K,$K967,$M:$M,"&gt;"&amp;$O967),"")</f>
        <v/>
      </c>
      <c r="Q967" s="396">
        <f>IF($P967="","",$P967-$O967)</f>
        <v/>
      </c>
    </row>
    <row r="968" ht="15" customHeight="1" s="231">
      <c r="A968" s="397" t="n"/>
      <c r="B968" s="397" t="n"/>
      <c r="C968" s="397" t="n"/>
      <c r="D968" s="397" t="n"/>
      <c r="E968" s="397" t="n"/>
      <c r="F968" s="397" t="n"/>
      <c r="G968" s="397" t="n"/>
      <c r="I968" s="397" t="n"/>
      <c r="J968" s="397" t="n"/>
      <c r="K968" s="395">
        <f>DATE(VALUE(LEFT(A968,4)),VALUE(MID(A968,5,2)),VALUE(RIGHT(A968,2)))</f>
        <v/>
      </c>
      <c r="L968" s="395">
        <f>DATEVALUE(LEFT(F968,10))</f>
        <v/>
      </c>
      <c r="M968" s="396">
        <f>TIMEVALUE(MID(F968,12,8))</f>
        <v/>
      </c>
      <c r="N968" s="395">
        <f>DATEVALUE(LEFT(G968,10))</f>
        <v/>
      </c>
      <c r="O968" s="396">
        <f>TIMEVALUE(MID(G968,12,8))</f>
        <v/>
      </c>
      <c r="P968" s="396">
        <f>IFERROR(_xlfn.MINIFS($M:$M,$E:$E,$E968,$K:$K,$K968,$M:$M,"&gt;"&amp;$O968),"")</f>
        <v/>
      </c>
      <c r="Q968" s="396">
        <f>IF($P968="","",$P968-$O968)</f>
        <v/>
      </c>
    </row>
    <row r="969" ht="15" customHeight="1" s="231">
      <c r="A969" s="397" t="n"/>
      <c r="B969" s="397" t="n"/>
      <c r="C969" s="397" t="n"/>
      <c r="D969" s="397" t="n"/>
      <c r="E969" s="397" t="n"/>
      <c r="F969" s="397" t="n"/>
      <c r="G969" s="397" t="n"/>
      <c r="I969" s="397" t="n"/>
      <c r="J969" s="397" t="n"/>
      <c r="K969" s="395">
        <f>DATE(VALUE(LEFT(A969,4)),VALUE(MID(A969,5,2)),VALUE(RIGHT(A969,2)))</f>
        <v/>
      </c>
      <c r="L969" s="395">
        <f>DATEVALUE(LEFT(F969,10))</f>
        <v/>
      </c>
      <c r="M969" s="396">
        <f>TIMEVALUE(MID(F969,12,8))</f>
        <v/>
      </c>
      <c r="N969" s="395">
        <f>DATEVALUE(LEFT(G969,10))</f>
        <v/>
      </c>
      <c r="O969" s="396">
        <f>TIMEVALUE(MID(G969,12,8))</f>
        <v/>
      </c>
      <c r="P969" s="396">
        <f>IFERROR(_xlfn.MINIFS($M:$M,$E:$E,$E969,$K:$K,$K969,$M:$M,"&gt;"&amp;$O969),"")</f>
        <v/>
      </c>
      <c r="Q969" s="396">
        <f>IF($P969="","",$P969-$O969)</f>
        <v/>
      </c>
    </row>
    <row r="970" ht="15" customHeight="1" s="231">
      <c r="A970" s="397" t="n"/>
      <c r="B970" s="397" t="n"/>
      <c r="C970" s="397" t="n"/>
      <c r="D970" s="397" t="n"/>
      <c r="E970" s="397" t="n"/>
      <c r="F970" s="397" t="n"/>
      <c r="G970" s="397" t="n"/>
      <c r="I970" s="397" t="n"/>
      <c r="J970" s="397" t="n"/>
      <c r="K970" s="395">
        <f>DATE(VALUE(LEFT(A970,4)),VALUE(MID(A970,5,2)),VALUE(RIGHT(A970,2)))</f>
        <v/>
      </c>
      <c r="L970" s="395">
        <f>DATEVALUE(LEFT(F970,10))</f>
        <v/>
      </c>
      <c r="M970" s="396">
        <f>TIMEVALUE(MID(F970,12,8))</f>
        <v/>
      </c>
      <c r="N970" s="395">
        <f>DATEVALUE(LEFT(G970,10))</f>
        <v/>
      </c>
      <c r="O970" s="396">
        <f>TIMEVALUE(MID(G970,12,8))</f>
        <v/>
      </c>
      <c r="P970" s="396">
        <f>IFERROR(_xlfn.MINIFS($M:$M,$E:$E,$E970,$K:$K,$K970,$M:$M,"&gt;"&amp;$O970),"")</f>
        <v/>
      </c>
      <c r="Q970" s="396">
        <f>IF($P970="","",$P970-$O970)</f>
        <v/>
      </c>
    </row>
    <row r="971" ht="15" customHeight="1" s="231">
      <c r="A971" s="397" t="n"/>
      <c r="B971" s="397" t="n"/>
      <c r="C971" s="397" t="n"/>
      <c r="D971" s="397" t="n"/>
      <c r="E971" s="397" t="n"/>
      <c r="F971" s="397" t="n"/>
      <c r="G971" s="397" t="n"/>
      <c r="I971" s="397" t="n"/>
      <c r="J971" s="397" t="n"/>
      <c r="K971" s="395">
        <f>DATE(VALUE(LEFT(A971,4)),VALUE(MID(A971,5,2)),VALUE(RIGHT(A971,2)))</f>
        <v/>
      </c>
      <c r="L971" s="395">
        <f>DATEVALUE(LEFT(F971,10))</f>
        <v/>
      </c>
      <c r="M971" s="396">
        <f>TIMEVALUE(MID(F971,12,8))</f>
        <v/>
      </c>
      <c r="N971" s="395">
        <f>DATEVALUE(LEFT(G971,10))</f>
        <v/>
      </c>
      <c r="O971" s="396">
        <f>TIMEVALUE(MID(G971,12,8))</f>
        <v/>
      </c>
      <c r="P971" s="396">
        <f>IFERROR(_xlfn.MINIFS($M:$M,$E:$E,$E971,$K:$K,$K971,$M:$M,"&gt;"&amp;$O971),"")</f>
        <v/>
      </c>
      <c r="Q971" s="396">
        <f>IF($P971="","",$P971-$O971)</f>
        <v/>
      </c>
    </row>
    <row r="972" ht="15" customHeight="1" s="231">
      <c r="A972" s="397" t="n"/>
      <c r="B972" s="397" t="n"/>
      <c r="C972" s="397" t="n"/>
      <c r="D972" s="397" t="n"/>
      <c r="E972" s="397" t="n"/>
      <c r="F972" s="397" t="n"/>
      <c r="G972" s="397" t="n"/>
      <c r="I972" s="397" t="n"/>
      <c r="J972" s="397" t="n"/>
      <c r="K972" s="395">
        <f>DATE(VALUE(LEFT(A972,4)),VALUE(MID(A972,5,2)),VALUE(RIGHT(A972,2)))</f>
        <v/>
      </c>
      <c r="L972" s="395">
        <f>DATEVALUE(LEFT(F972,10))</f>
        <v/>
      </c>
      <c r="M972" s="396">
        <f>TIMEVALUE(MID(F972,12,8))</f>
        <v/>
      </c>
      <c r="N972" s="395">
        <f>DATEVALUE(LEFT(G972,10))</f>
        <v/>
      </c>
      <c r="O972" s="396">
        <f>TIMEVALUE(MID(G972,12,8))</f>
        <v/>
      </c>
      <c r="P972" s="396">
        <f>IFERROR(_xlfn.MINIFS($M:$M,$E:$E,$E972,$K:$K,$K972,$M:$M,"&gt;"&amp;$O972),"")</f>
        <v/>
      </c>
      <c r="Q972" s="396">
        <f>IF($P972="","",$P972-$O972)</f>
        <v/>
      </c>
    </row>
    <row r="973" ht="15" customHeight="1" s="231">
      <c r="A973" s="397" t="n"/>
      <c r="B973" s="397" t="n"/>
      <c r="C973" s="397" t="n"/>
      <c r="D973" s="397" t="n"/>
      <c r="E973" s="397" t="n"/>
      <c r="F973" s="397" t="n"/>
      <c r="G973" s="397" t="n"/>
      <c r="I973" s="397" t="n"/>
      <c r="J973" s="397" t="n"/>
      <c r="K973" s="395">
        <f>DATE(VALUE(LEFT(A973,4)),VALUE(MID(A973,5,2)),VALUE(RIGHT(A973,2)))</f>
        <v/>
      </c>
      <c r="L973" s="395">
        <f>DATEVALUE(LEFT(F973,10))</f>
        <v/>
      </c>
      <c r="M973" s="396">
        <f>TIMEVALUE(MID(F973,12,8))</f>
        <v/>
      </c>
      <c r="N973" s="395">
        <f>DATEVALUE(LEFT(G973,10))</f>
        <v/>
      </c>
      <c r="O973" s="396">
        <f>TIMEVALUE(MID(G973,12,8))</f>
        <v/>
      </c>
      <c r="P973" s="396">
        <f>IFERROR(_xlfn.MINIFS($M:$M,$E:$E,$E973,$K:$K,$K973,$M:$M,"&gt;"&amp;$O973),"")</f>
        <v/>
      </c>
      <c r="Q973" s="396">
        <f>IF($P973="","",$P973-$O973)</f>
        <v/>
      </c>
    </row>
    <row r="974" ht="15" customHeight="1" s="231">
      <c r="A974" s="397" t="n"/>
      <c r="B974" s="397" t="n"/>
      <c r="C974" s="397" t="n"/>
      <c r="D974" s="397" t="n"/>
      <c r="E974" s="397" t="n"/>
      <c r="F974" s="397" t="n"/>
      <c r="G974" s="397" t="n"/>
      <c r="I974" s="397" t="n"/>
      <c r="J974" s="397" t="n"/>
      <c r="K974" s="395">
        <f>DATE(VALUE(LEFT(A974,4)),VALUE(MID(A974,5,2)),VALUE(RIGHT(A974,2)))</f>
        <v/>
      </c>
      <c r="L974" s="395">
        <f>DATEVALUE(LEFT(F974,10))</f>
        <v/>
      </c>
      <c r="M974" s="396">
        <f>TIMEVALUE(MID(F974,12,8))</f>
        <v/>
      </c>
      <c r="N974" s="395">
        <f>DATEVALUE(LEFT(G974,10))</f>
        <v/>
      </c>
      <c r="O974" s="396">
        <f>TIMEVALUE(MID(G974,12,8))</f>
        <v/>
      </c>
      <c r="P974" s="396">
        <f>IFERROR(_xlfn.MINIFS($M:$M,$E:$E,$E974,$K:$K,$K974,$M:$M,"&gt;"&amp;$O974),"")</f>
        <v/>
      </c>
      <c r="Q974" s="396">
        <f>IF($P974="","",$P974-$O974)</f>
        <v/>
      </c>
    </row>
    <row r="975" ht="15" customHeight="1" s="231">
      <c r="A975" s="397" t="n"/>
      <c r="B975" s="397" t="n"/>
      <c r="C975" s="397" t="n"/>
      <c r="D975" s="397" t="n"/>
      <c r="E975" s="397" t="n"/>
      <c r="F975" s="397" t="n"/>
      <c r="G975" s="397" t="n"/>
      <c r="I975" s="397" t="n"/>
      <c r="J975" s="397" t="n"/>
      <c r="K975" s="395">
        <f>DATE(VALUE(LEFT(A975,4)),VALUE(MID(A975,5,2)),VALUE(RIGHT(A975,2)))</f>
        <v/>
      </c>
      <c r="L975" s="395">
        <f>DATEVALUE(LEFT(F975,10))</f>
        <v/>
      </c>
      <c r="M975" s="396">
        <f>TIMEVALUE(MID(F975,12,8))</f>
        <v/>
      </c>
      <c r="N975" s="395">
        <f>DATEVALUE(LEFT(G975,10))</f>
        <v/>
      </c>
      <c r="O975" s="396">
        <f>TIMEVALUE(MID(G975,12,8))</f>
        <v/>
      </c>
      <c r="P975" s="396">
        <f>IFERROR(_xlfn.MINIFS($M:$M,$E:$E,$E975,$K:$K,$K975,$M:$M,"&gt;"&amp;$O975),"")</f>
        <v/>
      </c>
      <c r="Q975" s="396">
        <f>IF($P975="","",$P975-$O975)</f>
        <v/>
      </c>
    </row>
    <row r="976" ht="15" customHeight="1" s="231">
      <c r="A976" s="397" t="n"/>
      <c r="B976" s="397" t="n"/>
      <c r="C976" s="397" t="n"/>
      <c r="D976" s="397" t="n"/>
      <c r="E976" s="397" t="n"/>
      <c r="F976" s="397" t="n"/>
      <c r="G976" s="397" t="n"/>
      <c r="I976" s="397" t="n"/>
      <c r="J976" s="397" t="n"/>
      <c r="K976" s="395">
        <f>DATE(VALUE(LEFT(A976,4)),VALUE(MID(A976,5,2)),VALUE(RIGHT(A976,2)))</f>
        <v/>
      </c>
      <c r="L976" s="395">
        <f>DATEVALUE(LEFT(F976,10))</f>
        <v/>
      </c>
      <c r="M976" s="396">
        <f>TIMEVALUE(MID(F976,12,8))</f>
        <v/>
      </c>
      <c r="N976" s="395">
        <f>DATEVALUE(LEFT(G976,10))</f>
        <v/>
      </c>
      <c r="O976" s="396">
        <f>TIMEVALUE(MID(G976,12,8))</f>
        <v/>
      </c>
      <c r="P976" s="396">
        <f>IFERROR(_xlfn.MINIFS($M:$M,$E:$E,$E976,$K:$K,$K976,$M:$M,"&gt;"&amp;$O976),"")</f>
        <v/>
      </c>
      <c r="Q976" s="396">
        <f>IF($P976="","",$P976-$O976)</f>
        <v/>
      </c>
    </row>
    <row r="977" ht="15" customHeight="1" s="231">
      <c r="A977" s="397" t="n"/>
      <c r="B977" s="397" t="n"/>
      <c r="C977" s="397" t="n"/>
      <c r="D977" s="397" t="n"/>
      <c r="E977" s="397" t="n"/>
      <c r="F977" s="397" t="n"/>
      <c r="G977" s="397" t="n"/>
      <c r="I977" s="397" t="n"/>
      <c r="J977" s="397" t="n"/>
      <c r="K977" s="395">
        <f>DATE(VALUE(LEFT(A977,4)),VALUE(MID(A977,5,2)),VALUE(RIGHT(A977,2)))</f>
        <v/>
      </c>
      <c r="L977" s="395">
        <f>DATEVALUE(LEFT(F977,10))</f>
        <v/>
      </c>
      <c r="M977" s="396">
        <f>TIMEVALUE(MID(F977,12,8))</f>
        <v/>
      </c>
      <c r="N977" s="395">
        <f>DATEVALUE(LEFT(G977,10))</f>
        <v/>
      </c>
      <c r="O977" s="396">
        <f>TIMEVALUE(MID(G977,12,8))</f>
        <v/>
      </c>
      <c r="P977" s="396">
        <f>IFERROR(_xlfn.MINIFS($M:$M,$E:$E,$E977,$K:$K,$K977,$M:$M,"&gt;"&amp;$O977),"")</f>
        <v/>
      </c>
      <c r="Q977" s="396">
        <f>IF($P977="","",$P977-$O977)</f>
        <v/>
      </c>
    </row>
    <row r="978" ht="15" customHeight="1" s="231">
      <c r="A978" s="397" t="n"/>
      <c r="B978" s="397" t="n"/>
      <c r="C978" s="397" t="n"/>
      <c r="D978" s="397" t="n"/>
      <c r="E978" s="397" t="n"/>
      <c r="F978" s="397" t="n"/>
      <c r="G978" s="397" t="n"/>
      <c r="I978" s="397" t="n"/>
      <c r="J978" s="397" t="n"/>
      <c r="K978" s="395">
        <f>DATE(VALUE(LEFT(A978,4)),VALUE(MID(A978,5,2)),VALUE(RIGHT(A978,2)))</f>
        <v/>
      </c>
      <c r="L978" s="395">
        <f>DATEVALUE(LEFT(F978,10))</f>
        <v/>
      </c>
      <c r="M978" s="396">
        <f>TIMEVALUE(MID(F978,12,8))</f>
        <v/>
      </c>
      <c r="N978" s="395">
        <f>DATEVALUE(LEFT(G978,10))</f>
        <v/>
      </c>
      <c r="O978" s="396">
        <f>TIMEVALUE(MID(G978,12,8))</f>
        <v/>
      </c>
      <c r="P978" s="396">
        <f>IFERROR(_xlfn.MINIFS($M:$M,$E:$E,$E978,$K:$K,$K978,$M:$M,"&gt;"&amp;$O978),"")</f>
        <v/>
      </c>
      <c r="Q978" s="396">
        <f>IF($P978="","",$P978-$O978)</f>
        <v/>
      </c>
    </row>
    <row r="979" ht="15" customHeight="1" s="231">
      <c r="A979" s="397" t="n"/>
      <c r="B979" s="397" t="n"/>
      <c r="C979" s="397" t="n"/>
      <c r="D979" s="397" t="n"/>
      <c r="E979" s="397" t="n"/>
      <c r="F979" s="397" t="n"/>
      <c r="G979" s="397" t="n"/>
      <c r="I979" s="397" t="n"/>
      <c r="J979" s="397" t="n"/>
      <c r="K979" s="395">
        <f>DATE(VALUE(LEFT(A979,4)),VALUE(MID(A979,5,2)),VALUE(RIGHT(A979,2)))</f>
        <v/>
      </c>
      <c r="L979" s="395">
        <f>DATEVALUE(LEFT(F979,10))</f>
        <v/>
      </c>
      <c r="M979" s="396">
        <f>TIMEVALUE(MID(F979,12,8))</f>
        <v/>
      </c>
      <c r="N979" s="395">
        <f>DATEVALUE(LEFT(G979,10))</f>
        <v/>
      </c>
      <c r="O979" s="396">
        <f>TIMEVALUE(MID(G979,12,8))</f>
        <v/>
      </c>
      <c r="P979" s="396">
        <f>IFERROR(_xlfn.MINIFS($M:$M,$E:$E,$E979,$K:$K,$K979,$M:$M,"&gt;"&amp;$O979),"")</f>
        <v/>
      </c>
      <c r="Q979" s="396">
        <f>IF($P979="","",$P979-$O979)</f>
        <v/>
      </c>
    </row>
    <row r="980" ht="15" customHeight="1" s="231">
      <c r="A980" s="397" t="n"/>
      <c r="B980" s="397" t="n"/>
      <c r="C980" s="397" t="n"/>
      <c r="D980" s="397" t="n"/>
      <c r="E980" s="397" t="n"/>
      <c r="F980" s="397" t="n"/>
      <c r="G980" s="397" t="n"/>
      <c r="I980" s="397" t="n"/>
      <c r="J980" s="397" t="n"/>
      <c r="K980" s="395">
        <f>DATE(VALUE(LEFT(A980,4)),VALUE(MID(A980,5,2)),VALUE(RIGHT(A980,2)))</f>
        <v/>
      </c>
      <c r="L980" s="395">
        <f>DATEVALUE(LEFT(F980,10))</f>
        <v/>
      </c>
      <c r="M980" s="396">
        <f>TIMEVALUE(MID(F980,12,8))</f>
        <v/>
      </c>
      <c r="N980" s="395">
        <f>DATEVALUE(LEFT(G980,10))</f>
        <v/>
      </c>
      <c r="O980" s="396">
        <f>TIMEVALUE(MID(G980,12,8))</f>
        <v/>
      </c>
      <c r="P980" s="396">
        <f>IFERROR(_xlfn.MINIFS($M:$M,$E:$E,$E980,$K:$K,$K980,$M:$M,"&gt;"&amp;$O980),"")</f>
        <v/>
      </c>
      <c r="Q980" s="396">
        <f>IF($P980="","",$P980-$O980)</f>
        <v/>
      </c>
    </row>
    <row r="981" ht="15" customHeight="1" s="231">
      <c r="A981" s="397" t="n"/>
      <c r="B981" s="397" t="n"/>
      <c r="C981" s="397" t="n"/>
      <c r="D981" s="397" t="n"/>
      <c r="E981" s="397" t="n"/>
      <c r="F981" s="397" t="n"/>
      <c r="G981" s="397" t="n"/>
      <c r="I981" s="397" t="n"/>
      <c r="J981" s="397" t="n"/>
      <c r="K981" s="395">
        <f>DATE(VALUE(LEFT(A981,4)),VALUE(MID(A981,5,2)),VALUE(RIGHT(A981,2)))</f>
        <v/>
      </c>
      <c r="L981" s="395">
        <f>DATEVALUE(LEFT(F981,10))</f>
        <v/>
      </c>
      <c r="M981" s="396">
        <f>TIMEVALUE(MID(F981,12,8))</f>
        <v/>
      </c>
      <c r="N981" s="395">
        <f>DATEVALUE(LEFT(G981,10))</f>
        <v/>
      </c>
      <c r="O981" s="396">
        <f>TIMEVALUE(MID(G981,12,8))</f>
        <v/>
      </c>
      <c r="P981" s="396">
        <f>IFERROR(_xlfn.MINIFS($M:$M,$E:$E,$E981,$K:$K,$K981,$M:$M,"&gt;"&amp;$O981),"")</f>
        <v/>
      </c>
      <c r="Q981" s="396">
        <f>IF($P981="","",$P981-$O981)</f>
        <v/>
      </c>
    </row>
    <row r="982" ht="15" customHeight="1" s="231">
      <c r="A982" s="397" t="n"/>
      <c r="B982" s="397" t="n"/>
      <c r="C982" s="397" t="n"/>
      <c r="D982" s="397" t="n"/>
      <c r="E982" s="397" t="n"/>
      <c r="F982" s="397" t="n"/>
      <c r="G982" s="397" t="n"/>
      <c r="I982" s="397" t="n"/>
      <c r="J982" s="397" t="n"/>
      <c r="K982" s="395">
        <f>DATE(VALUE(LEFT(A982,4)),VALUE(MID(A982,5,2)),VALUE(RIGHT(A982,2)))</f>
        <v/>
      </c>
      <c r="L982" s="395">
        <f>DATEVALUE(LEFT(F982,10))</f>
        <v/>
      </c>
      <c r="M982" s="396">
        <f>TIMEVALUE(MID(F982,12,8))</f>
        <v/>
      </c>
      <c r="N982" s="395">
        <f>DATEVALUE(LEFT(G982,10))</f>
        <v/>
      </c>
      <c r="O982" s="396">
        <f>TIMEVALUE(MID(G982,12,8))</f>
        <v/>
      </c>
      <c r="P982" s="396">
        <f>IFERROR(_xlfn.MINIFS($M:$M,$E:$E,$E982,$K:$K,$K982,$M:$M,"&gt;"&amp;$O982),"")</f>
        <v/>
      </c>
      <c r="Q982" s="396">
        <f>IF($P982="","",$P982-$O982)</f>
        <v/>
      </c>
    </row>
    <row r="983" ht="15" customHeight="1" s="231">
      <c r="A983" s="397" t="n"/>
      <c r="B983" s="397" t="n"/>
      <c r="C983" s="397" t="n"/>
      <c r="D983" s="397" t="n"/>
      <c r="E983" s="397" t="n"/>
      <c r="F983" s="397" t="n"/>
      <c r="G983" s="397" t="n"/>
      <c r="I983" s="397" t="n"/>
      <c r="J983" s="397" t="n"/>
      <c r="K983" s="395">
        <f>DATE(VALUE(LEFT(A983,4)),VALUE(MID(A983,5,2)),VALUE(RIGHT(A983,2)))</f>
        <v/>
      </c>
      <c r="L983" s="395">
        <f>DATEVALUE(LEFT(F983,10))</f>
        <v/>
      </c>
      <c r="M983" s="396">
        <f>TIMEVALUE(MID(F983,12,8))</f>
        <v/>
      </c>
      <c r="N983" s="395">
        <f>DATEVALUE(LEFT(G983,10))</f>
        <v/>
      </c>
      <c r="O983" s="396">
        <f>TIMEVALUE(MID(G983,12,8))</f>
        <v/>
      </c>
      <c r="P983" s="396">
        <f>IFERROR(_xlfn.MINIFS($M:$M,$E:$E,$E983,$K:$K,$K983,$M:$M,"&gt;"&amp;$O983),"")</f>
        <v/>
      </c>
      <c r="Q983" s="396">
        <f>IF($P983="","",$P983-$O983)</f>
        <v/>
      </c>
    </row>
    <row r="984" ht="15" customHeight="1" s="231">
      <c r="A984" s="397" t="n"/>
      <c r="B984" s="397" t="n"/>
      <c r="C984" s="397" t="n"/>
      <c r="D984" s="397" t="n"/>
      <c r="E984" s="397" t="n"/>
      <c r="F984" s="397" t="n"/>
      <c r="G984" s="397" t="n"/>
      <c r="I984" s="397" t="n"/>
      <c r="J984" s="397" t="n"/>
      <c r="K984" s="395">
        <f>DATE(VALUE(LEFT(A984,4)),VALUE(MID(A984,5,2)),VALUE(RIGHT(A984,2)))</f>
        <v/>
      </c>
      <c r="L984" s="395">
        <f>DATEVALUE(LEFT(F984,10))</f>
        <v/>
      </c>
      <c r="M984" s="396">
        <f>TIMEVALUE(MID(F984,12,8))</f>
        <v/>
      </c>
      <c r="N984" s="395">
        <f>DATEVALUE(LEFT(G984,10))</f>
        <v/>
      </c>
      <c r="O984" s="396">
        <f>TIMEVALUE(MID(G984,12,8))</f>
        <v/>
      </c>
      <c r="P984" s="396">
        <f>IFERROR(_xlfn.MINIFS($M:$M,$E:$E,$E984,$K:$K,$K984,$M:$M,"&gt;"&amp;$O984),"")</f>
        <v/>
      </c>
      <c r="Q984" s="396">
        <f>IF($P984="","",$P984-$O984)</f>
        <v/>
      </c>
    </row>
    <row r="985" ht="15" customHeight="1" s="231">
      <c r="A985" s="397" t="n"/>
      <c r="B985" s="397" t="n"/>
      <c r="C985" s="397" t="n"/>
      <c r="D985" s="397" t="n"/>
      <c r="E985" s="397" t="n"/>
      <c r="F985" s="397" t="n"/>
      <c r="G985" s="397" t="n"/>
      <c r="I985" s="397" t="n"/>
      <c r="J985" s="397" t="n"/>
      <c r="K985" s="395">
        <f>DATE(VALUE(LEFT(A985,4)),VALUE(MID(A985,5,2)),VALUE(RIGHT(A985,2)))</f>
        <v/>
      </c>
      <c r="L985" s="395">
        <f>DATEVALUE(LEFT(F985,10))</f>
        <v/>
      </c>
      <c r="M985" s="396">
        <f>TIMEVALUE(MID(F985,12,8))</f>
        <v/>
      </c>
      <c r="N985" s="395">
        <f>DATEVALUE(LEFT(G985,10))</f>
        <v/>
      </c>
      <c r="O985" s="396">
        <f>TIMEVALUE(MID(G985,12,8))</f>
        <v/>
      </c>
      <c r="P985" s="396">
        <f>IFERROR(_xlfn.MINIFS($M:$M,$E:$E,$E985,$K:$K,$K985,$M:$M,"&gt;"&amp;$O985),"")</f>
        <v/>
      </c>
      <c r="Q985" s="396">
        <f>IF($P985="","",$P985-$O985)</f>
        <v/>
      </c>
    </row>
    <row r="986" ht="15" customHeight="1" s="231">
      <c r="A986" s="397" t="n"/>
      <c r="B986" s="397" t="n"/>
      <c r="C986" s="397" t="n"/>
      <c r="D986" s="397" t="n"/>
      <c r="E986" s="397" t="n"/>
      <c r="F986" s="397" t="n"/>
      <c r="G986" s="397" t="n"/>
      <c r="I986" s="397" t="n"/>
      <c r="J986" s="397" t="n"/>
      <c r="K986" s="395">
        <f>DATE(VALUE(LEFT(A986,4)),VALUE(MID(A986,5,2)),VALUE(RIGHT(A986,2)))</f>
        <v/>
      </c>
      <c r="L986" s="395">
        <f>DATEVALUE(LEFT(F986,10))</f>
        <v/>
      </c>
      <c r="M986" s="396">
        <f>TIMEVALUE(MID(F986,12,8))</f>
        <v/>
      </c>
      <c r="N986" s="395">
        <f>DATEVALUE(LEFT(G986,10))</f>
        <v/>
      </c>
      <c r="O986" s="396">
        <f>TIMEVALUE(MID(G986,12,8))</f>
        <v/>
      </c>
      <c r="P986" s="396">
        <f>IFERROR(_xlfn.MINIFS($M:$M,$E:$E,$E986,$K:$K,$K986,$M:$M,"&gt;"&amp;$O986),"")</f>
        <v/>
      </c>
      <c r="Q986" s="396">
        <f>IF($P986="","",$P986-$O986)</f>
        <v/>
      </c>
    </row>
    <row r="987" ht="15" customHeight="1" s="231">
      <c r="A987" s="397" t="n"/>
      <c r="B987" s="397" t="n"/>
      <c r="C987" s="397" t="n"/>
      <c r="D987" s="397" t="n"/>
      <c r="E987" s="397" t="n"/>
      <c r="F987" s="397" t="n"/>
      <c r="G987" s="397" t="n"/>
      <c r="I987" s="397" t="n"/>
      <c r="J987" s="397" t="n"/>
      <c r="K987" s="395">
        <f>DATE(VALUE(LEFT(A987,4)),VALUE(MID(A987,5,2)),VALUE(RIGHT(A987,2)))</f>
        <v/>
      </c>
      <c r="L987" s="395">
        <f>DATEVALUE(LEFT(F987,10))</f>
        <v/>
      </c>
      <c r="M987" s="396">
        <f>TIMEVALUE(MID(F987,12,8))</f>
        <v/>
      </c>
      <c r="N987" s="395">
        <f>DATEVALUE(LEFT(G987,10))</f>
        <v/>
      </c>
      <c r="O987" s="396">
        <f>TIMEVALUE(MID(G987,12,8))</f>
        <v/>
      </c>
      <c r="P987" s="396">
        <f>IFERROR(_xlfn.MINIFS($M:$M,$E:$E,$E987,$K:$K,$K987,$M:$M,"&gt;"&amp;$O987),"")</f>
        <v/>
      </c>
      <c r="Q987" s="396">
        <f>IF($P987="","",$P987-$O987)</f>
        <v/>
      </c>
    </row>
    <row r="988" ht="15" customHeight="1" s="231">
      <c r="A988" s="397" t="n"/>
      <c r="B988" s="397" t="n"/>
      <c r="C988" s="397" t="n"/>
      <c r="D988" s="397" t="n"/>
      <c r="E988" s="397" t="n"/>
      <c r="F988" s="397" t="n"/>
      <c r="G988" s="397" t="n"/>
      <c r="I988" s="397" t="n"/>
      <c r="J988" s="397" t="n"/>
      <c r="K988" s="395">
        <f>DATE(VALUE(LEFT(A988,4)),VALUE(MID(A988,5,2)),VALUE(RIGHT(A988,2)))</f>
        <v/>
      </c>
      <c r="L988" s="395">
        <f>DATEVALUE(LEFT(F988,10))</f>
        <v/>
      </c>
      <c r="M988" s="396">
        <f>TIMEVALUE(MID(F988,12,8))</f>
        <v/>
      </c>
      <c r="N988" s="395">
        <f>DATEVALUE(LEFT(G988,10))</f>
        <v/>
      </c>
      <c r="O988" s="396">
        <f>TIMEVALUE(MID(G988,12,8))</f>
        <v/>
      </c>
      <c r="P988" s="396">
        <f>IFERROR(_xlfn.MINIFS($M:$M,$E:$E,$E988,$K:$K,$K988,$M:$M,"&gt;"&amp;$O988),"")</f>
        <v/>
      </c>
      <c r="Q988" s="396">
        <f>IF($P988="","",$P988-$O988)</f>
        <v/>
      </c>
    </row>
    <row r="989" ht="15" customHeight="1" s="231">
      <c r="A989" s="397" t="n"/>
      <c r="B989" s="397" t="n"/>
      <c r="C989" s="397" t="n"/>
      <c r="D989" s="397" t="n"/>
      <c r="E989" s="397" t="n"/>
      <c r="F989" s="397" t="n"/>
      <c r="G989" s="397" t="n"/>
      <c r="I989" s="397" t="n"/>
      <c r="J989" s="397" t="n"/>
      <c r="K989" s="395">
        <f>DATE(VALUE(LEFT(A989,4)),VALUE(MID(A989,5,2)),VALUE(RIGHT(A989,2)))</f>
        <v/>
      </c>
      <c r="L989" s="395">
        <f>DATEVALUE(LEFT(F989,10))</f>
        <v/>
      </c>
      <c r="M989" s="396">
        <f>TIMEVALUE(MID(F989,12,8))</f>
        <v/>
      </c>
      <c r="N989" s="395">
        <f>DATEVALUE(LEFT(G989,10))</f>
        <v/>
      </c>
      <c r="O989" s="396">
        <f>TIMEVALUE(MID(G989,12,8))</f>
        <v/>
      </c>
      <c r="P989" s="396">
        <f>IFERROR(_xlfn.MINIFS($M:$M,$E:$E,$E989,$K:$K,$K989,$M:$M,"&gt;"&amp;$O989),"")</f>
        <v/>
      </c>
      <c r="Q989" s="396">
        <f>IF($P989="","",$P989-$O989)</f>
        <v/>
      </c>
    </row>
    <row r="990" ht="15" customHeight="1" s="231">
      <c r="A990" s="397" t="n"/>
      <c r="B990" s="397" t="n"/>
      <c r="C990" s="397" t="n"/>
      <c r="D990" s="397" t="n"/>
      <c r="E990" s="397" t="n"/>
      <c r="F990" s="397" t="n"/>
      <c r="G990" s="397" t="n"/>
      <c r="I990" s="397" t="n"/>
      <c r="J990" s="397" t="n"/>
      <c r="K990" s="395">
        <f>DATE(VALUE(LEFT(A990,4)),VALUE(MID(A990,5,2)),VALUE(RIGHT(A990,2)))</f>
        <v/>
      </c>
      <c r="L990" s="395">
        <f>DATEVALUE(LEFT(F990,10))</f>
        <v/>
      </c>
      <c r="M990" s="396">
        <f>TIMEVALUE(MID(F990,12,8))</f>
        <v/>
      </c>
      <c r="N990" s="395">
        <f>DATEVALUE(LEFT(G990,10))</f>
        <v/>
      </c>
      <c r="O990" s="396">
        <f>TIMEVALUE(MID(G990,12,8))</f>
        <v/>
      </c>
      <c r="P990" s="396">
        <f>IFERROR(_xlfn.MINIFS($M:$M,$E:$E,$E990,$K:$K,$K990,$M:$M,"&gt;"&amp;$O990),"")</f>
        <v/>
      </c>
      <c r="Q990" s="396">
        <f>IF($P990="","",$P990-$O990)</f>
        <v/>
      </c>
    </row>
    <row r="991" ht="15" customHeight="1" s="231">
      <c r="A991" s="397" t="n"/>
      <c r="B991" s="397" t="n"/>
      <c r="C991" s="397" t="n"/>
      <c r="D991" s="397" t="n"/>
      <c r="E991" s="397" t="n"/>
      <c r="F991" s="397" t="n"/>
      <c r="G991" s="397" t="n"/>
      <c r="I991" s="397" t="n"/>
      <c r="J991" s="397" t="n"/>
      <c r="K991" s="395">
        <f>DATE(VALUE(LEFT(A991,4)),VALUE(MID(A991,5,2)),VALUE(RIGHT(A991,2)))</f>
        <v/>
      </c>
      <c r="L991" s="395">
        <f>DATEVALUE(LEFT(F991,10))</f>
        <v/>
      </c>
      <c r="M991" s="396">
        <f>TIMEVALUE(MID(F991,12,8))</f>
        <v/>
      </c>
      <c r="N991" s="395">
        <f>DATEVALUE(LEFT(G991,10))</f>
        <v/>
      </c>
      <c r="O991" s="396">
        <f>TIMEVALUE(MID(G991,12,8))</f>
        <v/>
      </c>
      <c r="P991" s="396">
        <f>IFERROR(_xlfn.MINIFS($M:$M,$E:$E,$E991,$K:$K,$K991,$M:$M,"&gt;"&amp;$O991),"")</f>
        <v/>
      </c>
      <c r="Q991" s="396">
        <f>IF($P991="","",$P991-$O991)</f>
        <v/>
      </c>
    </row>
    <row r="992" ht="15" customHeight="1" s="231">
      <c r="A992" s="397" t="n"/>
      <c r="B992" s="397" t="n"/>
      <c r="C992" s="397" t="n"/>
      <c r="D992" s="397" t="n"/>
      <c r="E992" s="397" t="n"/>
      <c r="F992" s="397" t="n"/>
      <c r="G992" s="397" t="n"/>
      <c r="I992" s="397" t="n"/>
      <c r="J992" s="397" t="n"/>
      <c r="K992" s="395">
        <f>DATE(VALUE(LEFT(A992,4)),VALUE(MID(A992,5,2)),VALUE(RIGHT(A992,2)))</f>
        <v/>
      </c>
      <c r="L992" s="395">
        <f>DATEVALUE(LEFT(F992,10))</f>
        <v/>
      </c>
      <c r="M992" s="396">
        <f>TIMEVALUE(MID(F992,12,8))</f>
        <v/>
      </c>
      <c r="N992" s="395">
        <f>DATEVALUE(LEFT(G992,10))</f>
        <v/>
      </c>
      <c r="O992" s="396">
        <f>TIMEVALUE(MID(G992,12,8))</f>
        <v/>
      </c>
      <c r="P992" s="396">
        <f>IFERROR(_xlfn.MINIFS($M:$M,$E:$E,$E992,$K:$K,$K992,$M:$M,"&gt;"&amp;$O992),"")</f>
        <v/>
      </c>
      <c r="Q992" s="396">
        <f>IF($P992="","",$P992-$O992)</f>
        <v/>
      </c>
    </row>
    <row r="993" ht="15" customHeight="1" s="231">
      <c r="A993" s="397" t="n"/>
      <c r="B993" s="397" t="n"/>
      <c r="C993" s="397" t="n"/>
      <c r="D993" s="397" t="n"/>
      <c r="E993" s="397" t="n"/>
      <c r="F993" s="397" t="n"/>
      <c r="G993" s="397" t="n"/>
      <c r="I993" s="397" t="n"/>
      <c r="J993" s="397" t="n"/>
      <c r="K993" s="395">
        <f>DATE(VALUE(LEFT(A993,4)),VALUE(MID(A993,5,2)),VALUE(RIGHT(A993,2)))</f>
        <v/>
      </c>
      <c r="L993" s="395">
        <f>DATEVALUE(LEFT(F993,10))</f>
        <v/>
      </c>
      <c r="M993" s="396">
        <f>TIMEVALUE(MID(F993,12,8))</f>
        <v/>
      </c>
      <c r="N993" s="395">
        <f>DATEVALUE(LEFT(G993,10))</f>
        <v/>
      </c>
      <c r="O993" s="396">
        <f>TIMEVALUE(MID(G993,12,8))</f>
        <v/>
      </c>
      <c r="P993" s="396">
        <f>IFERROR(_xlfn.MINIFS($M:$M,$E:$E,$E993,$K:$K,$K993,$M:$M,"&gt;"&amp;$O993),"")</f>
        <v/>
      </c>
      <c r="Q993" s="396">
        <f>IF($P993="","",$P993-$O993)</f>
        <v/>
      </c>
    </row>
    <row r="994" ht="15" customHeight="1" s="231">
      <c r="A994" s="397" t="n"/>
      <c r="B994" s="397" t="n"/>
      <c r="C994" s="397" t="n"/>
      <c r="D994" s="397" t="n"/>
      <c r="E994" s="397" t="n"/>
      <c r="F994" s="397" t="n"/>
      <c r="G994" s="397" t="n"/>
      <c r="I994" s="397" t="n"/>
      <c r="J994" s="397" t="n"/>
      <c r="K994" s="395">
        <f>DATE(VALUE(LEFT(A994,4)),VALUE(MID(A994,5,2)),VALUE(RIGHT(A994,2)))</f>
        <v/>
      </c>
      <c r="L994" s="395">
        <f>DATEVALUE(LEFT(F994,10))</f>
        <v/>
      </c>
      <c r="M994" s="396">
        <f>TIMEVALUE(MID(F994,12,8))</f>
        <v/>
      </c>
      <c r="N994" s="395">
        <f>DATEVALUE(LEFT(G994,10))</f>
        <v/>
      </c>
      <c r="O994" s="396">
        <f>TIMEVALUE(MID(G994,12,8))</f>
        <v/>
      </c>
      <c r="P994" s="396">
        <f>IFERROR(_xlfn.MINIFS($M:$M,$E:$E,$E994,$K:$K,$K994,$M:$M,"&gt;"&amp;$O994),"")</f>
        <v/>
      </c>
      <c r="Q994" s="396">
        <f>IF($P994="","",$P994-$O994)</f>
        <v/>
      </c>
    </row>
    <row r="995" ht="15" customHeight="1" s="231">
      <c r="A995" s="397" t="n"/>
      <c r="B995" s="397" t="n"/>
      <c r="C995" s="397" t="n"/>
      <c r="D995" s="397" t="n"/>
      <c r="E995" s="397" t="n"/>
      <c r="F995" s="397" t="n"/>
      <c r="G995" s="397" t="n"/>
      <c r="I995" s="397" t="n"/>
      <c r="J995" s="397" t="n"/>
      <c r="K995" s="395">
        <f>DATE(VALUE(LEFT(A995,4)),VALUE(MID(A995,5,2)),VALUE(RIGHT(A995,2)))</f>
        <v/>
      </c>
      <c r="L995" s="395">
        <f>DATEVALUE(LEFT(F995,10))</f>
        <v/>
      </c>
      <c r="M995" s="396">
        <f>TIMEVALUE(MID(F995,12,8))</f>
        <v/>
      </c>
      <c r="N995" s="395">
        <f>DATEVALUE(LEFT(G995,10))</f>
        <v/>
      </c>
      <c r="O995" s="396">
        <f>TIMEVALUE(MID(G995,12,8))</f>
        <v/>
      </c>
      <c r="P995" s="396">
        <f>IFERROR(_xlfn.MINIFS($M:$M,$E:$E,$E995,$K:$K,$K995,$M:$M,"&gt;"&amp;$O995),"")</f>
        <v/>
      </c>
      <c r="Q995" s="396">
        <f>IF($P995="","",$P995-$O995)</f>
        <v/>
      </c>
    </row>
    <row r="996" ht="15" customHeight="1" s="231">
      <c r="A996" s="397" t="n"/>
      <c r="B996" s="397" t="n"/>
      <c r="C996" s="397" t="n"/>
      <c r="D996" s="397" t="n"/>
      <c r="E996" s="397" t="n"/>
      <c r="F996" s="397" t="n"/>
      <c r="G996" s="397" t="n"/>
      <c r="I996" s="397" t="n"/>
      <c r="J996" s="397" t="n"/>
      <c r="K996" s="395">
        <f>DATE(VALUE(LEFT(A996,4)),VALUE(MID(A996,5,2)),VALUE(RIGHT(A996,2)))</f>
        <v/>
      </c>
      <c r="L996" s="395">
        <f>DATEVALUE(LEFT(F996,10))</f>
        <v/>
      </c>
      <c r="M996" s="396">
        <f>TIMEVALUE(MID(F996,12,8))</f>
        <v/>
      </c>
      <c r="N996" s="395">
        <f>DATEVALUE(LEFT(G996,10))</f>
        <v/>
      </c>
      <c r="O996" s="396">
        <f>TIMEVALUE(MID(G996,12,8))</f>
        <v/>
      </c>
      <c r="P996" s="396">
        <f>IFERROR(_xlfn.MINIFS($M:$M,$E:$E,$E996,$K:$K,$K996,$M:$M,"&gt;"&amp;$O996),"")</f>
        <v/>
      </c>
      <c r="Q996" s="396">
        <f>IF($P996="","",$P996-$O996)</f>
        <v/>
      </c>
    </row>
    <row r="997" ht="15" customHeight="1" s="231">
      <c r="A997" s="397" t="n"/>
      <c r="B997" s="397" t="n"/>
      <c r="C997" s="397" t="n"/>
      <c r="D997" s="397" t="n"/>
      <c r="E997" s="397" t="n"/>
      <c r="F997" s="397" t="n"/>
      <c r="G997" s="397" t="n"/>
      <c r="I997" s="397" t="n"/>
      <c r="J997" s="397" t="n"/>
      <c r="K997" s="395">
        <f>DATE(VALUE(LEFT(A997,4)),VALUE(MID(A997,5,2)),VALUE(RIGHT(A997,2)))</f>
        <v/>
      </c>
      <c r="L997" s="395">
        <f>DATEVALUE(LEFT(F997,10))</f>
        <v/>
      </c>
      <c r="M997" s="396">
        <f>TIMEVALUE(MID(F997,12,8))</f>
        <v/>
      </c>
      <c r="N997" s="395">
        <f>DATEVALUE(LEFT(G997,10))</f>
        <v/>
      </c>
      <c r="O997" s="396">
        <f>TIMEVALUE(MID(G997,12,8))</f>
        <v/>
      </c>
      <c r="P997" s="396">
        <f>IFERROR(_xlfn.MINIFS($M:$M,$E:$E,$E997,$K:$K,$K997,$M:$M,"&gt;"&amp;$O997),"")</f>
        <v/>
      </c>
      <c r="Q997" s="396">
        <f>IF($P997="","",$P997-$O997)</f>
        <v/>
      </c>
    </row>
    <row r="998" ht="15" customHeight="1" s="231">
      <c r="A998" s="397" t="n"/>
      <c r="B998" s="397" t="n"/>
      <c r="C998" s="397" t="n"/>
      <c r="D998" s="397" t="n"/>
      <c r="E998" s="397" t="n"/>
      <c r="F998" s="397" t="n"/>
      <c r="G998" s="397" t="n"/>
      <c r="I998" s="397" t="n"/>
      <c r="J998" s="397" t="n"/>
      <c r="K998" s="395">
        <f>DATE(VALUE(LEFT(A998,4)),VALUE(MID(A998,5,2)),VALUE(RIGHT(A998,2)))</f>
        <v/>
      </c>
      <c r="L998" s="395">
        <f>DATEVALUE(LEFT(F998,10))</f>
        <v/>
      </c>
      <c r="M998" s="396">
        <f>TIMEVALUE(MID(F998,12,8))</f>
        <v/>
      </c>
      <c r="N998" s="395">
        <f>DATEVALUE(LEFT(G998,10))</f>
        <v/>
      </c>
      <c r="O998" s="396">
        <f>TIMEVALUE(MID(G998,12,8))</f>
        <v/>
      </c>
      <c r="P998" s="396">
        <f>IFERROR(_xlfn.MINIFS($M:$M,$E:$E,$E998,$K:$K,$K998,$M:$M,"&gt;"&amp;$O998),"")</f>
        <v/>
      </c>
      <c r="Q998" s="396">
        <f>IF($P998="","",$P998-$O998)</f>
        <v/>
      </c>
    </row>
    <row r="999" ht="15" customHeight="1" s="231">
      <c r="A999" s="397" t="n"/>
      <c r="B999" s="397" t="n"/>
      <c r="C999" s="397" t="n"/>
      <c r="D999" s="397" t="n"/>
      <c r="E999" s="397" t="n"/>
      <c r="F999" s="397" t="n"/>
      <c r="G999" s="397" t="n"/>
      <c r="I999" s="397" t="n"/>
      <c r="J999" s="397" t="n"/>
      <c r="K999" s="395">
        <f>DATE(VALUE(LEFT(A999,4)),VALUE(MID(A999,5,2)),VALUE(RIGHT(A999,2)))</f>
        <v/>
      </c>
      <c r="L999" s="395">
        <f>DATEVALUE(LEFT(F999,10))</f>
        <v/>
      </c>
      <c r="M999" s="396">
        <f>TIMEVALUE(MID(F999,12,8))</f>
        <v/>
      </c>
      <c r="N999" s="395">
        <f>DATEVALUE(LEFT(G999,10))</f>
        <v/>
      </c>
      <c r="O999" s="396">
        <f>TIMEVALUE(MID(G999,12,8))</f>
        <v/>
      </c>
      <c r="P999" s="396">
        <f>IFERROR(_xlfn.MINIFS($M:$M,$E:$E,$E999,$K:$K,$K999,$M:$M,"&gt;"&amp;$O999),"")</f>
        <v/>
      </c>
      <c r="Q999" s="396">
        <f>IF($P999="","",$P999-$O999)</f>
        <v/>
      </c>
    </row>
    <row r="1000" ht="15" customHeight="1" s="231">
      <c r="A1000" s="397" t="n"/>
      <c r="B1000" s="397" t="n"/>
      <c r="C1000" s="397" t="n"/>
      <c r="D1000" s="397" t="n"/>
      <c r="E1000" s="397" t="n"/>
      <c r="F1000" s="397" t="n"/>
      <c r="G1000" s="397" t="n"/>
      <c r="I1000" s="397" t="n"/>
      <c r="J1000" s="397" t="n"/>
      <c r="K1000" s="395">
        <f>DATE(VALUE(LEFT(A1000,4)),VALUE(MID(A1000,5,2)),VALUE(RIGHT(A1000,2)))</f>
        <v/>
      </c>
      <c r="L1000" s="395">
        <f>DATEVALUE(LEFT(F1000,10))</f>
        <v/>
      </c>
      <c r="M1000" s="396">
        <f>TIMEVALUE(MID(F1000,12,8))</f>
        <v/>
      </c>
      <c r="N1000" s="395">
        <f>DATEVALUE(LEFT(G1000,10))</f>
        <v/>
      </c>
      <c r="O1000" s="396">
        <f>TIMEVALUE(MID(G1000,12,8))</f>
        <v/>
      </c>
      <c r="P1000" s="396">
        <f>IFERROR(_xlfn.MINIFS($M:$M,$E:$E,$E1000,$K:$K,$K1000,$M:$M,"&gt;"&amp;$O1000),"")</f>
        <v/>
      </c>
      <c r="Q1000" s="396">
        <f>IF($P1000="","",$P1000-$O1000)</f>
        <v/>
      </c>
    </row>
    <row r="1001" ht="15" customHeight="1" s="231">
      <c r="A1001" s="397" t="n"/>
      <c r="B1001" s="397" t="n"/>
      <c r="C1001" s="397" t="n"/>
      <c r="D1001" s="397" t="n"/>
      <c r="E1001" s="397" t="n"/>
      <c r="F1001" s="397" t="n"/>
      <c r="G1001" s="397" t="n"/>
      <c r="I1001" s="397" t="n"/>
      <c r="J1001" s="397" t="n"/>
      <c r="K1001" s="395">
        <f>DATE(VALUE(LEFT(A1001,4)),VALUE(MID(A1001,5,2)),VALUE(RIGHT(A1001,2)))</f>
        <v/>
      </c>
      <c r="L1001" s="395">
        <f>DATEVALUE(LEFT(F1001,10))</f>
        <v/>
      </c>
      <c r="M1001" s="396">
        <f>TIMEVALUE(MID(F1001,12,8))</f>
        <v/>
      </c>
      <c r="N1001" s="395">
        <f>DATEVALUE(LEFT(G1001,10))</f>
        <v/>
      </c>
      <c r="O1001" s="396">
        <f>TIMEVALUE(MID(G1001,12,8))</f>
        <v/>
      </c>
      <c r="P1001" s="396">
        <f>IFERROR(_xlfn.MINIFS($M:$M,$E:$E,$E1001,$K:$K,$K1001,$M:$M,"&gt;"&amp;$O1001),"")</f>
        <v/>
      </c>
      <c r="Q1001" s="396">
        <f>IF($P1001="","",$P1001-$O1001)</f>
        <v/>
      </c>
    </row>
    <row r="1002" ht="15" customHeight="1" s="231">
      <c r="A1002" s="397" t="n"/>
      <c r="B1002" s="397" t="n"/>
      <c r="C1002" s="397" t="n"/>
      <c r="D1002" s="397" t="n"/>
      <c r="E1002" s="397" t="n"/>
      <c r="F1002" s="397" t="n"/>
      <c r="G1002" s="397" t="n"/>
      <c r="I1002" s="397" t="n"/>
      <c r="J1002" s="397" t="n"/>
      <c r="K1002" s="395">
        <f>DATE(VALUE(LEFT(A1002,4)),VALUE(MID(A1002,5,2)),VALUE(RIGHT(A1002,2)))</f>
        <v/>
      </c>
      <c r="L1002" s="395">
        <f>DATEVALUE(LEFT(F1002,10))</f>
        <v/>
      </c>
      <c r="M1002" s="396">
        <f>TIMEVALUE(MID(F1002,12,8))</f>
        <v/>
      </c>
      <c r="N1002" s="395">
        <f>DATEVALUE(LEFT(G1002,10))</f>
        <v/>
      </c>
      <c r="O1002" s="396">
        <f>TIMEVALUE(MID(G1002,12,8))</f>
        <v/>
      </c>
      <c r="P1002" s="396">
        <f>IFERROR(_xlfn.MINIFS($M:$M,$E:$E,$E1002,$K:$K,$K1002,$M:$M,"&gt;"&amp;$O1002),"")</f>
        <v/>
      </c>
      <c r="Q1002" s="396">
        <f>IF($P1002="","",$P1002-$O1002)</f>
        <v/>
      </c>
    </row>
    <row r="1003" ht="15" customHeight="1" s="231">
      <c r="A1003" s="397" t="n"/>
      <c r="B1003" s="397" t="n"/>
      <c r="C1003" s="397" t="n"/>
      <c r="D1003" s="397" t="n"/>
      <c r="E1003" s="397" t="n"/>
      <c r="F1003" s="397" t="n"/>
      <c r="G1003" s="397" t="n"/>
      <c r="I1003" s="397" t="n"/>
      <c r="J1003" s="397" t="n"/>
      <c r="K1003" s="395">
        <f>DATE(VALUE(LEFT(A1003,4)),VALUE(MID(A1003,5,2)),VALUE(RIGHT(A1003,2)))</f>
        <v/>
      </c>
      <c r="L1003" s="395">
        <f>DATEVALUE(LEFT(F1003,10))</f>
        <v/>
      </c>
      <c r="M1003" s="396">
        <f>TIMEVALUE(MID(F1003,12,8))</f>
        <v/>
      </c>
      <c r="N1003" s="395">
        <f>DATEVALUE(LEFT(G1003,10))</f>
        <v/>
      </c>
      <c r="O1003" s="396">
        <f>TIMEVALUE(MID(G1003,12,8))</f>
        <v/>
      </c>
      <c r="P1003" s="396">
        <f>IFERROR(_xlfn.MINIFS($M:$M,$E:$E,$E1003,$K:$K,$K1003,$M:$M,"&gt;"&amp;$O1003),"")</f>
        <v/>
      </c>
      <c r="Q1003" s="396">
        <f>IF($P1003="","",$P1003-$O1003)</f>
        <v/>
      </c>
    </row>
    <row r="1004" ht="15" customHeight="1" s="231">
      <c r="A1004" s="397" t="n"/>
      <c r="B1004" s="397" t="n"/>
      <c r="C1004" s="397" t="n"/>
      <c r="D1004" s="397" t="n"/>
      <c r="E1004" s="397" t="n"/>
      <c r="F1004" s="397" t="n"/>
      <c r="G1004" s="397" t="n"/>
      <c r="I1004" s="397" t="n"/>
      <c r="J1004" s="397" t="n"/>
      <c r="K1004" s="395">
        <f>DATE(VALUE(LEFT(A1004,4)),VALUE(MID(A1004,5,2)),VALUE(RIGHT(A1004,2)))</f>
        <v/>
      </c>
      <c r="L1004" s="395">
        <f>DATEVALUE(LEFT(F1004,10))</f>
        <v/>
      </c>
      <c r="M1004" s="396">
        <f>TIMEVALUE(MID(F1004,12,8))</f>
        <v/>
      </c>
      <c r="N1004" s="395">
        <f>DATEVALUE(LEFT(G1004,10))</f>
        <v/>
      </c>
      <c r="O1004" s="396">
        <f>TIMEVALUE(MID(G1004,12,8))</f>
        <v/>
      </c>
      <c r="P1004" s="396">
        <f>IFERROR(_xlfn.MINIFS($M:$M,$E:$E,$E1004,$K:$K,$K1004,$M:$M,"&gt;"&amp;$O1004),"")</f>
        <v/>
      </c>
      <c r="Q1004" s="396">
        <f>IF($P1004="","",$P1004-$O1004)</f>
        <v/>
      </c>
    </row>
    <row r="1005" ht="15" customHeight="1" s="231">
      <c r="A1005" s="397" t="n"/>
      <c r="B1005" s="397" t="n"/>
      <c r="C1005" s="397" t="n"/>
      <c r="D1005" s="397" t="n"/>
      <c r="E1005" s="397" t="n"/>
      <c r="F1005" s="397" t="n"/>
      <c r="G1005" s="397" t="n"/>
      <c r="I1005" s="397" t="n"/>
      <c r="J1005" s="397" t="n"/>
      <c r="K1005" s="395">
        <f>DATE(VALUE(LEFT(A1005,4)),VALUE(MID(A1005,5,2)),VALUE(RIGHT(A1005,2)))</f>
        <v/>
      </c>
      <c r="L1005" s="395">
        <f>DATEVALUE(LEFT(F1005,10))</f>
        <v/>
      </c>
      <c r="M1005" s="396">
        <f>TIMEVALUE(MID(F1005,12,8))</f>
        <v/>
      </c>
      <c r="N1005" s="395">
        <f>DATEVALUE(LEFT(G1005,10))</f>
        <v/>
      </c>
      <c r="O1005" s="396">
        <f>TIMEVALUE(MID(G1005,12,8))</f>
        <v/>
      </c>
      <c r="P1005" s="396">
        <f>IFERROR(_xlfn.MINIFS($M:$M,$E:$E,$E1005,$K:$K,$K1005,$M:$M,"&gt;"&amp;$O1005),"")</f>
        <v/>
      </c>
      <c r="Q1005" s="396">
        <f>IF($P1005="","",$P1005-$O1005)</f>
        <v/>
      </c>
    </row>
    <row r="1006" ht="15" customHeight="1" s="231">
      <c r="A1006" s="397" t="n"/>
      <c r="B1006" s="397" t="n"/>
      <c r="C1006" s="397" t="n"/>
      <c r="D1006" s="397" t="n"/>
      <c r="E1006" s="397" t="n"/>
      <c r="F1006" s="397" t="n"/>
      <c r="G1006" s="397" t="n"/>
      <c r="I1006" s="397" t="n"/>
      <c r="J1006" s="397" t="n"/>
      <c r="K1006" s="395">
        <f>DATE(VALUE(LEFT(A1006,4)),VALUE(MID(A1006,5,2)),VALUE(RIGHT(A1006,2)))</f>
        <v/>
      </c>
      <c r="L1006" s="395">
        <f>DATEVALUE(LEFT(F1006,10))</f>
        <v/>
      </c>
      <c r="M1006" s="396">
        <f>TIMEVALUE(MID(F1006,12,8))</f>
        <v/>
      </c>
      <c r="N1006" s="395">
        <f>DATEVALUE(LEFT(G1006,10))</f>
        <v/>
      </c>
      <c r="O1006" s="396">
        <f>TIMEVALUE(MID(G1006,12,8))</f>
        <v/>
      </c>
      <c r="P1006" s="396">
        <f>IFERROR(_xlfn.MINIFS($M:$M,$E:$E,$E1006,$K:$K,$K1006,$M:$M,"&gt;"&amp;$O1006),"")</f>
        <v/>
      </c>
      <c r="Q1006" s="396">
        <f>IF($P1006="","",$P1006-$O1006)</f>
        <v/>
      </c>
    </row>
    <row r="1007" ht="15" customHeight="1" s="231">
      <c r="A1007" s="397" t="n"/>
      <c r="B1007" s="397" t="n"/>
      <c r="C1007" s="397" t="n"/>
      <c r="D1007" s="397" t="n"/>
      <c r="E1007" s="397" t="n"/>
      <c r="F1007" s="397" t="n"/>
      <c r="G1007" s="397" t="n"/>
      <c r="I1007" s="397" t="n"/>
      <c r="J1007" s="397" t="n"/>
      <c r="K1007" s="395">
        <f>DATE(VALUE(LEFT(A1007,4)),VALUE(MID(A1007,5,2)),VALUE(RIGHT(A1007,2)))</f>
        <v/>
      </c>
      <c r="L1007" s="395">
        <f>DATEVALUE(LEFT(F1007,10))</f>
        <v/>
      </c>
      <c r="M1007" s="396">
        <f>TIMEVALUE(MID(F1007,12,8))</f>
        <v/>
      </c>
      <c r="N1007" s="395">
        <f>DATEVALUE(LEFT(G1007,10))</f>
        <v/>
      </c>
      <c r="O1007" s="396">
        <f>TIMEVALUE(MID(G1007,12,8))</f>
        <v/>
      </c>
      <c r="P1007" s="396">
        <f>IFERROR(_xlfn.MINIFS($M:$M,$E:$E,$E1007,$K:$K,$K1007,$M:$M,"&gt;"&amp;$O1007),"")</f>
        <v/>
      </c>
      <c r="Q1007" s="396">
        <f>IF($P1007="","",$P1007-$O1007)</f>
        <v/>
      </c>
    </row>
    <row r="1008" ht="15" customHeight="1" s="231">
      <c r="A1008" s="397" t="n"/>
      <c r="B1008" s="397" t="n"/>
      <c r="C1008" s="397" t="n"/>
      <c r="D1008" s="397" t="n"/>
      <c r="E1008" s="397" t="n"/>
      <c r="F1008" s="397" t="n"/>
      <c r="G1008" s="397" t="n"/>
      <c r="I1008" s="397" t="n"/>
      <c r="J1008" s="397" t="n"/>
      <c r="K1008" s="395">
        <f>DATE(VALUE(LEFT(A1008,4)),VALUE(MID(A1008,5,2)),VALUE(RIGHT(A1008,2)))</f>
        <v/>
      </c>
      <c r="L1008" s="395">
        <f>DATEVALUE(LEFT(F1008,10))</f>
        <v/>
      </c>
      <c r="M1008" s="396">
        <f>TIMEVALUE(MID(F1008,12,8))</f>
        <v/>
      </c>
      <c r="N1008" s="395">
        <f>DATEVALUE(LEFT(G1008,10))</f>
        <v/>
      </c>
      <c r="O1008" s="396">
        <f>TIMEVALUE(MID(G1008,12,8))</f>
        <v/>
      </c>
      <c r="P1008" s="396">
        <f>IFERROR(_xlfn.MINIFS($M:$M,$E:$E,$E1008,$K:$K,$K1008,$M:$M,"&gt;"&amp;$O1008),"")</f>
        <v/>
      </c>
      <c r="Q1008" s="396">
        <f>IF($P1008="","",$P1008-$O1008)</f>
        <v/>
      </c>
    </row>
    <row r="1009" ht="15" customHeight="1" s="231">
      <c r="A1009" s="397" t="n"/>
      <c r="B1009" s="397" t="n"/>
      <c r="C1009" s="397" t="n"/>
      <c r="D1009" s="397" t="n"/>
      <c r="E1009" s="397" t="n"/>
      <c r="F1009" s="397" t="n"/>
      <c r="G1009" s="397" t="n"/>
      <c r="I1009" s="397" t="n"/>
      <c r="J1009" s="397" t="n"/>
      <c r="K1009" s="395">
        <f>DATE(VALUE(LEFT(A1009,4)),VALUE(MID(A1009,5,2)),VALUE(RIGHT(A1009,2)))</f>
        <v/>
      </c>
      <c r="L1009" s="395">
        <f>DATEVALUE(LEFT(F1009,10))</f>
        <v/>
      </c>
      <c r="M1009" s="396">
        <f>TIMEVALUE(MID(F1009,12,8))</f>
        <v/>
      </c>
      <c r="N1009" s="395">
        <f>DATEVALUE(LEFT(G1009,10))</f>
        <v/>
      </c>
      <c r="O1009" s="396">
        <f>TIMEVALUE(MID(G1009,12,8))</f>
        <v/>
      </c>
      <c r="P1009" s="396">
        <f>IFERROR(_xlfn.MINIFS($M:$M,$E:$E,$E1009,$K:$K,$K1009,$M:$M,"&gt;"&amp;$O1009),"")</f>
        <v/>
      </c>
      <c r="Q1009" s="396">
        <f>IF($P1009="","",$P1009-$O1009)</f>
        <v/>
      </c>
    </row>
    <row r="1010" ht="15" customHeight="1" s="231">
      <c r="A1010" s="397" t="n"/>
      <c r="B1010" s="397" t="n"/>
      <c r="C1010" s="397" t="n"/>
      <c r="D1010" s="397" t="n"/>
      <c r="E1010" s="397" t="n"/>
      <c r="F1010" s="397" t="n"/>
      <c r="G1010" s="397" t="n"/>
      <c r="I1010" s="397" t="n"/>
      <c r="J1010" s="397" t="n"/>
      <c r="K1010" s="395">
        <f>DATE(VALUE(LEFT(A1010,4)),VALUE(MID(A1010,5,2)),VALUE(RIGHT(A1010,2)))</f>
        <v/>
      </c>
      <c r="L1010" s="395">
        <f>DATEVALUE(LEFT(F1010,10))</f>
        <v/>
      </c>
      <c r="M1010" s="396">
        <f>TIMEVALUE(MID(F1010,12,8))</f>
        <v/>
      </c>
      <c r="N1010" s="395">
        <f>DATEVALUE(LEFT(G1010,10))</f>
        <v/>
      </c>
      <c r="O1010" s="396">
        <f>TIMEVALUE(MID(G1010,12,8))</f>
        <v/>
      </c>
      <c r="P1010" s="396">
        <f>IFERROR(_xlfn.MINIFS($M:$M,$E:$E,$E1010,$K:$K,$K1010,$M:$M,"&gt;"&amp;$O1010),"")</f>
        <v/>
      </c>
      <c r="Q1010" s="396">
        <f>IF($P1010="","",$P1010-$O1010)</f>
        <v/>
      </c>
    </row>
    <row r="1011" ht="15" customHeight="1" s="231">
      <c r="A1011" s="397" t="n"/>
      <c r="B1011" s="397" t="n"/>
      <c r="C1011" s="397" t="n"/>
      <c r="D1011" s="397" t="n"/>
      <c r="E1011" s="397" t="n"/>
      <c r="F1011" s="397" t="n"/>
      <c r="G1011" s="397" t="n"/>
      <c r="I1011" s="397" t="n"/>
      <c r="J1011" s="397" t="n"/>
      <c r="K1011" s="395">
        <f>DATE(VALUE(LEFT(A1011,4)),VALUE(MID(A1011,5,2)),VALUE(RIGHT(A1011,2)))</f>
        <v/>
      </c>
      <c r="L1011" s="395">
        <f>DATEVALUE(LEFT(F1011,10))</f>
        <v/>
      </c>
      <c r="M1011" s="396">
        <f>TIMEVALUE(MID(F1011,12,8))</f>
        <v/>
      </c>
      <c r="N1011" s="395">
        <f>DATEVALUE(LEFT(G1011,10))</f>
        <v/>
      </c>
      <c r="O1011" s="396">
        <f>TIMEVALUE(MID(G1011,12,8))</f>
        <v/>
      </c>
      <c r="P1011" s="396">
        <f>IFERROR(_xlfn.MINIFS($M:$M,$E:$E,$E1011,$K:$K,$K1011,$M:$M,"&gt;"&amp;$O1011),"")</f>
        <v/>
      </c>
      <c r="Q1011" s="396">
        <f>IF($P1011="","",$P1011-$O1011)</f>
        <v/>
      </c>
    </row>
    <row r="1012" ht="15" customHeight="1" s="231">
      <c r="A1012" s="397" t="n"/>
      <c r="B1012" s="397" t="n"/>
      <c r="C1012" s="397" t="n"/>
      <c r="D1012" s="397" t="n"/>
      <c r="E1012" s="397" t="n"/>
      <c r="F1012" s="397" t="n"/>
      <c r="G1012" s="397" t="n"/>
      <c r="I1012" s="397" t="n"/>
      <c r="J1012" s="397" t="n"/>
      <c r="K1012" s="395">
        <f>DATE(VALUE(LEFT(A1012,4)),VALUE(MID(A1012,5,2)),VALUE(RIGHT(A1012,2)))</f>
        <v/>
      </c>
      <c r="L1012" s="395">
        <f>DATEVALUE(LEFT(F1012,10))</f>
        <v/>
      </c>
      <c r="M1012" s="396">
        <f>TIMEVALUE(MID(F1012,12,8))</f>
        <v/>
      </c>
      <c r="N1012" s="395">
        <f>DATEVALUE(LEFT(G1012,10))</f>
        <v/>
      </c>
      <c r="O1012" s="396">
        <f>TIMEVALUE(MID(G1012,12,8))</f>
        <v/>
      </c>
      <c r="P1012" s="396">
        <f>IFERROR(_xlfn.MINIFS($M:$M,$E:$E,$E1012,$K:$K,$K1012,$M:$M,"&gt;"&amp;$O1012),"")</f>
        <v/>
      </c>
      <c r="Q1012" s="396">
        <f>IF($P1012="","",$P1012-$O1012)</f>
        <v/>
      </c>
    </row>
    <row r="1013" ht="15" customHeight="1" s="231">
      <c r="A1013" s="397" t="n"/>
      <c r="B1013" s="397" t="n"/>
      <c r="C1013" s="397" t="n"/>
      <c r="D1013" s="397" t="n"/>
      <c r="E1013" s="397" t="n"/>
      <c r="F1013" s="397" t="n"/>
      <c r="G1013" s="397" t="n"/>
      <c r="I1013" s="397" t="n"/>
      <c r="J1013" s="397" t="n"/>
      <c r="K1013" s="395">
        <f>DATE(VALUE(LEFT(A1013,4)),VALUE(MID(A1013,5,2)),VALUE(RIGHT(A1013,2)))</f>
        <v/>
      </c>
      <c r="L1013" s="395">
        <f>DATEVALUE(LEFT(F1013,10))</f>
        <v/>
      </c>
      <c r="M1013" s="396">
        <f>TIMEVALUE(MID(F1013,12,8))</f>
        <v/>
      </c>
      <c r="N1013" s="395">
        <f>DATEVALUE(LEFT(G1013,10))</f>
        <v/>
      </c>
      <c r="O1013" s="396">
        <f>TIMEVALUE(MID(G1013,12,8))</f>
        <v/>
      </c>
      <c r="P1013" s="396">
        <f>IFERROR(_xlfn.MINIFS($M:$M,$E:$E,$E1013,$K:$K,$K1013,$M:$M,"&gt;"&amp;$O1013),"")</f>
        <v/>
      </c>
      <c r="Q1013" s="396">
        <f>IF($P1013="","",$P1013-$O1013)</f>
        <v/>
      </c>
    </row>
    <row r="1014" ht="15" customHeight="1" s="231">
      <c r="A1014" s="397" t="n"/>
      <c r="B1014" s="397" t="n"/>
      <c r="C1014" s="397" t="n"/>
      <c r="D1014" s="397" t="n"/>
      <c r="E1014" s="397" t="n"/>
      <c r="F1014" s="397" t="n"/>
      <c r="G1014" s="397" t="n"/>
      <c r="I1014" s="397" t="n"/>
      <c r="J1014" s="397" t="n"/>
      <c r="K1014" s="395">
        <f>DATE(VALUE(LEFT(A1014,4)),VALUE(MID(A1014,5,2)),VALUE(RIGHT(A1014,2)))</f>
        <v/>
      </c>
      <c r="L1014" s="395">
        <f>DATEVALUE(LEFT(F1014,10))</f>
        <v/>
      </c>
      <c r="M1014" s="396">
        <f>TIMEVALUE(MID(F1014,12,8))</f>
        <v/>
      </c>
      <c r="N1014" s="395">
        <f>DATEVALUE(LEFT(G1014,10))</f>
        <v/>
      </c>
      <c r="O1014" s="396">
        <f>TIMEVALUE(MID(G1014,12,8))</f>
        <v/>
      </c>
      <c r="P1014" s="396">
        <f>IFERROR(_xlfn.MINIFS($M:$M,$E:$E,$E1014,$K:$K,$K1014,$M:$M,"&gt;"&amp;$O1014),"")</f>
        <v/>
      </c>
      <c r="Q1014" s="396">
        <f>IF($P1014="","",$P1014-$O1014)</f>
        <v/>
      </c>
    </row>
    <row r="1015" ht="15" customHeight="1" s="231">
      <c r="A1015" s="397" t="n"/>
      <c r="B1015" s="397" t="n"/>
      <c r="C1015" s="397" t="n"/>
      <c r="D1015" s="397" t="n"/>
      <c r="E1015" s="397" t="n"/>
      <c r="F1015" s="397" t="n"/>
      <c r="G1015" s="397" t="n"/>
      <c r="I1015" s="397" t="n"/>
      <c r="J1015" s="397" t="n"/>
      <c r="K1015" s="395">
        <f>DATE(VALUE(LEFT(A1015,4)),VALUE(MID(A1015,5,2)),VALUE(RIGHT(A1015,2)))</f>
        <v/>
      </c>
      <c r="L1015" s="395">
        <f>DATEVALUE(LEFT(F1015,10))</f>
        <v/>
      </c>
      <c r="M1015" s="396">
        <f>TIMEVALUE(MID(F1015,12,8))</f>
        <v/>
      </c>
      <c r="N1015" s="395">
        <f>DATEVALUE(LEFT(G1015,10))</f>
        <v/>
      </c>
      <c r="O1015" s="396">
        <f>TIMEVALUE(MID(G1015,12,8))</f>
        <v/>
      </c>
      <c r="P1015" s="396">
        <f>IFERROR(_xlfn.MINIFS($M:$M,$E:$E,$E1015,$K:$K,$K1015,$M:$M,"&gt;"&amp;$O1015),"")</f>
        <v/>
      </c>
      <c r="Q1015" s="396">
        <f>IF($P1015="","",$P1015-$O1015)</f>
        <v/>
      </c>
    </row>
    <row r="1016" ht="15" customHeight="1" s="231">
      <c r="A1016" s="397" t="n"/>
      <c r="B1016" s="397" t="n"/>
      <c r="C1016" s="397" t="n"/>
      <c r="D1016" s="397" t="n"/>
      <c r="E1016" s="397" t="n"/>
      <c r="F1016" s="397" t="n"/>
      <c r="G1016" s="397" t="n"/>
      <c r="I1016" s="397" t="n"/>
      <c r="J1016" s="397" t="n"/>
      <c r="K1016" s="395">
        <f>DATE(VALUE(LEFT(A1016,4)),VALUE(MID(A1016,5,2)),VALUE(RIGHT(A1016,2)))</f>
        <v/>
      </c>
      <c r="L1016" s="395">
        <f>DATEVALUE(LEFT(F1016,10))</f>
        <v/>
      </c>
      <c r="M1016" s="396">
        <f>TIMEVALUE(MID(F1016,12,8))</f>
        <v/>
      </c>
      <c r="N1016" s="395">
        <f>DATEVALUE(LEFT(G1016,10))</f>
        <v/>
      </c>
      <c r="O1016" s="396">
        <f>TIMEVALUE(MID(G1016,12,8))</f>
        <v/>
      </c>
      <c r="P1016" s="396">
        <f>IFERROR(_xlfn.MINIFS($M:$M,$E:$E,$E1016,$K:$K,$K1016,$M:$M,"&gt;"&amp;$O1016),"")</f>
        <v/>
      </c>
      <c r="Q1016" s="396">
        <f>IF($P1016="","",$P1016-$O1016)</f>
        <v/>
      </c>
    </row>
    <row r="1017" ht="15" customHeight="1" s="231">
      <c r="A1017" s="397" t="n"/>
      <c r="B1017" s="397" t="n"/>
      <c r="C1017" s="397" t="n"/>
      <c r="D1017" s="397" t="n"/>
      <c r="E1017" s="397" t="n"/>
      <c r="F1017" s="397" t="n"/>
      <c r="G1017" s="397" t="n"/>
      <c r="I1017" s="397" t="n"/>
      <c r="J1017" s="397" t="n"/>
      <c r="K1017" s="395">
        <f>DATE(VALUE(LEFT(A1017,4)),VALUE(MID(A1017,5,2)),VALUE(RIGHT(A1017,2)))</f>
        <v/>
      </c>
      <c r="L1017" s="395">
        <f>DATEVALUE(LEFT(F1017,10))</f>
        <v/>
      </c>
      <c r="M1017" s="396">
        <f>TIMEVALUE(MID(F1017,12,8))</f>
        <v/>
      </c>
      <c r="N1017" s="395">
        <f>DATEVALUE(LEFT(G1017,10))</f>
        <v/>
      </c>
      <c r="O1017" s="396">
        <f>TIMEVALUE(MID(G1017,12,8))</f>
        <v/>
      </c>
      <c r="P1017" s="396">
        <f>IFERROR(_xlfn.MINIFS($M:$M,$E:$E,$E1017,$K:$K,$K1017,$M:$M,"&gt;"&amp;$O1017),"")</f>
        <v/>
      </c>
      <c r="Q1017" s="396">
        <f>IF($P1017="","",$P1017-$O1017)</f>
        <v/>
      </c>
    </row>
    <row r="1018" ht="15" customHeight="1" s="231">
      <c r="A1018" s="397" t="n"/>
      <c r="B1018" s="397" t="n"/>
      <c r="C1018" s="397" t="n"/>
      <c r="D1018" s="397" t="n"/>
      <c r="E1018" s="397" t="n"/>
      <c r="F1018" s="397" t="n"/>
      <c r="G1018" s="397" t="n"/>
      <c r="I1018" s="397" t="n"/>
      <c r="J1018" s="397" t="n"/>
      <c r="K1018" s="395">
        <f>DATE(VALUE(LEFT(A1018,4)),VALUE(MID(A1018,5,2)),VALUE(RIGHT(A1018,2)))</f>
        <v/>
      </c>
      <c r="L1018" s="395">
        <f>DATEVALUE(LEFT(F1018,10))</f>
        <v/>
      </c>
      <c r="M1018" s="396">
        <f>TIMEVALUE(MID(F1018,12,8))</f>
        <v/>
      </c>
      <c r="N1018" s="395">
        <f>DATEVALUE(LEFT(G1018,10))</f>
        <v/>
      </c>
      <c r="O1018" s="396">
        <f>TIMEVALUE(MID(G1018,12,8))</f>
        <v/>
      </c>
      <c r="P1018" s="396">
        <f>IFERROR(_xlfn.MINIFS($M:$M,$E:$E,$E1018,$K:$K,$K1018,$M:$M,"&gt;"&amp;$O1018),"")</f>
        <v/>
      </c>
      <c r="Q1018" s="396">
        <f>IF($P1018="","",$P1018-$O1018)</f>
        <v/>
      </c>
    </row>
    <row r="1019" ht="15" customHeight="1" s="231">
      <c r="A1019" s="397" t="n"/>
      <c r="B1019" s="397" t="n"/>
      <c r="C1019" s="397" t="n"/>
      <c r="D1019" s="397" t="n"/>
      <c r="E1019" s="397" t="n"/>
      <c r="F1019" s="397" t="n"/>
      <c r="G1019" s="397" t="n"/>
      <c r="I1019" s="397" t="n"/>
      <c r="J1019" s="397" t="n"/>
      <c r="K1019" s="395">
        <f>DATE(VALUE(LEFT(A1019,4)),VALUE(MID(A1019,5,2)),VALUE(RIGHT(A1019,2)))</f>
        <v/>
      </c>
      <c r="L1019" s="395">
        <f>DATEVALUE(LEFT(F1019,10))</f>
        <v/>
      </c>
      <c r="M1019" s="396">
        <f>TIMEVALUE(MID(F1019,12,8))</f>
        <v/>
      </c>
      <c r="N1019" s="395">
        <f>DATEVALUE(LEFT(G1019,10))</f>
        <v/>
      </c>
      <c r="O1019" s="396">
        <f>TIMEVALUE(MID(G1019,12,8))</f>
        <v/>
      </c>
      <c r="P1019" s="396">
        <f>IFERROR(_xlfn.MINIFS($M:$M,$E:$E,$E1019,$K:$K,$K1019,$M:$M,"&gt;"&amp;$O1019),"")</f>
        <v/>
      </c>
      <c r="Q1019" s="396">
        <f>IF($P1019="","",$P1019-$O1019)</f>
        <v/>
      </c>
    </row>
    <row r="1020" ht="15" customHeight="1" s="231">
      <c r="A1020" s="397" t="n"/>
      <c r="B1020" s="397" t="n"/>
      <c r="C1020" s="397" t="n"/>
      <c r="D1020" s="397" t="n"/>
      <c r="E1020" s="397" t="n"/>
      <c r="F1020" s="397" t="n"/>
      <c r="G1020" s="397" t="n"/>
      <c r="I1020" s="397" t="n"/>
      <c r="J1020" s="397" t="n"/>
      <c r="K1020" s="395">
        <f>DATE(VALUE(LEFT(A1020,4)),VALUE(MID(A1020,5,2)),VALUE(RIGHT(A1020,2)))</f>
        <v/>
      </c>
      <c r="L1020" s="395">
        <f>DATEVALUE(LEFT(F1020,10))</f>
        <v/>
      </c>
      <c r="M1020" s="396">
        <f>TIMEVALUE(MID(F1020,12,8))</f>
        <v/>
      </c>
      <c r="N1020" s="395">
        <f>DATEVALUE(LEFT(G1020,10))</f>
        <v/>
      </c>
      <c r="O1020" s="396">
        <f>TIMEVALUE(MID(G1020,12,8))</f>
        <v/>
      </c>
      <c r="P1020" s="396">
        <f>IFERROR(_xlfn.MINIFS($M:$M,$E:$E,$E1020,$K:$K,$K1020,$M:$M,"&gt;"&amp;$O1020),"")</f>
        <v/>
      </c>
      <c r="Q1020" s="396">
        <f>IF($P1020="","",$P1020-$O1020)</f>
        <v/>
      </c>
    </row>
    <row r="1021" ht="15" customHeight="1" s="231">
      <c r="A1021" s="397" t="n"/>
      <c r="B1021" s="397" t="n"/>
      <c r="C1021" s="397" t="n"/>
      <c r="D1021" s="397" t="n"/>
      <c r="E1021" s="397" t="n"/>
      <c r="F1021" s="397" t="n"/>
      <c r="G1021" s="397" t="n"/>
      <c r="I1021" s="397" t="n"/>
      <c r="J1021" s="397" t="n"/>
      <c r="K1021" s="395">
        <f>DATE(VALUE(LEFT(A1021,4)),VALUE(MID(A1021,5,2)),VALUE(RIGHT(A1021,2)))</f>
        <v/>
      </c>
      <c r="L1021" s="395">
        <f>DATEVALUE(LEFT(F1021,10))</f>
        <v/>
      </c>
      <c r="M1021" s="396">
        <f>TIMEVALUE(MID(F1021,12,8))</f>
        <v/>
      </c>
      <c r="N1021" s="395">
        <f>DATEVALUE(LEFT(G1021,10))</f>
        <v/>
      </c>
      <c r="O1021" s="396">
        <f>TIMEVALUE(MID(G1021,12,8))</f>
        <v/>
      </c>
      <c r="P1021" s="396">
        <f>IFERROR(_xlfn.MINIFS($M:$M,$E:$E,$E1021,$K:$K,$K1021,$M:$M,"&gt;"&amp;$O1021),"")</f>
        <v/>
      </c>
      <c r="Q1021" s="396">
        <f>IF($P1021="","",$P1021-$O1021)</f>
        <v/>
      </c>
    </row>
    <row r="1022" ht="15" customHeight="1" s="231">
      <c r="A1022" s="397" t="n"/>
      <c r="B1022" s="397" t="n"/>
      <c r="C1022" s="397" t="n"/>
      <c r="D1022" s="397" t="n"/>
      <c r="E1022" s="397" t="n"/>
      <c r="F1022" s="397" t="n"/>
      <c r="G1022" s="397" t="n"/>
      <c r="I1022" s="397" t="n"/>
      <c r="J1022" s="397" t="n"/>
      <c r="K1022" s="395">
        <f>DATE(VALUE(LEFT(A1022,4)),VALUE(MID(A1022,5,2)),VALUE(RIGHT(A1022,2)))</f>
        <v/>
      </c>
      <c r="L1022" s="395">
        <f>DATEVALUE(LEFT(F1022,10))</f>
        <v/>
      </c>
      <c r="M1022" s="396">
        <f>TIMEVALUE(MID(F1022,12,8))</f>
        <v/>
      </c>
      <c r="N1022" s="395">
        <f>DATEVALUE(LEFT(G1022,10))</f>
        <v/>
      </c>
      <c r="O1022" s="396">
        <f>TIMEVALUE(MID(G1022,12,8))</f>
        <v/>
      </c>
      <c r="P1022" s="396">
        <f>IFERROR(_xlfn.MINIFS($M:$M,$E:$E,$E1022,$K:$K,$K1022,$M:$M,"&gt;"&amp;$O1022),"")</f>
        <v/>
      </c>
      <c r="Q1022" s="396">
        <f>IF($P1022="","",$P1022-$O1022)</f>
        <v/>
      </c>
    </row>
    <row r="1023" ht="15" customHeight="1" s="231">
      <c r="A1023" s="397" t="n"/>
      <c r="B1023" s="397" t="n"/>
      <c r="C1023" s="397" t="n"/>
      <c r="D1023" s="397" t="n"/>
      <c r="E1023" s="397" t="n"/>
      <c r="F1023" s="397" t="n"/>
      <c r="G1023" s="397" t="n"/>
      <c r="I1023" s="397" t="n"/>
      <c r="J1023" s="397" t="n"/>
      <c r="K1023" s="395">
        <f>DATE(VALUE(LEFT(A1023,4)),VALUE(MID(A1023,5,2)),VALUE(RIGHT(A1023,2)))</f>
        <v/>
      </c>
      <c r="L1023" s="395">
        <f>DATEVALUE(LEFT(F1023,10))</f>
        <v/>
      </c>
      <c r="M1023" s="396">
        <f>TIMEVALUE(MID(F1023,12,8))</f>
        <v/>
      </c>
      <c r="N1023" s="395">
        <f>DATEVALUE(LEFT(G1023,10))</f>
        <v/>
      </c>
      <c r="O1023" s="396">
        <f>TIMEVALUE(MID(G1023,12,8))</f>
        <v/>
      </c>
      <c r="P1023" s="396">
        <f>IFERROR(_xlfn.MINIFS($M:$M,$E:$E,$E1023,$K:$K,$K1023,$M:$M,"&gt;"&amp;$O1023),"")</f>
        <v/>
      </c>
      <c r="Q1023" s="396">
        <f>IF($P1023="","",$P1023-$O1023)</f>
        <v/>
      </c>
    </row>
    <row r="1024" ht="15" customHeight="1" s="231">
      <c r="A1024" s="397" t="n"/>
      <c r="B1024" s="397" t="n"/>
      <c r="C1024" s="397" t="n"/>
      <c r="D1024" s="397" t="n"/>
      <c r="E1024" s="397" t="n"/>
      <c r="F1024" s="397" t="n"/>
      <c r="G1024" s="397" t="n"/>
      <c r="I1024" s="397" t="n"/>
      <c r="J1024" s="397" t="n"/>
      <c r="K1024" s="395">
        <f>DATE(VALUE(LEFT(A1024,4)),VALUE(MID(A1024,5,2)),VALUE(RIGHT(A1024,2)))</f>
        <v/>
      </c>
      <c r="L1024" s="395">
        <f>DATEVALUE(LEFT(F1024,10))</f>
        <v/>
      </c>
      <c r="M1024" s="396">
        <f>TIMEVALUE(MID(F1024,12,8))</f>
        <v/>
      </c>
      <c r="N1024" s="395">
        <f>DATEVALUE(LEFT(G1024,10))</f>
        <v/>
      </c>
      <c r="O1024" s="396">
        <f>TIMEVALUE(MID(G1024,12,8))</f>
        <v/>
      </c>
      <c r="P1024" s="396">
        <f>IFERROR(_xlfn.MINIFS($M:$M,$E:$E,$E1024,$K:$K,$K1024,$M:$M,"&gt;"&amp;$O1024),"")</f>
        <v/>
      </c>
      <c r="Q1024" s="396">
        <f>IF($P1024="","",$P1024-$O1024)</f>
        <v/>
      </c>
    </row>
    <row r="1025" ht="15" customHeight="1" s="231">
      <c r="A1025" s="397" t="n"/>
      <c r="B1025" s="397" t="n"/>
      <c r="C1025" s="397" t="n"/>
      <c r="D1025" s="397" t="n"/>
      <c r="E1025" s="397" t="n"/>
      <c r="F1025" s="397" t="n"/>
      <c r="G1025" s="397" t="n"/>
      <c r="I1025" s="397" t="n"/>
      <c r="J1025" s="397" t="n"/>
      <c r="K1025" s="395">
        <f>DATE(VALUE(LEFT(A1025,4)),VALUE(MID(A1025,5,2)),VALUE(RIGHT(A1025,2)))</f>
        <v/>
      </c>
      <c r="L1025" s="395">
        <f>DATEVALUE(LEFT(F1025,10))</f>
        <v/>
      </c>
      <c r="M1025" s="396">
        <f>TIMEVALUE(MID(F1025,12,8))</f>
        <v/>
      </c>
      <c r="N1025" s="395">
        <f>DATEVALUE(LEFT(G1025,10))</f>
        <v/>
      </c>
      <c r="O1025" s="396">
        <f>TIMEVALUE(MID(G1025,12,8))</f>
        <v/>
      </c>
      <c r="P1025" s="396">
        <f>IFERROR(_xlfn.MINIFS($M:$M,$E:$E,$E1025,$K:$K,$K1025,$M:$M,"&gt;"&amp;$O1025),"")</f>
        <v/>
      </c>
      <c r="Q1025" s="396">
        <f>IF($P1025="","",$P1025-$O1025)</f>
        <v/>
      </c>
    </row>
    <row r="1026" ht="15" customHeight="1" s="231">
      <c r="A1026" s="397" t="n"/>
      <c r="B1026" s="397" t="n"/>
      <c r="C1026" s="397" t="n"/>
      <c r="D1026" s="397" t="n"/>
      <c r="E1026" s="397" t="n"/>
      <c r="F1026" s="397" t="n"/>
      <c r="G1026" s="397" t="n"/>
      <c r="I1026" s="397" t="n"/>
      <c r="J1026" s="397" t="n"/>
      <c r="K1026" s="395">
        <f>DATE(VALUE(LEFT(A1026,4)),VALUE(MID(A1026,5,2)),VALUE(RIGHT(A1026,2)))</f>
        <v/>
      </c>
      <c r="L1026" s="395">
        <f>DATEVALUE(LEFT(F1026,10))</f>
        <v/>
      </c>
      <c r="M1026" s="396">
        <f>TIMEVALUE(MID(F1026,12,8))</f>
        <v/>
      </c>
      <c r="N1026" s="395">
        <f>DATEVALUE(LEFT(G1026,10))</f>
        <v/>
      </c>
      <c r="O1026" s="396">
        <f>TIMEVALUE(MID(G1026,12,8))</f>
        <v/>
      </c>
      <c r="P1026" s="396">
        <f>IFERROR(_xlfn.MINIFS($M:$M,$E:$E,$E1026,$K:$K,$K1026,$M:$M,"&gt;"&amp;$O1026),"")</f>
        <v/>
      </c>
      <c r="Q1026" s="396">
        <f>IF($P1026="","",$P1026-$O1026)</f>
        <v/>
      </c>
    </row>
    <row r="1027" ht="15" customHeight="1" s="231">
      <c r="A1027" s="397" t="n"/>
      <c r="B1027" s="397" t="n"/>
      <c r="C1027" s="397" t="n"/>
      <c r="D1027" s="397" t="n"/>
      <c r="E1027" s="397" t="n"/>
      <c r="F1027" s="397" t="n"/>
      <c r="G1027" s="397" t="n"/>
      <c r="I1027" s="397" t="n"/>
      <c r="J1027" s="397" t="n"/>
      <c r="K1027" s="395">
        <f>DATE(VALUE(LEFT(A1027,4)),VALUE(MID(A1027,5,2)),VALUE(RIGHT(A1027,2)))</f>
        <v/>
      </c>
      <c r="L1027" s="395">
        <f>DATEVALUE(LEFT(F1027,10))</f>
        <v/>
      </c>
      <c r="M1027" s="396">
        <f>TIMEVALUE(MID(F1027,12,8))</f>
        <v/>
      </c>
      <c r="N1027" s="395">
        <f>DATEVALUE(LEFT(G1027,10))</f>
        <v/>
      </c>
      <c r="O1027" s="396">
        <f>TIMEVALUE(MID(G1027,12,8))</f>
        <v/>
      </c>
      <c r="P1027" s="396">
        <f>IFERROR(_xlfn.MINIFS($M:$M,$E:$E,$E1027,$K:$K,$K1027,$M:$M,"&gt;"&amp;$O1027),"")</f>
        <v/>
      </c>
      <c r="Q1027" s="396">
        <f>IF($P1027="","",$P1027-$O1027)</f>
        <v/>
      </c>
    </row>
    <row r="1028" ht="15" customHeight="1" s="231">
      <c r="A1028" s="397" t="n"/>
      <c r="B1028" s="397" t="n"/>
      <c r="C1028" s="397" t="n"/>
      <c r="D1028" s="397" t="n"/>
      <c r="E1028" s="397" t="n"/>
      <c r="F1028" s="397" t="n"/>
      <c r="G1028" s="397" t="n"/>
      <c r="I1028" s="397" t="n"/>
      <c r="J1028" s="397" t="n"/>
      <c r="K1028" s="395">
        <f>DATE(VALUE(LEFT(A1028,4)),VALUE(MID(A1028,5,2)),VALUE(RIGHT(A1028,2)))</f>
        <v/>
      </c>
      <c r="L1028" s="395">
        <f>DATEVALUE(LEFT(F1028,10))</f>
        <v/>
      </c>
      <c r="M1028" s="396">
        <f>TIMEVALUE(MID(F1028,12,8))</f>
        <v/>
      </c>
      <c r="N1028" s="395">
        <f>DATEVALUE(LEFT(G1028,10))</f>
        <v/>
      </c>
      <c r="O1028" s="396">
        <f>TIMEVALUE(MID(G1028,12,8))</f>
        <v/>
      </c>
      <c r="P1028" s="396">
        <f>IFERROR(_xlfn.MINIFS($M:$M,$E:$E,$E1028,$K:$K,$K1028,$M:$M,"&gt;"&amp;$O1028),"")</f>
        <v/>
      </c>
      <c r="Q1028" s="396">
        <f>IF($P1028="","",$P1028-$O1028)</f>
        <v/>
      </c>
    </row>
    <row r="1029" ht="15" customHeight="1" s="231">
      <c r="A1029" s="397" t="n"/>
      <c r="B1029" s="397" t="n"/>
      <c r="C1029" s="397" t="n"/>
      <c r="D1029" s="397" t="n"/>
      <c r="E1029" s="397" t="n"/>
      <c r="F1029" s="397" t="n"/>
      <c r="G1029" s="397" t="n"/>
      <c r="I1029" s="397" t="n"/>
      <c r="J1029" s="397" t="n"/>
      <c r="K1029" s="395">
        <f>DATE(VALUE(LEFT(A1029,4)),VALUE(MID(A1029,5,2)),VALUE(RIGHT(A1029,2)))</f>
        <v/>
      </c>
      <c r="L1029" s="395">
        <f>DATEVALUE(LEFT(F1029,10))</f>
        <v/>
      </c>
      <c r="M1029" s="396">
        <f>TIMEVALUE(MID(F1029,12,8))</f>
        <v/>
      </c>
      <c r="N1029" s="395">
        <f>DATEVALUE(LEFT(G1029,10))</f>
        <v/>
      </c>
      <c r="O1029" s="396">
        <f>TIMEVALUE(MID(G1029,12,8))</f>
        <v/>
      </c>
      <c r="P1029" s="396">
        <f>IFERROR(_xlfn.MINIFS($M:$M,$E:$E,$E1029,$K:$K,$K1029,$M:$M,"&gt;"&amp;$O1029),"")</f>
        <v/>
      </c>
      <c r="Q1029" s="396">
        <f>IF($P1029="","",$P1029-$O1029)</f>
        <v/>
      </c>
    </row>
    <row r="1030" ht="15" customHeight="1" s="231">
      <c r="A1030" s="397" t="n"/>
      <c r="B1030" s="397" t="n"/>
      <c r="C1030" s="397" t="n"/>
      <c r="D1030" s="397" t="n"/>
      <c r="E1030" s="397" t="n"/>
      <c r="F1030" s="397" t="n"/>
      <c r="G1030" s="397" t="n"/>
      <c r="I1030" s="397" t="n"/>
      <c r="J1030" s="397" t="n"/>
      <c r="K1030" s="395">
        <f>DATE(VALUE(LEFT(A1030,4)),VALUE(MID(A1030,5,2)),VALUE(RIGHT(A1030,2)))</f>
        <v/>
      </c>
      <c r="L1030" s="395">
        <f>DATEVALUE(LEFT(F1030,10))</f>
        <v/>
      </c>
      <c r="M1030" s="396">
        <f>TIMEVALUE(MID(F1030,12,8))</f>
        <v/>
      </c>
      <c r="N1030" s="395">
        <f>DATEVALUE(LEFT(G1030,10))</f>
        <v/>
      </c>
      <c r="O1030" s="396">
        <f>TIMEVALUE(MID(G1030,12,8))</f>
        <v/>
      </c>
      <c r="P1030" s="396">
        <f>IFERROR(_xlfn.MINIFS($M:$M,$E:$E,$E1030,$K:$K,$K1030,$M:$M,"&gt;"&amp;$O1030),"")</f>
        <v/>
      </c>
      <c r="Q1030" s="396">
        <f>IF($P1030="","",$P1030-$O1030)</f>
        <v/>
      </c>
    </row>
    <row r="1031" ht="15" customHeight="1" s="231">
      <c r="A1031" s="397" t="n"/>
      <c r="B1031" s="397" t="n"/>
      <c r="C1031" s="397" t="n"/>
      <c r="D1031" s="397" t="n"/>
      <c r="E1031" s="397" t="n"/>
      <c r="F1031" s="397" t="n"/>
      <c r="G1031" s="397" t="n"/>
      <c r="I1031" s="397" t="n"/>
      <c r="J1031" s="397" t="n"/>
      <c r="K1031" s="395">
        <f>DATE(VALUE(LEFT(A1031,4)),VALUE(MID(A1031,5,2)),VALUE(RIGHT(A1031,2)))</f>
        <v/>
      </c>
      <c r="L1031" s="395">
        <f>DATEVALUE(LEFT(F1031,10))</f>
        <v/>
      </c>
      <c r="M1031" s="396">
        <f>TIMEVALUE(MID(F1031,12,8))</f>
        <v/>
      </c>
      <c r="N1031" s="395">
        <f>DATEVALUE(LEFT(G1031,10))</f>
        <v/>
      </c>
      <c r="O1031" s="396">
        <f>TIMEVALUE(MID(G1031,12,8))</f>
        <v/>
      </c>
      <c r="P1031" s="396">
        <f>IFERROR(_xlfn.MINIFS($M:$M,$E:$E,$E1031,$K:$K,$K1031,$M:$M,"&gt;"&amp;$O1031),"")</f>
        <v/>
      </c>
      <c r="Q1031" s="396">
        <f>IF($P1031="","",$P1031-$O1031)</f>
        <v/>
      </c>
    </row>
    <row r="1032" ht="15" customHeight="1" s="231">
      <c r="A1032" s="397" t="n"/>
      <c r="B1032" s="397" t="n"/>
      <c r="C1032" s="397" t="n"/>
      <c r="D1032" s="397" t="n"/>
      <c r="E1032" s="397" t="n"/>
      <c r="F1032" s="397" t="n"/>
      <c r="G1032" s="397" t="n"/>
      <c r="I1032" s="397" t="n"/>
      <c r="J1032" s="397" t="n"/>
      <c r="K1032" s="395">
        <f>DATE(VALUE(LEFT(A1032,4)),VALUE(MID(A1032,5,2)),VALUE(RIGHT(A1032,2)))</f>
        <v/>
      </c>
      <c r="L1032" s="395">
        <f>DATEVALUE(LEFT(F1032,10))</f>
        <v/>
      </c>
      <c r="M1032" s="396">
        <f>TIMEVALUE(MID(F1032,12,8))</f>
        <v/>
      </c>
      <c r="N1032" s="395">
        <f>DATEVALUE(LEFT(G1032,10))</f>
        <v/>
      </c>
      <c r="O1032" s="396">
        <f>TIMEVALUE(MID(G1032,12,8))</f>
        <v/>
      </c>
      <c r="P1032" s="396">
        <f>IFERROR(_xlfn.MINIFS($M:$M,$E:$E,$E1032,$K:$K,$K1032,$M:$M,"&gt;"&amp;$O1032),"")</f>
        <v/>
      </c>
      <c r="Q1032" s="396">
        <f>IF($P1032="","",$P1032-$O1032)</f>
        <v/>
      </c>
    </row>
    <row r="1033" ht="15" customHeight="1" s="231">
      <c r="A1033" s="397" t="n"/>
      <c r="B1033" s="397" t="n"/>
      <c r="C1033" s="397" t="n"/>
      <c r="D1033" s="397" t="n"/>
      <c r="E1033" s="397" t="n"/>
      <c r="F1033" s="397" t="n"/>
      <c r="G1033" s="397" t="n"/>
      <c r="I1033" s="397" t="n"/>
      <c r="J1033" s="397" t="n"/>
      <c r="K1033" s="395">
        <f>DATE(VALUE(LEFT(A1033,4)),VALUE(MID(A1033,5,2)),VALUE(RIGHT(A1033,2)))</f>
        <v/>
      </c>
      <c r="L1033" s="395">
        <f>DATEVALUE(LEFT(F1033,10))</f>
        <v/>
      </c>
      <c r="M1033" s="396">
        <f>TIMEVALUE(MID(F1033,12,8))</f>
        <v/>
      </c>
      <c r="N1033" s="395">
        <f>DATEVALUE(LEFT(G1033,10))</f>
        <v/>
      </c>
      <c r="O1033" s="396">
        <f>TIMEVALUE(MID(G1033,12,8))</f>
        <v/>
      </c>
      <c r="P1033" s="396">
        <f>IFERROR(_xlfn.MINIFS($M:$M,$E:$E,$E1033,$K:$K,$K1033,$M:$M,"&gt;"&amp;$O1033),"")</f>
        <v/>
      </c>
      <c r="Q1033" s="396">
        <f>IF($P1033="","",$P1033-$O1033)</f>
        <v/>
      </c>
    </row>
    <row r="1034" ht="15" customHeight="1" s="231">
      <c r="A1034" s="397" t="n"/>
      <c r="B1034" s="397" t="n"/>
      <c r="C1034" s="397" t="n"/>
      <c r="D1034" s="397" t="n"/>
      <c r="E1034" s="397" t="n"/>
      <c r="F1034" s="397" t="n"/>
      <c r="G1034" s="397" t="n"/>
      <c r="I1034" s="397" t="n"/>
      <c r="J1034" s="397" t="n"/>
      <c r="K1034" s="395">
        <f>DATE(VALUE(LEFT(A1034,4)),VALUE(MID(A1034,5,2)),VALUE(RIGHT(A1034,2)))</f>
        <v/>
      </c>
      <c r="L1034" s="395">
        <f>DATEVALUE(LEFT(F1034,10))</f>
        <v/>
      </c>
      <c r="M1034" s="396">
        <f>TIMEVALUE(MID(F1034,12,8))</f>
        <v/>
      </c>
      <c r="N1034" s="395">
        <f>DATEVALUE(LEFT(G1034,10))</f>
        <v/>
      </c>
      <c r="O1034" s="396">
        <f>TIMEVALUE(MID(G1034,12,8))</f>
        <v/>
      </c>
      <c r="P1034" s="396">
        <f>IFERROR(_xlfn.MINIFS($M:$M,$E:$E,$E1034,$K:$K,$K1034,$M:$M,"&gt;"&amp;$O1034),"")</f>
        <v/>
      </c>
      <c r="Q1034" s="396">
        <f>IF($P1034="","",$P1034-$O1034)</f>
        <v/>
      </c>
    </row>
    <row r="1035" ht="15" customHeight="1" s="231">
      <c r="A1035" s="397" t="n"/>
      <c r="B1035" s="397" t="n"/>
      <c r="C1035" s="397" t="n"/>
      <c r="D1035" s="397" t="n"/>
      <c r="E1035" s="397" t="n"/>
      <c r="F1035" s="397" t="n"/>
      <c r="G1035" s="397" t="n"/>
      <c r="I1035" s="397" t="n"/>
      <c r="J1035" s="397" t="n"/>
      <c r="K1035" s="395">
        <f>DATE(VALUE(LEFT(A1035,4)),VALUE(MID(A1035,5,2)),VALUE(RIGHT(A1035,2)))</f>
        <v/>
      </c>
      <c r="L1035" s="395">
        <f>DATEVALUE(LEFT(F1035,10))</f>
        <v/>
      </c>
      <c r="M1035" s="396">
        <f>TIMEVALUE(MID(F1035,12,8))</f>
        <v/>
      </c>
      <c r="N1035" s="395">
        <f>DATEVALUE(LEFT(G1035,10))</f>
        <v/>
      </c>
      <c r="O1035" s="396">
        <f>TIMEVALUE(MID(G1035,12,8))</f>
        <v/>
      </c>
      <c r="P1035" s="396">
        <f>IFERROR(_xlfn.MINIFS($M:$M,$E:$E,$E1035,$K:$K,$K1035,$M:$M,"&gt;"&amp;$O1035),"")</f>
        <v/>
      </c>
      <c r="Q1035" s="396">
        <f>IF($P1035="","",$P1035-$O1035)</f>
        <v/>
      </c>
    </row>
    <row r="1036" ht="15" customHeight="1" s="231">
      <c r="A1036" s="397" t="n"/>
      <c r="B1036" s="397" t="n"/>
      <c r="C1036" s="397" t="n"/>
      <c r="D1036" s="397" t="n"/>
      <c r="E1036" s="397" t="n"/>
      <c r="F1036" s="397" t="n"/>
      <c r="G1036" s="397" t="n"/>
      <c r="I1036" s="397" t="n"/>
      <c r="J1036" s="397" t="n"/>
      <c r="K1036" s="395">
        <f>DATE(VALUE(LEFT(A1036,4)),VALUE(MID(A1036,5,2)),VALUE(RIGHT(A1036,2)))</f>
        <v/>
      </c>
      <c r="L1036" s="395">
        <f>DATEVALUE(LEFT(F1036,10))</f>
        <v/>
      </c>
      <c r="M1036" s="396">
        <f>TIMEVALUE(MID(F1036,12,8))</f>
        <v/>
      </c>
      <c r="N1036" s="395">
        <f>DATEVALUE(LEFT(G1036,10))</f>
        <v/>
      </c>
      <c r="O1036" s="396">
        <f>TIMEVALUE(MID(G1036,12,8))</f>
        <v/>
      </c>
      <c r="P1036" s="396">
        <f>IFERROR(_xlfn.MINIFS($M:$M,$E:$E,$E1036,$K:$K,$K1036,$M:$M,"&gt;"&amp;$O1036),"")</f>
        <v/>
      </c>
      <c r="Q1036" s="396">
        <f>IF($P1036="","",$P1036-$O1036)</f>
        <v/>
      </c>
    </row>
    <row r="1037" ht="15" customHeight="1" s="231">
      <c r="A1037" s="397" t="n"/>
      <c r="B1037" s="397" t="n"/>
      <c r="C1037" s="397" t="n"/>
      <c r="D1037" s="397" t="n"/>
      <c r="E1037" s="397" t="n"/>
      <c r="F1037" s="397" t="n"/>
      <c r="G1037" s="397" t="n"/>
      <c r="I1037" s="397" t="n"/>
      <c r="J1037" s="397" t="n"/>
      <c r="K1037" s="395">
        <f>DATE(VALUE(LEFT(A1037,4)),VALUE(MID(A1037,5,2)),VALUE(RIGHT(A1037,2)))</f>
        <v/>
      </c>
      <c r="L1037" s="395">
        <f>DATEVALUE(LEFT(F1037,10))</f>
        <v/>
      </c>
      <c r="M1037" s="396">
        <f>TIMEVALUE(MID(F1037,12,8))</f>
        <v/>
      </c>
      <c r="N1037" s="395">
        <f>DATEVALUE(LEFT(G1037,10))</f>
        <v/>
      </c>
      <c r="O1037" s="396">
        <f>TIMEVALUE(MID(G1037,12,8))</f>
        <v/>
      </c>
      <c r="P1037" s="396">
        <f>IFERROR(_xlfn.MINIFS($M:$M,$E:$E,$E1037,$K:$K,$K1037,$M:$M,"&gt;"&amp;$O1037),"")</f>
        <v/>
      </c>
      <c r="Q1037" s="396">
        <f>IF($P1037="","",$P1037-$O1037)</f>
        <v/>
      </c>
    </row>
    <row r="1038" ht="15" customHeight="1" s="231">
      <c r="A1038" s="397" t="n"/>
      <c r="B1038" s="397" t="n"/>
      <c r="C1038" s="397" t="n"/>
      <c r="D1038" s="397" t="n"/>
      <c r="E1038" s="397" t="n"/>
      <c r="F1038" s="397" t="n"/>
      <c r="G1038" s="397" t="n"/>
      <c r="I1038" s="397" t="n"/>
      <c r="J1038" s="397" t="n"/>
      <c r="K1038" s="395">
        <f>DATE(VALUE(LEFT(A1038,4)),VALUE(MID(A1038,5,2)),VALUE(RIGHT(A1038,2)))</f>
        <v/>
      </c>
      <c r="L1038" s="395">
        <f>DATEVALUE(LEFT(F1038,10))</f>
        <v/>
      </c>
      <c r="M1038" s="396">
        <f>TIMEVALUE(MID(F1038,12,8))</f>
        <v/>
      </c>
      <c r="N1038" s="395">
        <f>DATEVALUE(LEFT(G1038,10))</f>
        <v/>
      </c>
      <c r="O1038" s="396">
        <f>TIMEVALUE(MID(G1038,12,8))</f>
        <v/>
      </c>
      <c r="P1038" s="396">
        <f>IFERROR(_xlfn.MINIFS($M:$M,$E:$E,$E1038,$K:$K,$K1038,$M:$M,"&gt;"&amp;$O1038),"")</f>
        <v/>
      </c>
      <c r="Q1038" s="396">
        <f>IF($P1038="","",$P1038-$O1038)</f>
        <v/>
      </c>
    </row>
    <row r="1039" ht="15" customHeight="1" s="231">
      <c r="A1039" s="397" t="n"/>
      <c r="B1039" s="397" t="n"/>
      <c r="C1039" s="397" t="n"/>
      <c r="D1039" s="397" t="n"/>
      <c r="E1039" s="397" t="n"/>
      <c r="F1039" s="397" t="n"/>
      <c r="G1039" s="397" t="n"/>
      <c r="I1039" s="397" t="n"/>
      <c r="J1039" s="397" t="n"/>
      <c r="K1039" s="395">
        <f>DATE(VALUE(LEFT(A1039,4)),VALUE(MID(A1039,5,2)),VALUE(RIGHT(A1039,2)))</f>
        <v/>
      </c>
      <c r="L1039" s="395">
        <f>DATEVALUE(LEFT(F1039,10))</f>
        <v/>
      </c>
      <c r="M1039" s="396">
        <f>TIMEVALUE(MID(F1039,12,8))</f>
        <v/>
      </c>
      <c r="N1039" s="395">
        <f>DATEVALUE(LEFT(G1039,10))</f>
        <v/>
      </c>
      <c r="O1039" s="396">
        <f>TIMEVALUE(MID(G1039,12,8))</f>
        <v/>
      </c>
      <c r="P1039" s="396">
        <f>IFERROR(_xlfn.MINIFS($M:$M,$E:$E,$E1039,$K:$K,$K1039,$M:$M,"&gt;"&amp;$O1039),"")</f>
        <v/>
      </c>
      <c r="Q1039" s="396">
        <f>IF($P1039="","",$P1039-$O1039)</f>
        <v/>
      </c>
    </row>
    <row r="1040" ht="15" customHeight="1" s="231">
      <c r="A1040" s="397" t="n"/>
      <c r="B1040" s="397" t="n"/>
      <c r="C1040" s="397" t="n"/>
      <c r="D1040" s="397" t="n"/>
      <c r="E1040" s="397" t="n"/>
      <c r="F1040" s="397" t="n"/>
      <c r="G1040" s="397" t="n"/>
      <c r="I1040" s="397" t="n"/>
      <c r="J1040" s="397" t="n"/>
      <c r="K1040" s="395">
        <f>DATE(VALUE(LEFT(A1040,4)),VALUE(MID(A1040,5,2)),VALUE(RIGHT(A1040,2)))</f>
        <v/>
      </c>
      <c r="L1040" s="395">
        <f>DATEVALUE(LEFT(F1040,10))</f>
        <v/>
      </c>
      <c r="M1040" s="396">
        <f>TIMEVALUE(MID(F1040,12,8))</f>
        <v/>
      </c>
      <c r="N1040" s="395">
        <f>DATEVALUE(LEFT(G1040,10))</f>
        <v/>
      </c>
      <c r="O1040" s="396">
        <f>TIMEVALUE(MID(G1040,12,8))</f>
        <v/>
      </c>
      <c r="P1040" s="396">
        <f>IFERROR(_xlfn.MINIFS($M:$M,$E:$E,$E1040,$K:$K,$K1040,$M:$M,"&gt;"&amp;$O1040),"")</f>
        <v/>
      </c>
      <c r="Q1040" s="396">
        <f>IF($P1040="","",$P1040-$O1040)</f>
        <v/>
      </c>
    </row>
    <row r="1041" ht="15" customHeight="1" s="231">
      <c r="A1041" s="397" t="n"/>
      <c r="B1041" s="397" t="n"/>
      <c r="C1041" s="397" t="n"/>
      <c r="D1041" s="397" t="n"/>
      <c r="E1041" s="397" t="n"/>
      <c r="F1041" s="397" t="n"/>
      <c r="G1041" s="397" t="n"/>
      <c r="I1041" s="397" t="n"/>
      <c r="J1041" s="397" t="n"/>
      <c r="K1041" s="395">
        <f>DATE(VALUE(LEFT(A1041,4)),VALUE(MID(A1041,5,2)),VALUE(RIGHT(A1041,2)))</f>
        <v/>
      </c>
      <c r="L1041" s="395">
        <f>DATEVALUE(LEFT(F1041,10))</f>
        <v/>
      </c>
      <c r="M1041" s="396">
        <f>TIMEVALUE(MID(F1041,12,8))</f>
        <v/>
      </c>
      <c r="N1041" s="395">
        <f>DATEVALUE(LEFT(G1041,10))</f>
        <v/>
      </c>
      <c r="O1041" s="396">
        <f>TIMEVALUE(MID(G1041,12,8))</f>
        <v/>
      </c>
      <c r="P1041" s="396">
        <f>IFERROR(_xlfn.MINIFS($M:$M,$E:$E,$E1041,$K:$K,$K1041,$M:$M,"&gt;"&amp;$O1041),"")</f>
        <v/>
      </c>
      <c r="Q1041" s="396">
        <f>IF($P1041="","",$P1041-$O1041)</f>
        <v/>
      </c>
    </row>
    <row r="1042" ht="15" customHeight="1" s="231">
      <c r="A1042" s="397" t="n"/>
      <c r="B1042" s="397" t="n"/>
      <c r="C1042" s="397" t="n"/>
      <c r="D1042" s="397" t="n"/>
      <c r="E1042" s="397" t="n"/>
      <c r="F1042" s="397" t="n"/>
      <c r="G1042" s="397" t="n"/>
      <c r="I1042" s="397" t="n"/>
      <c r="J1042" s="397" t="n"/>
      <c r="K1042" s="395">
        <f>DATE(VALUE(LEFT(A1042,4)),VALUE(MID(A1042,5,2)),VALUE(RIGHT(A1042,2)))</f>
        <v/>
      </c>
      <c r="L1042" s="395">
        <f>DATEVALUE(LEFT(F1042,10))</f>
        <v/>
      </c>
      <c r="M1042" s="396">
        <f>TIMEVALUE(MID(F1042,12,8))</f>
        <v/>
      </c>
      <c r="N1042" s="395">
        <f>DATEVALUE(LEFT(G1042,10))</f>
        <v/>
      </c>
      <c r="O1042" s="396">
        <f>TIMEVALUE(MID(G1042,12,8))</f>
        <v/>
      </c>
      <c r="P1042" s="396">
        <f>IFERROR(_xlfn.MINIFS($M:$M,$E:$E,$E1042,$K:$K,$K1042,$M:$M,"&gt;"&amp;$O1042),"")</f>
        <v/>
      </c>
      <c r="Q1042" s="396">
        <f>IF($P1042="","",$P1042-$O1042)</f>
        <v/>
      </c>
    </row>
    <row r="1043" ht="15" customHeight="1" s="231">
      <c r="A1043" s="397" t="n"/>
      <c r="B1043" s="397" t="n"/>
      <c r="C1043" s="397" t="n"/>
      <c r="D1043" s="397" t="n"/>
      <c r="E1043" s="397" t="n"/>
      <c r="F1043" s="397" t="n"/>
      <c r="G1043" s="397" t="n"/>
      <c r="I1043" s="397" t="n"/>
      <c r="J1043" s="397" t="n"/>
      <c r="K1043" s="395">
        <f>DATE(VALUE(LEFT(A1043,4)),VALUE(MID(A1043,5,2)),VALUE(RIGHT(A1043,2)))</f>
        <v/>
      </c>
      <c r="L1043" s="395">
        <f>DATEVALUE(LEFT(F1043,10))</f>
        <v/>
      </c>
      <c r="M1043" s="396">
        <f>TIMEVALUE(MID(F1043,12,8))</f>
        <v/>
      </c>
      <c r="N1043" s="395">
        <f>DATEVALUE(LEFT(G1043,10))</f>
        <v/>
      </c>
      <c r="O1043" s="396">
        <f>TIMEVALUE(MID(G1043,12,8))</f>
        <v/>
      </c>
      <c r="P1043" s="396">
        <f>IFERROR(_xlfn.MINIFS($M:$M,$E:$E,$E1043,$K:$K,$K1043,$M:$M,"&gt;"&amp;$O1043),"")</f>
        <v/>
      </c>
      <c r="Q1043" s="396">
        <f>IF($P1043="","",$P1043-$O1043)</f>
        <v/>
      </c>
    </row>
    <row r="1044" ht="15" customHeight="1" s="231">
      <c r="A1044" s="397" t="n"/>
      <c r="B1044" s="397" t="n"/>
      <c r="C1044" s="397" t="n"/>
      <c r="D1044" s="397" t="n"/>
      <c r="E1044" s="397" t="n"/>
      <c r="F1044" s="397" t="n"/>
      <c r="G1044" s="397" t="n"/>
      <c r="I1044" s="397" t="n"/>
      <c r="J1044" s="397" t="n"/>
      <c r="K1044" s="395">
        <f>DATE(VALUE(LEFT(A1044,4)),VALUE(MID(A1044,5,2)),VALUE(RIGHT(A1044,2)))</f>
        <v/>
      </c>
      <c r="L1044" s="395">
        <f>DATEVALUE(LEFT(F1044,10))</f>
        <v/>
      </c>
      <c r="M1044" s="396">
        <f>TIMEVALUE(MID(F1044,12,8))</f>
        <v/>
      </c>
      <c r="N1044" s="395">
        <f>DATEVALUE(LEFT(G1044,10))</f>
        <v/>
      </c>
      <c r="O1044" s="396">
        <f>TIMEVALUE(MID(G1044,12,8))</f>
        <v/>
      </c>
      <c r="P1044" s="396">
        <f>IFERROR(_xlfn.MINIFS($M:$M,$E:$E,$E1044,$K:$K,$K1044,$M:$M,"&gt;"&amp;$O1044),"")</f>
        <v/>
      </c>
      <c r="Q1044" s="396">
        <f>IF($P1044="","",$P1044-$O1044)</f>
        <v/>
      </c>
    </row>
    <row r="1045" ht="15" customHeight="1" s="231">
      <c r="A1045" s="397" t="n"/>
      <c r="B1045" s="397" t="n"/>
      <c r="C1045" s="397" t="n"/>
      <c r="D1045" s="397" t="n"/>
      <c r="E1045" s="397" t="n"/>
      <c r="F1045" s="397" t="n"/>
      <c r="G1045" s="397" t="n"/>
      <c r="I1045" s="397" t="n"/>
      <c r="J1045" s="397" t="n"/>
      <c r="K1045" s="395">
        <f>DATE(VALUE(LEFT(A1045,4)),VALUE(MID(A1045,5,2)),VALUE(RIGHT(A1045,2)))</f>
        <v/>
      </c>
      <c r="L1045" s="395">
        <f>DATEVALUE(LEFT(F1045,10))</f>
        <v/>
      </c>
      <c r="M1045" s="396">
        <f>TIMEVALUE(MID(F1045,12,8))</f>
        <v/>
      </c>
      <c r="N1045" s="395">
        <f>DATEVALUE(LEFT(G1045,10))</f>
        <v/>
      </c>
      <c r="O1045" s="396">
        <f>TIMEVALUE(MID(G1045,12,8))</f>
        <v/>
      </c>
      <c r="P1045" s="396">
        <f>IFERROR(_xlfn.MINIFS($M:$M,$E:$E,$E1045,$K:$K,$K1045,$M:$M,"&gt;"&amp;$O1045),"")</f>
        <v/>
      </c>
      <c r="Q1045" s="396">
        <f>IF($P1045="","",$P1045-$O1045)</f>
        <v/>
      </c>
    </row>
    <row r="1046" ht="15" customHeight="1" s="231">
      <c r="A1046" s="397" t="n"/>
      <c r="B1046" s="397" t="n"/>
      <c r="C1046" s="397" t="n"/>
      <c r="D1046" s="397" t="n"/>
      <c r="E1046" s="397" t="n"/>
      <c r="F1046" s="397" t="n"/>
      <c r="G1046" s="397" t="n"/>
      <c r="I1046" s="397" t="n"/>
      <c r="J1046" s="397" t="n"/>
      <c r="K1046" s="395">
        <f>DATE(VALUE(LEFT(A1046,4)),VALUE(MID(A1046,5,2)),VALUE(RIGHT(A1046,2)))</f>
        <v/>
      </c>
      <c r="L1046" s="395">
        <f>DATEVALUE(LEFT(F1046,10))</f>
        <v/>
      </c>
      <c r="M1046" s="396">
        <f>TIMEVALUE(MID(F1046,12,8))</f>
        <v/>
      </c>
      <c r="N1046" s="395">
        <f>DATEVALUE(LEFT(G1046,10))</f>
        <v/>
      </c>
      <c r="O1046" s="396">
        <f>TIMEVALUE(MID(G1046,12,8))</f>
        <v/>
      </c>
      <c r="P1046" s="396">
        <f>IFERROR(_xlfn.MINIFS($M:$M,$E:$E,$E1046,$K:$K,$K1046,$M:$M,"&gt;"&amp;$O1046),"")</f>
        <v/>
      </c>
      <c r="Q1046" s="396">
        <f>IF($P1046="","",$P1046-$O1046)</f>
        <v/>
      </c>
    </row>
    <row r="1047" ht="15" customHeight="1" s="231">
      <c r="A1047" s="397" t="n"/>
      <c r="B1047" s="397" t="n"/>
      <c r="C1047" s="397" t="n"/>
      <c r="D1047" s="397" t="n"/>
      <c r="E1047" s="397" t="n"/>
      <c r="F1047" s="397" t="n"/>
      <c r="G1047" s="397" t="n"/>
      <c r="I1047" s="397" t="n"/>
      <c r="J1047" s="397" t="n"/>
      <c r="K1047" s="395">
        <f>DATE(VALUE(LEFT(A1047,4)),VALUE(MID(A1047,5,2)),VALUE(RIGHT(A1047,2)))</f>
        <v/>
      </c>
      <c r="L1047" s="395">
        <f>DATEVALUE(LEFT(F1047,10))</f>
        <v/>
      </c>
      <c r="M1047" s="396">
        <f>TIMEVALUE(MID(F1047,12,8))</f>
        <v/>
      </c>
      <c r="N1047" s="395">
        <f>DATEVALUE(LEFT(G1047,10))</f>
        <v/>
      </c>
      <c r="O1047" s="396">
        <f>TIMEVALUE(MID(G1047,12,8))</f>
        <v/>
      </c>
      <c r="P1047" s="396">
        <f>IFERROR(_xlfn.MINIFS($M:$M,$E:$E,$E1047,$K:$K,$K1047,$M:$M,"&gt;"&amp;$O1047),"")</f>
        <v/>
      </c>
      <c r="Q1047" s="396">
        <f>IF($P1047="","",$P1047-$O1047)</f>
        <v/>
      </c>
    </row>
    <row r="1048" ht="15" customHeight="1" s="231">
      <c r="A1048" s="397" t="n"/>
      <c r="B1048" s="397" t="n"/>
      <c r="C1048" s="397" t="n"/>
      <c r="D1048" s="397" t="n"/>
      <c r="E1048" s="397" t="n"/>
      <c r="F1048" s="397" t="n"/>
      <c r="G1048" s="397" t="n"/>
      <c r="I1048" s="397" t="n"/>
      <c r="J1048" s="397" t="n"/>
      <c r="K1048" s="395">
        <f>DATE(VALUE(LEFT(A1048,4)),VALUE(MID(A1048,5,2)),VALUE(RIGHT(A1048,2)))</f>
        <v/>
      </c>
      <c r="L1048" s="395">
        <f>DATEVALUE(LEFT(F1048,10))</f>
        <v/>
      </c>
      <c r="M1048" s="396">
        <f>TIMEVALUE(MID(F1048,12,8))</f>
        <v/>
      </c>
      <c r="N1048" s="395">
        <f>DATEVALUE(LEFT(G1048,10))</f>
        <v/>
      </c>
      <c r="O1048" s="396">
        <f>TIMEVALUE(MID(G1048,12,8))</f>
        <v/>
      </c>
      <c r="P1048" s="396">
        <f>IFERROR(_xlfn.MINIFS($M:$M,$E:$E,$E1048,$K:$K,$K1048,$M:$M,"&gt;"&amp;$O1048),"")</f>
        <v/>
      </c>
      <c r="Q1048" s="396">
        <f>IF($P1048="","",$P1048-$O1048)</f>
        <v/>
      </c>
    </row>
    <row r="1049" ht="15" customHeight="1" s="231">
      <c r="A1049" s="397" t="n"/>
      <c r="B1049" s="397" t="n"/>
      <c r="C1049" s="397" t="n"/>
      <c r="D1049" s="397" t="n"/>
      <c r="E1049" s="397" t="n"/>
      <c r="F1049" s="397" t="n"/>
      <c r="G1049" s="397" t="n"/>
      <c r="I1049" s="397" t="n"/>
      <c r="J1049" s="397" t="n"/>
      <c r="K1049" s="395">
        <f>DATE(VALUE(LEFT(A1049,4)),VALUE(MID(A1049,5,2)),VALUE(RIGHT(A1049,2)))</f>
        <v/>
      </c>
      <c r="L1049" s="395">
        <f>DATEVALUE(LEFT(F1049,10))</f>
        <v/>
      </c>
      <c r="M1049" s="396">
        <f>TIMEVALUE(MID(F1049,12,8))</f>
        <v/>
      </c>
      <c r="N1049" s="395">
        <f>DATEVALUE(LEFT(G1049,10))</f>
        <v/>
      </c>
      <c r="O1049" s="396">
        <f>TIMEVALUE(MID(G1049,12,8))</f>
        <v/>
      </c>
      <c r="P1049" s="396">
        <f>IFERROR(_xlfn.MINIFS($M:$M,$E:$E,$E1049,$K:$K,$K1049,$M:$M,"&gt;"&amp;$O1049),"")</f>
        <v/>
      </c>
      <c r="Q1049" s="396">
        <f>IF($P1049="","",$P1049-$O1049)</f>
        <v/>
      </c>
    </row>
    <row r="1050" ht="15" customHeight="1" s="231">
      <c r="A1050" s="397" t="n"/>
      <c r="B1050" s="397" t="n"/>
      <c r="C1050" s="397" t="n"/>
      <c r="D1050" s="397" t="n"/>
      <c r="E1050" s="397" t="n"/>
      <c r="F1050" s="397" t="n"/>
      <c r="G1050" s="397" t="n"/>
      <c r="I1050" s="397" t="n"/>
      <c r="J1050" s="397" t="n"/>
      <c r="K1050" s="395">
        <f>DATE(VALUE(LEFT(A1050,4)),VALUE(MID(A1050,5,2)),VALUE(RIGHT(A1050,2)))</f>
        <v/>
      </c>
      <c r="L1050" s="395">
        <f>DATEVALUE(LEFT(F1050,10))</f>
        <v/>
      </c>
      <c r="M1050" s="396">
        <f>TIMEVALUE(MID(F1050,12,8))</f>
        <v/>
      </c>
      <c r="N1050" s="395">
        <f>DATEVALUE(LEFT(G1050,10))</f>
        <v/>
      </c>
      <c r="O1050" s="396">
        <f>TIMEVALUE(MID(G1050,12,8))</f>
        <v/>
      </c>
      <c r="P1050" s="396">
        <f>IFERROR(_xlfn.MINIFS($M:$M,$E:$E,$E1050,$K:$K,$K1050,$M:$M,"&gt;"&amp;$O1050),"")</f>
        <v/>
      </c>
      <c r="Q1050" s="396">
        <f>IF($P1050="","",$P1050-$O1050)</f>
        <v/>
      </c>
    </row>
    <row r="1051" ht="15" customHeight="1" s="231">
      <c r="A1051" s="397" t="n"/>
      <c r="B1051" s="397" t="n"/>
      <c r="C1051" s="397" t="n"/>
      <c r="D1051" s="397" t="n"/>
      <c r="E1051" s="397" t="n"/>
      <c r="F1051" s="397" t="n"/>
      <c r="G1051" s="397" t="n"/>
      <c r="I1051" s="397" t="n"/>
      <c r="J1051" s="397" t="n"/>
      <c r="K1051" s="395">
        <f>DATE(VALUE(LEFT(A1051,4)),VALUE(MID(A1051,5,2)),VALUE(RIGHT(A1051,2)))</f>
        <v/>
      </c>
      <c r="L1051" s="395">
        <f>DATEVALUE(LEFT(F1051,10))</f>
        <v/>
      </c>
      <c r="M1051" s="396">
        <f>TIMEVALUE(MID(F1051,12,8))</f>
        <v/>
      </c>
      <c r="N1051" s="395">
        <f>DATEVALUE(LEFT(G1051,10))</f>
        <v/>
      </c>
      <c r="O1051" s="396">
        <f>TIMEVALUE(MID(G1051,12,8))</f>
        <v/>
      </c>
      <c r="P1051" s="396">
        <f>IFERROR(_xlfn.MINIFS($M:$M,$E:$E,$E1051,$K:$K,$K1051,$M:$M,"&gt;"&amp;$O1051),"")</f>
        <v/>
      </c>
      <c r="Q1051" s="396">
        <f>IF($P1051="","",$P1051-$O1051)</f>
        <v/>
      </c>
    </row>
    <row r="1052" ht="15" customHeight="1" s="231">
      <c r="A1052" s="397" t="n"/>
      <c r="B1052" s="397" t="n"/>
      <c r="C1052" s="397" t="n"/>
      <c r="D1052" s="397" t="n"/>
      <c r="E1052" s="397" t="n"/>
      <c r="F1052" s="397" t="n"/>
      <c r="G1052" s="397" t="n"/>
      <c r="I1052" s="397" t="n"/>
      <c r="J1052" s="397" t="n"/>
      <c r="K1052" s="395">
        <f>DATE(VALUE(LEFT(A1052,4)),VALUE(MID(A1052,5,2)),VALUE(RIGHT(A1052,2)))</f>
        <v/>
      </c>
      <c r="L1052" s="395">
        <f>DATEVALUE(LEFT(F1052,10))</f>
        <v/>
      </c>
      <c r="M1052" s="396">
        <f>TIMEVALUE(MID(F1052,12,8))</f>
        <v/>
      </c>
      <c r="N1052" s="395">
        <f>DATEVALUE(LEFT(G1052,10))</f>
        <v/>
      </c>
      <c r="O1052" s="396">
        <f>TIMEVALUE(MID(G1052,12,8))</f>
        <v/>
      </c>
      <c r="P1052" s="396">
        <f>IFERROR(_xlfn.MINIFS($M:$M,$E:$E,$E1052,$K:$K,$K1052,$M:$M,"&gt;"&amp;$O1052),"")</f>
        <v/>
      </c>
      <c r="Q1052" s="396">
        <f>IF($P1052="","",$P1052-$O1052)</f>
        <v/>
      </c>
    </row>
    <row r="1053" ht="15" customHeight="1" s="231">
      <c r="A1053" s="397" t="n"/>
      <c r="B1053" s="397" t="n"/>
      <c r="C1053" s="397" t="n"/>
      <c r="D1053" s="397" t="n"/>
      <c r="E1053" s="397" t="n"/>
      <c r="F1053" s="397" t="n"/>
      <c r="G1053" s="397" t="n"/>
      <c r="I1053" s="397" t="n"/>
      <c r="J1053" s="397" t="n"/>
      <c r="K1053" s="395">
        <f>DATE(VALUE(LEFT(A1053,4)),VALUE(MID(A1053,5,2)),VALUE(RIGHT(A1053,2)))</f>
        <v/>
      </c>
      <c r="L1053" s="395">
        <f>DATEVALUE(LEFT(F1053,10))</f>
        <v/>
      </c>
      <c r="M1053" s="396">
        <f>TIMEVALUE(MID(F1053,12,8))</f>
        <v/>
      </c>
      <c r="N1053" s="395">
        <f>DATEVALUE(LEFT(G1053,10))</f>
        <v/>
      </c>
      <c r="O1053" s="396">
        <f>TIMEVALUE(MID(G1053,12,8))</f>
        <v/>
      </c>
      <c r="P1053" s="396">
        <f>IFERROR(_xlfn.MINIFS($M:$M,$E:$E,$E1053,$K:$K,$K1053,$M:$M,"&gt;"&amp;$O1053),"")</f>
        <v/>
      </c>
      <c r="Q1053" s="396">
        <f>IF($P1053="","",$P1053-$O1053)</f>
        <v/>
      </c>
    </row>
    <row r="1054" ht="15" customHeight="1" s="231">
      <c r="A1054" s="397" t="n"/>
      <c r="B1054" s="397" t="n"/>
      <c r="C1054" s="397" t="n"/>
      <c r="D1054" s="397" t="n"/>
      <c r="E1054" s="397" t="n"/>
      <c r="F1054" s="397" t="n"/>
      <c r="G1054" s="397" t="n"/>
      <c r="I1054" s="397" t="n"/>
      <c r="J1054" s="397" t="n"/>
      <c r="K1054" s="395">
        <f>DATE(VALUE(LEFT(A1054,4)),VALUE(MID(A1054,5,2)),VALUE(RIGHT(A1054,2)))</f>
        <v/>
      </c>
      <c r="L1054" s="395">
        <f>DATEVALUE(LEFT(F1054,10))</f>
        <v/>
      </c>
      <c r="M1054" s="396">
        <f>TIMEVALUE(MID(F1054,12,8))</f>
        <v/>
      </c>
      <c r="N1054" s="395">
        <f>DATEVALUE(LEFT(G1054,10))</f>
        <v/>
      </c>
      <c r="O1054" s="396">
        <f>TIMEVALUE(MID(G1054,12,8))</f>
        <v/>
      </c>
      <c r="P1054" s="396">
        <f>IFERROR(_xlfn.MINIFS($M:$M,$E:$E,$E1054,$K:$K,$K1054,$M:$M,"&gt;"&amp;$O1054),"")</f>
        <v/>
      </c>
      <c r="Q1054" s="396">
        <f>IF($P1054="","",$P1054-$O1054)</f>
        <v/>
      </c>
    </row>
    <row r="1055" ht="15" customHeight="1" s="231">
      <c r="A1055" s="397" t="n"/>
      <c r="B1055" s="397" t="n"/>
      <c r="C1055" s="397" t="n"/>
      <c r="D1055" s="397" t="n"/>
      <c r="E1055" s="397" t="n"/>
      <c r="F1055" s="397" t="n"/>
      <c r="G1055" s="397" t="n"/>
      <c r="I1055" s="397" t="n"/>
      <c r="J1055" s="397" t="n"/>
      <c r="K1055" s="395">
        <f>DATE(VALUE(LEFT(A1055,4)),VALUE(MID(A1055,5,2)),VALUE(RIGHT(A1055,2)))</f>
        <v/>
      </c>
      <c r="L1055" s="395">
        <f>DATEVALUE(LEFT(F1055,10))</f>
        <v/>
      </c>
      <c r="M1055" s="396">
        <f>TIMEVALUE(MID(F1055,12,8))</f>
        <v/>
      </c>
      <c r="N1055" s="395">
        <f>DATEVALUE(LEFT(G1055,10))</f>
        <v/>
      </c>
      <c r="O1055" s="396">
        <f>TIMEVALUE(MID(G1055,12,8))</f>
        <v/>
      </c>
      <c r="P1055" s="396">
        <f>IFERROR(_xlfn.MINIFS($M:$M,$E:$E,$E1055,$K:$K,$K1055,$M:$M,"&gt;"&amp;$O1055),"")</f>
        <v/>
      </c>
      <c r="Q1055" s="396">
        <f>IF($P1055="","",$P1055-$O1055)</f>
        <v/>
      </c>
    </row>
    <row r="1056" ht="15" customHeight="1" s="231">
      <c r="A1056" s="397" t="n"/>
      <c r="B1056" s="397" t="n"/>
      <c r="C1056" s="397" t="n"/>
      <c r="D1056" s="397" t="n"/>
      <c r="E1056" s="397" t="n"/>
      <c r="F1056" s="397" t="n"/>
      <c r="G1056" s="397" t="n"/>
      <c r="I1056" s="397" t="n"/>
      <c r="J1056" s="397" t="n"/>
      <c r="K1056" s="395">
        <f>DATE(VALUE(LEFT(A1056,4)),VALUE(MID(A1056,5,2)),VALUE(RIGHT(A1056,2)))</f>
        <v/>
      </c>
      <c r="L1056" s="395">
        <f>DATEVALUE(LEFT(F1056,10))</f>
        <v/>
      </c>
      <c r="M1056" s="396">
        <f>TIMEVALUE(MID(F1056,12,8))</f>
        <v/>
      </c>
      <c r="N1056" s="395">
        <f>DATEVALUE(LEFT(G1056,10))</f>
        <v/>
      </c>
      <c r="O1056" s="396">
        <f>TIMEVALUE(MID(G1056,12,8))</f>
        <v/>
      </c>
      <c r="P1056" s="396">
        <f>IFERROR(_xlfn.MINIFS($M:$M,$E:$E,$E1056,$K:$K,$K1056,$M:$M,"&gt;"&amp;$O1056),"")</f>
        <v/>
      </c>
      <c r="Q1056" s="396">
        <f>IF($P1056="","",$P1056-$O1056)</f>
        <v/>
      </c>
    </row>
    <row r="1057" ht="15" customHeight="1" s="231">
      <c r="A1057" s="397" t="n"/>
      <c r="B1057" s="397" t="n"/>
      <c r="C1057" s="397" t="n"/>
      <c r="D1057" s="397" t="n"/>
      <c r="E1057" s="397" t="n"/>
      <c r="F1057" s="397" t="n"/>
      <c r="G1057" s="397" t="n"/>
      <c r="I1057" s="397" t="n"/>
      <c r="J1057" s="397" t="n"/>
      <c r="K1057" s="395">
        <f>DATE(VALUE(LEFT(A1057,4)),VALUE(MID(A1057,5,2)),VALUE(RIGHT(A1057,2)))</f>
        <v/>
      </c>
      <c r="L1057" s="395">
        <f>DATEVALUE(LEFT(F1057,10))</f>
        <v/>
      </c>
      <c r="M1057" s="396">
        <f>TIMEVALUE(MID(F1057,12,8))</f>
        <v/>
      </c>
      <c r="N1057" s="395">
        <f>DATEVALUE(LEFT(G1057,10))</f>
        <v/>
      </c>
      <c r="O1057" s="396">
        <f>TIMEVALUE(MID(G1057,12,8))</f>
        <v/>
      </c>
      <c r="P1057" s="396">
        <f>IFERROR(_xlfn.MINIFS($M:$M,$E:$E,$E1057,$K:$K,$K1057,$M:$M,"&gt;"&amp;$O1057),"")</f>
        <v/>
      </c>
      <c r="Q1057" s="396">
        <f>IF($P1057="","",$P1057-$O1057)</f>
        <v/>
      </c>
    </row>
    <row r="1058" ht="15" customHeight="1" s="231">
      <c r="A1058" s="397" t="n"/>
      <c r="B1058" s="397" t="n"/>
      <c r="C1058" s="397" t="n"/>
      <c r="D1058" s="397" t="n"/>
      <c r="E1058" s="397" t="n"/>
      <c r="F1058" s="397" t="n"/>
      <c r="G1058" s="397" t="n"/>
      <c r="I1058" s="397" t="n"/>
      <c r="J1058" s="397" t="n"/>
      <c r="K1058" s="395">
        <f>DATE(VALUE(LEFT(A1058,4)),VALUE(MID(A1058,5,2)),VALUE(RIGHT(A1058,2)))</f>
        <v/>
      </c>
      <c r="L1058" s="395">
        <f>DATEVALUE(LEFT(F1058,10))</f>
        <v/>
      </c>
      <c r="M1058" s="396">
        <f>TIMEVALUE(MID(F1058,12,8))</f>
        <v/>
      </c>
      <c r="N1058" s="395">
        <f>DATEVALUE(LEFT(G1058,10))</f>
        <v/>
      </c>
      <c r="O1058" s="396">
        <f>TIMEVALUE(MID(G1058,12,8))</f>
        <v/>
      </c>
      <c r="P1058" s="396">
        <f>IFERROR(_xlfn.MINIFS($M:$M,$E:$E,$E1058,$K:$K,$K1058,$M:$M,"&gt;"&amp;$O1058),"")</f>
        <v/>
      </c>
      <c r="Q1058" s="396">
        <f>IF($P1058="","",$P1058-$O1058)</f>
        <v/>
      </c>
    </row>
    <row r="1059" ht="15" customHeight="1" s="231">
      <c r="A1059" s="397" t="n"/>
      <c r="B1059" s="397" t="n"/>
      <c r="C1059" s="397" t="n"/>
      <c r="D1059" s="397" t="n"/>
      <c r="E1059" s="397" t="n"/>
      <c r="F1059" s="397" t="n"/>
      <c r="G1059" s="397" t="n"/>
      <c r="I1059" s="397" t="n"/>
      <c r="J1059" s="397" t="n"/>
      <c r="K1059" s="395">
        <f>DATE(VALUE(LEFT(A1059,4)),VALUE(MID(A1059,5,2)),VALUE(RIGHT(A1059,2)))</f>
        <v/>
      </c>
      <c r="L1059" s="395">
        <f>DATEVALUE(LEFT(F1059,10))</f>
        <v/>
      </c>
      <c r="M1059" s="396">
        <f>TIMEVALUE(MID(F1059,12,8))</f>
        <v/>
      </c>
      <c r="N1059" s="395">
        <f>DATEVALUE(LEFT(G1059,10))</f>
        <v/>
      </c>
      <c r="O1059" s="396">
        <f>TIMEVALUE(MID(G1059,12,8))</f>
        <v/>
      </c>
      <c r="P1059" s="396">
        <f>IFERROR(_xlfn.MINIFS($M:$M,$E:$E,$E1059,$K:$K,$K1059,$M:$M,"&gt;"&amp;$O1059),"")</f>
        <v/>
      </c>
      <c r="Q1059" s="396">
        <f>IF($P1059="","",$P1059-$O1059)</f>
        <v/>
      </c>
    </row>
    <row r="1060" ht="15" customHeight="1" s="231">
      <c r="A1060" s="397" t="n"/>
      <c r="B1060" s="397" t="n"/>
      <c r="C1060" s="397" t="n"/>
      <c r="D1060" s="397" t="n"/>
      <c r="E1060" s="397" t="n"/>
      <c r="F1060" s="397" t="n"/>
      <c r="G1060" s="397" t="n"/>
      <c r="I1060" s="397" t="n"/>
      <c r="J1060" s="397" t="n"/>
      <c r="K1060" s="395">
        <f>DATE(VALUE(LEFT(A1060,4)),VALUE(MID(A1060,5,2)),VALUE(RIGHT(A1060,2)))</f>
        <v/>
      </c>
      <c r="L1060" s="395">
        <f>DATEVALUE(LEFT(F1060,10))</f>
        <v/>
      </c>
      <c r="M1060" s="396">
        <f>TIMEVALUE(MID(F1060,12,8))</f>
        <v/>
      </c>
      <c r="N1060" s="395">
        <f>DATEVALUE(LEFT(G1060,10))</f>
        <v/>
      </c>
      <c r="O1060" s="396">
        <f>TIMEVALUE(MID(G1060,12,8))</f>
        <v/>
      </c>
      <c r="P1060" s="396">
        <f>IFERROR(_xlfn.MINIFS($M:$M,$E:$E,$E1060,$K:$K,$K1060,$M:$M,"&gt;"&amp;$O1060),"")</f>
        <v/>
      </c>
      <c r="Q1060" s="396">
        <f>IF($P1060="","",$P1060-$O1060)</f>
        <v/>
      </c>
    </row>
    <row r="1061" ht="15" customHeight="1" s="231">
      <c r="A1061" s="397" t="n"/>
      <c r="B1061" s="397" t="n"/>
      <c r="C1061" s="397" t="n"/>
      <c r="D1061" s="397" t="n"/>
      <c r="E1061" s="397" t="n"/>
      <c r="F1061" s="397" t="n"/>
      <c r="G1061" s="397" t="n"/>
      <c r="I1061" s="397" t="n"/>
      <c r="J1061" s="397" t="n"/>
      <c r="K1061" s="395">
        <f>DATE(VALUE(LEFT(A1061,4)),VALUE(MID(A1061,5,2)),VALUE(RIGHT(A1061,2)))</f>
        <v/>
      </c>
      <c r="L1061" s="395">
        <f>DATEVALUE(LEFT(F1061,10))</f>
        <v/>
      </c>
      <c r="M1061" s="396">
        <f>TIMEVALUE(MID(F1061,12,8))</f>
        <v/>
      </c>
      <c r="N1061" s="395">
        <f>DATEVALUE(LEFT(G1061,10))</f>
        <v/>
      </c>
      <c r="O1061" s="396">
        <f>TIMEVALUE(MID(G1061,12,8))</f>
        <v/>
      </c>
      <c r="P1061" s="396">
        <f>IFERROR(_xlfn.MINIFS($M:$M,$E:$E,$E1061,$K:$K,$K1061,$M:$M,"&gt;"&amp;$O1061),"")</f>
        <v/>
      </c>
      <c r="Q1061" s="396">
        <f>IF($P1061="","",$P1061-$O1061)</f>
        <v/>
      </c>
    </row>
    <row r="1062" ht="15" customHeight="1" s="231">
      <c r="A1062" s="397" t="n"/>
      <c r="B1062" s="397" t="n"/>
      <c r="C1062" s="397" t="n"/>
      <c r="D1062" s="397" t="n"/>
      <c r="E1062" s="397" t="n"/>
      <c r="F1062" s="397" t="n"/>
      <c r="G1062" s="397" t="n"/>
      <c r="I1062" s="397" t="n"/>
      <c r="J1062" s="397" t="n"/>
      <c r="K1062" s="395">
        <f>DATE(VALUE(LEFT(A1062,4)),VALUE(MID(A1062,5,2)),VALUE(RIGHT(A1062,2)))</f>
        <v/>
      </c>
      <c r="L1062" s="395">
        <f>DATEVALUE(LEFT(F1062,10))</f>
        <v/>
      </c>
      <c r="M1062" s="396">
        <f>TIMEVALUE(MID(F1062,12,8))</f>
        <v/>
      </c>
      <c r="N1062" s="395">
        <f>DATEVALUE(LEFT(G1062,10))</f>
        <v/>
      </c>
      <c r="O1062" s="396">
        <f>TIMEVALUE(MID(G1062,12,8))</f>
        <v/>
      </c>
      <c r="P1062" s="396">
        <f>IFERROR(_xlfn.MINIFS($M:$M,$E:$E,$E1062,$K:$K,$K1062,$M:$M,"&gt;"&amp;$O1062),"")</f>
        <v/>
      </c>
      <c r="Q1062" s="396">
        <f>IF($P1062="","",$P1062-$O1062)</f>
        <v/>
      </c>
    </row>
    <row r="1063" ht="15" customHeight="1" s="231">
      <c r="A1063" s="397" t="n"/>
      <c r="B1063" s="397" t="n"/>
      <c r="C1063" s="397" t="n"/>
      <c r="D1063" s="397" t="n"/>
      <c r="E1063" s="397" t="n"/>
      <c r="F1063" s="397" t="n"/>
      <c r="G1063" s="397" t="n"/>
      <c r="I1063" s="397" t="n"/>
      <c r="J1063" s="397" t="n"/>
      <c r="K1063" s="395">
        <f>DATE(VALUE(LEFT(A1063,4)),VALUE(MID(A1063,5,2)),VALUE(RIGHT(A1063,2)))</f>
        <v/>
      </c>
      <c r="L1063" s="395">
        <f>DATEVALUE(LEFT(F1063,10))</f>
        <v/>
      </c>
      <c r="M1063" s="396">
        <f>TIMEVALUE(MID(F1063,12,8))</f>
        <v/>
      </c>
      <c r="N1063" s="395">
        <f>DATEVALUE(LEFT(G1063,10))</f>
        <v/>
      </c>
      <c r="O1063" s="396">
        <f>TIMEVALUE(MID(G1063,12,8))</f>
        <v/>
      </c>
      <c r="P1063" s="396">
        <f>IFERROR(_xlfn.MINIFS($M:$M,$E:$E,$E1063,$K:$K,$K1063,$M:$M,"&gt;"&amp;$O1063),"")</f>
        <v/>
      </c>
      <c r="Q1063" s="396">
        <f>IF($P1063="","",$P1063-$O1063)</f>
        <v/>
      </c>
    </row>
    <row r="1064" ht="15" customHeight="1" s="231">
      <c r="A1064" s="397" t="n"/>
      <c r="B1064" s="397" t="n"/>
      <c r="C1064" s="397" t="n"/>
      <c r="D1064" s="397" t="n"/>
      <c r="E1064" s="397" t="n"/>
      <c r="F1064" s="397" t="n"/>
      <c r="G1064" s="397" t="n"/>
      <c r="I1064" s="397" t="n"/>
      <c r="J1064" s="397" t="n"/>
      <c r="K1064" s="395">
        <f>DATE(VALUE(LEFT(A1064,4)),VALUE(MID(A1064,5,2)),VALUE(RIGHT(A1064,2)))</f>
        <v/>
      </c>
      <c r="L1064" s="395">
        <f>DATEVALUE(LEFT(F1064,10))</f>
        <v/>
      </c>
      <c r="M1064" s="396">
        <f>TIMEVALUE(MID(F1064,12,8))</f>
        <v/>
      </c>
      <c r="N1064" s="395">
        <f>DATEVALUE(LEFT(G1064,10))</f>
        <v/>
      </c>
      <c r="O1064" s="396">
        <f>TIMEVALUE(MID(G1064,12,8))</f>
        <v/>
      </c>
      <c r="P1064" s="396">
        <f>IFERROR(_xlfn.MINIFS($M:$M,$E:$E,$E1064,$K:$K,$K1064,$M:$M,"&gt;"&amp;$O1064),"")</f>
        <v/>
      </c>
      <c r="Q1064" s="396">
        <f>IF($P1064="","",$P1064-$O1064)</f>
        <v/>
      </c>
    </row>
    <row r="1065" ht="15" customHeight="1" s="231">
      <c r="A1065" s="397" t="n"/>
      <c r="B1065" s="397" t="n"/>
      <c r="C1065" s="397" t="n"/>
      <c r="D1065" s="397" t="n"/>
      <c r="E1065" s="397" t="n"/>
      <c r="F1065" s="397" t="n"/>
      <c r="G1065" s="397" t="n"/>
      <c r="I1065" s="397" t="n"/>
      <c r="J1065" s="397" t="n"/>
      <c r="K1065" s="395">
        <f>DATE(VALUE(LEFT(A1065,4)),VALUE(MID(A1065,5,2)),VALUE(RIGHT(A1065,2)))</f>
        <v/>
      </c>
      <c r="L1065" s="395">
        <f>DATEVALUE(LEFT(F1065,10))</f>
        <v/>
      </c>
      <c r="M1065" s="396">
        <f>TIMEVALUE(MID(F1065,12,8))</f>
        <v/>
      </c>
      <c r="N1065" s="395">
        <f>DATEVALUE(LEFT(G1065,10))</f>
        <v/>
      </c>
      <c r="O1065" s="396">
        <f>TIMEVALUE(MID(G1065,12,8))</f>
        <v/>
      </c>
      <c r="P1065" s="396">
        <f>IFERROR(_xlfn.MINIFS($M:$M,$E:$E,$E1065,$K:$K,$K1065,$M:$M,"&gt;"&amp;$O1065),"")</f>
        <v/>
      </c>
      <c r="Q1065" s="396">
        <f>IF($P1065="","",$P1065-$O1065)</f>
        <v/>
      </c>
    </row>
    <row r="1066" ht="15" customHeight="1" s="231">
      <c r="A1066" s="397" t="n"/>
      <c r="B1066" s="397" t="n"/>
      <c r="C1066" s="397" t="n"/>
      <c r="D1066" s="397" t="n"/>
      <c r="E1066" s="397" t="n"/>
      <c r="F1066" s="397" t="n"/>
      <c r="G1066" s="397" t="n"/>
      <c r="I1066" s="397" t="n"/>
      <c r="J1066" s="397" t="n"/>
      <c r="K1066" s="395">
        <f>DATE(VALUE(LEFT(A1066,4)),VALUE(MID(A1066,5,2)),VALUE(RIGHT(A1066,2)))</f>
        <v/>
      </c>
      <c r="L1066" s="395">
        <f>DATEVALUE(LEFT(F1066,10))</f>
        <v/>
      </c>
      <c r="M1066" s="396">
        <f>TIMEVALUE(MID(F1066,12,8))</f>
        <v/>
      </c>
      <c r="N1066" s="395">
        <f>DATEVALUE(LEFT(G1066,10))</f>
        <v/>
      </c>
      <c r="O1066" s="396">
        <f>TIMEVALUE(MID(G1066,12,8))</f>
        <v/>
      </c>
      <c r="P1066" s="396">
        <f>IFERROR(_xlfn.MINIFS($M:$M,$E:$E,$E1066,$K:$K,$K1066,$M:$M,"&gt;"&amp;$O1066),"")</f>
        <v/>
      </c>
      <c r="Q1066" s="396">
        <f>IF($P1066="","",$P1066-$O1066)</f>
        <v/>
      </c>
    </row>
    <row r="1067" ht="15" customHeight="1" s="231">
      <c r="A1067" s="397" t="n"/>
      <c r="B1067" s="397" t="n"/>
      <c r="C1067" s="397" t="n"/>
      <c r="D1067" s="397" t="n"/>
      <c r="E1067" s="397" t="n"/>
      <c r="F1067" s="397" t="n"/>
      <c r="G1067" s="397" t="n"/>
      <c r="I1067" s="397" t="n"/>
      <c r="J1067" s="397" t="n"/>
      <c r="K1067" s="395">
        <f>DATE(VALUE(LEFT(A1067,4)),VALUE(MID(A1067,5,2)),VALUE(RIGHT(A1067,2)))</f>
        <v/>
      </c>
      <c r="L1067" s="395">
        <f>DATEVALUE(LEFT(F1067,10))</f>
        <v/>
      </c>
      <c r="M1067" s="396">
        <f>TIMEVALUE(MID(F1067,12,8))</f>
        <v/>
      </c>
      <c r="N1067" s="395">
        <f>DATEVALUE(LEFT(G1067,10))</f>
        <v/>
      </c>
      <c r="O1067" s="396">
        <f>TIMEVALUE(MID(G1067,12,8))</f>
        <v/>
      </c>
      <c r="P1067" s="396">
        <f>IFERROR(_xlfn.MINIFS($M:$M,$E:$E,$E1067,$K:$K,$K1067,$M:$M,"&gt;"&amp;$O1067),"")</f>
        <v/>
      </c>
      <c r="Q1067" s="396">
        <f>IF($P1067="","",$P1067-$O1067)</f>
        <v/>
      </c>
    </row>
    <row r="1068" ht="15" customHeight="1" s="231">
      <c r="A1068" s="397" t="n"/>
      <c r="B1068" s="397" t="n"/>
      <c r="C1068" s="397" t="n"/>
      <c r="D1068" s="397" t="n"/>
      <c r="E1068" s="397" t="n"/>
      <c r="F1068" s="397" t="n"/>
      <c r="G1068" s="397" t="n"/>
      <c r="I1068" s="397" t="n"/>
      <c r="J1068" s="397" t="n"/>
      <c r="K1068" s="395">
        <f>DATE(VALUE(LEFT(A1068,4)),VALUE(MID(A1068,5,2)),VALUE(RIGHT(A1068,2)))</f>
        <v/>
      </c>
      <c r="L1068" s="395">
        <f>DATEVALUE(LEFT(F1068,10))</f>
        <v/>
      </c>
      <c r="M1068" s="396">
        <f>TIMEVALUE(MID(F1068,12,8))</f>
        <v/>
      </c>
      <c r="N1068" s="395">
        <f>DATEVALUE(LEFT(G1068,10))</f>
        <v/>
      </c>
      <c r="O1068" s="396">
        <f>TIMEVALUE(MID(G1068,12,8))</f>
        <v/>
      </c>
      <c r="P1068" s="396">
        <f>IFERROR(_xlfn.MINIFS($M:$M,$E:$E,$E1068,$K:$K,$K1068,$M:$M,"&gt;"&amp;$O1068),"")</f>
        <v/>
      </c>
      <c r="Q1068" s="396">
        <f>IF($P1068="","",$P1068-$O1068)</f>
        <v/>
      </c>
    </row>
    <row r="1069" ht="15" customHeight="1" s="231">
      <c r="A1069" s="397" t="n"/>
      <c r="B1069" s="397" t="n"/>
      <c r="C1069" s="397" t="n"/>
      <c r="D1069" s="397" t="n"/>
      <c r="E1069" s="397" t="n"/>
      <c r="F1069" s="397" t="n"/>
      <c r="G1069" s="397" t="n"/>
      <c r="I1069" s="397" t="n"/>
      <c r="J1069" s="397" t="n"/>
      <c r="K1069" s="395">
        <f>DATE(VALUE(LEFT(A1069,4)),VALUE(MID(A1069,5,2)),VALUE(RIGHT(A1069,2)))</f>
        <v/>
      </c>
      <c r="L1069" s="395">
        <f>DATEVALUE(LEFT(F1069,10))</f>
        <v/>
      </c>
      <c r="M1069" s="396">
        <f>TIMEVALUE(MID(F1069,12,8))</f>
        <v/>
      </c>
      <c r="N1069" s="395">
        <f>DATEVALUE(LEFT(G1069,10))</f>
        <v/>
      </c>
      <c r="O1069" s="396">
        <f>TIMEVALUE(MID(G1069,12,8))</f>
        <v/>
      </c>
      <c r="P1069" s="396">
        <f>IFERROR(_xlfn.MINIFS($M:$M,$E:$E,$E1069,$K:$K,$K1069,$M:$M,"&gt;"&amp;$O1069),"")</f>
        <v/>
      </c>
      <c r="Q1069" s="396">
        <f>IF($P1069="","",$P1069-$O1069)</f>
        <v/>
      </c>
    </row>
    <row r="1070" ht="15" customHeight="1" s="231">
      <c r="A1070" s="397" t="n"/>
      <c r="B1070" s="397" t="n"/>
      <c r="C1070" s="397" t="n"/>
      <c r="D1070" s="397" t="n"/>
      <c r="E1070" s="397" t="n"/>
      <c r="F1070" s="397" t="n"/>
      <c r="G1070" s="397" t="n"/>
      <c r="I1070" s="397" t="n"/>
      <c r="J1070" s="397" t="n"/>
      <c r="K1070" s="395">
        <f>DATE(VALUE(LEFT(A1070,4)),VALUE(MID(A1070,5,2)),VALUE(RIGHT(A1070,2)))</f>
        <v/>
      </c>
      <c r="L1070" s="395">
        <f>DATEVALUE(LEFT(F1070,10))</f>
        <v/>
      </c>
      <c r="M1070" s="396">
        <f>TIMEVALUE(MID(F1070,12,8))</f>
        <v/>
      </c>
      <c r="N1070" s="395">
        <f>DATEVALUE(LEFT(G1070,10))</f>
        <v/>
      </c>
      <c r="O1070" s="396">
        <f>TIMEVALUE(MID(G1070,12,8))</f>
        <v/>
      </c>
      <c r="P1070" s="396">
        <f>IFERROR(_xlfn.MINIFS($M:$M,$E:$E,$E1070,$K:$K,$K1070,$M:$M,"&gt;"&amp;$O1070),"")</f>
        <v/>
      </c>
      <c r="Q1070" s="396">
        <f>IF($P1070="","",$P1070-$O1070)</f>
        <v/>
      </c>
    </row>
    <row r="1071" ht="15" customHeight="1" s="231">
      <c r="A1071" s="397" t="n"/>
      <c r="B1071" s="397" t="n"/>
      <c r="C1071" s="397" t="n"/>
      <c r="D1071" s="397" t="n"/>
      <c r="E1071" s="397" t="n"/>
      <c r="F1071" s="397" t="n"/>
      <c r="G1071" s="397" t="n"/>
      <c r="I1071" s="397" t="n"/>
      <c r="J1071" s="397" t="n"/>
      <c r="K1071" s="395">
        <f>DATE(VALUE(LEFT(A1071,4)),VALUE(MID(A1071,5,2)),VALUE(RIGHT(A1071,2)))</f>
        <v/>
      </c>
      <c r="L1071" s="395">
        <f>DATEVALUE(LEFT(F1071,10))</f>
        <v/>
      </c>
      <c r="M1071" s="396">
        <f>TIMEVALUE(MID(F1071,12,8))</f>
        <v/>
      </c>
      <c r="N1071" s="395">
        <f>DATEVALUE(LEFT(G1071,10))</f>
        <v/>
      </c>
      <c r="O1071" s="396">
        <f>TIMEVALUE(MID(G1071,12,8))</f>
        <v/>
      </c>
      <c r="P1071" s="396">
        <f>IFERROR(_xlfn.MINIFS($M:$M,$E:$E,$E1071,$K:$K,$K1071,$M:$M,"&gt;"&amp;$O1071),"")</f>
        <v/>
      </c>
      <c r="Q1071" s="396">
        <f>IF($P1071="","",$P1071-$O1071)</f>
        <v/>
      </c>
    </row>
    <row r="1072" ht="15" customHeight="1" s="231">
      <c r="A1072" s="397" t="n"/>
      <c r="B1072" s="397" t="n"/>
      <c r="C1072" s="397" t="n"/>
      <c r="D1072" s="397" t="n"/>
      <c r="E1072" s="397" t="n"/>
      <c r="F1072" s="397" t="n"/>
      <c r="G1072" s="397" t="n"/>
      <c r="I1072" s="397" t="n"/>
      <c r="J1072" s="397" t="n"/>
      <c r="K1072" s="395">
        <f>DATE(VALUE(LEFT(A1072,4)),VALUE(MID(A1072,5,2)),VALUE(RIGHT(A1072,2)))</f>
        <v/>
      </c>
      <c r="L1072" s="395">
        <f>DATEVALUE(LEFT(F1072,10))</f>
        <v/>
      </c>
      <c r="M1072" s="396">
        <f>TIMEVALUE(MID(F1072,12,8))</f>
        <v/>
      </c>
      <c r="N1072" s="395">
        <f>DATEVALUE(LEFT(G1072,10))</f>
        <v/>
      </c>
      <c r="O1072" s="396">
        <f>TIMEVALUE(MID(G1072,12,8))</f>
        <v/>
      </c>
      <c r="P1072" s="396">
        <f>IFERROR(_xlfn.MINIFS($M:$M,$E:$E,$E1072,$K:$K,$K1072,$M:$M,"&gt;"&amp;$O1072),"")</f>
        <v/>
      </c>
      <c r="Q1072" s="396">
        <f>IF($P1072="","",$P1072-$O1072)</f>
        <v/>
      </c>
    </row>
    <row r="1073" ht="15" customHeight="1" s="231">
      <c r="A1073" s="397" t="n"/>
      <c r="B1073" s="397" t="n"/>
      <c r="C1073" s="397" t="n"/>
      <c r="D1073" s="397" t="n"/>
      <c r="E1073" s="397" t="n"/>
      <c r="F1073" s="397" t="n"/>
      <c r="G1073" s="397" t="n"/>
      <c r="I1073" s="397" t="n"/>
      <c r="J1073" s="397" t="n"/>
      <c r="K1073" s="395">
        <f>DATE(VALUE(LEFT(A1073,4)),VALUE(MID(A1073,5,2)),VALUE(RIGHT(A1073,2)))</f>
        <v/>
      </c>
      <c r="L1073" s="395">
        <f>DATEVALUE(LEFT(F1073,10))</f>
        <v/>
      </c>
      <c r="M1073" s="396">
        <f>TIMEVALUE(MID(F1073,12,8))</f>
        <v/>
      </c>
      <c r="N1073" s="395">
        <f>DATEVALUE(LEFT(G1073,10))</f>
        <v/>
      </c>
      <c r="O1073" s="396">
        <f>TIMEVALUE(MID(G1073,12,8))</f>
        <v/>
      </c>
      <c r="P1073" s="396">
        <f>IFERROR(_xlfn.MINIFS($M:$M,$E:$E,$E1073,$K:$K,$K1073,$M:$M,"&gt;"&amp;$O1073),"")</f>
        <v/>
      </c>
      <c r="Q1073" s="396">
        <f>IF($P1073="","",$P1073-$O1073)</f>
        <v/>
      </c>
    </row>
    <row r="1074" ht="15" customHeight="1" s="231">
      <c r="A1074" s="397" t="n"/>
      <c r="B1074" s="397" t="n"/>
      <c r="C1074" s="397" t="n"/>
      <c r="D1074" s="397" t="n"/>
      <c r="E1074" s="397" t="n"/>
      <c r="F1074" s="397" t="n"/>
      <c r="G1074" s="397" t="n"/>
      <c r="I1074" s="397" t="n"/>
      <c r="J1074" s="397" t="n"/>
      <c r="K1074" s="395">
        <f>DATE(VALUE(LEFT(A1074,4)),VALUE(MID(A1074,5,2)),VALUE(RIGHT(A1074,2)))</f>
        <v/>
      </c>
      <c r="L1074" s="395">
        <f>DATEVALUE(LEFT(F1074,10))</f>
        <v/>
      </c>
      <c r="M1074" s="396">
        <f>TIMEVALUE(MID(F1074,12,8))</f>
        <v/>
      </c>
      <c r="N1074" s="395">
        <f>DATEVALUE(LEFT(G1074,10))</f>
        <v/>
      </c>
      <c r="O1074" s="396">
        <f>TIMEVALUE(MID(G1074,12,8))</f>
        <v/>
      </c>
      <c r="P1074" s="396">
        <f>IFERROR(_xlfn.MINIFS($M:$M,$E:$E,$E1074,$K:$K,$K1074,$M:$M,"&gt;"&amp;$O1074),"")</f>
        <v/>
      </c>
      <c r="Q1074" s="396">
        <f>IF($P1074="","",$P1074-$O1074)</f>
        <v/>
      </c>
    </row>
    <row r="1075" ht="15" customHeight="1" s="231">
      <c r="A1075" s="397" t="n"/>
      <c r="B1075" s="397" t="n"/>
      <c r="C1075" s="397" t="n"/>
      <c r="D1075" s="397" t="n"/>
      <c r="E1075" s="397" t="n"/>
      <c r="F1075" s="397" t="n"/>
      <c r="G1075" s="397" t="n"/>
      <c r="I1075" s="397" t="n"/>
      <c r="J1075" s="397" t="n"/>
      <c r="K1075" s="395">
        <f>DATE(VALUE(LEFT(A1075,4)),VALUE(MID(A1075,5,2)),VALUE(RIGHT(A1075,2)))</f>
        <v/>
      </c>
      <c r="L1075" s="395">
        <f>DATEVALUE(LEFT(F1075,10))</f>
        <v/>
      </c>
      <c r="M1075" s="396">
        <f>TIMEVALUE(MID(F1075,12,8))</f>
        <v/>
      </c>
      <c r="N1075" s="395">
        <f>DATEVALUE(LEFT(G1075,10))</f>
        <v/>
      </c>
      <c r="O1075" s="396">
        <f>TIMEVALUE(MID(G1075,12,8))</f>
        <v/>
      </c>
      <c r="P1075" s="396">
        <f>IFERROR(_xlfn.MINIFS($M:$M,$E:$E,$E1075,$K:$K,$K1075,$M:$M,"&gt;"&amp;$O1075),"")</f>
        <v/>
      </c>
      <c r="Q1075" s="396">
        <f>IF($P1075="","",$P1075-$O1075)</f>
        <v/>
      </c>
    </row>
    <row r="1076" ht="15" customHeight="1" s="231">
      <c r="A1076" s="397" t="n"/>
      <c r="B1076" s="397" t="n"/>
      <c r="C1076" s="397" t="n"/>
      <c r="D1076" s="397" t="n"/>
      <c r="E1076" s="397" t="n"/>
      <c r="F1076" s="397" t="n"/>
      <c r="G1076" s="397" t="n"/>
      <c r="I1076" s="397" t="n"/>
      <c r="J1076" s="397" t="n"/>
      <c r="K1076" s="395">
        <f>DATE(VALUE(LEFT(A1076,4)),VALUE(MID(A1076,5,2)),VALUE(RIGHT(A1076,2)))</f>
        <v/>
      </c>
      <c r="L1076" s="395">
        <f>DATEVALUE(LEFT(F1076,10))</f>
        <v/>
      </c>
      <c r="M1076" s="396">
        <f>TIMEVALUE(MID(F1076,12,8))</f>
        <v/>
      </c>
      <c r="N1076" s="395">
        <f>DATEVALUE(LEFT(G1076,10))</f>
        <v/>
      </c>
      <c r="O1076" s="396">
        <f>TIMEVALUE(MID(G1076,12,8))</f>
        <v/>
      </c>
      <c r="P1076" s="396">
        <f>IFERROR(_xlfn.MINIFS($M:$M,$E:$E,$E1076,$K:$K,$K1076,$M:$M,"&gt;"&amp;$O1076),"")</f>
        <v/>
      </c>
      <c r="Q1076" s="396">
        <f>IF($P1076="","",$P1076-$O1076)</f>
        <v/>
      </c>
    </row>
    <row r="1077" ht="15" customHeight="1" s="231">
      <c r="A1077" s="397" t="n"/>
      <c r="B1077" s="397" t="n"/>
      <c r="C1077" s="397" t="n"/>
      <c r="D1077" s="397" t="n"/>
      <c r="E1077" s="397" t="n"/>
      <c r="F1077" s="397" t="n"/>
      <c r="G1077" s="397" t="n"/>
      <c r="I1077" s="397" t="n"/>
      <c r="J1077" s="397" t="n"/>
      <c r="K1077" s="395">
        <f>DATE(VALUE(LEFT(A1077,4)),VALUE(MID(A1077,5,2)),VALUE(RIGHT(A1077,2)))</f>
        <v/>
      </c>
      <c r="L1077" s="395">
        <f>DATEVALUE(LEFT(F1077,10))</f>
        <v/>
      </c>
      <c r="M1077" s="396">
        <f>TIMEVALUE(MID(F1077,12,8))</f>
        <v/>
      </c>
      <c r="N1077" s="395">
        <f>DATEVALUE(LEFT(G1077,10))</f>
        <v/>
      </c>
      <c r="O1077" s="396">
        <f>TIMEVALUE(MID(G1077,12,8))</f>
        <v/>
      </c>
      <c r="P1077" s="396">
        <f>IFERROR(_xlfn.MINIFS($M:$M,$E:$E,$E1077,$K:$K,$K1077,$M:$M,"&gt;"&amp;$O1077),"")</f>
        <v/>
      </c>
      <c r="Q1077" s="396">
        <f>IF($P1077="","",$P1077-$O1077)</f>
        <v/>
      </c>
    </row>
    <row r="1078" ht="15" customHeight="1" s="231">
      <c r="A1078" s="397" t="n"/>
      <c r="B1078" s="397" t="n"/>
      <c r="C1078" s="397" t="n"/>
      <c r="D1078" s="397" t="n"/>
      <c r="E1078" s="397" t="n"/>
      <c r="F1078" s="397" t="n"/>
      <c r="G1078" s="397" t="n"/>
      <c r="I1078" s="397" t="n"/>
      <c r="J1078" s="397" t="n"/>
      <c r="K1078" s="395">
        <f>DATE(VALUE(LEFT(A1078,4)),VALUE(MID(A1078,5,2)),VALUE(RIGHT(A1078,2)))</f>
        <v/>
      </c>
      <c r="L1078" s="395">
        <f>DATEVALUE(LEFT(F1078,10))</f>
        <v/>
      </c>
      <c r="M1078" s="396">
        <f>TIMEVALUE(MID(F1078,12,8))</f>
        <v/>
      </c>
      <c r="N1078" s="395">
        <f>DATEVALUE(LEFT(G1078,10))</f>
        <v/>
      </c>
      <c r="O1078" s="396">
        <f>TIMEVALUE(MID(G1078,12,8))</f>
        <v/>
      </c>
      <c r="P1078" s="396">
        <f>IFERROR(_xlfn.MINIFS($M:$M,$E:$E,$E1078,$K:$K,$K1078,$M:$M,"&gt;"&amp;$O1078),"")</f>
        <v/>
      </c>
      <c r="Q1078" s="396">
        <f>IF($P1078="","",$P1078-$O1078)</f>
        <v/>
      </c>
    </row>
    <row r="1079" ht="15" customHeight="1" s="231">
      <c r="A1079" s="397" t="n"/>
      <c r="B1079" s="397" t="n"/>
      <c r="C1079" s="397" t="n"/>
      <c r="D1079" s="397" t="n"/>
      <c r="E1079" s="397" t="n"/>
      <c r="F1079" s="397" t="n"/>
      <c r="G1079" s="397" t="n"/>
      <c r="I1079" s="397" t="n"/>
      <c r="J1079" s="397" t="n"/>
      <c r="K1079" s="395">
        <f>DATE(VALUE(LEFT(A1079,4)),VALUE(MID(A1079,5,2)),VALUE(RIGHT(A1079,2)))</f>
        <v/>
      </c>
      <c r="L1079" s="395">
        <f>DATEVALUE(LEFT(F1079,10))</f>
        <v/>
      </c>
      <c r="M1079" s="396">
        <f>TIMEVALUE(MID(F1079,12,8))</f>
        <v/>
      </c>
      <c r="N1079" s="395">
        <f>DATEVALUE(LEFT(G1079,10))</f>
        <v/>
      </c>
      <c r="O1079" s="396">
        <f>TIMEVALUE(MID(G1079,12,8))</f>
        <v/>
      </c>
      <c r="P1079" s="396">
        <f>IFERROR(_xlfn.MINIFS($M:$M,$E:$E,$E1079,$K:$K,$K1079,$M:$M,"&gt;"&amp;$O1079),"")</f>
        <v/>
      </c>
      <c r="Q1079" s="396">
        <f>IF($P1079="","",$P1079-$O1079)</f>
        <v/>
      </c>
    </row>
    <row r="1080" ht="15" customHeight="1" s="231">
      <c r="A1080" s="397" t="n"/>
      <c r="B1080" s="397" t="n"/>
      <c r="C1080" s="397" t="n"/>
      <c r="D1080" s="397" t="n"/>
      <c r="E1080" s="397" t="n"/>
      <c r="F1080" s="397" t="n"/>
      <c r="G1080" s="397" t="n"/>
      <c r="I1080" s="397" t="n"/>
      <c r="J1080" s="397" t="n"/>
      <c r="K1080" s="395">
        <f>DATE(VALUE(LEFT(A1080,4)),VALUE(MID(A1080,5,2)),VALUE(RIGHT(A1080,2)))</f>
        <v/>
      </c>
      <c r="L1080" s="395">
        <f>DATEVALUE(LEFT(F1080,10))</f>
        <v/>
      </c>
      <c r="M1080" s="396">
        <f>TIMEVALUE(MID(F1080,12,8))</f>
        <v/>
      </c>
      <c r="N1080" s="395">
        <f>DATEVALUE(LEFT(G1080,10))</f>
        <v/>
      </c>
      <c r="O1080" s="396">
        <f>TIMEVALUE(MID(G1080,12,8))</f>
        <v/>
      </c>
      <c r="P1080" s="396">
        <f>IFERROR(_xlfn.MINIFS($M:$M,$E:$E,$E1080,$K:$K,$K1080,$M:$M,"&gt;"&amp;$O1080),"")</f>
        <v/>
      </c>
      <c r="Q1080" s="396">
        <f>IF($P1080="","",$P1080-$O1080)</f>
        <v/>
      </c>
    </row>
    <row r="1081" ht="15" customHeight="1" s="231">
      <c r="A1081" s="397" t="n"/>
      <c r="B1081" s="397" t="n"/>
      <c r="C1081" s="397" t="n"/>
      <c r="D1081" s="397" t="n"/>
      <c r="E1081" s="397" t="n"/>
      <c r="F1081" s="397" t="n"/>
      <c r="G1081" s="397" t="n"/>
      <c r="I1081" s="397" t="n"/>
      <c r="J1081" s="397" t="n"/>
      <c r="K1081" s="395">
        <f>DATE(VALUE(LEFT(A1081,4)),VALUE(MID(A1081,5,2)),VALUE(RIGHT(A1081,2)))</f>
        <v/>
      </c>
      <c r="L1081" s="395">
        <f>DATEVALUE(LEFT(F1081,10))</f>
        <v/>
      </c>
      <c r="M1081" s="396">
        <f>TIMEVALUE(MID(F1081,12,8))</f>
        <v/>
      </c>
      <c r="N1081" s="395">
        <f>DATEVALUE(LEFT(G1081,10))</f>
        <v/>
      </c>
      <c r="O1081" s="396">
        <f>TIMEVALUE(MID(G1081,12,8))</f>
        <v/>
      </c>
      <c r="P1081" s="396">
        <f>IFERROR(_xlfn.MINIFS($M:$M,$E:$E,$E1081,$K:$K,$K1081,$M:$M,"&gt;"&amp;$O1081),"")</f>
        <v/>
      </c>
      <c r="Q1081" s="396">
        <f>IF($P1081="","",$P1081-$O1081)</f>
        <v/>
      </c>
    </row>
    <row r="1082" ht="15" customHeight="1" s="231">
      <c r="A1082" s="397" t="n"/>
      <c r="B1082" s="397" t="n"/>
      <c r="C1082" s="397" t="n"/>
      <c r="D1082" s="397" t="n"/>
      <c r="E1082" s="397" t="n"/>
      <c r="F1082" s="397" t="n"/>
      <c r="G1082" s="397" t="n"/>
      <c r="I1082" s="397" t="n"/>
      <c r="J1082" s="397" t="n"/>
      <c r="K1082" s="395">
        <f>DATE(VALUE(LEFT(A1082,4)),VALUE(MID(A1082,5,2)),VALUE(RIGHT(A1082,2)))</f>
        <v/>
      </c>
      <c r="L1082" s="395">
        <f>DATEVALUE(LEFT(F1082,10))</f>
        <v/>
      </c>
      <c r="M1082" s="396">
        <f>TIMEVALUE(MID(F1082,12,8))</f>
        <v/>
      </c>
      <c r="N1082" s="395">
        <f>DATEVALUE(LEFT(G1082,10))</f>
        <v/>
      </c>
      <c r="O1082" s="396">
        <f>TIMEVALUE(MID(G1082,12,8))</f>
        <v/>
      </c>
      <c r="P1082" s="396">
        <f>IFERROR(_xlfn.MINIFS($M:$M,$E:$E,$E1082,$K:$K,$K1082,$M:$M,"&gt;"&amp;$O1082),"")</f>
        <v/>
      </c>
      <c r="Q1082" s="396">
        <f>IF($P1082="","",$P1082-$O1082)</f>
        <v/>
      </c>
    </row>
    <row r="1083" ht="15" customHeight="1" s="231">
      <c r="A1083" s="397" t="n"/>
      <c r="B1083" s="397" t="n"/>
      <c r="C1083" s="397" t="n"/>
      <c r="D1083" s="397" t="n"/>
      <c r="E1083" s="397" t="n"/>
      <c r="F1083" s="397" t="n"/>
      <c r="G1083" s="397" t="n"/>
      <c r="I1083" s="397" t="n"/>
      <c r="J1083" s="397" t="n"/>
      <c r="K1083" s="395">
        <f>DATE(VALUE(LEFT(A1083,4)),VALUE(MID(A1083,5,2)),VALUE(RIGHT(A1083,2)))</f>
        <v/>
      </c>
      <c r="L1083" s="395">
        <f>DATEVALUE(LEFT(F1083,10))</f>
        <v/>
      </c>
      <c r="M1083" s="396">
        <f>TIMEVALUE(MID(F1083,12,8))</f>
        <v/>
      </c>
      <c r="N1083" s="395">
        <f>DATEVALUE(LEFT(G1083,10))</f>
        <v/>
      </c>
      <c r="O1083" s="396">
        <f>TIMEVALUE(MID(G1083,12,8))</f>
        <v/>
      </c>
      <c r="P1083" s="396">
        <f>IFERROR(_xlfn.MINIFS($M:$M,$E:$E,$E1083,$K:$K,$K1083,$M:$M,"&gt;"&amp;$O1083),"")</f>
        <v/>
      </c>
      <c r="Q1083" s="396">
        <f>IF($P1083="","",$P1083-$O1083)</f>
        <v/>
      </c>
    </row>
    <row r="1084" ht="15" customHeight="1" s="231">
      <c r="A1084" s="397" t="n"/>
      <c r="B1084" s="397" t="n"/>
      <c r="C1084" s="397" t="n"/>
      <c r="D1084" s="397" t="n"/>
      <c r="E1084" s="397" t="n"/>
      <c r="F1084" s="397" t="n"/>
      <c r="G1084" s="397" t="n"/>
      <c r="I1084" s="397" t="n"/>
      <c r="J1084" s="397" t="n"/>
      <c r="K1084" s="395">
        <f>DATE(VALUE(LEFT(A1084,4)),VALUE(MID(A1084,5,2)),VALUE(RIGHT(A1084,2)))</f>
        <v/>
      </c>
      <c r="L1084" s="395">
        <f>DATEVALUE(LEFT(F1084,10))</f>
        <v/>
      </c>
      <c r="M1084" s="396">
        <f>TIMEVALUE(MID(F1084,12,8))</f>
        <v/>
      </c>
      <c r="N1084" s="395">
        <f>DATEVALUE(LEFT(G1084,10))</f>
        <v/>
      </c>
      <c r="O1084" s="396">
        <f>TIMEVALUE(MID(G1084,12,8))</f>
        <v/>
      </c>
      <c r="P1084" s="396">
        <f>IFERROR(_xlfn.MINIFS($M:$M,$E:$E,$E1084,$K:$K,$K1084,$M:$M,"&gt;"&amp;$O1084),"")</f>
        <v/>
      </c>
      <c r="Q1084" s="396">
        <f>IF($P1084="","",$P1084-$O1084)</f>
        <v/>
      </c>
    </row>
    <row r="1085" ht="15" customHeight="1" s="231">
      <c r="A1085" s="397" t="n"/>
      <c r="B1085" s="397" t="n"/>
      <c r="C1085" s="397" t="n"/>
      <c r="D1085" s="397" t="n"/>
      <c r="E1085" s="397" t="n"/>
      <c r="F1085" s="397" t="n"/>
      <c r="G1085" s="397" t="n"/>
      <c r="I1085" s="397" t="n"/>
      <c r="J1085" s="397" t="n"/>
      <c r="K1085" s="395">
        <f>DATE(VALUE(LEFT(A1085,4)),VALUE(MID(A1085,5,2)),VALUE(RIGHT(A1085,2)))</f>
        <v/>
      </c>
      <c r="L1085" s="395">
        <f>DATEVALUE(LEFT(F1085,10))</f>
        <v/>
      </c>
      <c r="M1085" s="396">
        <f>TIMEVALUE(MID(F1085,12,8))</f>
        <v/>
      </c>
      <c r="N1085" s="395">
        <f>DATEVALUE(LEFT(G1085,10))</f>
        <v/>
      </c>
      <c r="O1085" s="396">
        <f>TIMEVALUE(MID(G1085,12,8))</f>
        <v/>
      </c>
      <c r="P1085" s="396">
        <f>IFERROR(_xlfn.MINIFS($M:$M,$E:$E,$E1085,$K:$K,$K1085,$M:$M,"&gt;"&amp;$O1085),"")</f>
        <v/>
      </c>
      <c r="Q1085" s="396">
        <f>IF($P1085="","",$P1085-$O1085)</f>
        <v/>
      </c>
    </row>
    <row r="1086" ht="15" customHeight="1" s="231">
      <c r="A1086" s="397" t="n"/>
      <c r="B1086" s="397" t="n"/>
      <c r="C1086" s="397" t="n"/>
      <c r="D1086" s="397" t="n"/>
      <c r="E1086" s="397" t="n"/>
      <c r="F1086" s="397" t="n"/>
      <c r="G1086" s="397" t="n"/>
      <c r="I1086" s="397" t="n"/>
      <c r="J1086" s="397" t="n"/>
      <c r="K1086" s="395">
        <f>DATE(VALUE(LEFT(A1086,4)),VALUE(MID(A1086,5,2)),VALUE(RIGHT(A1086,2)))</f>
        <v/>
      </c>
      <c r="L1086" s="395">
        <f>DATEVALUE(LEFT(F1086,10))</f>
        <v/>
      </c>
      <c r="M1086" s="396">
        <f>TIMEVALUE(MID(F1086,12,8))</f>
        <v/>
      </c>
      <c r="N1086" s="395">
        <f>DATEVALUE(LEFT(G1086,10))</f>
        <v/>
      </c>
      <c r="O1086" s="396">
        <f>TIMEVALUE(MID(G1086,12,8))</f>
        <v/>
      </c>
      <c r="P1086" s="396">
        <f>IFERROR(_xlfn.MINIFS($M:$M,$E:$E,$E1086,$K:$K,$K1086,$M:$M,"&gt;"&amp;$O1086),"")</f>
        <v/>
      </c>
      <c r="Q1086" s="396">
        <f>IF($P1086="","",$P1086-$O1086)</f>
        <v/>
      </c>
    </row>
    <row r="1087" ht="15" customHeight="1" s="231">
      <c r="A1087" s="397" t="n"/>
      <c r="B1087" s="397" t="n"/>
      <c r="C1087" s="397" t="n"/>
      <c r="D1087" s="397" t="n"/>
      <c r="E1087" s="397" t="n"/>
      <c r="F1087" s="397" t="n"/>
      <c r="G1087" s="397" t="n"/>
      <c r="I1087" s="397" t="n"/>
      <c r="J1087" s="397" t="n"/>
      <c r="K1087" s="395">
        <f>DATE(VALUE(LEFT(A1087,4)),VALUE(MID(A1087,5,2)),VALUE(RIGHT(A1087,2)))</f>
        <v/>
      </c>
      <c r="L1087" s="395">
        <f>DATEVALUE(LEFT(F1087,10))</f>
        <v/>
      </c>
      <c r="M1087" s="396">
        <f>TIMEVALUE(MID(F1087,12,8))</f>
        <v/>
      </c>
      <c r="N1087" s="395">
        <f>DATEVALUE(LEFT(G1087,10))</f>
        <v/>
      </c>
      <c r="O1087" s="396">
        <f>TIMEVALUE(MID(G1087,12,8))</f>
        <v/>
      </c>
      <c r="P1087" s="396">
        <f>IFERROR(_xlfn.MINIFS($M:$M,$E:$E,$E1087,$K:$K,$K1087,$M:$M,"&gt;"&amp;$O1087),"")</f>
        <v/>
      </c>
      <c r="Q1087" s="396">
        <f>IF($P1087="","",$P1087-$O1087)</f>
        <v/>
      </c>
    </row>
    <row r="1088" ht="15" customHeight="1" s="231">
      <c r="A1088" s="397" t="n"/>
      <c r="B1088" s="397" t="n"/>
      <c r="C1088" s="397" t="n"/>
      <c r="D1088" s="397" t="n"/>
      <c r="E1088" s="397" t="n"/>
      <c r="F1088" s="397" t="n"/>
      <c r="G1088" s="397" t="n"/>
      <c r="I1088" s="397" t="n"/>
      <c r="J1088" s="397" t="n"/>
      <c r="K1088" s="395">
        <f>DATE(VALUE(LEFT(A1088,4)),VALUE(MID(A1088,5,2)),VALUE(RIGHT(A1088,2)))</f>
        <v/>
      </c>
      <c r="L1088" s="395">
        <f>DATEVALUE(LEFT(F1088,10))</f>
        <v/>
      </c>
      <c r="M1088" s="396">
        <f>TIMEVALUE(MID(F1088,12,8))</f>
        <v/>
      </c>
      <c r="N1088" s="395">
        <f>DATEVALUE(LEFT(G1088,10))</f>
        <v/>
      </c>
      <c r="O1088" s="396">
        <f>TIMEVALUE(MID(G1088,12,8))</f>
        <v/>
      </c>
      <c r="P1088" s="396">
        <f>IFERROR(_xlfn.MINIFS($M:$M,$E:$E,$E1088,$K:$K,$K1088,$M:$M,"&gt;"&amp;$O1088),"")</f>
        <v/>
      </c>
      <c r="Q1088" s="396">
        <f>IF($P1088="","",$P1088-$O1088)</f>
        <v/>
      </c>
    </row>
    <row r="1089" ht="15" customHeight="1" s="231">
      <c r="A1089" s="397" t="n"/>
      <c r="B1089" s="397" t="n"/>
      <c r="C1089" s="397" t="n"/>
      <c r="D1089" s="397" t="n"/>
      <c r="E1089" s="397" t="n"/>
      <c r="F1089" s="397" t="n"/>
      <c r="G1089" s="397" t="n"/>
      <c r="I1089" s="397" t="n"/>
      <c r="J1089" s="397" t="n"/>
      <c r="K1089" s="395">
        <f>DATE(VALUE(LEFT(A1089,4)),VALUE(MID(A1089,5,2)),VALUE(RIGHT(A1089,2)))</f>
        <v/>
      </c>
      <c r="L1089" s="395">
        <f>DATEVALUE(LEFT(F1089,10))</f>
        <v/>
      </c>
      <c r="M1089" s="396">
        <f>TIMEVALUE(MID(F1089,12,8))</f>
        <v/>
      </c>
      <c r="N1089" s="395">
        <f>DATEVALUE(LEFT(G1089,10))</f>
        <v/>
      </c>
      <c r="O1089" s="396">
        <f>TIMEVALUE(MID(G1089,12,8))</f>
        <v/>
      </c>
      <c r="P1089" s="396">
        <f>IFERROR(_xlfn.MINIFS($M:$M,$E:$E,$E1089,$K:$K,$K1089,$M:$M,"&gt;"&amp;$O1089),"")</f>
        <v/>
      </c>
      <c r="Q1089" s="396">
        <f>IF($P1089="","",$P1089-$O1089)</f>
        <v/>
      </c>
    </row>
    <row r="1090" ht="15" customHeight="1" s="231">
      <c r="A1090" s="397" t="n"/>
      <c r="B1090" s="397" t="n"/>
      <c r="C1090" s="397" t="n"/>
      <c r="D1090" s="397" t="n"/>
      <c r="E1090" s="397" t="n"/>
      <c r="F1090" s="397" t="n"/>
      <c r="G1090" s="397" t="n"/>
      <c r="I1090" s="397" t="n"/>
      <c r="J1090" s="397" t="n"/>
      <c r="K1090" s="395">
        <f>DATE(VALUE(LEFT(A1090,4)),VALUE(MID(A1090,5,2)),VALUE(RIGHT(A1090,2)))</f>
        <v/>
      </c>
      <c r="L1090" s="395">
        <f>DATEVALUE(LEFT(F1090,10))</f>
        <v/>
      </c>
      <c r="M1090" s="396">
        <f>TIMEVALUE(MID(F1090,12,8))</f>
        <v/>
      </c>
      <c r="N1090" s="395">
        <f>DATEVALUE(LEFT(G1090,10))</f>
        <v/>
      </c>
      <c r="O1090" s="396">
        <f>TIMEVALUE(MID(G1090,12,8))</f>
        <v/>
      </c>
      <c r="P1090" s="396">
        <f>IFERROR(_xlfn.MINIFS($M:$M,$E:$E,$E1090,$K:$K,$K1090,$M:$M,"&gt;"&amp;$O1090),"")</f>
        <v/>
      </c>
      <c r="Q1090" s="396">
        <f>IF($P1090="","",$P1090-$O1090)</f>
        <v/>
      </c>
    </row>
    <row r="1091" ht="15" customHeight="1" s="231">
      <c r="A1091" s="397" t="n"/>
      <c r="B1091" s="397" t="n"/>
      <c r="C1091" s="397" t="n"/>
      <c r="D1091" s="397" t="n"/>
      <c r="E1091" s="397" t="n"/>
      <c r="F1091" s="397" t="n"/>
      <c r="G1091" s="397" t="n"/>
      <c r="I1091" s="397" t="n"/>
      <c r="J1091" s="397" t="n"/>
      <c r="K1091" s="395">
        <f>DATE(VALUE(LEFT(A1091,4)),VALUE(MID(A1091,5,2)),VALUE(RIGHT(A1091,2)))</f>
        <v/>
      </c>
      <c r="L1091" s="395">
        <f>DATEVALUE(LEFT(F1091,10))</f>
        <v/>
      </c>
      <c r="M1091" s="396">
        <f>TIMEVALUE(MID(F1091,12,8))</f>
        <v/>
      </c>
      <c r="N1091" s="395">
        <f>DATEVALUE(LEFT(G1091,10))</f>
        <v/>
      </c>
      <c r="O1091" s="396">
        <f>TIMEVALUE(MID(G1091,12,8))</f>
        <v/>
      </c>
      <c r="P1091" s="396">
        <f>IFERROR(_xlfn.MINIFS($M:$M,$E:$E,$E1091,$K:$K,$K1091,$M:$M,"&gt;"&amp;$O1091),"")</f>
        <v/>
      </c>
      <c r="Q1091" s="396">
        <f>IF($P1091="","",$P1091-$O1091)</f>
        <v/>
      </c>
    </row>
    <row r="1092" ht="15" customHeight="1" s="231">
      <c r="A1092" s="397" t="n"/>
      <c r="B1092" s="397" t="n"/>
      <c r="C1092" s="397" t="n"/>
      <c r="D1092" s="397" t="n"/>
      <c r="E1092" s="397" t="n"/>
      <c r="F1092" s="397" t="n"/>
      <c r="G1092" s="397" t="n"/>
      <c r="I1092" s="397" t="n"/>
      <c r="J1092" s="397" t="n"/>
      <c r="K1092" s="395">
        <f>DATE(VALUE(LEFT(A1092,4)),VALUE(MID(A1092,5,2)),VALUE(RIGHT(A1092,2)))</f>
        <v/>
      </c>
      <c r="L1092" s="395">
        <f>DATEVALUE(LEFT(F1092,10))</f>
        <v/>
      </c>
      <c r="M1092" s="396">
        <f>TIMEVALUE(MID(F1092,12,8))</f>
        <v/>
      </c>
      <c r="N1092" s="395">
        <f>DATEVALUE(LEFT(G1092,10))</f>
        <v/>
      </c>
      <c r="O1092" s="396">
        <f>TIMEVALUE(MID(G1092,12,8))</f>
        <v/>
      </c>
      <c r="P1092" s="396">
        <f>IFERROR(_xlfn.MINIFS($M:$M,$E:$E,$E1092,$K:$K,$K1092,$M:$M,"&gt;"&amp;$O1092),"")</f>
        <v/>
      </c>
      <c r="Q1092" s="396">
        <f>IF($P1092="","",$P1092-$O1092)</f>
        <v/>
      </c>
    </row>
    <row r="1093" ht="15" customHeight="1" s="231">
      <c r="A1093" s="397" t="n"/>
      <c r="B1093" s="397" t="n"/>
      <c r="C1093" s="397" t="n"/>
      <c r="D1093" s="397" t="n"/>
      <c r="E1093" s="397" t="n"/>
      <c r="F1093" s="397" t="n"/>
      <c r="G1093" s="397" t="n"/>
      <c r="I1093" s="397" t="n"/>
      <c r="J1093" s="397" t="n"/>
      <c r="K1093" s="395">
        <f>DATE(VALUE(LEFT(A1093,4)),VALUE(MID(A1093,5,2)),VALUE(RIGHT(A1093,2)))</f>
        <v/>
      </c>
      <c r="L1093" s="395">
        <f>DATEVALUE(LEFT(F1093,10))</f>
        <v/>
      </c>
      <c r="M1093" s="396">
        <f>TIMEVALUE(MID(F1093,12,8))</f>
        <v/>
      </c>
      <c r="N1093" s="395">
        <f>DATEVALUE(LEFT(G1093,10))</f>
        <v/>
      </c>
      <c r="O1093" s="396">
        <f>TIMEVALUE(MID(G1093,12,8))</f>
        <v/>
      </c>
      <c r="P1093" s="396">
        <f>IFERROR(_xlfn.MINIFS($M:$M,$E:$E,$E1093,$K:$K,$K1093,$M:$M,"&gt;"&amp;$O1093),"")</f>
        <v/>
      </c>
      <c r="Q1093" s="396">
        <f>IF($P1093="","",$P1093-$O1093)</f>
        <v/>
      </c>
    </row>
    <row r="1094" ht="15" customHeight="1" s="231">
      <c r="A1094" s="397" t="n"/>
      <c r="B1094" s="397" t="n"/>
      <c r="C1094" s="397" t="n"/>
      <c r="D1094" s="397" t="n"/>
      <c r="E1094" s="397" t="n"/>
      <c r="F1094" s="397" t="n"/>
      <c r="G1094" s="397" t="n"/>
      <c r="I1094" s="397" t="n"/>
      <c r="J1094" s="397" t="n"/>
      <c r="K1094" s="395">
        <f>DATE(VALUE(LEFT(A1094,4)),VALUE(MID(A1094,5,2)),VALUE(RIGHT(A1094,2)))</f>
        <v/>
      </c>
      <c r="L1094" s="395">
        <f>DATEVALUE(LEFT(F1094,10))</f>
        <v/>
      </c>
      <c r="M1094" s="396">
        <f>TIMEVALUE(MID(F1094,12,8))</f>
        <v/>
      </c>
      <c r="N1094" s="395">
        <f>DATEVALUE(LEFT(G1094,10))</f>
        <v/>
      </c>
      <c r="O1094" s="396">
        <f>TIMEVALUE(MID(G1094,12,8))</f>
        <v/>
      </c>
      <c r="P1094" s="396">
        <f>IFERROR(_xlfn.MINIFS($M:$M,$E:$E,$E1094,$K:$K,$K1094,$M:$M,"&gt;"&amp;$O1094),"")</f>
        <v/>
      </c>
      <c r="Q1094" s="396">
        <f>IF($P1094="","",$P1094-$O1094)</f>
        <v/>
      </c>
    </row>
    <row r="1095" ht="15" customHeight="1" s="231">
      <c r="A1095" s="397" t="n"/>
      <c r="B1095" s="397" t="n"/>
      <c r="C1095" s="397" t="n"/>
      <c r="D1095" s="397" t="n"/>
      <c r="E1095" s="397" t="n"/>
      <c r="F1095" s="397" t="n"/>
      <c r="G1095" s="397" t="n"/>
      <c r="I1095" s="397" t="n"/>
      <c r="J1095" s="397" t="n"/>
      <c r="K1095" s="395">
        <f>DATE(VALUE(LEFT(A1095,4)),VALUE(MID(A1095,5,2)),VALUE(RIGHT(A1095,2)))</f>
        <v/>
      </c>
      <c r="L1095" s="395">
        <f>DATEVALUE(LEFT(F1095,10))</f>
        <v/>
      </c>
      <c r="M1095" s="396">
        <f>TIMEVALUE(MID(F1095,12,8))</f>
        <v/>
      </c>
      <c r="N1095" s="395">
        <f>DATEVALUE(LEFT(G1095,10))</f>
        <v/>
      </c>
      <c r="O1095" s="396">
        <f>TIMEVALUE(MID(G1095,12,8))</f>
        <v/>
      </c>
      <c r="P1095" s="396">
        <f>IFERROR(_xlfn.MINIFS($M:$M,$E:$E,$E1095,$K:$K,$K1095,$M:$M,"&gt;"&amp;$O1095),"")</f>
        <v/>
      </c>
      <c r="Q1095" s="396">
        <f>IF($P1095="","",$P1095-$O1095)</f>
        <v/>
      </c>
    </row>
    <row r="1096" ht="15" customHeight="1" s="231">
      <c r="A1096" s="397" t="n"/>
      <c r="B1096" s="397" t="n"/>
      <c r="C1096" s="397" t="n"/>
      <c r="D1096" s="397" t="n"/>
      <c r="E1096" s="397" t="n"/>
      <c r="F1096" s="397" t="n"/>
      <c r="G1096" s="397" t="n"/>
      <c r="I1096" s="397" t="n"/>
      <c r="J1096" s="397" t="n"/>
      <c r="K1096" s="395">
        <f>DATE(VALUE(LEFT(A1096,4)),VALUE(MID(A1096,5,2)),VALUE(RIGHT(A1096,2)))</f>
        <v/>
      </c>
      <c r="L1096" s="395">
        <f>DATEVALUE(LEFT(F1096,10))</f>
        <v/>
      </c>
      <c r="M1096" s="396">
        <f>TIMEVALUE(MID(F1096,12,8))</f>
        <v/>
      </c>
      <c r="N1096" s="395">
        <f>DATEVALUE(LEFT(G1096,10))</f>
        <v/>
      </c>
      <c r="O1096" s="396">
        <f>TIMEVALUE(MID(G1096,12,8))</f>
        <v/>
      </c>
      <c r="P1096" s="396">
        <f>IFERROR(_xlfn.MINIFS($M:$M,$E:$E,$E1096,$K:$K,$K1096,$M:$M,"&gt;"&amp;$O1096),"")</f>
        <v/>
      </c>
      <c r="Q1096" s="396">
        <f>IF($P1096="","",$P1096-$O1096)</f>
        <v/>
      </c>
    </row>
    <row r="1097" ht="15" customHeight="1" s="231">
      <c r="A1097" s="397" t="n"/>
      <c r="B1097" s="397" t="n"/>
      <c r="C1097" s="397" t="n"/>
      <c r="D1097" s="397" t="n"/>
      <c r="E1097" s="397" t="n"/>
      <c r="F1097" s="397" t="n"/>
      <c r="G1097" s="397" t="n"/>
      <c r="I1097" s="397" t="n"/>
      <c r="J1097" s="397" t="n"/>
      <c r="K1097" s="395">
        <f>DATE(VALUE(LEFT(A1097,4)),VALUE(MID(A1097,5,2)),VALUE(RIGHT(A1097,2)))</f>
        <v/>
      </c>
      <c r="L1097" s="395">
        <f>DATEVALUE(LEFT(F1097,10))</f>
        <v/>
      </c>
      <c r="M1097" s="396">
        <f>TIMEVALUE(MID(F1097,12,8))</f>
        <v/>
      </c>
      <c r="N1097" s="395">
        <f>DATEVALUE(LEFT(G1097,10))</f>
        <v/>
      </c>
      <c r="O1097" s="396">
        <f>TIMEVALUE(MID(G1097,12,8))</f>
        <v/>
      </c>
      <c r="P1097" s="396">
        <f>IFERROR(_xlfn.MINIFS($M:$M,$E:$E,$E1097,$K:$K,$K1097,$M:$M,"&gt;"&amp;$O1097),"")</f>
        <v/>
      </c>
      <c r="Q1097" s="396">
        <f>IF($P1097="","",$P1097-$O1097)</f>
        <v/>
      </c>
    </row>
    <row r="1098" ht="15" customHeight="1" s="231">
      <c r="A1098" s="397" t="n"/>
      <c r="B1098" s="397" t="n"/>
      <c r="C1098" s="397" t="n"/>
      <c r="D1098" s="397" t="n"/>
      <c r="E1098" s="397" t="n"/>
      <c r="F1098" s="397" t="n"/>
      <c r="G1098" s="397" t="n"/>
      <c r="I1098" s="397" t="n"/>
      <c r="J1098" s="397" t="n"/>
      <c r="K1098" s="395">
        <f>DATE(VALUE(LEFT(A1098,4)),VALUE(MID(A1098,5,2)),VALUE(RIGHT(A1098,2)))</f>
        <v/>
      </c>
      <c r="L1098" s="395">
        <f>DATEVALUE(LEFT(F1098,10))</f>
        <v/>
      </c>
      <c r="M1098" s="396">
        <f>TIMEVALUE(MID(F1098,12,8))</f>
        <v/>
      </c>
      <c r="N1098" s="395">
        <f>DATEVALUE(LEFT(G1098,10))</f>
        <v/>
      </c>
      <c r="O1098" s="396">
        <f>TIMEVALUE(MID(G1098,12,8))</f>
        <v/>
      </c>
      <c r="P1098" s="396">
        <f>IFERROR(_xlfn.MINIFS($M:$M,$E:$E,$E1098,$K:$K,$K1098,$M:$M,"&gt;"&amp;$O1098),"")</f>
        <v/>
      </c>
      <c r="Q1098" s="396">
        <f>IF($P1098="","",$P1098-$O1098)</f>
        <v/>
      </c>
    </row>
    <row r="1099" ht="15" customHeight="1" s="231">
      <c r="A1099" s="397" t="n"/>
      <c r="B1099" s="397" t="n"/>
      <c r="C1099" s="397" t="n"/>
      <c r="D1099" s="397" t="n"/>
      <c r="E1099" s="397" t="n"/>
      <c r="F1099" s="397" t="n"/>
      <c r="G1099" s="397" t="n"/>
      <c r="I1099" s="397" t="n"/>
      <c r="J1099" s="397" t="n"/>
      <c r="K1099" s="395">
        <f>DATE(VALUE(LEFT(A1099,4)),VALUE(MID(A1099,5,2)),VALUE(RIGHT(A1099,2)))</f>
        <v/>
      </c>
      <c r="L1099" s="395">
        <f>DATEVALUE(LEFT(F1099,10))</f>
        <v/>
      </c>
      <c r="M1099" s="396">
        <f>TIMEVALUE(MID(F1099,12,8))</f>
        <v/>
      </c>
      <c r="N1099" s="395">
        <f>DATEVALUE(LEFT(G1099,10))</f>
        <v/>
      </c>
      <c r="O1099" s="396">
        <f>TIMEVALUE(MID(G1099,12,8))</f>
        <v/>
      </c>
      <c r="P1099" s="396">
        <f>IFERROR(_xlfn.MINIFS($M:$M,$E:$E,$E1099,$K:$K,$K1099,$M:$M,"&gt;"&amp;$O1099),"")</f>
        <v/>
      </c>
      <c r="Q1099" s="396">
        <f>IF($P1099="","",$P1099-$O1099)</f>
        <v/>
      </c>
    </row>
    <row r="1100" ht="15" customHeight="1" s="231">
      <c r="A1100" s="397" t="n"/>
      <c r="B1100" s="397" t="n"/>
      <c r="C1100" s="397" t="n"/>
      <c r="D1100" s="397" t="n"/>
      <c r="E1100" s="397" t="n"/>
      <c r="F1100" s="397" t="n"/>
      <c r="G1100" s="397" t="n"/>
      <c r="I1100" s="397" t="n"/>
      <c r="J1100" s="397" t="n"/>
      <c r="K1100" s="395">
        <f>DATE(VALUE(LEFT(A1100,4)),VALUE(MID(A1100,5,2)),VALUE(RIGHT(A1100,2)))</f>
        <v/>
      </c>
      <c r="L1100" s="395">
        <f>DATEVALUE(LEFT(F1100,10))</f>
        <v/>
      </c>
      <c r="M1100" s="396">
        <f>TIMEVALUE(MID(F1100,12,8))</f>
        <v/>
      </c>
      <c r="N1100" s="395">
        <f>DATEVALUE(LEFT(G1100,10))</f>
        <v/>
      </c>
      <c r="O1100" s="396">
        <f>TIMEVALUE(MID(G1100,12,8))</f>
        <v/>
      </c>
      <c r="P1100" s="396">
        <f>IFERROR(_xlfn.MINIFS($M:$M,$E:$E,$E1100,$K:$K,$K1100,$M:$M,"&gt;"&amp;$O1100),"")</f>
        <v/>
      </c>
      <c r="Q1100" s="396">
        <f>IF($P1100="","",$P1100-$O1100)</f>
        <v/>
      </c>
    </row>
    <row r="1101" ht="15" customHeight="1" s="231">
      <c r="A1101" s="397" t="n"/>
      <c r="B1101" s="397" t="n"/>
      <c r="C1101" s="397" t="n"/>
      <c r="D1101" s="397" t="n"/>
      <c r="E1101" s="397" t="n"/>
      <c r="F1101" s="397" t="n"/>
      <c r="G1101" s="397" t="n"/>
      <c r="I1101" s="397" t="n"/>
      <c r="J1101" s="397" t="n"/>
      <c r="K1101" s="395">
        <f>DATE(VALUE(LEFT(A1101,4)),VALUE(MID(A1101,5,2)),VALUE(RIGHT(A1101,2)))</f>
        <v/>
      </c>
      <c r="L1101" s="395">
        <f>DATEVALUE(LEFT(F1101,10))</f>
        <v/>
      </c>
      <c r="M1101" s="396">
        <f>TIMEVALUE(MID(F1101,12,8))</f>
        <v/>
      </c>
      <c r="N1101" s="395">
        <f>DATEVALUE(LEFT(G1101,10))</f>
        <v/>
      </c>
      <c r="O1101" s="396">
        <f>TIMEVALUE(MID(G1101,12,8))</f>
        <v/>
      </c>
      <c r="P1101" s="396">
        <f>IFERROR(_xlfn.MINIFS($M:$M,$E:$E,$E1101,$K:$K,$K1101,$M:$M,"&gt;"&amp;$O1101),"")</f>
        <v/>
      </c>
      <c r="Q1101" s="396">
        <f>IF($P1101="","",$P1101-$O1101)</f>
        <v/>
      </c>
    </row>
    <row r="1102" ht="15" customHeight="1" s="231">
      <c r="A1102" s="397" t="n"/>
      <c r="B1102" s="397" t="n"/>
      <c r="C1102" s="397" t="n"/>
      <c r="D1102" s="397" t="n"/>
      <c r="E1102" s="397" t="n"/>
      <c r="F1102" s="397" t="n"/>
      <c r="G1102" s="397" t="n"/>
      <c r="I1102" s="397" t="n"/>
      <c r="J1102" s="397" t="n"/>
      <c r="K1102" s="395">
        <f>DATE(VALUE(LEFT(A1102,4)),VALUE(MID(A1102,5,2)),VALUE(RIGHT(A1102,2)))</f>
        <v/>
      </c>
      <c r="L1102" s="395">
        <f>DATEVALUE(LEFT(F1102,10))</f>
        <v/>
      </c>
      <c r="M1102" s="396">
        <f>TIMEVALUE(MID(F1102,12,8))</f>
        <v/>
      </c>
      <c r="N1102" s="395">
        <f>DATEVALUE(LEFT(G1102,10))</f>
        <v/>
      </c>
      <c r="O1102" s="396">
        <f>TIMEVALUE(MID(G1102,12,8))</f>
        <v/>
      </c>
      <c r="P1102" s="396">
        <f>IFERROR(_xlfn.MINIFS($M:$M,$E:$E,$E1102,$K:$K,$K1102,$M:$M,"&gt;"&amp;$O1102),"")</f>
        <v/>
      </c>
      <c r="Q1102" s="396">
        <f>IF($P1102="","",$P1102-$O1102)</f>
        <v/>
      </c>
    </row>
    <row r="1103" ht="15" customHeight="1" s="231">
      <c r="A1103" s="397" t="n"/>
      <c r="B1103" s="397" t="n"/>
      <c r="C1103" s="397" t="n"/>
      <c r="D1103" s="397" t="n"/>
      <c r="E1103" s="397" t="n"/>
      <c r="F1103" s="397" t="n"/>
      <c r="G1103" s="397" t="n"/>
      <c r="I1103" s="397" t="n"/>
      <c r="J1103" s="397" t="n"/>
      <c r="K1103" s="395">
        <f>DATE(VALUE(LEFT(A1103,4)),VALUE(MID(A1103,5,2)),VALUE(RIGHT(A1103,2)))</f>
        <v/>
      </c>
      <c r="L1103" s="395">
        <f>DATEVALUE(LEFT(F1103,10))</f>
        <v/>
      </c>
      <c r="M1103" s="396">
        <f>TIMEVALUE(MID(F1103,12,8))</f>
        <v/>
      </c>
      <c r="N1103" s="395">
        <f>DATEVALUE(LEFT(G1103,10))</f>
        <v/>
      </c>
      <c r="O1103" s="396">
        <f>TIMEVALUE(MID(G1103,12,8))</f>
        <v/>
      </c>
      <c r="P1103" s="396">
        <f>IFERROR(_xlfn.MINIFS($M:$M,$E:$E,$E1103,$K:$K,$K1103,$M:$M,"&gt;"&amp;$O1103),"")</f>
        <v/>
      </c>
      <c r="Q1103" s="396">
        <f>IF($P1103="","",$P1103-$O1103)</f>
        <v/>
      </c>
    </row>
    <row r="1104" ht="15" customHeight="1" s="231">
      <c r="A1104" s="397" t="n"/>
      <c r="B1104" s="397" t="n"/>
      <c r="C1104" s="397" t="n"/>
      <c r="D1104" s="397" t="n"/>
      <c r="E1104" s="397" t="n"/>
      <c r="F1104" s="397" t="n"/>
      <c r="G1104" s="397" t="n"/>
      <c r="I1104" s="397" t="n"/>
      <c r="J1104" s="397" t="n"/>
      <c r="K1104" s="395">
        <f>DATE(VALUE(LEFT(A1104,4)),VALUE(MID(A1104,5,2)),VALUE(RIGHT(A1104,2)))</f>
        <v/>
      </c>
      <c r="L1104" s="395">
        <f>DATEVALUE(LEFT(F1104,10))</f>
        <v/>
      </c>
      <c r="M1104" s="396">
        <f>TIMEVALUE(MID(F1104,12,8))</f>
        <v/>
      </c>
      <c r="N1104" s="395">
        <f>DATEVALUE(LEFT(G1104,10))</f>
        <v/>
      </c>
      <c r="O1104" s="396">
        <f>TIMEVALUE(MID(G1104,12,8))</f>
        <v/>
      </c>
      <c r="P1104" s="396">
        <f>IFERROR(_xlfn.MINIFS($M:$M,$E:$E,$E1104,$K:$K,$K1104,$M:$M,"&gt;"&amp;$O1104),"")</f>
        <v/>
      </c>
      <c r="Q1104" s="396">
        <f>IF($P1104="","",$P1104-$O1104)</f>
        <v/>
      </c>
    </row>
    <row r="1105" ht="15" customHeight="1" s="231">
      <c r="A1105" s="397" t="n"/>
      <c r="B1105" s="397" t="n"/>
      <c r="C1105" s="397" t="n"/>
      <c r="D1105" s="397" t="n"/>
      <c r="E1105" s="397" t="n"/>
      <c r="F1105" s="397" t="n"/>
      <c r="G1105" s="397" t="n"/>
      <c r="I1105" s="397" t="n"/>
      <c r="J1105" s="397" t="n"/>
      <c r="K1105" s="395">
        <f>DATE(VALUE(LEFT(A1105,4)),VALUE(MID(A1105,5,2)),VALUE(RIGHT(A1105,2)))</f>
        <v/>
      </c>
      <c r="L1105" s="395">
        <f>DATEVALUE(LEFT(F1105,10))</f>
        <v/>
      </c>
      <c r="M1105" s="396">
        <f>TIMEVALUE(MID(F1105,12,8))</f>
        <v/>
      </c>
      <c r="N1105" s="395">
        <f>DATEVALUE(LEFT(G1105,10))</f>
        <v/>
      </c>
      <c r="O1105" s="396">
        <f>TIMEVALUE(MID(G1105,12,8))</f>
        <v/>
      </c>
      <c r="P1105" s="396">
        <f>IFERROR(_xlfn.MINIFS($M:$M,$E:$E,$E1105,$K:$K,$K1105,$M:$M,"&gt;"&amp;$O1105),"")</f>
        <v/>
      </c>
      <c r="Q1105" s="396">
        <f>IF($P1105="","",$P1105-$O1105)</f>
        <v/>
      </c>
    </row>
    <row r="1106" ht="15" customHeight="1" s="231">
      <c r="A1106" s="397" t="n"/>
      <c r="B1106" s="397" t="n"/>
      <c r="C1106" s="397" t="n"/>
      <c r="D1106" s="397" t="n"/>
      <c r="E1106" s="397" t="n"/>
      <c r="F1106" s="397" t="n"/>
      <c r="G1106" s="397" t="n"/>
      <c r="I1106" s="397" t="n"/>
      <c r="J1106" s="397" t="n"/>
      <c r="K1106" s="395">
        <f>DATE(VALUE(LEFT(A1106,4)),VALUE(MID(A1106,5,2)),VALUE(RIGHT(A1106,2)))</f>
        <v/>
      </c>
      <c r="L1106" s="395">
        <f>DATEVALUE(LEFT(F1106,10))</f>
        <v/>
      </c>
      <c r="M1106" s="396">
        <f>TIMEVALUE(MID(F1106,12,8))</f>
        <v/>
      </c>
      <c r="N1106" s="395">
        <f>DATEVALUE(LEFT(G1106,10))</f>
        <v/>
      </c>
      <c r="O1106" s="396">
        <f>TIMEVALUE(MID(G1106,12,8))</f>
        <v/>
      </c>
      <c r="P1106" s="396">
        <f>IFERROR(_xlfn.MINIFS($M:$M,$E:$E,$E1106,$K:$K,$K1106,$M:$M,"&gt;"&amp;$O1106),"")</f>
        <v/>
      </c>
      <c r="Q1106" s="396">
        <f>IF($P1106="","",$P1106-$O1106)</f>
        <v/>
      </c>
    </row>
    <row r="1107" ht="15" customHeight="1" s="231">
      <c r="A1107" s="397" t="n"/>
      <c r="B1107" s="397" t="n"/>
      <c r="C1107" s="397" t="n"/>
      <c r="D1107" s="397" t="n"/>
      <c r="E1107" s="397" t="n"/>
      <c r="F1107" s="397" t="n"/>
      <c r="G1107" s="397" t="n"/>
      <c r="I1107" s="397" t="n"/>
      <c r="J1107" s="397" t="n"/>
      <c r="K1107" s="395">
        <f>DATE(VALUE(LEFT(A1107,4)),VALUE(MID(A1107,5,2)),VALUE(RIGHT(A1107,2)))</f>
        <v/>
      </c>
      <c r="L1107" s="395">
        <f>DATEVALUE(LEFT(F1107,10))</f>
        <v/>
      </c>
      <c r="M1107" s="396">
        <f>TIMEVALUE(MID(F1107,12,8))</f>
        <v/>
      </c>
      <c r="N1107" s="395">
        <f>DATEVALUE(LEFT(G1107,10))</f>
        <v/>
      </c>
      <c r="O1107" s="396">
        <f>TIMEVALUE(MID(G1107,12,8))</f>
        <v/>
      </c>
      <c r="P1107" s="396">
        <f>IFERROR(_xlfn.MINIFS($M:$M,$E:$E,$E1107,$K:$K,$K1107,$M:$M,"&gt;"&amp;$O1107),"")</f>
        <v/>
      </c>
      <c r="Q1107" s="396">
        <f>IF($P1107="","",$P1107-$O1107)</f>
        <v/>
      </c>
    </row>
    <row r="1108" ht="15" customHeight="1" s="231">
      <c r="A1108" s="397" t="n"/>
      <c r="B1108" s="397" t="n"/>
      <c r="C1108" s="397" t="n"/>
      <c r="D1108" s="397" t="n"/>
      <c r="E1108" s="397" t="n"/>
      <c r="F1108" s="397" t="n"/>
      <c r="G1108" s="397" t="n"/>
      <c r="I1108" s="397" t="n"/>
      <c r="J1108" s="397" t="n"/>
      <c r="K1108" s="395">
        <f>DATE(VALUE(LEFT(A1108,4)),VALUE(MID(A1108,5,2)),VALUE(RIGHT(A1108,2)))</f>
        <v/>
      </c>
      <c r="L1108" s="395">
        <f>DATEVALUE(LEFT(F1108,10))</f>
        <v/>
      </c>
      <c r="M1108" s="396">
        <f>TIMEVALUE(MID(F1108,12,8))</f>
        <v/>
      </c>
      <c r="N1108" s="395">
        <f>DATEVALUE(LEFT(G1108,10))</f>
        <v/>
      </c>
      <c r="O1108" s="396">
        <f>TIMEVALUE(MID(G1108,12,8))</f>
        <v/>
      </c>
      <c r="P1108" s="396">
        <f>IFERROR(_xlfn.MINIFS($M:$M,$E:$E,$E1108,$K:$K,$K1108,$M:$M,"&gt;"&amp;$O1108),"")</f>
        <v/>
      </c>
      <c r="Q1108" s="396">
        <f>IF($P1108="","",$P1108-$O1108)</f>
        <v/>
      </c>
    </row>
    <row r="1109" ht="15" customHeight="1" s="231">
      <c r="A1109" s="397" t="n"/>
      <c r="B1109" s="397" t="n"/>
      <c r="C1109" s="397" t="n"/>
      <c r="D1109" s="397" t="n"/>
      <c r="E1109" s="397" t="n"/>
      <c r="F1109" s="397" t="n"/>
      <c r="G1109" s="397" t="n"/>
      <c r="I1109" s="397" t="n"/>
      <c r="J1109" s="397" t="n"/>
      <c r="K1109" s="395">
        <f>DATE(VALUE(LEFT(A1109,4)),VALUE(MID(A1109,5,2)),VALUE(RIGHT(A1109,2)))</f>
        <v/>
      </c>
      <c r="L1109" s="395">
        <f>DATEVALUE(LEFT(F1109,10))</f>
        <v/>
      </c>
      <c r="M1109" s="396">
        <f>TIMEVALUE(MID(F1109,12,8))</f>
        <v/>
      </c>
      <c r="N1109" s="395">
        <f>DATEVALUE(LEFT(G1109,10))</f>
        <v/>
      </c>
      <c r="O1109" s="396">
        <f>TIMEVALUE(MID(G1109,12,8))</f>
        <v/>
      </c>
      <c r="P1109" s="396">
        <f>IFERROR(_xlfn.MINIFS($M:$M,$E:$E,$E1109,$K:$K,$K1109,$M:$M,"&gt;"&amp;$O1109),"")</f>
        <v/>
      </c>
      <c r="Q1109" s="396">
        <f>IF($P1109="","",$P1109-$O1109)</f>
        <v/>
      </c>
    </row>
    <row r="1110" ht="15" customHeight="1" s="231">
      <c r="A1110" s="397" t="n"/>
      <c r="B1110" s="397" t="n"/>
      <c r="C1110" s="397" t="n"/>
      <c r="D1110" s="397" t="n"/>
      <c r="E1110" s="397" t="n"/>
      <c r="F1110" s="397" t="n"/>
      <c r="G1110" s="397" t="n"/>
      <c r="I1110" s="397" t="n"/>
      <c r="J1110" s="397" t="n"/>
      <c r="K1110" s="395">
        <f>DATE(VALUE(LEFT(A1110,4)),VALUE(MID(A1110,5,2)),VALUE(RIGHT(A1110,2)))</f>
        <v/>
      </c>
      <c r="L1110" s="395">
        <f>DATEVALUE(LEFT(F1110,10))</f>
        <v/>
      </c>
      <c r="M1110" s="396">
        <f>TIMEVALUE(MID(F1110,12,8))</f>
        <v/>
      </c>
      <c r="N1110" s="395">
        <f>DATEVALUE(LEFT(G1110,10))</f>
        <v/>
      </c>
      <c r="O1110" s="396">
        <f>TIMEVALUE(MID(G1110,12,8))</f>
        <v/>
      </c>
      <c r="P1110" s="396">
        <f>IFERROR(_xlfn.MINIFS($M:$M,$E:$E,$E1110,$K:$K,$K1110,$M:$M,"&gt;"&amp;$O1110),"")</f>
        <v/>
      </c>
      <c r="Q1110" s="396">
        <f>IF($P1110="","",$P1110-$O1110)</f>
        <v/>
      </c>
    </row>
    <row r="1111" ht="15" customHeight="1" s="231">
      <c r="A1111" s="397" t="n"/>
      <c r="B1111" s="397" t="n"/>
      <c r="C1111" s="397" t="n"/>
      <c r="D1111" s="397" t="n"/>
      <c r="E1111" s="397" t="n"/>
      <c r="F1111" s="397" t="n"/>
      <c r="G1111" s="397" t="n"/>
      <c r="I1111" s="397" t="n"/>
      <c r="J1111" s="397" t="n"/>
      <c r="K1111" s="395">
        <f>DATE(VALUE(LEFT(A1111,4)),VALUE(MID(A1111,5,2)),VALUE(RIGHT(A1111,2)))</f>
        <v/>
      </c>
      <c r="L1111" s="395">
        <f>DATEVALUE(LEFT(F1111,10))</f>
        <v/>
      </c>
      <c r="M1111" s="396">
        <f>TIMEVALUE(MID(F1111,12,8))</f>
        <v/>
      </c>
      <c r="N1111" s="395">
        <f>DATEVALUE(LEFT(G1111,10))</f>
        <v/>
      </c>
      <c r="O1111" s="396">
        <f>TIMEVALUE(MID(G1111,12,8))</f>
        <v/>
      </c>
      <c r="P1111" s="396">
        <f>IFERROR(_xlfn.MINIFS($M:$M,$E:$E,$E1111,$K:$K,$K1111,$M:$M,"&gt;"&amp;$O1111),"")</f>
        <v/>
      </c>
      <c r="Q1111" s="396">
        <f>IF($P1111="","",$P1111-$O1111)</f>
        <v/>
      </c>
    </row>
    <row r="1112" ht="15" customHeight="1" s="231">
      <c r="A1112" s="397" t="n"/>
      <c r="B1112" s="397" t="n"/>
      <c r="C1112" s="397" t="n"/>
      <c r="D1112" s="397" t="n"/>
      <c r="E1112" s="397" t="n"/>
      <c r="F1112" s="397" t="n"/>
      <c r="G1112" s="397" t="n"/>
      <c r="I1112" s="397" t="n"/>
      <c r="J1112" s="397" t="n"/>
      <c r="K1112" s="395">
        <f>DATE(VALUE(LEFT(A1112,4)),VALUE(MID(A1112,5,2)),VALUE(RIGHT(A1112,2)))</f>
        <v/>
      </c>
      <c r="L1112" s="395">
        <f>DATEVALUE(LEFT(F1112,10))</f>
        <v/>
      </c>
      <c r="M1112" s="396">
        <f>TIMEVALUE(MID(F1112,12,8))</f>
        <v/>
      </c>
      <c r="N1112" s="395">
        <f>DATEVALUE(LEFT(G1112,10))</f>
        <v/>
      </c>
      <c r="O1112" s="396">
        <f>TIMEVALUE(MID(G1112,12,8))</f>
        <v/>
      </c>
      <c r="P1112" s="396">
        <f>IFERROR(_xlfn.MINIFS($M:$M,$E:$E,$E1112,$K:$K,$K1112,$M:$M,"&gt;"&amp;$O1112),"")</f>
        <v/>
      </c>
      <c r="Q1112" s="396">
        <f>IF($P1112="","",$P1112-$O1112)</f>
        <v/>
      </c>
    </row>
    <row r="1113" ht="15" customHeight="1" s="231">
      <c r="A1113" s="397" t="n"/>
      <c r="B1113" s="397" t="n"/>
      <c r="C1113" s="397" t="n"/>
      <c r="D1113" s="397" t="n"/>
      <c r="E1113" s="397" t="n"/>
      <c r="F1113" s="397" t="n"/>
      <c r="G1113" s="397" t="n"/>
      <c r="I1113" s="397" t="n"/>
      <c r="J1113" s="397" t="n"/>
      <c r="K1113" s="395">
        <f>DATE(VALUE(LEFT(A1113,4)),VALUE(MID(A1113,5,2)),VALUE(RIGHT(A1113,2)))</f>
        <v/>
      </c>
      <c r="L1113" s="395">
        <f>DATEVALUE(LEFT(F1113,10))</f>
        <v/>
      </c>
      <c r="M1113" s="396">
        <f>TIMEVALUE(MID(F1113,12,8))</f>
        <v/>
      </c>
      <c r="N1113" s="395">
        <f>DATEVALUE(LEFT(G1113,10))</f>
        <v/>
      </c>
      <c r="O1113" s="396">
        <f>TIMEVALUE(MID(G1113,12,8))</f>
        <v/>
      </c>
      <c r="P1113" s="396">
        <f>IFERROR(_xlfn.MINIFS($M:$M,$E:$E,$E1113,$K:$K,$K1113,$M:$M,"&gt;"&amp;$O1113),"")</f>
        <v/>
      </c>
      <c r="Q1113" s="396">
        <f>IF($P1113="","",$P1113-$O1113)</f>
        <v/>
      </c>
    </row>
    <row r="1114" ht="15" customHeight="1" s="231">
      <c r="A1114" s="397" t="n"/>
      <c r="B1114" s="397" t="n"/>
      <c r="C1114" s="397" t="n"/>
      <c r="D1114" s="397" t="n"/>
      <c r="E1114" s="397" t="n"/>
      <c r="F1114" s="397" t="n"/>
      <c r="G1114" s="397" t="n"/>
      <c r="I1114" s="397" t="n"/>
      <c r="J1114" s="397" t="n"/>
      <c r="K1114" s="395">
        <f>DATE(VALUE(LEFT(A1114,4)),VALUE(MID(A1114,5,2)),VALUE(RIGHT(A1114,2)))</f>
        <v/>
      </c>
      <c r="L1114" s="395">
        <f>DATEVALUE(LEFT(F1114,10))</f>
        <v/>
      </c>
      <c r="M1114" s="396">
        <f>TIMEVALUE(MID(F1114,12,8))</f>
        <v/>
      </c>
      <c r="N1114" s="395">
        <f>DATEVALUE(LEFT(G1114,10))</f>
        <v/>
      </c>
      <c r="O1114" s="396">
        <f>TIMEVALUE(MID(G1114,12,8))</f>
        <v/>
      </c>
      <c r="P1114" s="396">
        <f>IFERROR(_xlfn.MINIFS($M:$M,$E:$E,$E1114,$K:$K,$K1114,$M:$M,"&gt;"&amp;$O1114),"")</f>
        <v/>
      </c>
      <c r="Q1114" s="396">
        <f>IF($P1114="","",$P1114-$O1114)</f>
        <v/>
      </c>
    </row>
    <row r="1115" ht="15" customHeight="1" s="231">
      <c r="A1115" s="397" t="n"/>
      <c r="B1115" s="397" t="n"/>
      <c r="C1115" s="397" t="n"/>
      <c r="D1115" s="397" t="n"/>
      <c r="E1115" s="397" t="n"/>
      <c r="F1115" s="397" t="n"/>
      <c r="G1115" s="397" t="n"/>
      <c r="I1115" s="397" t="n"/>
      <c r="J1115" s="397" t="n"/>
      <c r="K1115" s="395">
        <f>DATE(VALUE(LEFT(A1115,4)),VALUE(MID(A1115,5,2)),VALUE(RIGHT(A1115,2)))</f>
        <v/>
      </c>
      <c r="L1115" s="395">
        <f>DATEVALUE(LEFT(F1115,10))</f>
        <v/>
      </c>
      <c r="M1115" s="396">
        <f>TIMEVALUE(MID(F1115,12,8))</f>
        <v/>
      </c>
      <c r="N1115" s="395">
        <f>DATEVALUE(LEFT(G1115,10))</f>
        <v/>
      </c>
      <c r="O1115" s="396">
        <f>TIMEVALUE(MID(G1115,12,8))</f>
        <v/>
      </c>
      <c r="P1115" s="396">
        <f>IFERROR(_xlfn.MINIFS($M:$M,$E:$E,$E1115,$K:$K,$K1115,$M:$M,"&gt;"&amp;$O1115),"")</f>
        <v/>
      </c>
      <c r="Q1115" s="396">
        <f>IF($P1115="","",$P1115-$O1115)</f>
        <v/>
      </c>
    </row>
    <row r="1116" ht="15" customHeight="1" s="231">
      <c r="A1116" s="397" t="n"/>
      <c r="B1116" s="397" t="n"/>
      <c r="C1116" s="397" t="n"/>
      <c r="D1116" s="397" t="n"/>
      <c r="E1116" s="397" t="n"/>
      <c r="F1116" s="397" t="n"/>
      <c r="G1116" s="397" t="n"/>
      <c r="I1116" s="397" t="n"/>
      <c r="J1116" s="397" t="n"/>
      <c r="K1116" s="395">
        <f>DATE(VALUE(LEFT(A1116,4)),VALUE(MID(A1116,5,2)),VALUE(RIGHT(A1116,2)))</f>
        <v/>
      </c>
      <c r="L1116" s="395">
        <f>DATEVALUE(LEFT(F1116,10))</f>
        <v/>
      </c>
      <c r="M1116" s="396">
        <f>TIMEVALUE(MID(F1116,12,8))</f>
        <v/>
      </c>
      <c r="N1116" s="395">
        <f>DATEVALUE(LEFT(G1116,10))</f>
        <v/>
      </c>
      <c r="O1116" s="396">
        <f>TIMEVALUE(MID(G1116,12,8))</f>
        <v/>
      </c>
      <c r="P1116" s="396">
        <f>IFERROR(_xlfn.MINIFS($M:$M,$E:$E,$E1116,$K:$K,$K1116,$M:$M,"&gt;"&amp;$O1116),"")</f>
        <v/>
      </c>
      <c r="Q1116" s="396">
        <f>IF($P1116="","",$P1116-$O1116)</f>
        <v/>
      </c>
    </row>
    <row r="1117" ht="15" customHeight="1" s="231">
      <c r="A1117" s="397" t="n"/>
      <c r="B1117" s="397" t="n"/>
      <c r="C1117" s="397" t="n"/>
      <c r="D1117" s="397" t="n"/>
      <c r="E1117" s="397" t="n"/>
      <c r="F1117" s="397" t="n"/>
      <c r="G1117" s="397" t="n"/>
      <c r="I1117" s="397" t="n"/>
      <c r="J1117" s="397" t="n"/>
      <c r="K1117" s="395">
        <f>DATE(VALUE(LEFT(A1117,4)),VALUE(MID(A1117,5,2)),VALUE(RIGHT(A1117,2)))</f>
        <v/>
      </c>
      <c r="L1117" s="395">
        <f>DATEVALUE(LEFT(F1117,10))</f>
        <v/>
      </c>
      <c r="M1117" s="396">
        <f>TIMEVALUE(MID(F1117,12,8))</f>
        <v/>
      </c>
      <c r="N1117" s="395">
        <f>DATEVALUE(LEFT(G1117,10))</f>
        <v/>
      </c>
      <c r="O1117" s="396">
        <f>TIMEVALUE(MID(G1117,12,8))</f>
        <v/>
      </c>
      <c r="P1117" s="396">
        <f>IFERROR(_xlfn.MINIFS($M:$M,$E:$E,$E1117,$K:$K,$K1117,$M:$M,"&gt;"&amp;$O1117),"")</f>
        <v/>
      </c>
      <c r="Q1117" s="396">
        <f>IF($P1117="","",$P1117-$O1117)</f>
        <v/>
      </c>
    </row>
    <row r="1118" ht="15" customHeight="1" s="231">
      <c r="A1118" s="397" t="n"/>
      <c r="B1118" s="397" t="n"/>
      <c r="C1118" s="397" t="n"/>
      <c r="D1118" s="397" t="n"/>
      <c r="E1118" s="397" t="n"/>
      <c r="F1118" s="397" t="n"/>
      <c r="G1118" s="397" t="n"/>
      <c r="I1118" s="397" t="n"/>
      <c r="J1118" s="397" t="n"/>
      <c r="K1118" s="395">
        <f>DATE(VALUE(LEFT(A1118,4)),VALUE(MID(A1118,5,2)),VALUE(RIGHT(A1118,2)))</f>
        <v/>
      </c>
      <c r="L1118" s="395">
        <f>DATEVALUE(LEFT(F1118,10))</f>
        <v/>
      </c>
      <c r="M1118" s="396">
        <f>TIMEVALUE(MID(F1118,12,8))</f>
        <v/>
      </c>
      <c r="N1118" s="395">
        <f>DATEVALUE(LEFT(G1118,10))</f>
        <v/>
      </c>
      <c r="O1118" s="396">
        <f>TIMEVALUE(MID(G1118,12,8))</f>
        <v/>
      </c>
      <c r="P1118" s="396">
        <f>IFERROR(_xlfn.MINIFS($M:$M,$E:$E,$E1118,$K:$K,$K1118,$M:$M,"&gt;"&amp;$O1118),"")</f>
        <v/>
      </c>
      <c r="Q1118" s="396">
        <f>IF($P1118="","",$P1118-$O1118)</f>
        <v/>
      </c>
    </row>
    <row r="1119" ht="15" customHeight="1" s="231">
      <c r="A1119" s="397" t="n"/>
      <c r="B1119" s="397" t="n"/>
      <c r="C1119" s="397" t="n"/>
      <c r="D1119" s="397" t="n"/>
      <c r="E1119" s="397" t="n"/>
      <c r="F1119" s="397" t="n"/>
      <c r="G1119" s="397" t="n"/>
      <c r="I1119" s="397" t="n"/>
      <c r="J1119" s="397" t="n"/>
      <c r="K1119" s="395">
        <f>DATE(VALUE(LEFT(A1119,4)),VALUE(MID(A1119,5,2)),VALUE(RIGHT(A1119,2)))</f>
        <v/>
      </c>
      <c r="L1119" s="395">
        <f>DATEVALUE(LEFT(F1119,10))</f>
        <v/>
      </c>
      <c r="M1119" s="396">
        <f>TIMEVALUE(MID(F1119,12,8))</f>
        <v/>
      </c>
      <c r="N1119" s="395">
        <f>DATEVALUE(LEFT(G1119,10))</f>
        <v/>
      </c>
      <c r="O1119" s="396">
        <f>TIMEVALUE(MID(G1119,12,8))</f>
        <v/>
      </c>
      <c r="P1119" s="396">
        <f>IFERROR(_xlfn.MINIFS($M:$M,$E:$E,$E1119,$K:$K,$K1119,$M:$M,"&gt;"&amp;$O1119),"")</f>
        <v/>
      </c>
      <c r="Q1119" s="396">
        <f>IF($P1119="","",$P1119-$O1119)</f>
        <v/>
      </c>
    </row>
    <row r="1120" ht="15" customHeight="1" s="231">
      <c r="A1120" s="397" t="n"/>
      <c r="B1120" s="397" t="n"/>
      <c r="C1120" s="397" t="n"/>
      <c r="D1120" s="397" t="n"/>
      <c r="E1120" s="397" t="n"/>
      <c r="F1120" s="397" t="n"/>
      <c r="G1120" s="397" t="n"/>
      <c r="I1120" s="397" t="n"/>
      <c r="J1120" s="397" t="n"/>
      <c r="K1120" s="395">
        <f>DATE(VALUE(LEFT(A1120,4)),VALUE(MID(A1120,5,2)),VALUE(RIGHT(A1120,2)))</f>
        <v/>
      </c>
      <c r="L1120" s="395">
        <f>DATEVALUE(LEFT(F1120,10))</f>
        <v/>
      </c>
      <c r="M1120" s="396">
        <f>TIMEVALUE(MID(F1120,12,8))</f>
        <v/>
      </c>
      <c r="N1120" s="395">
        <f>DATEVALUE(LEFT(G1120,10))</f>
        <v/>
      </c>
      <c r="O1120" s="396">
        <f>TIMEVALUE(MID(G1120,12,8))</f>
        <v/>
      </c>
      <c r="P1120" s="396">
        <f>IFERROR(_xlfn.MINIFS($M:$M,$E:$E,$E1120,$K:$K,$K1120,$M:$M,"&gt;"&amp;$O1120),"")</f>
        <v/>
      </c>
      <c r="Q1120" s="396">
        <f>IF($P1120="","",$P1120-$O1120)</f>
        <v/>
      </c>
    </row>
    <row r="1121" ht="15" customHeight="1" s="231">
      <c r="A1121" s="397" t="n"/>
      <c r="B1121" s="397" t="n"/>
      <c r="C1121" s="397" t="n"/>
      <c r="D1121" s="397" t="n"/>
      <c r="E1121" s="397" t="n"/>
      <c r="F1121" s="397" t="n"/>
      <c r="G1121" s="397" t="n"/>
      <c r="I1121" s="397" t="n"/>
      <c r="J1121" s="397" t="n"/>
      <c r="K1121" s="395">
        <f>DATE(VALUE(LEFT(A1121,4)),VALUE(MID(A1121,5,2)),VALUE(RIGHT(A1121,2)))</f>
        <v/>
      </c>
      <c r="L1121" s="395">
        <f>DATEVALUE(LEFT(F1121,10))</f>
        <v/>
      </c>
      <c r="M1121" s="396">
        <f>TIMEVALUE(MID(F1121,12,8))</f>
        <v/>
      </c>
      <c r="N1121" s="395">
        <f>DATEVALUE(LEFT(G1121,10))</f>
        <v/>
      </c>
      <c r="O1121" s="396">
        <f>TIMEVALUE(MID(G1121,12,8))</f>
        <v/>
      </c>
      <c r="P1121" s="396">
        <f>IFERROR(_xlfn.MINIFS($M:$M,$E:$E,$E1121,$K:$K,$K1121,$M:$M,"&gt;"&amp;$O1121),"")</f>
        <v/>
      </c>
      <c r="Q1121" s="396">
        <f>IF($P1121="","",$P1121-$O1121)</f>
        <v/>
      </c>
    </row>
    <row r="1122" ht="15" customHeight="1" s="231">
      <c r="A1122" s="397" t="n"/>
      <c r="B1122" s="397" t="n"/>
      <c r="C1122" s="397" t="n"/>
      <c r="D1122" s="397" t="n"/>
      <c r="E1122" s="397" t="n"/>
      <c r="F1122" s="397" t="n"/>
      <c r="G1122" s="397" t="n"/>
      <c r="I1122" s="397" t="n"/>
      <c r="J1122" s="397" t="n"/>
      <c r="K1122" s="395">
        <f>DATE(VALUE(LEFT(A1122,4)),VALUE(MID(A1122,5,2)),VALUE(RIGHT(A1122,2)))</f>
        <v/>
      </c>
      <c r="L1122" s="395">
        <f>DATEVALUE(LEFT(F1122,10))</f>
        <v/>
      </c>
      <c r="M1122" s="396">
        <f>TIMEVALUE(MID(F1122,12,8))</f>
        <v/>
      </c>
      <c r="N1122" s="395">
        <f>DATEVALUE(LEFT(G1122,10))</f>
        <v/>
      </c>
      <c r="O1122" s="396">
        <f>TIMEVALUE(MID(G1122,12,8))</f>
        <v/>
      </c>
      <c r="P1122" s="396">
        <f>IFERROR(_xlfn.MINIFS($M:$M,$E:$E,$E1122,$K:$K,$K1122,$M:$M,"&gt;"&amp;$O1122),"")</f>
        <v/>
      </c>
      <c r="Q1122" s="396">
        <f>IF($P1122="","",$P1122-$O1122)</f>
        <v/>
      </c>
    </row>
    <row r="1123" ht="15" customHeight="1" s="231">
      <c r="A1123" s="397" t="n"/>
      <c r="B1123" s="397" t="n"/>
      <c r="C1123" s="397" t="n"/>
      <c r="D1123" s="397" t="n"/>
      <c r="E1123" s="397" t="n"/>
      <c r="F1123" s="397" t="n"/>
      <c r="G1123" s="397" t="n"/>
      <c r="I1123" s="397" t="n"/>
      <c r="J1123" s="397" t="n"/>
      <c r="K1123" s="395">
        <f>DATE(VALUE(LEFT(A1123,4)),VALUE(MID(A1123,5,2)),VALUE(RIGHT(A1123,2)))</f>
        <v/>
      </c>
      <c r="L1123" s="395">
        <f>DATEVALUE(LEFT(F1123,10))</f>
        <v/>
      </c>
      <c r="M1123" s="396">
        <f>TIMEVALUE(MID(F1123,12,8))</f>
        <v/>
      </c>
      <c r="N1123" s="395">
        <f>DATEVALUE(LEFT(G1123,10))</f>
        <v/>
      </c>
      <c r="O1123" s="396">
        <f>TIMEVALUE(MID(G1123,12,8))</f>
        <v/>
      </c>
      <c r="P1123" s="396">
        <f>IFERROR(_xlfn.MINIFS($M:$M,$E:$E,$E1123,$K:$K,$K1123,$M:$M,"&gt;"&amp;$O1123),"")</f>
        <v/>
      </c>
      <c r="Q1123" s="396">
        <f>IF($P1123="","",$P1123-$O1123)</f>
        <v/>
      </c>
    </row>
    <row r="1124" ht="15" customHeight="1" s="231">
      <c r="A1124" s="397" t="n"/>
      <c r="B1124" s="397" t="n"/>
      <c r="C1124" s="397" t="n"/>
      <c r="D1124" s="397" t="n"/>
      <c r="E1124" s="397" t="n"/>
      <c r="F1124" s="397" t="n"/>
      <c r="G1124" s="397" t="n"/>
      <c r="I1124" s="397" t="n"/>
      <c r="J1124" s="397" t="n"/>
      <c r="K1124" s="395">
        <f>DATE(VALUE(LEFT(A1124,4)),VALUE(MID(A1124,5,2)),VALUE(RIGHT(A1124,2)))</f>
        <v/>
      </c>
      <c r="L1124" s="395">
        <f>DATEVALUE(LEFT(F1124,10))</f>
        <v/>
      </c>
      <c r="M1124" s="396">
        <f>TIMEVALUE(MID(F1124,12,8))</f>
        <v/>
      </c>
      <c r="N1124" s="395">
        <f>DATEVALUE(LEFT(G1124,10))</f>
        <v/>
      </c>
      <c r="O1124" s="396">
        <f>TIMEVALUE(MID(G1124,12,8))</f>
        <v/>
      </c>
      <c r="P1124" s="396">
        <f>IFERROR(_xlfn.MINIFS($M:$M,$E:$E,$E1124,$K:$K,$K1124,$M:$M,"&gt;"&amp;$O1124),"")</f>
        <v/>
      </c>
      <c r="Q1124" s="396">
        <f>IF($P1124="","",$P1124-$O1124)</f>
        <v/>
      </c>
    </row>
    <row r="1125" ht="15" customHeight="1" s="231">
      <c r="A1125" s="397" t="n"/>
      <c r="B1125" s="397" t="n"/>
      <c r="C1125" s="397" t="n"/>
      <c r="D1125" s="397" t="n"/>
      <c r="E1125" s="397" t="n"/>
      <c r="F1125" s="397" t="n"/>
      <c r="G1125" s="397" t="n"/>
      <c r="I1125" s="397" t="n"/>
      <c r="J1125" s="397" t="n"/>
      <c r="K1125" s="395">
        <f>DATE(VALUE(LEFT(A1125,4)),VALUE(MID(A1125,5,2)),VALUE(RIGHT(A1125,2)))</f>
        <v/>
      </c>
      <c r="L1125" s="395">
        <f>DATEVALUE(LEFT(F1125,10))</f>
        <v/>
      </c>
      <c r="M1125" s="396">
        <f>TIMEVALUE(MID(F1125,12,8))</f>
        <v/>
      </c>
      <c r="N1125" s="395">
        <f>DATEVALUE(LEFT(G1125,10))</f>
        <v/>
      </c>
      <c r="O1125" s="396">
        <f>TIMEVALUE(MID(G1125,12,8))</f>
        <v/>
      </c>
      <c r="P1125" s="396">
        <f>IFERROR(_xlfn.MINIFS($M:$M,$E:$E,$E1125,$K:$K,$K1125,$M:$M,"&gt;"&amp;$O1125),"")</f>
        <v/>
      </c>
      <c r="Q1125" s="396">
        <f>IF($P1125="","",$P1125-$O1125)</f>
        <v/>
      </c>
    </row>
    <row r="1126" ht="15" customHeight="1" s="231">
      <c r="A1126" s="397" t="n"/>
      <c r="B1126" s="397" t="n"/>
      <c r="C1126" s="397" t="n"/>
      <c r="D1126" s="397" t="n"/>
      <c r="E1126" s="397" t="n"/>
      <c r="F1126" s="397" t="n"/>
      <c r="G1126" s="397" t="n"/>
      <c r="I1126" s="397" t="n"/>
      <c r="J1126" s="397" t="n"/>
      <c r="K1126" s="395">
        <f>DATE(VALUE(LEFT(A1126,4)),VALUE(MID(A1126,5,2)),VALUE(RIGHT(A1126,2)))</f>
        <v/>
      </c>
      <c r="L1126" s="395">
        <f>DATEVALUE(LEFT(F1126,10))</f>
        <v/>
      </c>
      <c r="M1126" s="396">
        <f>TIMEVALUE(MID(F1126,12,8))</f>
        <v/>
      </c>
      <c r="N1126" s="395">
        <f>DATEVALUE(LEFT(G1126,10))</f>
        <v/>
      </c>
      <c r="O1126" s="396">
        <f>TIMEVALUE(MID(G1126,12,8))</f>
        <v/>
      </c>
      <c r="P1126" s="396">
        <f>IFERROR(_xlfn.MINIFS($M:$M,$E:$E,$E1126,$K:$K,$K1126,$M:$M,"&gt;"&amp;$O1126),"")</f>
        <v/>
      </c>
      <c r="Q1126" s="396">
        <f>IF($P1126="","",$P1126-$O1126)</f>
        <v/>
      </c>
    </row>
    <row r="1127" ht="15" customHeight="1" s="231">
      <c r="A1127" s="397" t="n"/>
      <c r="B1127" s="397" t="n"/>
      <c r="C1127" s="397" t="n"/>
      <c r="D1127" s="397" t="n"/>
      <c r="E1127" s="397" t="n"/>
      <c r="F1127" s="397" t="n"/>
      <c r="G1127" s="397" t="n"/>
      <c r="I1127" s="397" t="n"/>
      <c r="J1127" s="397" t="n"/>
      <c r="K1127" s="395">
        <f>DATE(VALUE(LEFT(A1127,4)),VALUE(MID(A1127,5,2)),VALUE(RIGHT(A1127,2)))</f>
        <v/>
      </c>
      <c r="L1127" s="395">
        <f>DATEVALUE(LEFT(F1127,10))</f>
        <v/>
      </c>
      <c r="M1127" s="396">
        <f>TIMEVALUE(MID(F1127,12,8))</f>
        <v/>
      </c>
      <c r="N1127" s="395">
        <f>DATEVALUE(LEFT(G1127,10))</f>
        <v/>
      </c>
      <c r="O1127" s="396">
        <f>TIMEVALUE(MID(G1127,12,8))</f>
        <v/>
      </c>
      <c r="P1127" s="396">
        <f>IFERROR(_xlfn.MINIFS($M:$M,$E:$E,$E1127,$K:$K,$K1127,$M:$M,"&gt;"&amp;$O1127),"")</f>
        <v/>
      </c>
      <c r="Q1127" s="396">
        <f>IF($P1127="","",$P1127-$O1127)</f>
        <v/>
      </c>
    </row>
    <row r="1128" ht="15" customHeight="1" s="231">
      <c r="A1128" s="397" t="n"/>
      <c r="B1128" s="397" t="n"/>
      <c r="C1128" s="397" t="n"/>
      <c r="D1128" s="397" t="n"/>
      <c r="E1128" s="397" t="n"/>
      <c r="F1128" s="397" t="n"/>
      <c r="G1128" s="397" t="n"/>
      <c r="I1128" s="397" t="n"/>
      <c r="J1128" s="397" t="n"/>
      <c r="K1128" s="395">
        <f>DATE(VALUE(LEFT(A1128,4)),VALUE(MID(A1128,5,2)),VALUE(RIGHT(A1128,2)))</f>
        <v/>
      </c>
      <c r="L1128" s="395">
        <f>DATEVALUE(LEFT(F1128,10))</f>
        <v/>
      </c>
      <c r="M1128" s="396">
        <f>TIMEVALUE(MID(F1128,12,8))</f>
        <v/>
      </c>
      <c r="N1128" s="395">
        <f>DATEVALUE(LEFT(G1128,10))</f>
        <v/>
      </c>
      <c r="O1128" s="396">
        <f>TIMEVALUE(MID(G1128,12,8))</f>
        <v/>
      </c>
      <c r="P1128" s="396">
        <f>IFERROR(_xlfn.MINIFS($M:$M,$E:$E,$E1128,$K:$K,$K1128,$M:$M,"&gt;"&amp;$O1128),"")</f>
        <v/>
      </c>
      <c r="Q1128" s="396">
        <f>IF($P1128="","",$P1128-$O1128)</f>
        <v/>
      </c>
    </row>
    <row r="1129" ht="15" customHeight="1" s="231">
      <c r="A1129" s="397" t="n"/>
      <c r="B1129" s="397" t="n"/>
      <c r="C1129" s="397" t="n"/>
      <c r="D1129" s="397" t="n"/>
      <c r="E1129" s="397" t="n"/>
      <c r="F1129" s="397" t="n"/>
      <c r="G1129" s="397" t="n"/>
      <c r="I1129" s="397" t="n"/>
      <c r="J1129" s="397" t="n"/>
      <c r="K1129" s="395">
        <f>DATE(VALUE(LEFT(A1129,4)),VALUE(MID(A1129,5,2)),VALUE(RIGHT(A1129,2)))</f>
        <v/>
      </c>
      <c r="L1129" s="395">
        <f>DATEVALUE(LEFT(F1129,10))</f>
        <v/>
      </c>
      <c r="M1129" s="396">
        <f>TIMEVALUE(MID(F1129,12,8))</f>
        <v/>
      </c>
      <c r="N1129" s="395">
        <f>DATEVALUE(LEFT(G1129,10))</f>
        <v/>
      </c>
      <c r="O1129" s="396">
        <f>TIMEVALUE(MID(G1129,12,8))</f>
        <v/>
      </c>
      <c r="P1129" s="396">
        <f>IFERROR(_xlfn.MINIFS($M:$M,$E:$E,$E1129,$K:$K,$K1129,$M:$M,"&gt;"&amp;$O1129),"")</f>
        <v/>
      </c>
      <c r="Q1129" s="396">
        <f>IF($P1129="","",$P1129-$O1129)</f>
        <v/>
      </c>
    </row>
    <row r="1130" ht="15" customHeight="1" s="231">
      <c r="A1130" s="397" t="n"/>
      <c r="B1130" s="397" t="n"/>
      <c r="C1130" s="397" t="n"/>
      <c r="D1130" s="397" t="n"/>
      <c r="E1130" s="397" t="n"/>
      <c r="F1130" s="397" t="n"/>
      <c r="G1130" s="397" t="n"/>
      <c r="I1130" s="397" t="n"/>
      <c r="J1130" s="397" t="n"/>
      <c r="K1130" s="395">
        <f>DATE(VALUE(LEFT(A1130,4)),VALUE(MID(A1130,5,2)),VALUE(RIGHT(A1130,2)))</f>
        <v/>
      </c>
      <c r="L1130" s="395">
        <f>DATEVALUE(LEFT(F1130,10))</f>
        <v/>
      </c>
      <c r="M1130" s="396">
        <f>TIMEVALUE(MID(F1130,12,8))</f>
        <v/>
      </c>
      <c r="N1130" s="395">
        <f>DATEVALUE(LEFT(G1130,10))</f>
        <v/>
      </c>
      <c r="O1130" s="396">
        <f>TIMEVALUE(MID(G1130,12,8))</f>
        <v/>
      </c>
      <c r="P1130" s="396">
        <f>IFERROR(_xlfn.MINIFS($M:$M,$E:$E,$E1130,$K:$K,$K1130,$M:$M,"&gt;"&amp;$O1130),"")</f>
        <v/>
      </c>
      <c r="Q1130" s="396">
        <f>IF($P1130="","",$P1130-$O1130)</f>
        <v/>
      </c>
    </row>
    <row r="1131" ht="15" customHeight="1" s="231">
      <c r="A1131" s="397" t="n"/>
      <c r="B1131" s="397" t="n"/>
      <c r="C1131" s="397" t="n"/>
      <c r="D1131" s="397" t="n"/>
      <c r="E1131" s="397" t="n"/>
      <c r="F1131" s="397" t="n"/>
      <c r="G1131" s="397" t="n"/>
      <c r="I1131" s="397" t="n"/>
      <c r="J1131" s="397" t="n"/>
      <c r="K1131" s="395">
        <f>DATE(VALUE(LEFT(A1131,4)),VALUE(MID(A1131,5,2)),VALUE(RIGHT(A1131,2)))</f>
        <v/>
      </c>
      <c r="L1131" s="395">
        <f>DATEVALUE(LEFT(F1131,10))</f>
        <v/>
      </c>
      <c r="M1131" s="396">
        <f>TIMEVALUE(MID(F1131,12,8))</f>
        <v/>
      </c>
      <c r="N1131" s="395">
        <f>DATEVALUE(LEFT(G1131,10))</f>
        <v/>
      </c>
      <c r="O1131" s="396">
        <f>TIMEVALUE(MID(G1131,12,8))</f>
        <v/>
      </c>
      <c r="P1131" s="396">
        <f>IFERROR(_xlfn.MINIFS($M:$M,$E:$E,$E1131,$K:$K,$K1131,$M:$M,"&gt;"&amp;$O1131),"")</f>
        <v/>
      </c>
      <c r="Q1131" s="396">
        <f>IF($P1131="","",$P1131-$O1131)</f>
        <v/>
      </c>
    </row>
    <row r="1132" ht="15" customHeight="1" s="231">
      <c r="A1132" s="397" t="n"/>
      <c r="B1132" s="397" t="n"/>
      <c r="C1132" s="397" t="n"/>
      <c r="D1132" s="397" t="n"/>
      <c r="E1132" s="397" t="n"/>
      <c r="F1132" s="397" t="n"/>
      <c r="G1132" s="397" t="n"/>
      <c r="I1132" s="397" t="n"/>
      <c r="J1132" s="397" t="n"/>
      <c r="K1132" s="395">
        <f>DATE(VALUE(LEFT(A1132,4)),VALUE(MID(A1132,5,2)),VALUE(RIGHT(A1132,2)))</f>
        <v/>
      </c>
      <c r="L1132" s="395">
        <f>DATEVALUE(LEFT(F1132,10))</f>
        <v/>
      </c>
      <c r="M1132" s="396">
        <f>TIMEVALUE(MID(F1132,12,8))</f>
        <v/>
      </c>
      <c r="N1132" s="395">
        <f>DATEVALUE(LEFT(G1132,10))</f>
        <v/>
      </c>
      <c r="O1132" s="396">
        <f>TIMEVALUE(MID(G1132,12,8))</f>
        <v/>
      </c>
      <c r="P1132" s="396">
        <f>IFERROR(_xlfn.MINIFS($M:$M,$E:$E,$E1132,$K:$K,$K1132,$M:$M,"&gt;"&amp;$O1132),"")</f>
        <v/>
      </c>
      <c r="Q1132" s="396">
        <f>IF($P1132="","",$P1132-$O1132)</f>
        <v/>
      </c>
    </row>
    <row r="1133" ht="15" customHeight="1" s="231">
      <c r="A1133" s="397" t="n"/>
      <c r="B1133" s="397" t="n"/>
      <c r="C1133" s="397" t="n"/>
      <c r="D1133" s="397" t="n"/>
      <c r="E1133" s="397" t="n"/>
      <c r="F1133" s="397" t="n"/>
      <c r="G1133" s="397" t="n"/>
      <c r="I1133" s="397" t="n"/>
      <c r="J1133" s="397" t="n"/>
      <c r="K1133" s="395">
        <f>DATE(VALUE(LEFT(A1133,4)),VALUE(MID(A1133,5,2)),VALUE(RIGHT(A1133,2)))</f>
        <v/>
      </c>
      <c r="L1133" s="395">
        <f>DATEVALUE(LEFT(F1133,10))</f>
        <v/>
      </c>
      <c r="M1133" s="396">
        <f>TIMEVALUE(MID(F1133,12,8))</f>
        <v/>
      </c>
      <c r="N1133" s="395">
        <f>DATEVALUE(LEFT(G1133,10))</f>
        <v/>
      </c>
      <c r="O1133" s="396">
        <f>TIMEVALUE(MID(G1133,12,8))</f>
        <v/>
      </c>
      <c r="P1133" s="396">
        <f>IFERROR(_xlfn.MINIFS($M:$M,$E:$E,$E1133,$K:$K,$K1133,$M:$M,"&gt;"&amp;$O1133),"")</f>
        <v/>
      </c>
      <c r="Q1133" s="396">
        <f>IF($P1133="","",$P1133-$O1133)</f>
        <v/>
      </c>
    </row>
    <row r="1134" ht="15" customHeight="1" s="231">
      <c r="A1134" s="397" t="n"/>
      <c r="B1134" s="397" t="n"/>
      <c r="C1134" s="397" t="n"/>
      <c r="D1134" s="397" t="n"/>
      <c r="E1134" s="397" t="n"/>
      <c r="F1134" s="397" t="n"/>
      <c r="G1134" s="397" t="n"/>
      <c r="I1134" s="397" t="n"/>
      <c r="J1134" s="397" t="n"/>
      <c r="K1134" s="395">
        <f>DATE(VALUE(LEFT(A1134,4)),VALUE(MID(A1134,5,2)),VALUE(RIGHT(A1134,2)))</f>
        <v/>
      </c>
      <c r="L1134" s="395">
        <f>DATEVALUE(LEFT(F1134,10))</f>
        <v/>
      </c>
      <c r="M1134" s="396">
        <f>TIMEVALUE(MID(F1134,12,8))</f>
        <v/>
      </c>
      <c r="N1134" s="395">
        <f>DATEVALUE(LEFT(G1134,10))</f>
        <v/>
      </c>
      <c r="O1134" s="396">
        <f>TIMEVALUE(MID(G1134,12,8))</f>
        <v/>
      </c>
      <c r="P1134" s="396">
        <f>IFERROR(_xlfn.MINIFS($M:$M,$E:$E,$E1134,$K:$K,$K1134,$M:$M,"&gt;"&amp;$O1134),"")</f>
        <v/>
      </c>
      <c r="Q1134" s="396">
        <f>IF($P1134="","",$P1134-$O1134)</f>
        <v/>
      </c>
    </row>
    <row r="1135" ht="15" customHeight="1" s="231">
      <c r="A1135" s="397" t="n"/>
      <c r="B1135" s="397" t="n"/>
      <c r="C1135" s="397" t="n"/>
      <c r="D1135" s="397" t="n"/>
      <c r="E1135" s="397" t="n"/>
      <c r="F1135" s="397" t="n"/>
      <c r="G1135" s="397" t="n"/>
      <c r="I1135" s="397" t="n"/>
      <c r="J1135" s="397" t="n"/>
      <c r="K1135" s="395">
        <f>DATE(VALUE(LEFT(A1135,4)),VALUE(MID(A1135,5,2)),VALUE(RIGHT(A1135,2)))</f>
        <v/>
      </c>
      <c r="L1135" s="395">
        <f>DATEVALUE(LEFT(F1135,10))</f>
        <v/>
      </c>
      <c r="M1135" s="396">
        <f>TIMEVALUE(MID(F1135,12,8))</f>
        <v/>
      </c>
      <c r="N1135" s="395">
        <f>DATEVALUE(LEFT(G1135,10))</f>
        <v/>
      </c>
      <c r="O1135" s="396">
        <f>TIMEVALUE(MID(G1135,12,8))</f>
        <v/>
      </c>
      <c r="P1135" s="396">
        <f>IFERROR(_xlfn.MINIFS($M:$M,$E:$E,$E1135,$K:$K,$K1135,$M:$M,"&gt;"&amp;$O1135),"")</f>
        <v/>
      </c>
      <c r="Q1135" s="396">
        <f>IF($P1135="","",$P1135-$O1135)</f>
        <v/>
      </c>
    </row>
    <row r="1136" ht="15" customHeight="1" s="231">
      <c r="A1136" s="397" t="n"/>
      <c r="B1136" s="397" t="n"/>
      <c r="C1136" s="397" t="n"/>
      <c r="D1136" s="397" t="n"/>
      <c r="E1136" s="397" t="n"/>
      <c r="F1136" s="397" t="n"/>
      <c r="G1136" s="397" t="n"/>
      <c r="I1136" s="397" t="n"/>
      <c r="J1136" s="397" t="n"/>
      <c r="K1136" s="395">
        <f>DATE(VALUE(LEFT(A1136,4)),VALUE(MID(A1136,5,2)),VALUE(RIGHT(A1136,2)))</f>
        <v/>
      </c>
      <c r="L1136" s="395">
        <f>DATEVALUE(LEFT(F1136,10))</f>
        <v/>
      </c>
      <c r="M1136" s="396">
        <f>TIMEVALUE(MID(F1136,12,8))</f>
        <v/>
      </c>
      <c r="N1136" s="395">
        <f>DATEVALUE(LEFT(G1136,10))</f>
        <v/>
      </c>
      <c r="O1136" s="396">
        <f>TIMEVALUE(MID(G1136,12,8))</f>
        <v/>
      </c>
      <c r="P1136" s="396">
        <f>IFERROR(_xlfn.MINIFS($M:$M,$E:$E,$E1136,$K:$K,$K1136,$M:$M,"&gt;"&amp;$O1136),"")</f>
        <v/>
      </c>
      <c r="Q1136" s="396">
        <f>IF($P1136="","",$P1136-$O1136)</f>
        <v/>
      </c>
    </row>
    <row r="1137" ht="15" customHeight="1" s="231">
      <c r="A1137" s="397" t="n"/>
      <c r="B1137" s="397" t="n"/>
      <c r="C1137" s="397" t="n"/>
      <c r="D1137" s="397" t="n"/>
      <c r="E1137" s="397" t="n"/>
      <c r="F1137" s="397" t="n"/>
      <c r="G1137" s="397" t="n"/>
      <c r="I1137" s="397" t="n"/>
      <c r="J1137" s="397" t="n"/>
      <c r="K1137" s="395">
        <f>DATE(VALUE(LEFT(A1137,4)),VALUE(MID(A1137,5,2)),VALUE(RIGHT(A1137,2)))</f>
        <v/>
      </c>
      <c r="L1137" s="395">
        <f>DATEVALUE(LEFT(F1137,10))</f>
        <v/>
      </c>
      <c r="M1137" s="396">
        <f>TIMEVALUE(MID(F1137,12,8))</f>
        <v/>
      </c>
      <c r="N1137" s="395">
        <f>DATEVALUE(LEFT(G1137,10))</f>
        <v/>
      </c>
      <c r="O1137" s="396">
        <f>TIMEVALUE(MID(G1137,12,8))</f>
        <v/>
      </c>
      <c r="P1137" s="396">
        <f>IFERROR(_xlfn.MINIFS($M:$M,$E:$E,$E1137,$K:$K,$K1137,$M:$M,"&gt;"&amp;$O1137),"")</f>
        <v/>
      </c>
      <c r="Q1137" s="396">
        <f>IF($P1137="","",$P1137-$O1137)</f>
        <v/>
      </c>
    </row>
    <row r="1138" ht="15" customHeight="1" s="231">
      <c r="A1138" s="397" t="n"/>
      <c r="B1138" s="397" t="n"/>
      <c r="C1138" s="397" t="n"/>
      <c r="D1138" s="397" t="n"/>
      <c r="E1138" s="397" t="n"/>
      <c r="F1138" s="397" t="n"/>
      <c r="G1138" s="397" t="n"/>
      <c r="I1138" s="397" t="n"/>
      <c r="J1138" s="397" t="n"/>
      <c r="K1138" s="395">
        <f>DATE(VALUE(LEFT(A1138,4)),VALUE(MID(A1138,5,2)),VALUE(RIGHT(A1138,2)))</f>
        <v/>
      </c>
      <c r="L1138" s="395">
        <f>DATEVALUE(LEFT(F1138,10))</f>
        <v/>
      </c>
      <c r="M1138" s="396">
        <f>TIMEVALUE(MID(F1138,12,8))</f>
        <v/>
      </c>
      <c r="N1138" s="395">
        <f>DATEVALUE(LEFT(G1138,10))</f>
        <v/>
      </c>
      <c r="O1138" s="396">
        <f>TIMEVALUE(MID(G1138,12,8))</f>
        <v/>
      </c>
      <c r="P1138" s="396">
        <f>IFERROR(_xlfn.MINIFS($M:$M,$E:$E,$E1138,$K:$K,$K1138,$M:$M,"&gt;"&amp;$O1138),"")</f>
        <v/>
      </c>
      <c r="Q1138" s="396">
        <f>IF($P1138="","",$P1138-$O1138)</f>
        <v/>
      </c>
    </row>
    <row r="1139" ht="15" customHeight="1" s="231">
      <c r="A1139" s="397" t="n"/>
      <c r="B1139" s="397" t="n"/>
      <c r="C1139" s="397" t="n"/>
      <c r="D1139" s="397" t="n"/>
      <c r="E1139" s="397" t="n"/>
      <c r="F1139" s="397" t="n"/>
      <c r="G1139" s="397" t="n"/>
      <c r="I1139" s="397" t="n"/>
      <c r="J1139" s="397" t="n"/>
      <c r="K1139" s="395">
        <f>DATE(VALUE(LEFT(A1139,4)),VALUE(MID(A1139,5,2)),VALUE(RIGHT(A1139,2)))</f>
        <v/>
      </c>
      <c r="L1139" s="395">
        <f>DATEVALUE(LEFT(F1139,10))</f>
        <v/>
      </c>
      <c r="M1139" s="396">
        <f>TIMEVALUE(MID(F1139,12,8))</f>
        <v/>
      </c>
      <c r="N1139" s="395">
        <f>DATEVALUE(LEFT(G1139,10))</f>
        <v/>
      </c>
      <c r="O1139" s="396">
        <f>TIMEVALUE(MID(G1139,12,8))</f>
        <v/>
      </c>
      <c r="P1139" s="396">
        <f>IFERROR(_xlfn.MINIFS($M:$M,$E:$E,$E1139,$K:$K,$K1139,$M:$M,"&gt;"&amp;$O1139),"")</f>
        <v/>
      </c>
      <c r="Q1139" s="396">
        <f>IF($P1139="","",$P1139-$O1139)</f>
        <v/>
      </c>
    </row>
    <row r="1140" ht="15" customHeight="1" s="231">
      <c r="A1140" s="397" t="n"/>
      <c r="B1140" s="397" t="n"/>
      <c r="C1140" s="397" t="n"/>
      <c r="D1140" s="397" t="n"/>
      <c r="E1140" s="397" t="n"/>
      <c r="F1140" s="397" t="n"/>
      <c r="G1140" s="397" t="n"/>
      <c r="I1140" s="397" t="n"/>
      <c r="J1140" s="397" t="n"/>
      <c r="K1140" s="395">
        <f>DATE(VALUE(LEFT(A1140,4)),VALUE(MID(A1140,5,2)),VALUE(RIGHT(A1140,2)))</f>
        <v/>
      </c>
      <c r="L1140" s="395">
        <f>DATEVALUE(LEFT(F1140,10))</f>
        <v/>
      </c>
      <c r="M1140" s="396">
        <f>TIMEVALUE(MID(F1140,12,8))</f>
        <v/>
      </c>
      <c r="N1140" s="395">
        <f>DATEVALUE(LEFT(G1140,10))</f>
        <v/>
      </c>
      <c r="O1140" s="396">
        <f>TIMEVALUE(MID(G1140,12,8))</f>
        <v/>
      </c>
      <c r="P1140" s="396">
        <f>IFERROR(_xlfn.MINIFS($M:$M,$E:$E,$E1140,$K:$K,$K1140,$M:$M,"&gt;"&amp;$O1140),"")</f>
        <v/>
      </c>
      <c r="Q1140" s="396">
        <f>IF($P1140="","",$P1140-$O1140)</f>
        <v/>
      </c>
    </row>
    <row r="1141" ht="15" customHeight="1" s="231">
      <c r="A1141" s="397" t="n"/>
      <c r="B1141" s="397" t="n"/>
      <c r="C1141" s="397" t="n"/>
      <c r="D1141" s="397" t="n"/>
      <c r="E1141" s="397" t="n"/>
      <c r="F1141" s="397" t="n"/>
      <c r="G1141" s="397" t="n"/>
      <c r="I1141" s="397" t="n"/>
      <c r="J1141" s="397" t="n"/>
      <c r="K1141" s="395">
        <f>DATE(VALUE(LEFT(A1141,4)),VALUE(MID(A1141,5,2)),VALUE(RIGHT(A1141,2)))</f>
        <v/>
      </c>
      <c r="L1141" s="395">
        <f>DATEVALUE(LEFT(F1141,10))</f>
        <v/>
      </c>
      <c r="M1141" s="396">
        <f>TIMEVALUE(MID(F1141,12,8))</f>
        <v/>
      </c>
      <c r="N1141" s="395">
        <f>DATEVALUE(LEFT(G1141,10))</f>
        <v/>
      </c>
      <c r="O1141" s="396">
        <f>TIMEVALUE(MID(G1141,12,8))</f>
        <v/>
      </c>
      <c r="P1141" s="396">
        <f>IFERROR(_xlfn.MINIFS($M:$M,$E:$E,$E1141,$K:$K,$K1141,$M:$M,"&gt;"&amp;$O1141),"")</f>
        <v/>
      </c>
      <c r="Q1141" s="396">
        <f>IF($P1141="","",$P1141-$O1141)</f>
        <v/>
      </c>
    </row>
    <row r="1142" ht="15" customHeight="1" s="231">
      <c r="A1142" s="397" t="n"/>
      <c r="B1142" s="397" t="n"/>
      <c r="C1142" s="397" t="n"/>
      <c r="D1142" s="397" t="n"/>
      <c r="E1142" s="397" t="n"/>
      <c r="F1142" s="397" t="n"/>
      <c r="G1142" s="397" t="n"/>
      <c r="I1142" s="397" t="n"/>
      <c r="J1142" s="397" t="n"/>
      <c r="K1142" s="395">
        <f>DATE(VALUE(LEFT(A1142,4)),VALUE(MID(A1142,5,2)),VALUE(RIGHT(A1142,2)))</f>
        <v/>
      </c>
      <c r="L1142" s="395">
        <f>DATEVALUE(LEFT(F1142,10))</f>
        <v/>
      </c>
      <c r="M1142" s="396">
        <f>TIMEVALUE(MID(F1142,12,8))</f>
        <v/>
      </c>
      <c r="N1142" s="395">
        <f>DATEVALUE(LEFT(G1142,10))</f>
        <v/>
      </c>
      <c r="O1142" s="396">
        <f>TIMEVALUE(MID(G1142,12,8))</f>
        <v/>
      </c>
      <c r="P1142" s="396">
        <f>IFERROR(_xlfn.MINIFS($M:$M,$E:$E,$E1142,$K:$K,$K1142,$M:$M,"&gt;"&amp;$O1142),"")</f>
        <v/>
      </c>
      <c r="Q1142" s="396">
        <f>IF($P1142="","",$P1142-$O1142)</f>
        <v/>
      </c>
    </row>
    <row r="1143" ht="15" customHeight="1" s="231">
      <c r="A1143" s="397" t="n"/>
      <c r="B1143" s="397" t="n"/>
      <c r="C1143" s="397" t="n"/>
      <c r="D1143" s="397" t="n"/>
      <c r="E1143" s="397" t="n"/>
      <c r="F1143" s="397" t="n"/>
      <c r="G1143" s="397" t="n"/>
      <c r="I1143" s="397" t="n"/>
      <c r="J1143" s="397" t="n"/>
      <c r="K1143" s="395">
        <f>DATE(VALUE(LEFT(A1143,4)),VALUE(MID(A1143,5,2)),VALUE(RIGHT(A1143,2)))</f>
        <v/>
      </c>
      <c r="L1143" s="395">
        <f>DATEVALUE(LEFT(F1143,10))</f>
        <v/>
      </c>
      <c r="M1143" s="396">
        <f>TIMEVALUE(MID(F1143,12,8))</f>
        <v/>
      </c>
      <c r="N1143" s="395">
        <f>DATEVALUE(LEFT(G1143,10))</f>
        <v/>
      </c>
      <c r="O1143" s="396">
        <f>TIMEVALUE(MID(G1143,12,8))</f>
        <v/>
      </c>
      <c r="P1143" s="396">
        <f>IFERROR(_xlfn.MINIFS($M:$M,$E:$E,$E1143,$K:$K,$K1143,$M:$M,"&gt;"&amp;$O1143),"")</f>
        <v/>
      </c>
      <c r="Q1143" s="396">
        <f>IF($P1143="","",$P1143-$O1143)</f>
        <v/>
      </c>
    </row>
    <row r="1144" ht="15" customHeight="1" s="231">
      <c r="A1144" s="397" t="n"/>
      <c r="B1144" s="397" t="n"/>
      <c r="C1144" s="397" t="n"/>
      <c r="D1144" s="397" t="n"/>
      <c r="E1144" s="397" t="n"/>
      <c r="F1144" s="397" t="n"/>
      <c r="G1144" s="397" t="n"/>
      <c r="I1144" s="397" t="n"/>
      <c r="J1144" s="397" t="n"/>
      <c r="K1144" s="395">
        <f>DATE(VALUE(LEFT(A1144,4)),VALUE(MID(A1144,5,2)),VALUE(RIGHT(A1144,2)))</f>
        <v/>
      </c>
      <c r="L1144" s="395">
        <f>DATEVALUE(LEFT(F1144,10))</f>
        <v/>
      </c>
      <c r="M1144" s="396">
        <f>TIMEVALUE(MID(F1144,12,8))</f>
        <v/>
      </c>
      <c r="N1144" s="395">
        <f>DATEVALUE(LEFT(G1144,10))</f>
        <v/>
      </c>
      <c r="O1144" s="396">
        <f>TIMEVALUE(MID(G1144,12,8))</f>
        <v/>
      </c>
      <c r="P1144" s="396">
        <f>IFERROR(_xlfn.MINIFS($M:$M,$E:$E,$E1144,$K:$K,$K1144,$M:$M,"&gt;"&amp;$O1144),"")</f>
        <v/>
      </c>
      <c r="Q1144" s="396">
        <f>IF($P1144="","",$P1144-$O1144)</f>
        <v/>
      </c>
    </row>
    <row r="1145" ht="15" customHeight="1" s="231">
      <c r="A1145" s="397" t="n"/>
      <c r="B1145" s="397" t="n"/>
      <c r="C1145" s="397" t="n"/>
      <c r="D1145" s="397" t="n"/>
      <c r="E1145" s="397" t="n"/>
      <c r="F1145" s="397" t="n"/>
      <c r="G1145" s="397" t="n"/>
      <c r="I1145" s="397" t="n"/>
      <c r="J1145" s="397" t="n"/>
      <c r="K1145" s="395">
        <f>DATE(VALUE(LEFT(A1145,4)),VALUE(MID(A1145,5,2)),VALUE(RIGHT(A1145,2)))</f>
        <v/>
      </c>
      <c r="L1145" s="395">
        <f>DATEVALUE(LEFT(F1145,10))</f>
        <v/>
      </c>
      <c r="M1145" s="396">
        <f>TIMEVALUE(MID(F1145,12,8))</f>
        <v/>
      </c>
      <c r="N1145" s="395">
        <f>DATEVALUE(LEFT(G1145,10))</f>
        <v/>
      </c>
      <c r="O1145" s="396">
        <f>TIMEVALUE(MID(G1145,12,8))</f>
        <v/>
      </c>
      <c r="P1145" s="396">
        <f>IFERROR(_xlfn.MINIFS($M:$M,$E:$E,$E1145,$K:$K,$K1145,$M:$M,"&gt;"&amp;$O1145),"")</f>
        <v/>
      </c>
      <c r="Q1145" s="396">
        <f>IF($P1145="","",$P1145-$O1145)</f>
        <v/>
      </c>
    </row>
    <row r="1146" ht="15" customHeight="1" s="231">
      <c r="A1146" s="397" t="n"/>
      <c r="B1146" s="397" t="n"/>
      <c r="C1146" s="397" t="n"/>
      <c r="D1146" s="397" t="n"/>
      <c r="E1146" s="397" t="n"/>
      <c r="F1146" s="397" t="n"/>
      <c r="G1146" s="397" t="n"/>
      <c r="I1146" s="397" t="n"/>
      <c r="J1146" s="397" t="n"/>
      <c r="K1146" s="395">
        <f>DATE(VALUE(LEFT(A1146,4)),VALUE(MID(A1146,5,2)),VALUE(RIGHT(A1146,2)))</f>
        <v/>
      </c>
      <c r="L1146" s="395">
        <f>DATEVALUE(LEFT(F1146,10))</f>
        <v/>
      </c>
      <c r="M1146" s="396">
        <f>TIMEVALUE(MID(F1146,12,8))</f>
        <v/>
      </c>
      <c r="N1146" s="395">
        <f>DATEVALUE(LEFT(G1146,10))</f>
        <v/>
      </c>
      <c r="O1146" s="396">
        <f>TIMEVALUE(MID(G1146,12,8))</f>
        <v/>
      </c>
      <c r="P1146" s="396">
        <f>IFERROR(_xlfn.MINIFS($M:$M,$E:$E,$E1146,$K:$K,$K1146,$M:$M,"&gt;"&amp;$O1146),"")</f>
        <v/>
      </c>
      <c r="Q1146" s="396">
        <f>IF($P1146="","",$P1146-$O1146)</f>
        <v/>
      </c>
    </row>
    <row r="1147" ht="15" customHeight="1" s="231">
      <c r="A1147" s="397" t="n"/>
      <c r="B1147" s="397" t="n"/>
      <c r="C1147" s="397" t="n"/>
      <c r="D1147" s="397" t="n"/>
      <c r="E1147" s="397" t="n"/>
      <c r="F1147" s="397" t="n"/>
      <c r="G1147" s="397" t="n"/>
      <c r="I1147" s="397" t="n"/>
      <c r="J1147" s="397" t="n"/>
      <c r="K1147" s="395">
        <f>DATE(VALUE(LEFT(A1147,4)),VALUE(MID(A1147,5,2)),VALUE(RIGHT(A1147,2)))</f>
        <v/>
      </c>
      <c r="L1147" s="395">
        <f>DATEVALUE(LEFT(F1147,10))</f>
        <v/>
      </c>
      <c r="M1147" s="396">
        <f>TIMEVALUE(MID(F1147,12,8))</f>
        <v/>
      </c>
      <c r="N1147" s="395">
        <f>DATEVALUE(LEFT(G1147,10))</f>
        <v/>
      </c>
      <c r="O1147" s="396">
        <f>TIMEVALUE(MID(G1147,12,8))</f>
        <v/>
      </c>
      <c r="P1147" s="396">
        <f>IFERROR(_xlfn.MINIFS($M:$M,$E:$E,$E1147,$K:$K,$K1147,$M:$M,"&gt;"&amp;$O1147),"")</f>
        <v/>
      </c>
      <c r="Q1147" s="396">
        <f>IF($P1147="","",$P1147-$O1147)</f>
        <v/>
      </c>
    </row>
    <row r="1148" ht="15" customHeight="1" s="231">
      <c r="A1148" s="397" t="n"/>
      <c r="B1148" s="397" t="n"/>
      <c r="C1148" s="397" t="n"/>
      <c r="D1148" s="397" t="n"/>
      <c r="E1148" s="397" t="n"/>
      <c r="F1148" s="397" t="n"/>
      <c r="G1148" s="397" t="n"/>
      <c r="I1148" s="397" t="n"/>
      <c r="J1148" s="397" t="n"/>
      <c r="K1148" s="395">
        <f>DATE(VALUE(LEFT(A1148,4)),VALUE(MID(A1148,5,2)),VALUE(RIGHT(A1148,2)))</f>
        <v/>
      </c>
      <c r="L1148" s="395">
        <f>DATEVALUE(LEFT(F1148,10))</f>
        <v/>
      </c>
      <c r="M1148" s="396">
        <f>TIMEVALUE(MID(F1148,12,8))</f>
        <v/>
      </c>
      <c r="N1148" s="395">
        <f>DATEVALUE(LEFT(G1148,10))</f>
        <v/>
      </c>
      <c r="O1148" s="396">
        <f>TIMEVALUE(MID(G1148,12,8))</f>
        <v/>
      </c>
      <c r="P1148" s="396">
        <f>IFERROR(_xlfn.MINIFS($M:$M,$E:$E,$E1148,$K:$K,$K1148,$M:$M,"&gt;"&amp;$O1148),"")</f>
        <v/>
      </c>
      <c r="Q1148" s="396">
        <f>IF($P1148="","",$P1148-$O1148)</f>
        <v/>
      </c>
    </row>
    <row r="1149" ht="15" customHeight="1" s="231">
      <c r="A1149" s="397" t="n"/>
      <c r="B1149" s="397" t="n"/>
      <c r="C1149" s="397" t="n"/>
      <c r="D1149" s="397" t="n"/>
      <c r="E1149" s="397" t="n"/>
      <c r="F1149" s="397" t="n"/>
      <c r="G1149" s="397" t="n"/>
      <c r="I1149" s="397" t="n"/>
      <c r="J1149" s="397" t="n"/>
      <c r="K1149" s="395">
        <f>DATE(VALUE(LEFT(A1149,4)),VALUE(MID(A1149,5,2)),VALUE(RIGHT(A1149,2)))</f>
        <v/>
      </c>
      <c r="L1149" s="395">
        <f>DATEVALUE(LEFT(F1149,10))</f>
        <v/>
      </c>
      <c r="M1149" s="396">
        <f>TIMEVALUE(MID(F1149,12,8))</f>
        <v/>
      </c>
      <c r="N1149" s="395">
        <f>DATEVALUE(LEFT(G1149,10))</f>
        <v/>
      </c>
      <c r="O1149" s="396">
        <f>TIMEVALUE(MID(G1149,12,8))</f>
        <v/>
      </c>
      <c r="P1149" s="396">
        <f>IFERROR(_xlfn.MINIFS($M:$M,$E:$E,$E1149,$K:$K,$K1149,$M:$M,"&gt;"&amp;$O1149),"")</f>
        <v/>
      </c>
      <c r="Q1149" s="396">
        <f>IF($P1149="","",$P1149-$O1149)</f>
        <v/>
      </c>
    </row>
    <row r="1150" ht="15" customHeight="1" s="231">
      <c r="A1150" s="397" t="n"/>
      <c r="B1150" s="397" t="n"/>
      <c r="C1150" s="397" t="n"/>
      <c r="D1150" s="397" t="n"/>
      <c r="E1150" s="397" t="n"/>
      <c r="F1150" s="397" t="n"/>
      <c r="G1150" s="397" t="n"/>
      <c r="I1150" s="397" t="n"/>
      <c r="J1150" s="397" t="n"/>
      <c r="K1150" s="395">
        <f>DATE(VALUE(LEFT(A1150,4)),VALUE(MID(A1150,5,2)),VALUE(RIGHT(A1150,2)))</f>
        <v/>
      </c>
      <c r="L1150" s="395">
        <f>DATEVALUE(LEFT(F1150,10))</f>
        <v/>
      </c>
      <c r="M1150" s="396">
        <f>TIMEVALUE(MID(F1150,12,8))</f>
        <v/>
      </c>
      <c r="N1150" s="395">
        <f>DATEVALUE(LEFT(G1150,10))</f>
        <v/>
      </c>
      <c r="O1150" s="396">
        <f>TIMEVALUE(MID(G1150,12,8))</f>
        <v/>
      </c>
      <c r="P1150" s="396">
        <f>IFERROR(_xlfn.MINIFS($M:$M,$E:$E,$E1150,$K:$K,$K1150,$M:$M,"&gt;"&amp;$O1150),"")</f>
        <v/>
      </c>
      <c r="Q1150" s="396">
        <f>IF($P1150="","",$P1150-$O1150)</f>
        <v/>
      </c>
    </row>
    <row r="1151" ht="15" customHeight="1" s="231">
      <c r="A1151" s="397" t="n"/>
      <c r="B1151" s="397" t="n"/>
      <c r="C1151" s="397" t="n"/>
      <c r="D1151" s="397" t="n"/>
      <c r="E1151" s="397" t="n"/>
      <c r="F1151" s="397" t="n"/>
      <c r="G1151" s="397" t="n"/>
      <c r="I1151" s="397" t="n"/>
      <c r="J1151" s="397" t="n"/>
      <c r="K1151" s="395">
        <f>DATE(VALUE(LEFT(A1151,4)),VALUE(MID(A1151,5,2)),VALUE(RIGHT(A1151,2)))</f>
        <v/>
      </c>
      <c r="L1151" s="395">
        <f>DATEVALUE(LEFT(F1151,10))</f>
        <v/>
      </c>
      <c r="M1151" s="396">
        <f>TIMEVALUE(MID(F1151,12,8))</f>
        <v/>
      </c>
      <c r="N1151" s="395">
        <f>DATEVALUE(LEFT(G1151,10))</f>
        <v/>
      </c>
      <c r="O1151" s="396">
        <f>TIMEVALUE(MID(G1151,12,8))</f>
        <v/>
      </c>
      <c r="P1151" s="396">
        <f>IFERROR(_xlfn.MINIFS($M:$M,$E:$E,$E1151,$K:$K,$K1151,$M:$M,"&gt;"&amp;$O1151),"")</f>
        <v/>
      </c>
      <c r="Q1151" s="396">
        <f>IF($P1151="","",$P1151-$O1151)</f>
        <v/>
      </c>
    </row>
    <row r="1152" ht="15" customHeight="1" s="231">
      <c r="A1152" s="397" t="n"/>
      <c r="B1152" s="397" t="n"/>
      <c r="C1152" s="397" t="n"/>
      <c r="D1152" s="397" t="n"/>
      <c r="E1152" s="397" t="n"/>
      <c r="F1152" s="397" t="n"/>
      <c r="G1152" s="397" t="n"/>
      <c r="I1152" s="397" t="n"/>
      <c r="J1152" s="397" t="n"/>
      <c r="K1152" s="395">
        <f>DATE(VALUE(LEFT(A1152,4)),VALUE(MID(A1152,5,2)),VALUE(RIGHT(A1152,2)))</f>
        <v/>
      </c>
      <c r="L1152" s="395">
        <f>DATEVALUE(LEFT(F1152,10))</f>
        <v/>
      </c>
      <c r="M1152" s="396">
        <f>TIMEVALUE(MID(F1152,12,8))</f>
        <v/>
      </c>
      <c r="N1152" s="395">
        <f>DATEVALUE(LEFT(G1152,10))</f>
        <v/>
      </c>
      <c r="O1152" s="396">
        <f>TIMEVALUE(MID(G1152,12,8))</f>
        <v/>
      </c>
      <c r="P1152" s="396">
        <f>IFERROR(_xlfn.MINIFS($M:$M,$E:$E,$E1152,$K:$K,$K1152,$M:$M,"&gt;"&amp;$O1152),"")</f>
        <v/>
      </c>
      <c r="Q1152" s="396">
        <f>IF($P1152="","",$P1152-$O1152)</f>
        <v/>
      </c>
    </row>
    <row r="1153" ht="15" customHeight="1" s="231">
      <c r="A1153" s="397" t="n"/>
      <c r="B1153" s="397" t="n"/>
      <c r="C1153" s="397" t="n"/>
      <c r="D1153" s="397" t="n"/>
      <c r="E1153" s="397" t="n"/>
      <c r="F1153" s="397" t="n"/>
      <c r="G1153" s="397" t="n"/>
      <c r="I1153" s="397" t="n"/>
      <c r="J1153" s="397" t="n"/>
      <c r="K1153" s="395">
        <f>DATE(VALUE(LEFT(A1153,4)),VALUE(MID(A1153,5,2)),VALUE(RIGHT(A1153,2)))</f>
        <v/>
      </c>
      <c r="L1153" s="395">
        <f>DATEVALUE(LEFT(F1153,10))</f>
        <v/>
      </c>
      <c r="M1153" s="396">
        <f>TIMEVALUE(MID(F1153,12,8))</f>
        <v/>
      </c>
      <c r="N1153" s="395">
        <f>DATEVALUE(LEFT(G1153,10))</f>
        <v/>
      </c>
      <c r="O1153" s="396">
        <f>TIMEVALUE(MID(G1153,12,8))</f>
        <v/>
      </c>
      <c r="P1153" s="396">
        <f>IFERROR(_xlfn.MINIFS($M:$M,$E:$E,$E1153,$K:$K,$K1153,$M:$M,"&gt;"&amp;$O1153),"")</f>
        <v/>
      </c>
      <c r="Q1153" s="396">
        <f>IF($P1153="","",$P1153-$O1153)</f>
        <v/>
      </c>
    </row>
    <row r="1154" ht="15" customHeight="1" s="231">
      <c r="A1154" s="397" t="n"/>
      <c r="B1154" s="397" t="n"/>
      <c r="C1154" s="397" t="n"/>
      <c r="D1154" s="397" t="n"/>
      <c r="E1154" s="397" t="n"/>
      <c r="F1154" s="397" t="n"/>
      <c r="G1154" s="397" t="n"/>
      <c r="I1154" s="397" t="n"/>
      <c r="J1154" s="397" t="n"/>
      <c r="K1154" s="395">
        <f>DATE(VALUE(LEFT(A1154,4)),VALUE(MID(A1154,5,2)),VALUE(RIGHT(A1154,2)))</f>
        <v/>
      </c>
      <c r="L1154" s="395">
        <f>DATEVALUE(LEFT(F1154,10))</f>
        <v/>
      </c>
      <c r="M1154" s="396">
        <f>TIMEVALUE(MID(F1154,12,8))</f>
        <v/>
      </c>
      <c r="N1154" s="395">
        <f>DATEVALUE(LEFT(G1154,10))</f>
        <v/>
      </c>
      <c r="O1154" s="396">
        <f>TIMEVALUE(MID(G1154,12,8))</f>
        <v/>
      </c>
      <c r="P1154" s="396">
        <f>IFERROR(_xlfn.MINIFS($M:$M,$E:$E,$E1154,$K:$K,$K1154,$M:$M,"&gt;"&amp;$O1154),"")</f>
        <v/>
      </c>
      <c r="Q1154" s="396">
        <f>IF($P1154="","",$P1154-$O1154)</f>
        <v/>
      </c>
    </row>
    <row r="1155" ht="15" customHeight="1" s="231">
      <c r="A1155" s="397" t="n"/>
      <c r="B1155" s="397" t="n"/>
      <c r="C1155" s="397" t="n"/>
      <c r="D1155" s="397" t="n"/>
      <c r="E1155" s="397" t="n"/>
      <c r="F1155" s="397" t="n"/>
      <c r="G1155" s="397" t="n"/>
      <c r="I1155" s="397" t="n"/>
      <c r="J1155" s="397" t="n"/>
      <c r="K1155" s="395">
        <f>DATE(VALUE(LEFT(A1155,4)),VALUE(MID(A1155,5,2)),VALUE(RIGHT(A1155,2)))</f>
        <v/>
      </c>
      <c r="L1155" s="395">
        <f>DATEVALUE(LEFT(F1155,10))</f>
        <v/>
      </c>
      <c r="M1155" s="396">
        <f>TIMEVALUE(MID(F1155,12,8))</f>
        <v/>
      </c>
      <c r="N1155" s="395">
        <f>DATEVALUE(LEFT(G1155,10))</f>
        <v/>
      </c>
      <c r="O1155" s="396">
        <f>TIMEVALUE(MID(G1155,12,8))</f>
        <v/>
      </c>
      <c r="P1155" s="396">
        <f>IFERROR(_xlfn.MINIFS($M:$M,$E:$E,$E1155,$K:$K,$K1155,$M:$M,"&gt;"&amp;$O1155),"")</f>
        <v/>
      </c>
      <c r="Q1155" s="396">
        <f>IF($P1155="","",$P1155-$O1155)</f>
        <v/>
      </c>
    </row>
    <row r="1156" ht="15" customHeight="1" s="231">
      <c r="A1156" s="397" t="n"/>
      <c r="B1156" s="397" t="n"/>
      <c r="C1156" s="397" t="n"/>
      <c r="D1156" s="397" t="n"/>
      <c r="E1156" s="397" t="n"/>
      <c r="F1156" s="397" t="n"/>
      <c r="G1156" s="397" t="n"/>
      <c r="I1156" s="397" t="n"/>
      <c r="J1156" s="397" t="n"/>
      <c r="K1156" s="395">
        <f>DATE(VALUE(LEFT(A1156,4)),VALUE(MID(A1156,5,2)),VALUE(RIGHT(A1156,2)))</f>
        <v/>
      </c>
      <c r="L1156" s="395">
        <f>DATEVALUE(LEFT(F1156,10))</f>
        <v/>
      </c>
      <c r="M1156" s="396">
        <f>TIMEVALUE(MID(F1156,12,8))</f>
        <v/>
      </c>
      <c r="N1156" s="395">
        <f>DATEVALUE(LEFT(G1156,10))</f>
        <v/>
      </c>
      <c r="O1156" s="396">
        <f>TIMEVALUE(MID(G1156,12,8))</f>
        <v/>
      </c>
      <c r="P1156" s="396">
        <f>IFERROR(_xlfn.MINIFS($M:$M,$E:$E,$E1156,$K:$K,$K1156,$M:$M,"&gt;"&amp;$O1156),"")</f>
        <v/>
      </c>
      <c r="Q1156" s="396">
        <f>IF($P1156="","",$P1156-$O1156)</f>
        <v/>
      </c>
    </row>
    <row r="1157" ht="15" customHeight="1" s="231">
      <c r="A1157" s="397" t="n"/>
      <c r="B1157" s="397" t="n"/>
      <c r="C1157" s="397" t="n"/>
      <c r="D1157" s="397" t="n"/>
      <c r="E1157" s="397" t="n"/>
      <c r="F1157" s="397" t="n"/>
      <c r="G1157" s="397" t="n"/>
      <c r="I1157" s="397" t="n"/>
      <c r="J1157" s="397" t="n"/>
      <c r="K1157" s="395">
        <f>DATE(VALUE(LEFT(A1157,4)),VALUE(MID(A1157,5,2)),VALUE(RIGHT(A1157,2)))</f>
        <v/>
      </c>
      <c r="L1157" s="395">
        <f>DATEVALUE(LEFT(F1157,10))</f>
        <v/>
      </c>
      <c r="M1157" s="396">
        <f>TIMEVALUE(MID(F1157,12,8))</f>
        <v/>
      </c>
      <c r="N1157" s="395">
        <f>DATEVALUE(LEFT(G1157,10))</f>
        <v/>
      </c>
      <c r="O1157" s="396">
        <f>TIMEVALUE(MID(G1157,12,8))</f>
        <v/>
      </c>
      <c r="P1157" s="396">
        <f>IFERROR(_xlfn.MINIFS($M:$M,$E:$E,$E1157,$K:$K,$K1157,$M:$M,"&gt;"&amp;$O1157),"")</f>
        <v/>
      </c>
      <c r="Q1157" s="396">
        <f>IF($P1157="","",$P1157-$O1157)</f>
        <v/>
      </c>
    </row>
    <row r="1158" ht="15" customHeight="1" s="231">
      <c r="A1158" s="397" t="n"/>
      <c r="B1158" s="397" t="n"/>
      <c r="C1158" s="397" t="n"/>
      <c r="D1158" s="397" t="n"/>
      <c r="E1158" s="397" t="n"/>
      <c r="F1158" s="397" t="n"/>
      <c r="G1158" s="397" t="n"/>
      <c r="I1158" s="397" t="n"/>
      <c r="J1158" s="397" t="n"/>
      <c r="K1158" s="395">
        <f>DATE(VALUE(LEFT(A1158,4)),VALUE(MID(A1158,5,2)),VALUE(RIGHT(A1158,2)))</f>
        <v/>
      </c>
      <c r="L1158" s="395">
        <f>DATEVALUE(LEFT(F1158,10))</f>
        <v/>
      </c>
      <c r="M1158" s="396">
        <f>TIMEVALUE(MID(F1158,12,8))</f>
        <v/>
      </c>
      <c r="N1158" s="395">
        <f>DATEVALUE(LEFT(G1158,10))</f>
        <v/>
      </c>
      <c r="O1158" s="396">
        <f>TIMEVALUE(MID(G1158,12,8))</f>
        <v/>
      </c>
      <c r="P1158" s="396">
        <f>IFERROR(_xlfn.MINIFS($M:$M,$E:$E,$E1158,$K:$K,$K1158,$M:$M,"&gt;"&amp;$O1158),"")</f>
        <v/>
      </c>
      <c r="Q1158" s="396">
        <f>IF($P1158="","",$P1158-$O1158)</f>
        <v/>
      </c>
    </row>
    <row r="1159" ht="15" customHeight="1" s="231">
      <c r="A1159" s="397" t="n"/>
      <c r="B1159" s="397" t="n"/>
      <c r="C1159" s="397" t="n"/>
      <c r="D1159" s="397" t="n"/>
      <c r="E1159" s="397" t="n"/>
      <c r="F1159" s="397" t="n"/>
      <c r="G1159" s="397" t="n"/>
      <c r="I1159" s="397" t="n"/>
      <c r="J1159" s="397" t="n"/>
      <c r="K1159" s="395">
        <f>DATE(VALUE(LEFT(A1159,4)),VALUE(MID(A1159,5,2)),VALUE(RIGHT(A1159,2)))</f>
        <v/>
      </c>
      <c r="L1159" s="395">
        <f>DATEVALUE(LEFT(F1159,10))</f>
        <v/>
      </c>
      <c r="M1159" s="396">
        <f>TIMEVALUE(MID(F1159,12,8))</f>
        <v/>
      </c>
      <c r="N1159" s="395">
        <f>DATEVALUE(LEFT(G1159,10))</f>
        <v/>
      </c>
      <c r="O1159" s="396">
        <f>TIMEVALUE(MID(G1159,12,8))</f>
        <v/>
      </c>
      <c r="P1159" s="396">
        <f>IFERROR(_xlfn.MINIFS($M:$M,$E:$E,$E1159,$K:$K,$K1159,$M:$M,"&gt;"&amp;$O1159),"")</f>
        <v/>
      </c>
      <c r="Q1159" s="396">
        <f>IF($P1159="","",$P1159-$O1159)</f>
        <v/>
      </c>
    </row>
    <row r="1160" ht="15" customHeight="1" s="231">
      <c r="A1160" s="397" t="n"/>
      <c r="B1160" s="397" t="n"/>
      <c r="C1160" s="397" t="n"/>
      <c r="D1160" s="397" t="n"/>
      <c r="E1160" s="397" t="n"/>
      <c r="F1160" s="397" t="n"/>
      <c r="G1160" s="397" t="n"/>
      <c r="I1160" s="397" t="n"/>
      <c r="J1160" s="397" t="n"/>
      <c r="K1160" s="395">
        <f>DATE(VALUE(LEFT(A1160,4)),VALUE(MID(A1160,5,2)),VALUE(RIGHT(A1160,2)))</f>
        <v/>
      </c>
      <c r="L1160" s="395">
        <f>DATEVALUE(LEFT(F1160,10))</f>
        <v/>
      </c>
      <c r="M1160" s="396">
        <f>TIMEVALUE(MID(F1160,12,8))</f>
        <v/>
      </c>
      <c r="N1160" s="395">
        <f>DATEVALUE(LEFT(G1160,10))</f>
        <v/>
      </c>
      <c r="O1160" s="396">
        <f>TIMEVALUE(MID(G1160,12,8))</f>
        <v/>
      </c>
      <c r="P1160" s="396">
        <f>IFERROR(_xlfn.MINIFS($M:$M,$E:$E,$E1160,$K:$K,$K1160,$M:$M,"&gt;"&amp;$O1160),"")</f>
        <v/>
      </c>
      <c r="Q1160" s="396">
        <f>IF($P1160="","",$P1160-$O1160)</f>
        <v/>
      </c>
    </row>
    <row r="1161" ht="15" customHeight="1" s="231">
      <c r="A1161" s="397" t="n"/>
      <c r="B1161" s="397" t="n"/>
      <c r="C1161" s="397" t="n"/>
      <c r="D1161" s="397" t="n"/>
      <c r="E1161" s="397" t="n"/>
      <c r="F1161" s="397" t="n"/>
      <c r="G1161" s="397" t="n"/>
      <c r="I1161" s="397" t="n"/>
      <c r="J1161" s="397" t="n"/>
      <c r="K1161" s="395">
        <f>DATE(VALUE(LEFT(A1161,4)),VALUE(MID(A1161,5,2)),VALUE(RIGHT(A1161,2)))</f>
        <v/>
      </c>
      <c r="L1161" s="395">
        <f>DATEVALUE(LEFT(F1161,10))</f>
        <v/>
      </c>
      <c r="M1161" s="396">
        <f>TIMEVALUE(MID(F1161,12,8))</f>
        <v/>
      </c>
      <c r="N1161" s="395">
        <f>DATEVALUE(LEFT(G1161,10))</f>
        <v/>
      </c>
      <c r="O1161" s="396">
        <f>TIMEVALUE(MID(G1161,12,8))</f>
        <v/>
      </c>
      <c r="P1161" s="396">
        <f>IFERROR(_xlfn.MINIFS($M:$M,$E:$E,$E1161,$K:$K,$K1161,$M:$M,"&gt;"&amp;$O1161),"")</f>
        <v/>
      </c>
      <c r="Q1161" s="396">
        <f>IF($P1161="","",$P1161-$O1161)</f>
        <v/>
      </c>
    </row>
    <row r="1162" ht="15" customHeight="1" s="231">
      <c r="A1162" s="397" t="n"/>
      <c r="B1162" s="397" t="n"/>
      <c r="C1162" s="397" t="n"/>
      <c r="D1162" s="397" t="n"/>
      <c r="E1162" s="397" t="n"/>
      <c r="F1162" s="397" t="n"/>
      <c r="G1162" s="397" t="n"/>
      <c r="I1162" s="397" t="n"/>
      <c r="J1162" s="397" t="n"/>
      <c r="K1162" s="395">
        <f>DATE(VALUE(LEFT(A1162,4)),VALUE(MID(A1162,5,2)),VALUE(RIGHT(A1162,2)))</f>
        <v/>
      </c>
      <c r="L1162" s="395">
        <f>DATEVALUE(LEFT(F1162,10))</f>
        <v/>
      </c>
      <c r="M1162" s="396">
        <f>TIMEVALUE(MID(F1162,12,8))</f>
        <v/>
      </c>
      <c r="N1162" s="395">
        <f>DATEVALUE(LEFT(G1162,10))</f>
        <v/>
      </c>
      <c r="O1162" s="396">
        <f>TIMEVALUE(MID(G1162,12,8))</f>
        <v/>
      </c>
      <c r="P1162" s="396">
        <f>IFERROR(_xlfn.MINIFS($M:$M,$E:$E,$E1162,$K:$K,$K1162,$M:$M,"&gt;"&amp;$O1162),"")</f>
        <v/>
      </c>
      <c r="Q1162" s="396">
        <f>IF($P1162="","",$P1162-$O1162)</f>
        <v/>
      </c>
    </row>
    <row r="1163" ht="15" customHeight="1" s="231">
      <c r="A1163" s="397" t="n"/>
      <c r="B1163" s="397" t="n"/>
      <c r="C1163" s="397" t="n"/>
      <c r="D1163" s="397" t="n"/>
      <c r="E1163" s="397" t="n"/>
      <c r="F1163" s="397" t="n"/>
      <c r="G1163" s="397" t="n"/>
      <c r="I1163" s="397" t="n"/>
      <c r="J1163" s="397" t="n"/>
      <c r="K1163" s="395">
        <f>DATE(VALUE(LEFT(A1163,4)),VALUE(MID(A1163,5,2)),VALUE(RIGHT(A1163,2)))</f>
        <v/>
      </c>
      <c r="L1163" s="395">
        <f>DATEVALUE(LEFT(F1163,10))</f>
        <v/>
      </c>
      <c r="M1163" s="396">
        <f>TIMEVALUE(MID(F1163,12,8))</f>
        <v/>
      </c>
      <c r="N1163" s="395">
        <f>DATEVALUE(LEFT(G1163,10))</f>
        <v/>
      </c>
      <c r="O1163" s="396">
        <f>TIMEVALUE(MID(G1163,12,8))</f>
        <v/>
      </c>
      <c r="P1163" s="396">
        <f>IFERROR(_xlfn.MINIFS($M:$M,$E:$E,$E1163,$K:$K,$K1163,$M:$M,"&gt;"&amp;$O1163),"")</f>
        <v/>
      </c>
      <c r="Q1163" s="396">
        <f>IF($P1163="","",$P1163-$O1163)</f>
        <v/>
      </c>
    </row>
    <row r="1164" ht="15" customHeight="1" s="231">
      <c r="A1164" s="397" t="n"/>
      <c r="B1164" s="397" t="n"/>
      <c r="C1164" s="397" t="n"/>
      <c r="D1164" s="397" t="n"/>
      <c r="E1164" s="397" t="n"/>
      <c r="F1164" s="397" t="n"/>
      <c r="G1164" s="397" t="n"/>
      <c r="I1164" s="397" t="n"/>
      <c r="J1164" s="397" t="n"/>
      <c r="K1164" s="395">
        <f>DATE(VALUE(LEFT(A1164,4)),VALUE(MID(A1164,5,2)),VALUE(RIGHT(A1164,2)))</f>
        <v/>
      </c>
      <c r="L1164" s="395">
        <f>DATEVALUE(LEFT(F1164,10))</f>
        <v/>
      </c>
      <c r="M1164" s="396">
        <f>TIMEVALUE(MID(F1164,12,8))</f>
        <v/>
      </c>
      <c r="N1164" s="395">
        <f>DATEVALUE(LEFT(G1164,10))</f>
        <v/>
      </c>
      <c r="O1164" s="396">
        <f>TIMEVALUE(MID(G1164,12,8))</f>
        <v/>
      </c>
      <c r="P1164" s="396">
        <f>IFERROR(_xlfn.MINIFS($M:$M,$E:$E,$E1164,$K:$K,$K1164,$M:$M,"&gt;"&amp;$O1164),"")</f>
        <v/>
      </c>
      <c r="Q1164" s="396">
        <f>IF($P1164="","",$P1164-$O1164)</f>
        <v/>
      </c>
    </row>
    <row r="1165" ht="15" customHeight="1" s="231">
      <c r="A1165" s="397" t="n"/>
      <c r="B1165" s="397" t="n"/>
      <c r="C1165" s="397" t="n"/>
      <c r="D1165" s="397" t="n"/>
      <c r="E1165" s="397" t="n"/>
      <c r="F1165" s="397" t="n"/>
      <c r="G1165" s="397" t="n"/>
      <c r="I1165" s="397" t="n"/>
      <c r="J1165" s="397" t="n"/>
      <c r="K1165" s="395">
        <f>DATE(VALUE(LEFT(A1165,4)),VALUE(MID(A1165,5,2)),VALUE(RIGHT(A1165,2)))</f>
        <v/>
      </c>
      <c r="L1165" s="395">
        <f>DATEVALUE(LEFT(F1165,10))</f>
        <v/>
      </c>
      <c r="M1165" s="396">
        <f>TIMEVALUE(MID(F1165,12,8))</f>
        <v/>
      </c>
      <c r="N1165" s="395">
        <f>DATEVALUE(LEFT(G1165,10))</f>
        <v/>
      </c>
      <c r="O1165" s="396">
        <f>TIMEVALUE(MID(G1165,12,8))</f>
        <v/>
      </c>
      <c r="P1165" s="396">
        <f>IFERROR(_xlfn.MINIFS($M:$M,$E:$E,$E1165,$K:$K,$K1165,$M:$M,"&gt;"&amp;$O1165),"")</f>
        <v/>
      </c>
      <c r="Q1165" s="396">
        <f>IF($P1165="","",$P1165-$O1165)</f>
        <v/>
      </c>
    </row>
    <row r="1166" ht="15" customHeight="1" s="231">
      <c r="A1166" s="397" t="n"/>
      <c r="B1166" s="397" t="n"/>
      <c r="C1166" s="397" t="n"/>
      <c r="D1166" s="397" t="n"/>
      <c r="E1166" s="397" t="n"/>
      <c r="F1166" s="397" t="n"/>
      <c r="G1166" s="397" t="n"/>
      <c r="I1166" s="397" t="n"/>
      <c r="J1166" s="397" t="n"/>
      <c r="K1166" s="395">
        <f>DATE(VALUE(LEFT(A1166,4)),VALUE(MID(A1166,5,2)),VALUE(RIGHT(A1166,2)))</f>
        <v/>
      </c>
      <c r="L1166" s="395">
        <f>DATEVALUE(LEFT(F1166,10))</f>
        <v/>
      </c>
      <c r="M1166" s="396">
        <f>TIMEVALUE(MID(F1166,12,8))</f>
        <v/>
      </c>
      <c r="N1166" s="395">
        <f>DATEVALUE(LEFT(G1166,10))</f>
        <v/>
      </c>
      <c r="O1166" s="396">
        <f>TIMEVALUE(MID(G1166,12,8))</f>
        <v/>
      </c>
      <c r="P1166" s="396">
        <f>IFERROR(_xlfn.MINIFS($M:$M,$E:$E,$E1166,$K:$K,$K1166,$M:$M,"&gt;"&amp;$O1166),"")</f>
        <v/>
      </c>
      <c r="Q1166" s="396">
        <f>IF($P1166="","",$P1166-$O1166)</f>
        <v/>
      </c>
    </row>
    <row r="1167" ht="15" customHeight="1" s="231">
      <c r="A1167" s="397" t="n"/>
      <c r="B1167" s="397" t="n"/>
      <c r="C1167" s="397" t="n"/>
      <c r="D1167" s="397" t="n"/>
      <c r="E1167" s="397" t="n"/>
      <c r="F1167" s="397" t="n"/>
      <c r="G1167" s="397" t="n"/>
      <c r="I1167" s="397" t="n"/>
      <c r="J1167" s="397" t="n"/>
      <c r="K1167" s="395">
        <f>DATE(VALUE(LEFT(A1167,4)),VALUE(MID(A1167,5,2)),VALUE(RIGHT(A1167,2)))</f>
        <v/>
      </c>
      <c r="L1167" s="395">
        <f>DATEVALUE(LEFT(F1167,10))</f>
        <v/>
      </c>
      <c r="M1167" s="396">
        <f>TIMEVALUE(MID(F1167,12,8))</f>
        <v/>
      </c>
      <c r="N1167" s="395">
        <f>DATEVALUE(LEFT(G1167,10))</f>
        <v/>
      </c>
      <c r="O1167" s="396">
        <f>TIMEVALUE(MID(G1167,12,8))</f>
        <v/>
      </c>
      <c r="P1167" s="396">
        <f>IFERROR(_xlfn.MINIFS($M:$M,$E:$E,$E1167,$K:$K,$K1167,$M:$M,"&gt;"&amp;$O1167),"")</f>
        <v/>
      </c>
      <c r="Q1167" s="396">
        <f>IF($P1167="","",$P1167-$O1167)</f>
        <v/>
      </c>
    </row>
    <row r="1168" ht="15" customHeight="1" s="231">
      <c r="A1168" s="397" t="n"/>
      <c r="B1168" s="397" t="n"/>
      <c r="C1168" s="397" t="n"/>
      <c r="D1168" s="397" t="n"/>
      <c r="E1168" s="397" t="n"/>
      <c r="F1168" s="397" t="n"/>
      <c r="G1168" s="397" t="n"/>
      <c r="I1168" s="397" t="n"/>
      <c r="J1168" s="397" t="n"/>
      <c r="K1168" s="395">
        <f>DATE(VALUE(LEFT(A1168,4)),VALUE(MID(A1168,5,2)),VALUE(RIGHT(A1168,2)))</f>
        <v/>
      </c>
      <c r="L1168" s="395">
        <f>DATEVALUE(LEFT(F1168,10))</f>
        <v/>
      </c>
      <c r="M1168" s="396">
        <f>TIMEVALUE(MID(F1168,12,8))</f>
        <v/>
      </c>
      <c r="N1168" s="395">
        <f>DATEVALUE(LEFT(G1168,10))</f>
        <v/>
      </c>
      <c r="O1168" s="396">
        <f>TIMEVALUE(MID(G1168,12,8))</f>
        <v/>
      </c>
      <c r="P1168" s="396">
        <f>IFERROR(_xlfn.MINIFS($M:$M,$E:$E,$E1168,$K:$K,$K1168,$M:$M,"&gt;"&amp;$O1168),"")</f>
        <v/>
      </c>
      <c r="Q1168" s="396">
        <f>IF($P1168="","",$P1168-$O1168)</f>
        <v/>
      </c>
    </row>
    <row r="1169" ht="15" customHeight="1" s="231">
      <c r="A1169" s="397" t="n"/>
      <c r="B1169" s="397" t="n"/>
      <c r="C1169" s="397" t="n"/>
      <c r="D1169" s="397" t="n"/>
      <c r="E1169" s="397" t="n"/>
      <c r="F1169" s="397" t="n"/>
      <c r="G1169" s="397" t="n"/>
      <c r="I1169" s="397" t="n"/>
      <c r="J1169" s="397" t="n"/>
      <c r="K1169" s="395">
        <f>DATE(VALUE(LEFT(A1169,4)),VALUE(MID(A1169,5,2)),VALUE(RIGHT(A1169,2)))</f>
        <v/>
      </c>
      <c r="L1169" s="395">
        <f>DATEVALUE(LEFT(F1169,10))</f>
        <v/>
      </c>
      <c r="M1169" s="396">
        <f>TIMEVALUE(MID(F1169,12,8))</f>
        <v/>
      </c>
      <c r="N1169" s="395">
        <f>DATEVALUE(LEFT(G1169,10))</f>
        <v/>
      </c>
      <c r="O1169" s="396">
        <f>TIMEVALUE(MID(G1169,12,8))</f>
        <v/>
      </c>
      <c r="P1169" s="396">
        <f>IFERROR(_xlfn.MINIFS($M:$M,$E:$E,$E1169,$K:$K,$K1169,$M:$M,"&gt;"&amp;$O1169),"")</f>
        <v/>
      </c>
      <c r="Q1169" s="396">
        <f>IF($P1169="","",$P1169-$O1169)</f>
        <v/>
      </c>
    </row>
    <row r="1170" ht="15" customHeight="1" s="231">
      <c r="A1170" s="397" t="n"/>
      <c r="B1170" s="397" t="n"/>
      <c r="C1170" s="397" t="n"/>
      <c r="D1170" s="397" t="n"/>
      <c r="E1170" s="397" t="n"/>
      <c r="F1170" s="397" t="n"/>
      <c r="G1170" s="397" t="n"/>
      <c r="I1170" s="397" t="n"/>
      <c r="J1170" s="397" t="n"/>
      <c r="K1170" s="395">
        <f>DATE(VALUE(LEFT(A1170,4)),VALUE(MID(A1170,5,2)),VALUE(RIGHT(A1170,2)))</f>
        <v/>
      </c>
      <c r="L1170" s="395">
        <f>DATEVALUE(LEFT(F1170,10))</f>
        <v/>
      </c>
      <c r="M1170" s="396">
        <f>TIMEVALUE(MID(F1170,12,8))</f>
        <v/>
      </c>
      <c r="N1170" s="395">
        <f>DATEVALUE(LEFT(G1170,10))</f>
        <v/>
      </c>
      <c r="O1170" s="396">
        <f>TIMEVALUE(MID(G1170,12,8))</f>
        <v/>
      </c>
      <c r="P1170" s="396">
        <f>IFERROR(_xlfn.MINIFS($M:$M,$E:$E,$E1170,$K:$K,$K1170,$M:$M,"&gt;"&amp;$O1170),"")</f>
        <v/>
      </c>
      <c r="Q1170" s="396">
        <f>IF($P1170="","",$P1170-$O1170)</f>
        <v/>
      </c>
    </row>
    <row r="1171" ht="15" customHeight="1" s="231">
      <c r="A1171" s="397" t="n"/>
      <c r="B1171" s="397" t="n"/>
      <c r="C1171" s="397" t="n"/>
      <c r="D1171" s="397" t="n"/>
      <c r="E1171" s="397" t="n"/>
      <c r="F1171" s="397" t="n"/>
      <c r="G1171" s="397" t="n"/>
      <c r="I1171" s="397" t="n"/>
      <c r="J1171" s="397" t="n"/>
      <c r="K1171" s="395">
        <f>DATE(VALUE(LEFT(A1171,4)),VALUE(MID(A1171,5,2)),VALUE(RIGHT(A1171,2)))</f>
        <v/>
      </c>
      <c r="L1171" s="395">
        <f>DATEVALUE(LEFT(F1171,10))</f>
        <v/>
      </c>
      <c r="M1171" s="396">
        <f>TIMEVALUE(MID(F1171,12,8))</f>
        <v/>
      </c>
      <c r="N1171" s="395">
        <f>DATEVALUE(LEFT(G1171,10))</f>
        <v/>
      </c>
      <c r="O1171" s="396">
        <f>TIMEVALUE(MID(G1171,12,8))</f>
        <v/>
      </c>
      <c r="P1171" s="396">
        <f>IFERROR(_xlfn.MINIFS($M:$M,$E:$E,$E1171,$K:$K,$K1171,$M:$M,"&gt;"&amp;$O1171),"")</f>
        <v/>
      </c>
      <c r="Q1171" s="396">
        <f>IF($P1171="","",$P1171-$O1171)</f>
        <v/>
      </c>
    </row>
    <row r="1172" ht="15" customHeight="1" s="231">
      <c r="A1172" s="397" t="n"/>
      <c r="B1172" s="397" t="n"/>
      <c r="C1172" s="397" t="n"/>
      <c r="D1172" s="397" t="n"/>
      <c r="E1172" s="397" t="n"/>
      <c r="F1172" s="397" t="n"/>
      <c r="G1172" s="397" t="n"/>
      <c r="I1172" s="397" t="n"/>
      <c r="J1172" s="397" t="n"/>
      <c r="K1172" s="395">
        <f>DATE(VALUE(LEFT(A1172,4)),VALUE(MID(A1172,5,2)),VALUE(RIGHT(A1172,2)))</f>
        <v/>
      </c>
      <c r="L1172" s="395">
        <f>DATEVALUE(LEFT(F1172,10))</f>
        <v/>
      </c>
      <c r="M1172" s="396">
        <f>TIMEVALUE(MID(F1172,12,8))</f>
        <v/>
      </c>
      <c r="N1172" s="395">
        <f>DATEVALUE(LEFT(G1172,10))</f>
        <v/>
      </c>
      <c r="O1172" s="396">
        <f>TIMEVALUE(MID(G1172,12,8))</f>
        <v/>
      </c>
      <c r="P1172" s="396">
        <f>IFERROR(_xlfn.MINIFS($M:$M,$E:$E,$E1172,$K:$K,$K1172,$M:$M,"&gt;"&amp;$O1172),"")</f>
        <v/>
      </c>
      <c r="Q1172" s="396">
        <f>IF($P1172="","",$P1172-$O1172)</f>
        <v/>
      </c>
    </row>
    <row r="1173" ht="15" customHeight="1" s="231">
      <c r="A1173" s="397" t="n"/>
      <c r="B1173" s="397" t="n"/>
      <c r="C1173" s="397" t="n"/>
      <c r="D1173" s="397" t="n"/>
      <c r="E1173" s="397" t="n"/>
      <c r="F1173" s="397" t="n"/>
      <c r="G1173" s="397" t="n"/>
      <c r="I1173" s="397" t="n"/>
      <c r="J1173" s="397" t="n"/>
      <c r="K1173" s="395">
        <f>DATE(VALUE(LEFT(A1173,4)),VALUE(MID(A1173,5,2)),VALUE(RIGHT(A1173,2)))</f>
        <v/>
      </c>
      <c r="L1173" s="395">
        <f>DATEVALUE(LEFT(F1173,10))</f>
        <v/>
      </c>
      <c r="M1173" s="396">
        <f>TIMEVALUE(MID(F1173,12,8))</f>
        <v/>
      </c>
      <c r="N1173" s="395">
        <f>DATEVALUE(LEFT(G1173,10))</f>
        <v/>
      </c>
      <c r="O1173" s="396">
        <f>TIMEVALUE(MID(G1173,12,8))</f>
        <v/>
      </c>
      <c r="P1173" s="396">
        <f>IFERROR(_xlfn.MINIFS($M:$M,$E:$E,$E1173,$K:$K,$K1173,$M:$M,"&gt;"&amp;$O1173),"")</f>
        <v/>
      </c>
      <c r="Q1173" s="396">
        <f>IF($P1173="","",$P1173-$O1173)</f>
        <v/>
      </c>
    </row>
    <row r="1174" ht="15" customHeight="1" s="231">
      <c r="A1174" s="397" t="n"/>
      <c r="B1174" s="397" t="n"/>
      <c r="C1174" s="397" t="n"/>
      <c r="D1174" s="397" t="n"/>
      <c r="E1174" s="397" t="n"/>
      <c r="F1174" s="397" t="n"/>
      <c r="G1174" s="397" t="n"/>
      <c r="I1174" s="397" t="n"/>
      <c r="J1174" s="397" t="n"/>
      <c r="K1174" s="395">
        <f>DATE(VALUE(LEFT(A1174,4)),VALUE(MID(A1174,5,2)),VALUE(RIGHT(A1174,2)))</f>
        <v/>
      </c>
      <c r="L1174" s="395">
        <f>DATEVALUE(LEFT(F1174,10))</f>
        <v/>
      </c>
      <c r="M1174" s="396">
        <f>TIMEVALUE(MID(F1174,12,8))</f>
        <v/>
      </c>
      <c r="N1174" s="395">
        <f>DATEVALUE(LEFT(G1174,10))</f>
        <v/>
      </c>
      <c r="O1174" s="396">
        <f>TIMEVALUE(MID(G1174,12,8))</f>
        <v/>
      </c>
      <c r="P1174" s="396">
        <f>IFERROR(_xlfn.MINIFS($M:$M,$E:$E,$E1174,$K:$K,$K1174,$M:$M,"&gt;"&amp;$O1174),"")</f>
        <v/>
      </c>
      <c r="Q1174" s="396">
        <f>IF($P1174="","",$P1174-$O1174)</f>
        <v/>
      </c>
    </row>
    <row r="1175" ht="15" customHeight="1" s="231">
      <c r="A1175" s="397" t="n"/>
      <c r="B1175" s="397" t="n"/>
      <c r="C1175" s="397" t="n"/>
      <c r="D1175" s="397" t="n"/>
      <c r="E1175" s="397" t="n"/>
      <c r="F1175" s="397" t="n"/>
      <c r="G1175" s="397" t="n"/>
      <c r="I1175" s="397" t="n"/>
      <c r="J1175" s="397" t="n"/>
      <c r="K1175" s="395">
        <f>DATE(VALUE(LEFT(A1175,4)),VALUE(MID(A1175,5,2)),VALUE(RIGHT(A1175,2)))</f>
        <v/>
      </c>
      <c r="L1175" s="395">
        <f>DATEVALUE(LEFT(F1175,10))</f>
        <v/>
      </c>
      <c r="M1175" s="396">
        <f>TIMEVALUE(MID(F1175,12,8))</f>
        <v/>
      </c>
      <c r="N1175" s="395">
        <f>DATEVALUE(LEFT(G1175,10))</f>
        <v/>
      </c>
      <c r="O1175" s="396">
        <f>TIMEVALUE(MID(G1175,12,8))</f>
        <v/>
      </c>
      <c r="P1175" s="396">
        <f>IFERROR(_xlfn.MINIFS($M:$M,$E:$E,$E1175,$K:$K,$K1175,$M:$M,"&gt;"&amp;$O1175),"")</f>
        <v/>
      </c>
      <c r="Q1175" s="396">
        <f>IF($P1175="","",$P1175-$O1175)</f>
        <v/>
      </c>
    </row>
    <row r="1176" ht="15" customHeight="1" s="231">
      <c r="A1176" s="397" t="n"/>
      <c r="B1176" s="397" t="n"/>
      <c r="C1176" s="397" t="n"/>
      <c r="D1176" s="397" t="n"/>
      <c r="E1176" s="397" t="n"/>
      <c r="F1176" s="397" t="n"/>
      <c r="G1176" s="397" t="n"/>
      <c r="I1176" s="397" t="n"/>
      <c r="J1176" s="397" t="n"/>
      <c r="K1176" s="395">
        <f>DATE(VALUE(LEFT(A1176,4)),VALUE(MID(A1176,5,2)),VALUE(RIGHT(A1176,2)))</f>
        <v/>
      </c>
      <c r="L1176" s="395">
        <f>DATEVALUE(LEFT(F1176,10))</f>
        <v/>
      </c>
      <c r="M1176" s="396">
        <f>TIMEVALUE(MID(F1176,12,8))</f>
        <v/>
      </c>
      <c r="N1176" s="395">
        <f>DATEVALUE(LEFT(G1176,10))</f>
        <v/>
      </c>
      <c r="O1176" s="396">
        <f>TIMEVALUE(MID(G1176,12,8))</f>
        <v/>
      </c>
      <c r="P1176" s="396">
        <f>IFERROR(_xlfn.MINIFS($M:$M,$E:$E,$E1176,$K:$K,$K1176,$M:$M,"&gt;"&amp;$O1176),"")</f>
        <v/>
      </c>
      <c r="Q1176" s="396">
        <f>IF($P1176="","",$P1176-$O1176)</f>
        <v/>
      </c>
    </row>
    <row r="1177" ht="15" customHeight="1" s="231">
      <c r="A1177" s="397" t="n"/>
      <c r="B1177" s="397" t="n"/>
      <c r="C1177" s="397" t="n"/>
      <c r="D1177" s="397" t="n"/>
      <c r="E1177" s="397" t="n"/>
      <c r="F1177" s="397" t="n"/>
      <c r="G1177" s="397" t="n"/>
      <c r="I1177" s="397" t="n"/>
      <c r="J1177" s="397" t="n"/>
      <c r="K1177" s="395">
        <f>DATE(VALUE(LEFT(A1177,4)),VALUE(MID(A1177,5,2)),VALUE(RIGHT(A1177,2)))</f>
        <v/>
      </c>
      <c r="L1177" s="395">
        <f>DATEVALUE(LEFT(F1177,10))</f>
        <v/>
      </c>
      <c r="M1177" s="396">
        <f>TIMEVALUE(MID(F1177,12,8))</f>
        <v/>
      </c>
      <c r="N1177" s="395">
        <f>DATEVALUE(LEFT(G1177,10))</f>
        <v/>
      </c>
      <c r="O1177" s="396">
        <f>TIMEVALUE(MID(G1177,12,8))</f>
        <v/>
      </c>
      <c r="P1177" s="396">
        <f>IFERROR(_xlfn.MINIFS($M:$M,$E:$E,$E1177,$K:$K,$K1177,$M:$M,"&gt;"&amp;$O1177),"")</f>
        <v/>
      </c>
      <c r="Q1177" s="396">
        <f>IF($P1177="","",$P1177-$O1177)</f>
        <v/>
      </c>
    </row>
    <row r="1178" ht="15" customHeight="1" s="231">
      <c r="A1178" s="397" t="n"/>
      <c r="B1178" s="397" t="n"/>
      <c r="C1178" s="397" t="n"/>
      <c r="D1178" s="397" t="n"/>
      <c r="E1178" s="397" t="n"/>
      <c r="F1178" s="397" t="n"/>
      <c r="G1178" s="397" t="n"/>
      <c r="I1178" s="397" t="n"/>
      <c r="J1178" s="397" t="n"/>
      <c r="K1178" s="395">
        <f>DATE(VALUE(LEFT(A1178,4)),VALUE(MID(A1178,5,2)),VALUE(RIGHT(A1178,2)))</f>
        <v/>
      </c>
      <c r="L1178" s="395">
        <f>DATEVALUE(LEFT(F1178,10))</f>
        <v/>
      </c>
      <c r="M1178" s="396">
        <f>TIMEVALUE(MID(F1178,12,8))</f>
        <v/>
      </c>
      <c r="N1178" s="395">
        <f>DATEVALUE(LEFT(G1178,10))</f>
        <v/>
      </c>
      <c r="O1178" s="396">
        <f>TIMEVALUE(MID(G1178,12,8))</f>
        <v/>
      </c>
      <c r="P1178" s="396">
        <f>IFERROR(_xlfn.MINIFS($M:$M,$E:$E,$E1178,$K:$K,$K1178,$M:$M,"&gt;"&amp;$O1178),"")</f>
        <v/>
      </c>
      <c r="Q1178" s="396">
        <f>IF($P1178="","",$P1178-$O1178)</f>
        <v/>
      </c>
    </row>
    <row r="1179" ht="15" customHeight="1" s="231">
      <c r="A1179" s="397" t="n"/>
      <c r="B1179" s="397" t="n"/>
      <c r="C1179" s="397" t="n"/>
      <c r="D1179" s="397" t="n"/>
      <c r="E1179" s="397" t="n"/>
      <c r="F1179" s="397" t="n"/>
      <c r="G1179" s="397" t="n"/>
      <c r="I1179" s="397" t="n"/>
      <c r="J1179" s="397" t="n"/>
      <c r="K1179" s="395">
        <f>DATE(VALUE(LEFT(A1179,4)),VALUE(MID(A1179,5,2)),VALUE(RIGHT(A1179,2)))</f>
        <v/>
      </c>
      <c r="L1179" s="395">
        <f>DATEVALUE(LEFT(F1179,10))</f>
        <v/>
      </c>
      <c r="M1179" s="396">
        <f>TIMEVALUE(MID(F1179,12,8))</f>
        <v/>
      </c>
      <c r="N1179" s="395">
        <f>DATEVALUE(LEFT(G1179,10))</f>
        <v/>
      </c>
      <c r="O1179" s="396">
        <f>TIMEVALUE(MID(G1179,12,8))</f>
        <v/>
      </c>
      <c r="P1179" s="396">
        <f>IFERROR(_xlfn.MINIFS($M:$M,$E:$E,$E1179,$K:$K,$K1179,$M:$M,"&gt;"&amp;$O1179),"")</f>
        <v/>
      </c>
      <c r="Q1179" s="396">
        <f>IF($P1179="","",$P1179-$O1179)</f>
        <v/>
      </c>
    </row>
    <row r="1180" ht="15" customHeight="1" s="231">
      <c r="A1180" s="397" t="n"/>
      <c r="B1180" s="397" t="n"/>
      <c r="C1180" s="397" t="n"/>
      <c r="D1180" s="397" t="n"/>
      <c r="E1180" s="397" t="n"/>
      <c r="F1180" s="397" t="n"/>
      <c r="G1180" s="397" t="n"/>
      <c r="I1180" s="397" t="n"/>
      <c r="J1180" s="397" t="n"/>
      <c r="K1180" s="395">
        <f>DATE(VALUE(LEFT(A1180,4)),VALUE(MID(A1180,5,2)),VALUE(RIGHT(A1180,2)))</f>
        <v/>
      </c>
      <c r="L1180" s="395">
        <f>DATEVALUE(LEFT(F1180,10))</f>
        <v/>
      </c>
      <c r="M1180" s="396">
        <f>TIMEVALUE(MID(F1180,12,8))</f>
        <v/>
      </c>
      <c r="N1180" s="395">
        <f>DATEVALUE(LEFT(G1180,10))</f>
        <v/>
      </c>
      <c r="O1180" s="396">
        <f>TIMEVALUE(MID(G1180,12,8))</f>
        <v/>
      </c>
      <c r="P1180" s="396">
        <f>IFERROR(_xlfn.MINIFS($M:$M,$E:$E,$E1180,$K:$K,$K1180,$M:$M,"&gt;"&amp;$O1180),"")</f>
        <v/>
      </c>
      <c r="Q1180" s="396">
        <f>IF($P1180="","",$P1180-$O1180)</f>
        <v/>
      </c>
    </row>
    <row r="1181" ht="15" customHeight="1" s="231">
      <c r="A1181" s="397" t="n"/>
      <c r="B1181" s="397" t="n"/>
      <c r="C1181" s="397" t="n"/>
      <c r="D1181" s="397" t="n"/>
      <c r="E1181" s="397" t="n"/>
      <c r="F1181" s="397" t="n"/>
      <c r="G1181" s="397" t="n"/>
      <c r="I1181" s="397" t="n"/>
      <c r="J1181" s="397" t="n"/>
      <c r="K1181" s="395">
        <f>DATE(VALUE(LEFT(A1181,4)),VALUE(MID(A1181,5,2)),VALUE(RIGHT(A1181,2)))</f>
        <v/>
      </c>
      <c r="L1181" s="395">
        <f>DATEVALUE(LEFT(F1181,10))</f>
        <v/>
      </c>
      <c r="M1181" s="396">
        <f>TIMEVALUE(MID(F1181,12,8))</f>
        <v/>
      </c>
      <c r="N1181" s="395">
        <f>DATEVALUE(LEFT(G1181,10))</f>
        <v/>
      </c>
      <c r="O1181" s="396">
        <f>TIMEVALUE(MID(G1181,12,8))</f>
        <v/>
      </c>
      <c r="P1181" s="396">
        <f>IFERROR(_xlfn.MINIFS($M:$M,$E:$E,$E1181,$K:$K,$K1181,$M:$M,"&gt;"&amp;$O1181),"")</f>
        <v/>
      </c>
      <c r="Q1181" s="396">
        <f>IF($P1181="","",$P1181-$O1181)</f>
        <v/>
      </c>
    </row>
    <row r="1182" ht="15" customHeight="1" s="231">
      <c r="A1182" s="397" t="n"/>
      <c r="B1182" s="397" t="n"/>
      <c r="C1182" s="397" t="n"/>
      <c r="D1182" s="397" t="n"/>
      <c r="E1182" s="397" t="n"/>
      <c r="F1182" s="397" t="n"/>
      <c r="G1182" s="397" t="n"/>
      <c r="I1182" s="397" t="n"/>
      <c r="J1182" s="397" t="n"/>
      <c r="K1182" s="395">
        <f>DATE(VALUE(LEFT(A1182,4)),VALUE(MID(A1182,5,2)),VALUE(RIGHT(A1182,2)))</f>
        <v/>
      </c>
      <c r="L1182" s="395">
        <f>DATEVALUE(LEFT(F1182,10))</f>
        <v/>
      </c>
      <c r="M1182" s="396">
        <f>TIMEVALUE(MID(F1182,12,8))</f>
        <v/>
      </c>
      <c r="N1182" s="395">
        <f>DATEVALUE(LEFT(G1182,10))</f>
        <v/>
      </c>
      <c r="O1182" s="396">
        <f>TIMEVALUE(MID(G1182,12,8))</f>
        <v/>
      </c>
      <c r="P1182" s="396">
        <f>IFERROR(_xlfn.MINIFS($M:$M,$E:$E,$E1182,$K:$K,$K1182,$M:$M,"&gt;"&amp;$O1182),"")</f>
        <v/>
      </c>
      <c r="Q1182" s="396">
        <f>IF($P1182="","",$P1182-$O1182)</f>
        <v/>
      </c>
    </row>
    <row r="1183" ht="15" customHeight="1" s="231">
      <c r="A1183" s="397" t="n"/>
      <c r="B1183" s="397" t="n"/>
      <c r="C1183" s="397" t="n"/>
      <c r="D1183" s="397" t="n"/>
      <c r="E1183" s="397" t="n"/>
      <c r="F1183" s="397" t="n"/>
      <c r="G1183" s="397" t="n"/>
      <c r="I1183" s="397" t="n"/>
      <c r="J1183" s="397" t="n"/>
      <c r="K1183" s="395">
        <f>DATE(VALUE(LEFT(A1183,4)),VALUE(MID(A1183,5,2)),VALUE(RIGHT(A1183,2)))</f>
        <v/>
      </c>
      <c r="L1183" s="395">
        <f>DATEVALUE(LEFT(F1183,10))</f>
        <v/>
      </c>
      <c r="M1183" s="396">
        <f>TIMEVALUE(MID(F1183,12,8))</f>
        <v/>
      </c>
      <c r="N1183" s="395">
        <f>DATEVALUE(LEFT(G1183,10))</f>
        <v/>
      </c>
      <c r="O1183" s="396">
        <f>TIMEVALUE(MID(G1183,12,8))</f>
        <v/>
      </c>
      <c r="P1183" s="396">
        <f>IFERROR(_xlfn.MINIFS($M:$M,$E:$E,$E1183,$K:$K,$K1183,$M:$M,"&gt;"&amp;$O1183),"")</f>
        <v/>
      </c>
      <c r="Q1183" s="396">
        <f>IF($P1183="","",$P1183-$O1183)</f>
        <v/>
      </c>
    </row>
    <row r="1184" ht="15" customHeight="1" s="231">
      <c r="A1184" s="397" t="n"/>
      <c r="B1184" s="397" t="n"/>
      <c r="C1184" s="397" t="n"/>
      <c r="D1184" s="397" t="n"/>
      <c r="E1184" s="397" t="n"/>
      <c r="F1184" s="397" t="n"/>
      <c r="G1184" s="397" t="n"/>
      <c r="I1184" s="397" t="n"/>
      <c r="J1184" s="397" t="n"/>
      <c r="K1184" s="395">
        <f>DATE(VALUE(LEFT(A1184,4)),VALUE(MID(A1184,5,2)),VALUE(RIGHT(A1184,2)))</f>
        <v/>
      </c>
      <c r="L1184" s="395">
        <f>DATEVALUE(LEFT(F1184,10))</f>
        <v/>
      </c>
      <c r="M1184" s="396">
        <f>TIMEVALUE(MID(F1184,12,8))</f>
        <v/>
      </c>
      <c r="N1184" s="395">
        <f>DATEVALUE(LEFT(G1184,10))</f>
        <v/>
      </c>
      <c r="O1184" s="396">
        <f>TIMEVALUE(MID(G1184,12,8))</f>
        <v/>
      </c>
      <c r="P1184" s="396">
        <f>IFERROR(_xlfn.MINIFS($M:$M,$E:$E,$E1184,$K:$K,$K1184,$M:$M,"&gt;"&amp;$O1184),"")</f>
        <v/>
      </c>
      <c r="Q1184" s="396">
        <f>IF($P1184="","",$P1184-$O1184)</f>
        <v/>
      </c>
    </row>
    <row r="1185" ht="15" customHeight="1" s="231">
      <c r="A1185" s="397" t="n"/>
      <c r="B1185" s="397" t="n"/>
      <c r="C1185" s="397" t="n"/>
      <c r="D1185" s="397" t="n"/>
      <c r="E1185" s="397" t="n"/>
      <c r="F1185" s="397" t="n"/>
      <c r="G1185" s="397" t="n"/>
      <c r="I1185" s="397" t="n"/>
      <c r="J1185" s="397" t="n"/>
      <c r="K1185" s="395">
        <f>DATE(VALUE(LEFT(A1185,4)),VALUE(MID(A1185,5,2)),VALUE(RIGHT(A1185,2)))</f>
        <v/>
      </c>
      <c r="L1185" s="395">
        <f>DATEVALUE(LEFT(F1185,10))</f>
        <v/>
      </c>
      <c r="M1185" s="396">
        <f>TIMEVALUE(MID(F1185,12,8))</f>
        <v/>
      </c>
      <c r="N1185" s="395">
        <f>DATEVALUE(LEFT(G1185,10))</f>
        <v/>
      </c>
      <c r="O1185" s="396">
        <f>TIMEVALUE(MID(G1185,12,8))</f>
        <v/>
      </c>
      <c r="P1185" s="396">
        <f>IFERROR(_xlfn.MINIFS($M:$M,$E:$E,$E1185,$K:$K,$K1185,$M:$M,"&gt;"&amp;$O1185),"")</f>
        <v/>
      </c>
      <c r="Q1185" s="396">
        <f>IF($P1185="","",$P1185-$O1185)</f>
        <v/>
      </c>
    </row>
    <row r="1186" ht="15" customHeight="1" s="231">
      <c r="A1186" s="397" t="n"/>
      <c r="B1186" s="397" t="n"/>
      <c r="C1186" s="397" t="n"/>
      <c r="D1186" s="397" t="n"/>
      <c r="E1186" s="397" t="n"/>
      <c r="F1186" s="397" t="n"/>
      <c r="G1186" s="397" t="n"/>
      <c r="I1186" s="397" t="n"/>
      <c r="J1186" s="397" t="n"/>
      <c r="K1186" s="395">
        <f>DATE(VALUE(LEFT(A1186,4)),VALUE(MID(A1186,5,2)),VALUE(RIGHT(A1186,2)))</f>
        <v/>
      </c>
      <c r="L1186" s="395">
        <f>DATEVALUE(LEFT(F1186,10))</f>
        <v/>
      </c>
      <c r="M1186" s="396">
        <f>TIMEVALUE(MID(F1186,12,8))</f>
        <v/>
      </c>
      <c r="N1186" s="395">
        <f>DATEVALUE(LEFT(G1186,10))</f>
        <v/>
      </c>
      <c r="O1186" s="396">
        <f>TIMEVALUE(MID(G1186,12,8))</f>
        <v/>
      </c>
      <c r="P1186" s="396">
        <f>IFERROR(_xlfn.MINIFS($M:$M,$E:$E,$E1186,$K:$K,$K1186,$M:$M,"&gt;"&amp;$O1186),"")</f>
        <v/>
      </c>
      <c r="Q1186" s="396">
        <f>IF($P1186="","",$P1186-$O1186)</f>
        <v/>
      </c>
    </row>
    <row r="1187" ht="15" customHeight="1" s="231">
      <c r="A1187" s="397" t="n"/>
      <c r="B1187" s="397" t="n"/>
      <c r="C1187" s="397" t="n"/>
      <c r="D1187" s="397" t="n"/>
      <c r="E1187" s="397" t="n"/>
      <c r="F1187" s="397" t="n"/>
      <c r="G1187" s="397" t="n"/>
      <c r="I1187" s="397" t="n"/>
      <c r="J1187" s="397" t="n"/>
      <c r="K1187" s="395">
        <f>DATE(VALUE(LEFT(A1187,4)),VALUE(MID(A1187,5,2)),VALUE(RIGHT(A1187,2)))</f>
        <v/>
      </c>
      <c r="L1187" s="395">
        <f>DATEVALUE(LEFT(F1187,10))</f>
        <v/>
      </c>
      <c r="M1187" s="396">
        <f>TIMEVALUE(MID(F1187,12,8))</f>
        <v/>
      </c>
      <c r="N1187" s="395">
        <f>DATEVALUE(LEFT(G1187,10))</f>
        <v/>
      </c>
      <c r="O1187" s="396">
        <f>TIMEVALUE(MID(G1187,12,8))</f>
        <v/>
      </c>
      <c r="P1187" s="396">
        <f>IFERROR(_xlfn.MINIFS($M:$M,$E:$E,$E1187,$K:$K,$K1187,$M:$M,"&gt;"&amp;$O1187),"")</f>
        <v/>
      </c>
      <c r="Q1187" s="396">
        <f>IF($P1187="","",$P1187-$O1187)</f>
        <v/>
      </c>
    </row>
    <row r="1188" ht="15" customHeight="1" s="231">
      <c r="A1188" s="397" t="n"/>
      <c r="B1188" s="397" t="n"/>
      <c r="C1188" s="397" t="n"/>
      <c r="D1188" s="397" t="n"/>
      <c r="E1188" s="397" t="n"/>
      <c r="F1188" s="397" t="n"/>
      <c r="G1188" s="397" t="n"/>
      <c r="I1188" s="397" t="n"/>
      <c r="J1188" s="397" t="n"/>
      <c r="K1188" s="395">
        <f>DATE(VALUE(LEFT(A1188,4)),VALUE(MID(A1188,5,2)),VALUE(RIGHT(A1188,2)))</f>
        <v/>
      </c>
      <c r="L1188" s="395">
        <f>DATEVALUE(LEFT(F1188,10))</f>
        <v/>
      </c>
      <c r="M1188" s="396">
        <f>TIMEVALUE(MID(F1188,12,8))</f>
        <v/>
      </c>
      <c r="N1188" s="395">
        <f>DATEVALUE(LEFT(G1188,10))</f>
        <v/>
      </c>
      <c r="O1188" s="396">
        <f>TIMEVALUE(MID(G1188,12,8))</f>
        <v/>
      </c>
      <c r="P1188" s="396">
        <f>IFERROR(_xlfn.MINIFS($M:$M,$E:$E,$E1188,$K:$K,$K1188,$M:$M,"&gt;"&amp;$O1188),"")</f>
        <v/>
      </c>
      <c r="Q1188" s="396">
        <f>IF($P1188="","",$P1188-$O1188)</f>
        <v/>
      </c>
    </row>
    <row r="1189" ht="15" customHeight="1" s="231">
      <c r="A1189" s="397" t="n"/>
      <c r="B1189" s="397" t="n"/>
      <c r="C1189" s="397" t="n"/>
      <c r="D1189" s="397" t="n"/>
      <c r="E1189" s="397" t="n"/>
      <c r="F1189" s="397" t="n"/>
      <c r="G1189" s="397" t="n"/>
      <c r="I1189" s="397" t="n"/>
      <c r="J1189" s="397" t="n"/>
      <c r="K1189" s="395">
        <f>DATE(VALUE(LEFT(A1189,4)),VALUE(MID(A1189,5,2)),VALUE(RIGHT(A1189,2)))</f>
        <v/>
      </c>
      <c r="L1189" s="395">
        <f>DATEVALUE(LEFT(F1189,10))</f>
        <v/>
      </c>
      <c r="M1189" s="396">
        <f>TIMEVALUE(MID(F1189,12,8))</f>
        <v/>
      </c>
      <c r="N1189" s="395">
        <f>DATEVALUE(LEFT(G1189,10))</f>
        <v/>
      </c>
      <c r="O1189" s="396">
        <f>TIMEVALUE(MID(G1189,12,8))</f>
        <v/>
      </c>
      <c r="P1189" s="396">
        <f>IFERROR(_xlfn.MINIFS($M:$M,$E:$E,$E1189,$K:$K,$K1189,$M:$M,"&gt;"&amp;$O1189),"")</f>
        <v/>
      </c>
      <c r="Q1189" s="396">
        <f>IF($P1189="","",$P1189-$O1189)</f>
        <v/>
      </c>
    </row>
    <row r="1190" ht="15" customHeight="1" s="231">
      <c r="A1190" s="397" t="n"/>
      <c r="B1190" s="397" t="n"/>
      <c r="C1190" s="397" t="n"/>
      <c r="D1190" s="397" t="n"/>
      <c r="E1190" s="397" t="n"/>
      <c r="F1190" s="397" t="n"/>
      <c r="G1190" s="397" t="n"/>
      <c r="I1190" s="397" t="n"/>
      <c r="J1190" s="397" t="n"/>
      <c r="K1190" s="395">
        <f>DATE(VALUE(LEFT(A1190,4)),VALUE(MID(A1190,5,2)),VALUE(RIGHT(A1190,2)))</f>
        <v/>
      </c>
      <c r="L1190" s="395">
        <f>DATEVALUE(LEFT(F1190,10))</f>
        <v/>
      </c>
      <c r="M1190" s="396">
        <f>TIMEVALUE(MID(F1190,12,8))</f>
        <v/>
      </c>
      <c r="N1190" s="395">
        <f>DATEVALUE(LEFT(G1190,10))</f>
        <v/>
      </c>
      <c r="O1190" s="396">
        <f>TIMEVALUE(MID(G1190,12,8))</f>
        <v/>
      </c>
      <c r="P1190" s="396">
        <f>IFERROR(_xlfn.MINIFS($M:$M,$E:$E,$E1190,$K:$K,$K1190,$M:$M,"&gt;"&amp;$O1190),"")</f>
        <v/>
      </c>
      <c r="Q1190" s="396">
        <f>IF($P1190="","",$P1190-$O1190)</f>
        <v/>
      </c>
    </row>
    <row r="1191" ht="15" customHeight="1" s="231">
      <c r="A1191" s="397" t="n"/>
      <c r="B1191" s="397" t="n"/>
      <c r="C1191" s="397" t="n"/>
      <c r="D1191" s="397" t="n"/>
      <c r="E1191" s="397" t="n"/>
      <c r="F1191" s="397" t="n"/>
      <c r="G1191" s="397" t="n"/>
      <c r="I1191" s="397" t="n"/>
      <c r="J1191" s="397" t="n"/>
      <c r="K1191" s="395">
        <f>DATE(VALUE(LEFT(A1191,4)),VALUE(MID(A1191,5,2)),VALUE(RIGHT(A1191,2)))</f>
        <v/>
      </c>
      <c r="L1191" s="395">
        <f>DATEVALUE(LEFT(F1191,10))</f>
        <v/>
      </c>
      <c r="M1191" s="396">
        <f>TIMEVALUE(MID(F1191,12,8))</f>
        <v/>
      </c>
      <c r="N1191" s="395">
        <f>DATEVALUE(LEFT(G1191,10))</f>
        <v/>
      </c>
      <c r="O1191" s="396">
        <f>TIMEVALUE(MID(G1191,12,8))</f>
        <v/>
      </c>
      <c r="P1191" s="396">
        <f>IFERROR(_xlfn.MINIFS($M:$M,$E:$E,$E1191,$K:$K,$K1191,$M:$M,"&gt;"&amp;$O1191),"")</f>
        <v/>
      </c>
      <c r="Q1191" s="396">
        <f>IF($P1191="","",$P1191-$O1191)</f>
        <v/>
      </c>
    </row>
    <row r="1192" ht="15" customHeight="1" s="231">
      <c r="A1192" s="397" t="n"/>
      <c r="B1192" s="397" t="n"/>
      <c r="C1192" s="397" t="n"/>
      <c r="D1192" s="397" t="n"/>
      <c r="E1192" s="397" t="n"/>
      <c r="F1192" s="397" t="n"/>
      <c r="G1192" s="397" t="n"/>
      <c r="I1192" s="397" t="n"/>
      <c r="J1192" s="397" t="n"/>
      <c r="K1192" s="395">
        <f>DATE(VALUE(LEFT(A1192,4)),VALUE(MID(A1192,5,2)),VALUE(RIGHT(A1192,2)))</f>
        <v/>
      </c>
      <c r="L1192" s="395">
        <f>DATEVALUE(LEFT(F1192,10))</f>
        <v/>
      </c>
      <c r="M1192" s="396">
        <f>TIMEVALUE(MID(F1192,12,8))</f>
        <v/>
      </c>
      <c r="N1192" s="395">
        <f>DATEVALUE(LEFT(G1192,10))</f>
        <v/>
      </c>
      <c r="O1192" s="396">
        <f>TIMEVALUE(MID(G1192,12,8))</f>
        <v/>
      </c>
      <c r="P1192" s="396">
        <f>IFERROR(_xlfn.MINIFS($M:$M,$E:$E,$E1192,$K:$K,$K1192,$M:$M,"&gt;"&amp;$O1192),"")</f>
        <v/>
      </c>
      <c r="Q1192" s="396">
        <f>IF($P1192="","",$P1192-$O1192)</f>
        <v/>
      </c>
    </row>
    <row r="1193" ht="15" customHeight="1" s="231">
      <c r="A1193" s="397" t="n"/>
      <c r="B1193" s="397" t="n"/>
      <c r="C1193" s="397" t="n"/>
      <c r="D1193" s="397" t="n"/>
      <c r="E1193" s="397" t="n"/>
      <c r="F1193" s="397" t="n"/>
      <c r="G1193" s="397" t="n"/>
      <c r="I1193" s="397" t="n"/>
      <c r="J1193" s="397" t="n"/>
      <c r="K1193" s="395">
        <f>DATE(VALUE(LEFT(A1193,4)),VALUE(MID(A1193,5,2)),VALUE(RIGHT(A1193,2)))</f>
        <v/>
      </c>
      <c r="L1193" s="395">
        <f>DATEVALUE(LEFT(F1193,10))</f>
        <v/>
      </c>
      <c r="M1193" s="396">
        <f>TIMEVALUE(MID(F1193,12,8))</f>
        <v/>
      </c>
      <c r="N1193" s="395">
        <f>DATEVALUE(LEFT(G1193,10))</f>
        <v/>
      </c>
      <c r="O1193" s="396">
        <f>TIMEVALUE(MID(G1193,12,8))</f>
        <v/>
      </c>
      <c r="P1193" s="396">
        <f>IFERROR(_xlfn.MINIFS($M:$M,$E:$E,$E1193,$K:$K,$K1193,$M:$M,"&gt;"&amp;$O1193),"")</f>
        <v/>
      </c>
      <c r="Q1193" s="396">
        <f>IF($P1193="","",$P1193-$O1193)</f>
        <v/>
      </c>
    </row>
    <row r="1194" ht="15" customHeight="1" s="231">
      <c r="A1194" s="397" t="n"/>
      <c r="B1194" s="397" t="n"/>
      <c r="C1194" s="397" t="n"/>
      <c r="D1194" s="397" t="n"/>
      <c r="E1194" s="397" t="n"/>
      <c r="F1194" s="397" t="n"/>
      <c r="G1194" s="397" t="n"/>
      <c r="I1194" s="397" t="n"/>
      <c r="J1194" s="397" t="n"/>
      <c r="K1194" s="395">
        <f>DATE(VALUE(LEFT(A1194,4)),VALUE(MID(A1194,5,2)),VALUE(RIGHT(A1194,2)))</f>
        <v/>
      </c>
      <c r="L1194" s="395">
        <f>DATEVALUE(LEFT(F1194,10))</f>
        <v/>
      </c>
      <c r="M1194" s="396">
        <f>TIMEVALUE(MID(F1194,12,8))</f>
        <v/>
      </c>
      <c r="N1194" s="395">
        <f>DATEVALUE(LEFT(G1194,10))</f>
        <v/>
      </c>
      <c r="O1194" s="396">
        <f>TIMEVALUE(MID(G1194,12,8))</f>
        <v/>
      </c>
      <c r="P1194" s="396">
        <f>IFERROR(_xlfn.MINIFS($M:$M,$E:$E,$E1194,$K:$K,$K1194,$M:$M,"&gt;"&amp;$O1194),"")</f>
        <v/>
      </c>
      <c r="Q1194" s="396">
        <f>IF($P1194="","",$P1194-$O1194)</f>
        <v/>
      </c>
    </row>
    <row r="1195" ht="15" customHeight="1" s="231">
      <c r="A1195" s="397" t="n"/>
      <c r="B1195" s="397" t="n"/>
      <c r="C1195" s="397" t="n"/>
      <c r="D1195" s="397" t="n"/>
      <c r="E1195" s="397" t="n"/>
      <c r="F1195" s="397" t="n"/>
      <c r="G1195" s="397" t="n"/>
      <c r="I1195" s="397" t="n"/>
      <c r="J1195" s="397" t="n"/>
      <c r="K1195" s="395">
        <f>DATE(VALUE(LEFT(A1195,4)),VALUE(MID(A1195,5,2)),VALUE(RIGHT(A1195,2)))</f>
        <v/>
      </c>
      <c r="L1195" s="395">
        <f>DATEVALUE(LEFT(F1195,10))</f>
        <v/>
      </c>
      <c r="M1195" s="396">
        <f>TIMEVALUE(MID(F1195,12,8))</f>
        <v/>
      </c>
      <c r="N1195" s="395">
        <f>DATEVALUE(LEFT(G1195,10))</f>
        <v/>
      </c>
      <c r="O1195" s="396">
        <f>TIMEVALUE(MID(G1195,12,8))</f>
        <v/>
      </c>
      <c r="P1195" s="396">
        <f>IFERROR(_xlfn.MINIFS($M:$M,$E:$E,$E1195,$K:$K,$K1195,$M:$M,"&gt;"&amp;$O1195),"")</f>
        <v/>
      </c>
      <c r="Q1195" s="396">
        <f>IF($P1195="","",$P1195-$O1195)</f>
        <v/>
      </c>
    </row>
    <row r="1196" ht="15" customHeight="1" s="231">
      <c r="A1196" s="397" t="n"/>
      <c r="B1196" s="397" t="n"/>
      <c r="C1196" s="397" t="n"/>
      <c r="D1196" s="397" t="n"/>
      <c r="E1196" s="397" t="n"/>
      <c r="F1196" s="397" t="n"/>
      <c r="G1196" s="397" t="n"/>
      <c r="I1196" s="397" t="n"/>
      <c r="J1196" s="397" t="n"/>
      <c r="K1196" s="395">
        <f>DATE(VALUE(LEFT(A1196,4)),VALUE(MID(A1196,5,2)),VALUE(RIGHT(A1196,2)))</f>
        <v/>
      </c>
      <c r="L1196" s="395">
        <f>DATEVALUE(LEFT(F1196,10))</f>
        <v/>
      </c>
      <c r="M1196" s="396">
        <f>TIMEVALUE(MID(F1196,12,8))</f>
        <v/>
      </c>
      <c r="N1196" s="395">
        <f>DATEVALUE(LEFT(G1196,10))</f>
        <v/>
      </c>
      <c r="O1196" s="396">
        <f>TIMEVALUE(MID(G1196,12,8))</f>
        <v/>
      </c>
      <c r="P1196" s="396">
        <f>IFERROR(_xlfn.MINIFS($M:$M,$E:$E,$E1196,$K:$K,$K1196,$M:$M,"&gt;"&amp;$O1196),"")</f>
        <v/>
      </c>
      <c r="Q1196" s="396">
        <f>IF($P1196="","",$P1196-$O1196)</f>
        <v/>
      </c>
    </row>
    <row r="1197" ht="15" customHeight="1" s="231">
      <c r="A1197" s="397" t="n"/>
      <c r="B1197" s="397" t="n"/>
      <c r="C1197" s="397" t="n"/>
      <c r="D1197" s="397" t="n"/>
      <c r="E1197" s="397" t="n"/>
      <c r="F1197" s="397" t="n"/>
      <c r="G1197" s="397" t="n"/>
      <c r="I1197" s="397" t="n"/>
      <c r="J1197" s="397" t="n"/>
      <c r="K1197" s="395">
        <f>DATE(VALUE(LEFT(A1197,4)),VALUE(MID(A1197,5,2)),VALUE(RIGHT(A1197,2)))</f>
        <v/>
      </c>
      <c r="L1197" s="395">
        <f>DATEVALUE(LEFT(F1197,10))</f>
        <v/>
      </c>
      <c r="M1197" s="396">
        <f>TIMEVALUE(MID(F1197,12,8))</f>
        <v/>
      </c>
      <c r="N1197" s="395">
        <f>DATEVALUE(LEFT(G1197,10))</f>
        <v/>
      </c>
      <c r="O1197" s="396">
        <f>TIMEVALUE(MID(G1197,12,8))</f>
        <v/>
      </c>
      <c r="P1197" s="396">
        <f>IFERROR(_xlfn.MINIFS($M:$M,$E:$E,$E1197,$K:$K,$K1197,$M:$M,"&gt;"&amp;$O1197),"")</f>
        <v/>
      </c>
      <c r="Q1197" s="396">
        <f>IF($P1197="","",$P1197-$O1197)</f>
        <v/>
      </c>
    </row>
    <row r="1198" ht="15" customHeight="1" s="231">
      <c r="A1198" s="397" t="n"/>
      <c r="B1198" s="397" t="n"/>
      <c r="C1198" s="397" t="n"/>
      <c r="D1198" s="397" t="n"/>
      <c r="E1198" s="397" t="n"/>
      <c r="F1198" s="397" t="n"/>
      <c r="G1198" s="397" t="n"/>
      <c r="I1198" s="397" t="n"/>
      <c r="J1198" s="397" t="n"/>
      <c r="K1198" s="395">
        <f>DATE(VALUE(LEFT(A1198,4)),VALUE(MID(A1198,5,2)),VALUE(RIGHT(A1198,2)))</f>
        <v/>
      </c>
      <c r="L1198" s="395">
        <f>DATEVALUE(LEFT(F1198,10))</f>
        <v/>
      </c>
      <c r="M1198" s="396">
        <f>TIMEVALUE(MID(F1198,12,8))</f>
        <v/>
      </c>
      <c r="N1198" s="395">
        <f>DATEVALUE(LEFT(G1198,10))</f>
        <v/>
      </c>
      <c r="O1198" s="396">
        <f>TIMEVALUE(MID(G1198,12,8))</f>
        <v/>
      </c>
      <c r="P1198" s="396">
        <f>IFERROR(_xlfn.MINIFS($M:$M,$E:$E,$E1198,$K:$K,$K1198,$M:$M,"&gt;"&amp;$O1198),"")</f>
        <v/>
      </c>
      <c r="Q1198" s="396">
        <f>IF($P1198="","",$P1198-$O1198)</f>
        <v/>
      </c>
    </row>
    <row r="1199" ht="15" customHeight="1" s="231">
      <c r="A1199" s="397" t="n"/>
      <c r="B1199" s="397" t="n"/>
      <c r="C1199" s="397" t="n"/>
      <c r="D1199" s="397" t="n"/>
      <c r="E1199" s="397" t="n"/>
      <c r="F1199" s="397" t="n"/>
      <c r="G1199" s="397" t="n"/>
      <c r="I1199" s="397" t="n"/>
      <c r="J1199" s="397" t="n"/>
      <c r="K1199" s="395">
        <f>DATE(VALUE(LEFT(A1199,4)),VALUE(MID(A1199,5,2)),VALUE(RIGHT(A1199,2)))</f>
        <v/>
      </c>
      <c r="L1199" s="395">
        <f>DATEVALUE(LEFT(F1199,10))</f>
        <v/>
      </c>
      <c r="M1199" s="396">
        <f>TIMEVALUE(MID(F1199,12,8))</f>
        <v/>
      </c>
      <c r="N1199" s="395">
        <f>DATEVALUE(LEFT(G1199,10))</f>
        <v/>
      </c>
      <c r="O1199" s="396">
        <f>TIMEVALUE(MID(G1199,12,8))</f>
        <v/>
      </c>
      <c r="P1199" s="396">
        <f>IFERROR(_xlfn.MINIFS($M:$M,$E:$E,$E1199,$K:$K,$K1199,$M:$M,"&gt;"&amp;$O1199),"")</f>
        <v/>
      </c>
      <c r="Q1199" s="396">
        <f>IF($P1199="","",$P1199-$O1199)</f>
        <v/>
      </c>
    </row>
    <row r="1200" ht="15" customHeight="1" s="231">
      <c r="A1200" s="397" t="n"/>
      <c r="B1200" s="397" t="n"/>
      <c r="C1200" s="397" t="n"/>
      <c r="D1200" s="397" t="n"/>
      <c r="E1200" s="397" t="n"/>
      <c r="F1200" s="397" t="n"/>
      <c r="G1200" s="397" t="n"/>
      <c r="I1200" s="397" t="n"/>
      <c r="J1200" s="397" t="n"/>
      <c r="K1200" s="395">
        <f>DATE(VALUE(LEFT(A1200,4)),VALUE(MID(A1200,5,2)),VALUE(RIGHT(A1200,2)))</f>
        <v/>
      </c>
      <c r="L1200" s="395">
        <f>DATEVALUE(LEFT(F1200,10))</f>
        <v/>
      </c>
      <c r="M1200" s="396">
        <f>TIMEVALUE(MID(F1200,12,8))</f>
        <v/>
      </c>
      <c r="N1200" s="395">
        <f>DATEVALUE(LEFT(G1200,10))</f>
        <v/>
      </c>
      <c r="O1200" s="396">
        <f>TIMEVALUE(MID(G1200,12,8))</f>
        <v/>
      </c>
      <c r="P1200" s="396">
        <f>IFERROR(_xlfn.MINIFS($M:$M,$E:$E,$E1200,$K:$K,$K1200,$M:$M,"&gt;"&amp;$O1200),"")</f>
        <v/>
      </c>
      <c r="Q1200" s="396">
        <f>IF($P1200="","",$P1200-$O1200)</f>
        <v/>
      </c>
    </row>
    <row r="1201" ht="15" customHeight="1" s="231">
      <c r="A1201" s="397" t="n"/>
      <c r="B1201" s="397" t="n"/>
      <c r="C1201" s="397" t="n"/>
      <c r="D1201" s="397" t="n"/>
      <c r="E1201" s="397" t="n"/>
      <c r="F1201" s="397" t="n"/>
      <c r="G1201" s="397" t="n"/>
      <c r="I1201" s="397" t="n"/>
      <c r="J1201" s="397" t="n"/>
      <c r="K1201" s="395">
        <f>DATE(VALUE(LEFT(A1201,4)),VALUE(MID(A1201,5,2)),VALUE(RIGHT(A1201,2)))</f>
        <v/>
      </c>
      <c r="L1201" s="395">
        <f>DATEVALUE(LEFT(F1201,10))</f>
        <v/>
      </c>
      <c r="M1201" s="396">
        <f>TIMEVALUE(MID(F1201,12,8))</f>
        <v/>
      </c>
      <c r="N1201" s="395">
        <f>DATEVALUE(LEFT(G1201,10))</f>
        <v/>
      </c>
      <c r="O1201" s="396">
        <f>TIMEVALUE(MID(G1201,12,8))</f>
        <v/>
      </c>
      <c r="P1201" s="396">
        <f>IFERROR(_xlfn.MINIFS($M:$M,$E:$E,$E1201,$K:$K,$K1201,$M:$M,"&gt;"&amp;$O1201),"")</f>
        <v/>
      </c>
      <c r="Q1201" s="396">
        <f>IF($P1201="","",$P1201-$O1201)</f>
        <v/>
      </c>
    </row>
    <row r="1202" ht="15" customHeight="1" s="231">
      <c r="A1202" s="397" t="n"/>
      <c r="B1202" s="397" t="n"/>
      <c r="C1202" s="397" t="n"/>
      <c r="D1202" s="397" t="n"/>
      <c r="E1202" s="397" t="n"/>
      <c r="F1202" s="397" t="n"/>
      <c r="G1202" s="397" t="n"/>
      <c r="I1202" s="397" t="n"/>
      <c r="J1202" s="397" t="n"/>
      <c r="K1202" s="395">
        <f>DATE(VALUE(LEFT(A1202,4)),VALUE(MID(A1202,5,2)),VALUE(RIGHT(A1202,2)))</f>
        <v/>
      </c>
      <c r="L1202" s="395">
        <f>DATEVALUE(LEFT(F1202,10))</f>
        <v/>
      </c>
      <c r="M1202" s="396">
        <f>TIMEVALUE(MID(F1202,12,8))</f>
        <v/>
      </c>
      <c r="N1202" s="395">
        <f>DATEVALUE(LEFT(G1202,10))</f>
        <v/>
      </c>
      <c r="O1202" s="396">
        <f>TIMEVALUE(MID(G1202,12,8))</f>
        <v/>
      </c>
      <c r="P1202" s="396">
        <f>IFERROR(_xlfn.MINIFS($M:$M,$E:$E,$E1202,$K:$K,$K1202,$M:$M,"&gt;"&amp;$O1202),"")</f>
        <v/>
      </c>
      <c r="Q1202" s="396">
        <f>IF($P1202="","",$P1202-$O1202)</f>
        <v/>
      </c>
    </row>
    <row r="1203" ht="15" customHeight="1" s="231">
      <c r="A1203" s="397" t="n"/>
      <c r="B1203" s="397" t="n"/>
      <c r="C1203" s="397" t="n"/>
      <c r="D1203" s="397" t="n"/>
      <c r="E1203" s="397" t="n"/>
      <c r="F1203" s="397" t="n"/>
      <c r="G1203" s="397" t="n"/>
      <c r="I1203" s="397" t="n"/>
      <c r="J1203" s="397" t="n"/>
      <c r="K1203" s="395">
        <f>DATE(VALUE(LEFT(A1203,4)),VALUE(MID(A1203,5,2)),VALUE(RIGHT(A1203,2)))</f>
        <v/>
      </c>
      <c r="L1203" s="395">
        <f>DATEVALUE(LEFT(F1203,10))</f>
        <v/>
      </c>
      <c r="M1203" s="396">
        <f>TIMEVALUE(MID(F1203,12,8))</f>
        <v/>
      </c>
      <c r="N1203" s="395">
        <f>DATEVALUE(LEFT(G1203,10))</f>
        <v/>
      </c>
      <c r="O1203" s="396">
        <f>TIMEVALUE(MID(G1203,12,8))</f>
        <v/>
      </c>
      <c r="P1203" s="396">
        <f>IFERROR(_xlfn.MINIFS($M:$M,$E:$E,$E1203,$K:$K,$K1203,$M:$M,"&gt;"&amp;$O1203),"")</f>
        <v/>
      </c>
      <c r="Q1203" s="396">
        <f>IF($P1203="","",$P1203-$O1203)</f>
        <v/>
      </c>
    </row>
    <row r="1204" ht="15" customHeight="1" s="231">
      <c r="A1204" s="397" t="n"/>
      <c r="B1204" s="397" t="n"/>
      <c r="C1204" s="397" t="n"/>
      <c r="D1204" s="397" t="n"/>
      <c r="E1204" s="397" t="n"/>
      <c r="F1204" s="397" t="n"/>
      <c r="G1204" s="397" t="n"/>
      <c r="I1204" s="397" t="n"/>
      <c r="J1204" s="397" t="n"/>
      <c r="K1204" s="395">
        <f>DATE(VALUE(LEFT(A1204,4)),VALUE(MID(A1204,5,2)),VALUE(RIGHT(A1204,2)))</f>
        <v/>
      </c>
      <c r="L1204" s="395">
        <f>DATEVALUE(LEFT(F1204,10))</f>
        <v/>
      </c>
      <c r="M1204" s="396">
        <f>TIMEVALUE(MID(F1204,12,8))</f>
        <v/>
      </c>
      <c r="N1204" s="395">
        <f>DATEVALUE(LEFT(G1204,10))</f>
        <v/>
      </c>
      <c r="O1204" s="396">
        <f>TIMEVALUE(MID(G1204,12,8))</f>
        <v/>
      </c>
      <c r="P1204" s="396">
        <f>IFERROR(_xlfn.MINIFS($M:$M,$E:$E,$E1204,$K:$K,$K1204,$M:$M,"&gt;"&amp;$O1204),"")</f>
        <v/>
      </c>
      <c r="Q1204" s="396">
        <f>IF($P1204="","",$P1204-$O1204)</f>
        <v/>
      </c>
    </row>
    <row r="1205" ht="15" customHeight="1" s="231">
      <c r="A1205" s="397" t="n"/>
      <c r="B1205" s="397" t="n"/>
      <c r="C1205" s="397" t="n"/>
      <c r="D1205" s="397" t="n"/>
      <c r="E1205" s="397" t="n"/>
      <c r="F1205" s="397" t="n"/>
      <c r="G1205" s="397" t="n"/>
      <c r="I1205" s="397" t="n"/>
      <c r="J1205" s="397" t="n"/>
      <c r="K1205" s="395">
        <f>DATE(VALUE(LEFT(A1205,4)),VALUE(MID(A1205,5,2)),VALUE(RIGHT(A1205,2)))</f>
        <v/>
      </c>
      <c r="L1205" s="395">
        <f>DATEVALUE(LEFT(F1205,10))</f>
        <v/>
      </c>
      <c r="M1205" s="396">
        <f>TIMEVALUE(MID(F1205,12,8))</f>
        <v/>
      </c>
      <c r="N1205" s="395">
        <f>DATEVALUE(LEFT(G1205,10))</f>
        <v/>
      </c>
      <c r="O1205" s="396">
        <f>TIMEVALUE(MID(G1205,12,8))</f>
        <v/>
      </c>
      <c r="P1205" s="396">
        <f>IFERROR(_xlfn.MINIFS($M:$M,$E:$E,$E1205,$K:$K,$K1205,$M:$M,"&gt;"&amp;$O1205),"")</f>
        <v/>
      </c>
      <c r="Q1205" s="396">
        <f>IF($P1205="","",$P1205-$O1205)</f>
        <v/>
      </c>
    </row>
    <row r="1206" ht="15" customHeight="1" s="231">
      <c r="A1206" s="397" t="n"/>
      <c r="B1206" s="397" t="n"/>
      <c r="C1206" s="397" t="n"/>
      <c r="D1206" s="397" t="n"/>
      <c r="E1206" s="397" t="n"/>
      <c r="F1206" s="397" t="n"/>
      <c r="G1206" s="397" t="n"/>
      <c r="I1206" s="397" t="n"/>
      <c r="J1206" s="397" t="n"/>
      <c r="K1206" s="395">
        <f>DATE(VALUE(LEFT(A1206,4)),VALUE(MID(A1206,5,2)),VALUE(RIGHT(A1206,2)))</f>
        <v/>
      </c>
      <c r="L1206" s="395">
        <f>DATEVALUE(LEFT(F1206,10))</f>
        <v/>
      </c>
      <c r="M1206" s="396">
        <f>TIMEVALUE(MID(F1206,12,8))</f>
        <v/>
      </c>
      <c r="N1206" s="395">
        <f>DATEVALUE(LEFT(G1206,10))</f>
        <v/>
      </c>
      <c r="O1206" s="396">
        <f>TIMEVALUE(MID(G1206,12,8))</f>
        <v/>
      </c>
      <c r="P1206" s="396">
        <f>IFERROR(_xlfn.MINIFS($M:$M,$E:$E,$E1206,$K:$K,$K1206,$M:$M,"&gt;"&amp;$O1206),"")</f>
        <v/>
      </c>
      <c r="Q1206" s="396">
        <f>IF($P1206="","",$P1206-$O1206)</f>
        <v/>
      </c>
    </row>
    <row r="1207" ht="15" customHeight="1" s="231">
      <c r="A1207" s="397" t="n"/>
      <c r="B1207" s="397" t="n"/>
      <c r="C1207" s="397" t="n"/>
      <c r="D1207" s="397" t="n"/>
      <c r="E1207" s="397" t="n"/>
      <c r="F1207" s="397" t="n"/>
      <c r="G1207" s="397" t="n"/>
      <c r="I1207" s="397" t="n"/>
      <c r="J1207" s="397" t="n"/>
      <c r="K1207" s="395">
        <f>DATE(VALUE(LEFT(A1207,4)),VALUE(MID(A1207,5,2)),VALUE(RIGHT(A1207,2)))</f>
        <v/>
      </c>
      <c r="L1207" s="395">
        <f>DATEVALUE(LEFT(F1207,10))</f>
        <v/>
      </c>
      <c r="M1207" s="396">
        <f>TIMEVALUE(MID(F1207,12,8))</f>
        <v/>
      </c>
      <c r="N1207" s="395">
        <f>DATEVALUE(LEFT(G1207,10))</f>
        <v/>
      </c>
      <c r="O1207" s="396">
        <f>TIMEVALUE(MID(G1207,12,8))</f>
        <v/>
      </c>
      <c r="P1207" s="396">
        <f>IFERROR(_xlfn.MINIFS($M:$M,$E:$E,$E1207,$K:$K,$K1207,$M:$M,"&gt;"&amp;$O1207),"")</f>
        <v/>
      </c>
      <c r="Q1207" s="396">
        <f>IF($P1207="","",$P1207-$O1207)</f>
        <v/>
      </c>
    </row>
    <row r="1208" ht="15" customHeight="1" s="231">
      <c r="A1208" s="397" t="n"/>
      <c r="B1208" s="397" t="n"/>
      <c r="C1208" s="397" t="n"/>
      <c r="D1208" s="397" t="n"/>
      <c r="E1208" s="397" t="n"/>
      <c r="F1208" s="397" t="n"/>
      <c r="G1208" s="397" t="n"/>
      <c r="I1208" s="397" t="n"/>
      <c r="J1208" s="397" t="n"/>
      <c r="K1208" s="395">
        <f>DATE(VALUE(LEFT(A1208,4)),VALUE(MID(A1208,5,2)),VALUE(RIGHT(A1208,2)))</f>
        <v/>
      </c>
      <c r="L1208" s="395">
        <f>DATEVALUE(LEFT(F1208,10))</f>
        <v/>
      </c>
      <c r="M1208" s="396">
        <f>TIMEVALUE(MID(F1208,12,8))</f>
        <v/>
      </c>
      <c r="N1208" s="395">
        <f>DATEVALUE(LEFT(G1208,10))</f>
        <v/>
      </c>
      <c r="O1208" s="396">
        <f>TIMEVALUE(MID(G1208,12,8))</f>
        <v/>
      </c>
      <c r="P1208" s="396">
        <f>IFERROR(_xlfn.MINIFS($M:$M,$E:$E,$E1208,$K:$K,$K1208,$M:$M,"&gt;"&amp;$O1208),"")</f>
        <v/>
      </c>
      <c r="Q1208" s="396">
        <f>IF($P1208="","",$P1208-$O1208)</f>
        <v/>
      </c>
    </row>
    <row r="1209" ht="15" customHeight="1" s="231">
      <c r="A1209" s="397" t="n"/>
      <c r="B1209" s="397" t="n"/>
      <c r="C1209" s="397" t="n"/>
      <c r="D1209" s="397" t="n"/>
      <c r="E1209" s="397" t="n"/>
      <c r="F1209" s="397" t="n"/>
      <c r="G1209" s="397" t="n"/>
      <c r="I1209" s="397" t="n"/>
      <c r="J1209" s="397" t="n"/>
      <c r="K1209" s="395">
        <f>DATE(VALUE(LEFT(A1209,4)),VALUE(MID(A1209,5,2)),VALUE(RIGHT(A1209,2)))</f>
        <v/>
      </c>
      <c r="L1209" s="395">
        <f>DATEVALUE(LEFT(F1209,10))</f>
        <v/>
      </c>
      <c r="M1209" s="396">
        <f>TIMEVALUE(MID(F1209,12,8))</f>
        <v/>
      </c>
      <c r="N1209" s="395">
        <f>DATEVALUE(LEFT(G1209,10))</f>
        <v/>
      </c>
      <c r="O1209" s="396">
        <f>TIMEVALUE(MID(G1209,12,8))</f>
        <v/>
      </c>
      <c r="P1209" s="396">
        <f>IFERROR(_xlfn.MINIFS($M:$M,$E:$E,$E1209,$K:$K,$K1209,$M:$M,"&gt;"&amp;$O1209),"")</f>
        <v/>
      </c>
      <c r="Q1209" s="396">
        <f>IF($P1209="","",$P1209-$O1209)</f>
        <v/>
      </c>
    </row>
    <row r="1210" ht="15" customHeight="1" s="231">
      <c r="A1210" s="397" t="n"/>
      <c r="B1210" s="397" t="n"/>
      <c r="C1210" s="397" t="n"/>
      <c r="D1210" s="397" t="n"/>
      <c r="E1210" s="397" t="n"/>
      <c r="F1210" s="397" t="n"/>
      <c r="G1210" s="397" t="n"/>
      <c r="I1210" s="397" t="n"/>
      <c r="J1210" s="397" t="n"/>
      <c r="K1210" s="395">
        <f>DATE(VALUE(LEFT(A1210,4)),VALUE(MID(A1210,5,2)),VALUE(RIGHT(A1210,2)))</f>
        <v/>
      </c>
      <c r="L1210" s="395">
        <f>DATEVALUE(LEFT(F1210,10))</f>
        <v/>
      </c>
      <c r="M1210" s="396">
        <f>TIMEVALUE(MID(F1210,12,8))</f>
        <v/>
      </c>
      <c r="N1210" s="395">
        <f>DATEVALUE(LEFT(G1210,10))</f>
        <v/>
      </c>
      <c r="O1210" s="396">
        <f>TIMEVALUE(MID(G1210,12,8))</f>
        <v/>
      </c>
      <c r="P1210" s="396">
        <f>IFERROR(_xlfn.MINIFS($M:$M,$E:$E,$E1210,$K:$K,$K1210,$M:$M,"&gt;"&amp;$O1210),"")</f>
        <v/>
      </c>
      <c r="Q1210" s="396">
        <f>IF($P1210="","",$P1210-$O1210)</f>
        <v/>
      </c>
    </row>
    <row r="1211" ht="15" customHeight="1" s="231">
      <c r="A1211" s="397" t="n"/>
      <c r="B1211" s="397" t="n"/>
      <c r="C1211" s="397" t="n"/>
      <c r="D1211" s="397" t="n"/>
      <c r="E1211" s="397" t="n"/>
      <c r="F1211" s="397" t="n"/>
      <c r="G1211" s="397" t="n"/>
      <c r="I1211" s="397" t="n"/>
      <c r="J1211" s="397" t="n"/>
      <c r="K1211" s="395">
        <f>DATE(VALUE(LEFT(A1211,4)),VALUE(MID(A1211,5,2)),VALUE(RIGHT(A1211,2)))</f>
        <v/>
      </c>
      <c r="L1211" s="395">
        <f>DATEVALUE(LEFT(F1211,10))</f>
        <v/>
      </c>
      <c r="M1211" s="396">
        <f>TIMEVALUE(MID(F1211,12,8))</f>
        <v/>
      </c>
      <c r="N1211" s="395">
        <f>DATEVALUE(LEFT(G1211,10))</f>
        <v/>
      </c>
      <c r="O1211" s="396">
        <f>TIMEVALUE(MID(G1211,12,8))</f>
        <v/>
      </c>
      <c r="P1211" s="396">
        <f>IFERROR(_xlfn.MINIFS($M:$M,$E:$E,$E1211,$K:$K,$K1211,$M:$M,"&gt;"&amp;$O1211),"")</f>
        <v/>
      </c>
      <c r="Q1211" s="396">
        <f>IF($P1211="","",$P1211-$O1211)</f>
        <v/>
      </c>
    </row>
    <row r="1212" ht="15" customHeight="1" s="231">
      <c r="A1212" s="397" t="n"/>
      <c r="B1212" s="397" t="n"/>
      <c r="C1212" s="397" t="n"/>
      <c r="D1212" s="397" t="n"/>
      <c r="E1212" s="397" t="n"/>
      <c r="F1212" s="397" t="n"/>
      <c r="G1212" s="397" t="n"/>
      <c r="I1212" s="397" t="n"/>
      <c r="J1212" s="397" t="n"/>
      <c r="K1212" s="395">
        <f>DATE(VALUE(LEFT(A1212,4)),VALUE(MID(A1212,5,2)),VALUE(RIGHT(A1212,2)))</f>
        <v/>
      </c>
      <c r="L1212" s="395">
        <f>DATEVALUE(LEFT(F1212,10))</f>
        <v/>
      </c>
      <c r="M1212" s="396">
        <f>TIMEVALUE(MID(F1212,12,8))</f>
        <v/>
      </c>
      <c r="N1212" s="395">
        <f>DATEVALUE(LEFT(G1212,10))</f>
        <v/>
      </c>
      <c r="O1212" s="396">
        <f>TIMEVALUE(MID(G1212,12,8))</f>
        <v/>
      </c>
      <c r="P1212" s="396">
        <f>IFERROR(_xlfn.MINIFS($M:$M,$E:$E,$E1212,$K:$K,$K1212,$M:$M,"&gt;"&amp;$O1212),"")</f>
        <v/>
      </c>
      <c r="Q1212" s="396">
        <f>IF($P1212="","",$P1212-$O1212)</f>
        <v/>
      </c>
    </row>
    <row r="1213" ht="15" customHeight="1" s="231">
      <c r="A1213" s="397" t="n"/>
      <c r="B1213" s="397" t="n"/>
      <c r="C1213" s="397" t="n"/>
      <c r="D1213" s="397" t="n"/>
      <c r="E1213" s="397" t="n"/>
      <c r="F1213" s="397" t="n"/>
      <c r="G1213" s="397" t="n"/>
      <c r="I1213" s="397" t="n"/>
      <c r="J1213" s="397" t="n"/>
      <c r="K1213" s="395">
        <f>DATE(VALUE(LEFT(A1213,4)),VALUE(MID(A1213,5,2)),VALUE(RIGHT(A1213,2)))</f>
        <v/>
      </c>
      <c r="L1213" s="395">
        <f>DATEVALUE(LEFT(F1213,10))</f>
        <v/>
      </c>
      <c r="M1213" s="396">
        <f>TIMEVALUE(MID(F1213,12,8))</f>
        <v/>
      </c>
      <c r="N1213" s="395">
        <f>DATEVALUE(LEFT(G1213,10))</f>
        <v/>
      </c>
      <c r="O1213" s="396">
        <f>TIMEVALUE(MID(G1213,12,8))</f>
        <v/>
      </c>
      <c r="P1213" s="396">
        <f>IFERROR(_xlfn.MINIFS($M:$M,$E:$E,$E1213,$K:$K,$K1213,$M:$M,"&gt;"&amp;$O1213),"")</f>
        <v/>
      </c>
      <c r="Q1213" s="396">
        <f>IF($P1213="","",$P1213-$O1213)</f>
        <v/>
      </c>
    </row>
    <row r="1214" ht="15" customHeight="1" s="231">
      <c r="A1214" s="397" t="n"/>
      <c r="B1214" s="397" t="n"/>
      <c r="C1214" s="397" t="n"/>
      <c r="D1214" s="397" t="n"/>
      <c r="E1214" s="397" t="n"/>
      <c r="F1214" s="397" t="n"/>
      <c r="G1214" s="397" t="n"/>
      <c r="I1214" s="397" t="n"/>
      <c r="J1214" s="397" t="n"/>
      <c r="K1214" s="395">
        <f>DATE(VALUE(LEFT(A1214,4)),VALUE(MID(A1214,5,2)),VALUE(RIGHT(A1214,2)))</f>
        <v/>
      </c>
      <c r="L1214" s="395">
        <f>DATEVALUE(LEFT(F1214,10))</f>
        <v/>
      </c>
      <c r="M1214" s="396">
        <f>TIMEVALUE(MID(F1214,12,8))</f>
        <v/>
      </c>
      <c r="N1214" s="395">
        <f>DATEVALUE(LEFT(G1214,10))</f>
        <v/>
      </c>
      <c r="O1214" s="396">
        <f>TIMEVALUE(MID(G1214,12,8))</f>
        <v/>
      </c>
      <c r="P1214" s="396">
        <f>IFERROR(_xlfn.MINIFS($M:$M,$E:$E,$E1214,$K:$K,$K1214,$M:$M,"&gt;"&amp;$O1214),"")</f>
        <v/>
      </c>
      <c r="Q1214" s="396">
        <f>IF($P1214="","",$P1214-$O1214)</f>
        <v/>
      </c>
    </row>
    <row r="1215" ht="15" customHeight="1" s="231">
      <c r="A1215" s="397" t="n"/>
      <c r="B1215" s="397" t="n"/>
      <c r="C1215" s="397" t="n"/>
      <c r="D1215" s="397" t="n"/>
      <c r="E1215" s="397" t="n"/>
      <c r="F1215" s="397" t="n"/>
      <c r="G1215" s="397" t="n"/>
      <c r="I1215" s="397" t="n"/>
      <c r="J1215" s="397" t="n"/>
      <c r="K1215" s="395">
        <f>DATE(VALUE(LEFT(A1215,4)),VALUE(MID(A1215,5,2)),VALUE(RIGHT(A1215,2)))</f>
        <v/>
      </c>
      <c r="L1215" s="395">
        <f>DATEVALUE(LEFT(F1215,10))</f>
        <v/>
      </c>
      <c r="M1215" s="396">
        <f>TIMEVALUE(MID(F1215,12,8))</f>
        <v/>
      </c>
      <c r="N1215" s="395">
        <f>DATEVALUE(LEFT(G1215,10))</f>
        <v/>
      </c>
      <c r="O1215" s="396">
        <f>TIMEVALUE(MID(G1215,12,8))</f>
        <v/>
      </c>
      <c r="P1215" s="396">
        <f>IFERROR(_xlfn.MINIFS($M:$M,$E:$E,$E1215,$K:$K,$K1215,$M:$M,"&gt;"&amp;$O1215),"")</f>
        <v/>
      </c>
      <c r="Q1215" s="396">
        <f>IF($P1215="","",$P1215-$O1215)</f>
        <v/>
      </c>
    </row>
    <row r="1216" ht="15" customHeight="1" s="231">
      <c r="A1216" s="397" t="n"/>
      <c r="B1216" s="397" t="n"/>
      <c r="C1216" s="397" t="n"/>
      <c r="D1216" s="397" t="n"/>
      <c r="E1216" s="397" t="n"/>
      <c r="F1216" s="397" t="n"/>
      <c r="G1216" s="397" t="n"/>
      <c r="I1216" s="397" t="n"/>
      <c r="J1216" s="397" t="n"/>
      <c r="K1216" s="395">
        <f>DATE(VALUE(LEFT(A1216,4)),VALUE(MID(A1216,5,2)),VALUE(RIGHT(A1216,2)))</f>
        <v/>
      </c>
      <c r="L1216" s="395">
        <f>DATEVALUE(LEFT(F1216,10))</f>
        <v/>
      </c>
      <c r="M1216" s="396">
        <f>TIMEVALUE(MID(F1216,12,8))</f>
        <v/>
      </c>
      <c r="N1216" s="395">
        <f>DATEVALUE(LEFT(G1216,10))</f>
        <v/>
      </c>
      <c r="O1216" s="396">
        <f>TIMEVALUE(MID(G1216,12,8))</f>
        <v/>
      </c>
      <c r="P1216" s="396">
        <f>IFERROR(_xlfn.MINIFS($M:$M,$E:$E,$E1216,$K:$K,$K1216,$M:$M,"&gt;"&amp;$O1216),"")</f>
        <v/>
      </c>
      <c r="Q1216" s="396">
        <f>IF($P1216="","",$P1216-$O1216)</f>
        <v/>
      </c>
    </row>
    <row r="1217" ht="15" customHeight="1" s="231">
      <c r="A1217" s="397" t="n"/>
      <c r="B1217" s="397" t="n"/>
      <c r="C1217" s="397" t="n"/>
      <c r="D1217" s="397" t="n"/>
      <c r="E1217" s="397" t="n"/>
      <c r="F1217" s="397" t="n"/>
      <c r="G1217" s="397" t="n"/>
      <c r="I1217" s="397" t="n"/>
      <c r="J1217" s="397" t="n"/>
      <c r="K1217" s="395">
        <f>DATE(VALUE(LEFT(A1217,4)),VALUE(MID(A1217,5,2)),VALUE(RIGHT(A1217,2)))</f>
        <v/>
      </c>
      <c r="L1217" s="395">
        <f>DATEVALUE(LEFT(F1217,10))</f>
        <v/>
      </c>
      <c r="M1217" s="396">
        <f>TIMEVALUE(MID(F1217,12,8))</f>
        <v/>
      </c>
      <c r="N1217" s="395">
        <f>DATEVALUE(LEFT(G1217,10))</f>
        <v/>
      </c>
      <c r="O1217" s="396">
        <f>TIMEVALUE(MID(G1217,12,8))</f>
        <v/>
      </c>
      <c r="P1217" s="396">
        <f>IFERROR(_xlfn.MINIFS($M:$M,$E:$E,$E1217,$K:$K,$K1217,$M:$M,"&gt;"&amp;$O1217),"")</f>
        <v/>
      </c>
      <c r="Q1217" s="396">
        <f>IF($P1217="","",$P1217-$O1217)</f>
        <v/>
      </c>
    </row>
    <row r="1218" ht="15" customHeight="1" s="231">
      <c r="A1218" s="397" t="n"/>
      <c r="B1218" s="397" t="n"/>
      <c r="C1218" s="397" t="n"/>
      <c r="D1218" s="397" t="n"/>
      <c r="E1218" s="397" t="n"/>
      <c r="F1218" s="397" t="n"/>
      <c r="G1218" s="397" t="n"/>
      <c r="I1218" s="397" t="n"/>
      <c r="J1218" s="397" t="n"/>
      <c r="K1218" s="395">
        <f>DATE(VALUE(LEFT(A1218,4)),VALUE(MID(A1218,5,2)),VALUE(RIGHT(A1218,2)))</f>
        <v/>
      </c>
      <c r="L1218" s="395">
        <f>DATEVALUE(LEFT(F1218,10))</f>
        <v/>
      </c>
      <c r="M1218" s="396">
        <f>TIMEVALUE(MID(F1218,12,8))</f>
        <v/>
      </c>
      <c r="N1218" s="395">
        <f>DATEVALUE(LEFT(G1218,10))</f>
        <v/>
      </c>
      <c r="O1218" s="396">
        <f>TIMEVALUE(MID(G1218,12,8))</f>
        <v/>
      </c>
      <c r="P1218" s="396">
        <f>IFERROR(_xlfn.MINIFS($M:$M,$E:$E,$E1218,$K:$K,$K1218,$M:$M,"&gt;"&amp;$O1218),"")</f>
        <v/>
      </c>
      <c r="Q1218" s="396">
        <f>IF($P1218="","",$P1218-$O1218)</f>
        <v/>
      </c>
    </row>
    <row r="1219" ht="15" customHeight="1" s="231">
      <c r="A1219" s="397" t="n"/>
      <c r="B1219" s="397" t="n"/>
      <c r="C1219" s="397" t="n"/>
      <c r="D1219" s="397" t="n"/>
      <c r="E1219" s="397" t="n"/>
      <c r="F1219" s="397" t="n"/>
      <c r="G1219" s="397" t="n"/>
      <c r="I1219" s="397" t="n"/>
      <c r="J1219" s="397" t="n"/>
      <c r="K1219" s="395">
        <f>DATE(VALUE(LEFT(A1219,4)),VALUE(MID(A1219,5,2)),VALUE(RIGHT(A1219,2)))</f>
        <v/>
      </c>
      <c r="L1219" s="395">
        <f>DATEVALUE(LEFT(F1219,10))</f>
        <v/>
      </c>
      <c r="M1219" s="396">
        <f>TIMEVALUE(MID(F1219,12,8))</f>
        <v/>
      </c>
      <c r="N1219" s="395">
        <f>DATEVALUE(LEFT(G1219,10))</f>
        <v/>
      </c>
      <c r="O1219" s="396">
        <f>TIMEVALUE(MID(G1219,12,8))</f>
        <v/>
      </c>
      <c r="P1219" s="396">
        <f>IFERROR(_xlfn.MINIFS($M:$M,$E:$E,$E1219,$K:$K,$K1219,$M:$M,"&gt;"&amp;$O1219),"")</f>
        <v/>
      </c>
      <c r="Q1219" s="396">
        <f>IF($P1219="","",$P1219-$O1219)</f>
        <v/>
      </c>
    </row>
    <row r="1220" ht="15" customHeight="1" s="231">
      <c r="A1220" s="397" t="n"/>
      <c r="B1220" s="397" t="n"/>
      <c r="C1220" s="397" t="n"/>
      <c r="D1220" s="397" t="n"/>
      <c r="E1220" s="397" t="n"/>
      <c r="F1220" s="397" t="n"/>
      <c r="G1220" s="397" t="n"/>
      <c r="I1220" s="397" t="n"/>
      <c r="J1220" s="397" t="n"/>
      <c r="K1220" s="395">
        <f>DATE(VALUE(LEFT(A1220,4)),VALUE(MID(A1220,5,2)),VALUE(RIGHT(A1220,2)))</f>
        <v/>
      </c>
      <c r="L1220" s="395">
        <f>DATEVALUE(LEFT(F1220,10))</f>
        <v/>
      </c>
      <c r="M1220" s="396">
        <f>TIMEVALUE(MID(F1220,12,8))</f>
        <v/>
      </c>
      <c r="N1220" s="395">
        <f>DATEVALUE(LEFT(G1220,10))</f>
        <v/>
      </c>
      <c r="O1220" s="396">
        <f>TIMEVALUE(MID(G1220,12,8))</f>
        <v/>
      </c>
      <c r="P1220" s="396">
        <f>IFERROR(_xlfn.MINIFS($M:$M,$E:$E,$E1220,$K:$K,$K1220,$M:$M,"&gt;"&amp;$O1220),"")</f>
        <v/>
      </c>
      <c r="Q1220" s="396">
        <f>IF($P1220="","",$P1220-$O1220)</f>
        <v/>
      </c>
    </row>
    <row r="1221" ht="15" customHeight="1" s="231">
      <c r="A1221" s="397" t="n"/>
      <c r="B1221" s="397" t="n"/>
      <c r="C1221" s="397" t="n"/>
      <c r="D1221" s="397" t="n"/>
      <c r="E1221" s="397" t="n"/>
      <c r="F1221" s="397" t="n"/>
      <c r="G1221" s="397" t="n"/>
      <c r="I1221" s="397" t="n"/>
      <c r="J1221" s="397" t="n"/>
      <c r="K1221" s="395">
        <f>DATE(VALUE(LEFT(A1221,4)),VALUE(MID(A1221,5,2)),VALUE(RIGHT(A1221,2)))</f>
        <v/>
      </c>
      <c r="L1221" s="395">
        <f>DATEVALUE(LEFT(F1221,10))</f>
        <v/>
      </c>
      <c r="M1221" s="396">
        <f>TIMEVALUE(MID(F1221,12,8))</f>
        <v/>
      </c>
      <c r="N1221" s="395">
        <f>DATEVALUE(LEFT(G1221,10))</f>
        <v/>
      </c>
      <c r="O1221" s="396">
        <f>TIMEVALUE(MID(G1221,12,8))</f>
        <v/>
      </c>
      <c r="P1221" s="396">
        <f>IFERROR(_xlfn.MINIFS($M:$M,$E:$E,$E1221,$K:$K,$K1221,$M:$M,"&gt;"&amp;$O1221),"")</f>
        <v/>
      </c>
      <c r="Q1221" s="396">
        <f>IF($P1221="","",$P1221-$O1221)</f>
        <v/>
      </c>
    </row>
    <row r="1222" ht="15" customHeight="1" s="231">
      <c r="A1222" s="397" t="n"/>
      <c r="B1222" s="397" t="n"/>
      <c r="C1222" s="397" t="n"/>
      <c r="D1222" s="397" t="n"/>
      <c r="E1222" s="397" t="n"/>
      <c r="F1222" s="397" t="n"/>
      <c r="G1222" s="397" t="n"/>
      <c r="I1222" s="397" t="n"/>
      <c r="J1222" s="397" t="n"/>
      <c r="K1222" s="395">
        <f>DATE(VALUE(LEFT(A1222,4)),VALUE(MID(A1222,5,2)),VALUE(RIGHT(A1222,2)))</f>
        <v/>
      </c>
      <c r="L1222" s="395">
        <f>DATEVALUE(LEFT(F1222,10))</f>
        <v/>
      </c>
      <c r="M1222" s="396">
        <f>TIMEVALUE(MID(F1222,12,8))</f>
        <v/>
      </c>
      <c r="N1222" s="395">
        <f>DATEVALUE(LEFT(G1222,10))</f>
        <v/>
      </c>
      <c r="O1222" s="396">
        <f>TIMEVALUE(MID(G1222,12,8))</f>
        <v/>
      </c>
      <c r="P1222" s="396">
        <f>IFERROR(_xlfn.MINIFS($M:$M,$E:$E,$E1222,$K:$K,$K1222,$M:$M,"&gt;"&amp;$O1222),"")</f>
        <v/>
      </c>
      <c r="Q1222" s="396">
        <f>IF($P1222="","",$P1222-$O1222)</f>
        <v/>
      </c>
    </row>
    <row r="1223" ht="15" customHeight="1" s="231">
      <c r="A1223" s="397" t="n"/>
      <c r="B1223" s="397" t="n"/>
      <c r="C1223" s="397" t="n"/>
      <c r="D1223" s="397" t="n"/>
      <c r="E1223" s="397" t="n"/>
      <c r="F1223" s="397" t="n"/>
      <c r="G1223" s="397" t="n"/>
      <c r="I1223" s="397" t="n"/>
      <c r="J1223" s="397" t="n"/>
      <c r="K1223" s="395">
        <f>DATE(VALUE(LEFT(A1223,4)),VALUE(MID(A1223,5,2)),VALUE(RIGHT(A1223,2)))</f>
        <v/>
      </c>
      <c r="L1223" s="395">
        <f>DATEVALUE(LEFT(F1223,10))</f>
        <v/>
      </c>
      <c r="M1223" s="396">
        <f>TIMEVALUE(MID(F1223,12,8))</f>
        <v/>
      </c>
      <c r="N1223" s="395">
        <f>DATEVALUE(LEFT(G1223,10))</f>
        <v/>
      </c>
      <c r="O1223" s="396">
        <f>TIMEVALUE(MID(G1223,12,8))</f>
        <v/>
      </c>
      <c r="P1223" s="396">
        <f>IFERROR(_xlfn.MINIFS($M:$M,$E:$E,$E1223,$K:$K,$K1223,$M:$M,"&gt;"&amp;$O1223),"")</f>
        <v/>
      </c>
      <c r="Q1223" s="396">
        <f>IF($P1223="","",$P1223-$O1223)</f>
        <v/>
      </c>
    </row>
    <row r="1224" ht="15" customHeight="1" s="231">
      <c r="A1224" s="397" t="n"/>
      <c r="B1224" s="397" t="n"/>
      <c r="C1224" s="397" t="n"/>
      <c r="D1224" s="397" t="n"/>
      <c r="E1224" s="397" t="n"/>
      <c r="F1224" s="397" t="n"/>
      <c r="G1224" s="397" t="n"/>
      <c r="I1224" s="397" t="n"/>
      <c r="J1224" s="397" t="n"/>
      <c r="K1224" s="395">
        <f>DATE(VALUE(LEFT(A1224,4)),VALUE(MID(A1224,5,2)),VALUE(RIGHT(A1224,2)))</f>
        <v/>
      </c>
      <c r="L1224" s="395">
        <f>DATEVALUE(LEFT(F1224,10))</f>
        <v/>
      </c>
      <c r="M1224" s="396">
        <f>TIMEVALUE(MID(F1224,12,8))</f>
        <v/>
      </c>
      <c r="N1224" s="395">
        <f>DATEVALUE(LEFT(G1224,10))</f>
        <v/>
      </c>
      <c r="O1224" s="396">
        <f>TIMEVALUE(MID(G1224,12,8))</f>
        <v/>
      </c>
      <c r="P1224" s="396">
        <f>IFERROR(_xlfn.MINIFS($M:$M,$E:$E,$E1224,$K:$K,$K1224,$M:$M,"&gt;"&amp;$O1224),"")</f>
        <v/>
      </c>
      <c r="Q1224" s="396">
        <f>IF($P1224="","",$P1224-$O1224)</f>
        <v/>
      </c>
    </row>
    <row r="1225" ht="15" customHeight="1" s="231">
      <c r="A1225" s="397" t="n"/>
      <c r="B1225" s="397" t="n"/>
      <c r="C1225" s="397" t="n"/>
      <c r="D1225" s="397" t="n"/>
      <c r="E1225" s="397" t="n"/>
      <c r="F1225" s="397" t="n"/>
      <c r="G1225" s="397" t="n"/>
      <c r="I1225" s="397" t="n"/>
      <c r="J1225" s="397" t="n"/>
      <c r="K1225" s="395">
        <f>DATE(VALUE(LEFT(A1225,4)),VALUE(MID(A1225,5,2)),VALUE(RIGHT(A1225,2)))</f>
        <v/>
      </c>
      <c r="L1225" s="395">
        <f>DATEVALUE(LEFT(F1225,10))</f>
        <v/>
      </c>
      <c r="M1225" s="396">
        <f>TIMEVALUE(MID(F1225,12,8))</f>
        <v/>
      </c>
      <c r="N1225" s="395">
        <f>DATEVALUE(LEFT(G1225,10))</f>
        <v/>
      </c>
      <c r="O1225" s="396">
        <f>TIMEVALUE(MID(G1225,12,8))</f>
        <v/>
      </c>
      <c r="P1225" s="396">
        <f>IFERROR(_xlfn.MINIFS($M:$M,$E:$E,$E1225,$K:$K,$K1225,$M:$M,"&gt;"&amp;$O1225),"")</f>
        <v/>
      </c>
      <c r="Q1225" s="396">
        <f>IF($P1225="","",$P1225-$O1225)</f>
        <v/>
      </c>
    </row>
    <row r="1226" ht="15" customHeight="1" s="231">
      <c r="A1226" s="397" t="n"/>
      <c r="B1226" s="397" t="n"/>
      <c r="C1226" s="397" t="n"/>
      <c r="D1226" s="397" t="n"/>
      <c r="E1226" s="397" t="n"/>
      <c r="F1226" s="397" t="n"/>
      <c r="G1226" s="397" t="n"/>
      <c r="I1226" s="397" t="n"/>
      <c r="J1226" s="397" t="n"/>
      <c r="K1226" s="395">
        <f>DATE(VALUE(LEFT(A1226,4)),VALUE(MID(A1226,5,2)),VALUE(RIGHT(A1226,2)))</f>
        <v/>
      </c>
      <c r="L1226" s="395">
        <f>DATEVALUE(LEFT(F1226,10))</f>
        <v/>
      </c>
      <c r="M1226" s="396">
        <f>TIMEVALUE(MID(F1226,12,8))</f>
        <v/>
      </c>
      <c r="N1226" s="395">
        <f>DATEVALUE(LEFT(G1226,10))</f>
        <v/>
      </c>
      <c r="O1226" s="396">
        <f>TIMEVALUE(MID(G1226,12,8))</f>
        <v/>
      </c>
      <c r="P1226" s="396">
        <f>IFERROR(_xlfn.MINIFS($M:$M,$E:$E,$E1226,$K:$K,$K1226,$M:$M,"&gt;"&amp;$O1226),"")</f>
        <v/>
      </c>
      <c r="Q1226" s="396">
        <f>IF($P1226="","",$P1226-$O1226)</f>
        <v/>
      </c>
    </row>
    <row r="1227" ht="15" customHeight="1" s="231">
      <c r="A1227" s="397" t="n"/>
      <c r="B1227" s="397" t="n"/>
      <c r="C1227" s="397" t="n"/>
      <c r="D1227" s="397" t="n"/>
      <c r="E1227" s="397" t="n"/>
      <c r="F1227" s="397" t="n"/>
      <c r="G1227" s="397" t="n"/>
      <c r="I1227" s="397" t="n"/>
      <c r="J1227" s="397" t="n"/>
      <c r="K1227" s="395">
        <f>DATE(VALUE(LEFT(A1227,4)),VALUE(MID(A1227,5,2)),VALUE(RIGHT(A1227,2)))</f>
        <v/>
      </c>
      <c r="L1227" s="395">
        <f>DATEVALUE(LEFT(F1227,10))</f>
        <v/>
      </c>
      <c r="M1227" s="396">
        <f>TIMEVALUE(MID(F1227,12,8))</f>
        <v/>
      </c>
      <c r="N1227" s="395">
        <f>DATEVALUE(LEFT(G1227,10))</f>
        <v/>
      </c>
      <c r="O1227" s="396">
        <f>TIMEVALUE(MID(G1227,12,8))</f>
        <v/>
      </c>
      <c r="P1227" s="396">
        <f>IFERROR(_xlfn.MINIFS($M:$M,$E:$E,$E1227,$K:$K,$K1227,$M:$M,"&gt;"&amp;$O1227),"")</f>
        <v/>
      </c>
      <c r="Q1227" s="396">
        <f>IF($P1227="","",$P1227-$O1227)</f>
        <v/>
      </c>
    </row>
    <row r="1228" ht="15" customHeight="1" s="231">
      <c r="A1228" s="397" t="n"/>
      <c r="B1228" s="397" t="n"/>
      <c r="C1228" s="397" t="n"/>
      <c r="D1228" s="397" t="n"/>
      <c r="E1228" s="397" t="n"/>
      <c r="F1228" s="397" t="n"/>
      <c r="G1228" s="397" t="n"/>
      <c r="I1228" s="397" t="n"/>
      <c r="J1228" s="397" t="n"/>
      <c r="K1228" s="395">
        <f>DATE(VALUE(LEFT(A1228,4)),VALUE(MID(A1228,5,2)),VALUE(RIGHT(A1228,2)))</f>
        <v/>
      </c>
      <c r="L1228" s="395">
        <f>DATEVALUE(LEFT(F1228,10))</f>
        <v/>
      </c>
      <c r="M1228" s="396">
        <f>TIMEVALUE(MID(F1228,12,8))</f>
        <v/>
      </c>
      <c r="N1228" s="395">
        <f>DATEVALUE(LEFT(G1228,10))</f>
        <v/>
      </c>
      <c r="O1228" s="396">
        <f>TIMEVALUE(MID(G1228,12,8))</f>
        <v/>
      </c>
      <c r="P1228" s="396">
        <f>IFERROR(_xlfn.MINIFS($M:$M,$E:$E,$E1228,$K:$K,$K1228,$M:$M,"&gt;"&amp;$O1228),"")</f>
        <v/>
      </c>
      <c r="Q1228" s="396">
        <f>IF($P1228="","",$P1228-$O1228)</f>
        <v/>
      </c>
    </row>
    <row r="1229" ht="15" customHeight="1" s="231">
      <c r="A1229" s="397" t="n"/>
      <c r="B1229" s="397" t="n"/>
      <c r="C1229" s="397" t="n"/>
      <c r="D1229" s="397" t="n"/>
      <c r="E1229" s="397" t="n"/>
      <c r="F1229" s="397" t="n"/>
      <c r="G1229" s="397" t="n"/>
      <c r="I1229" s="397" t="n"/>
      <c r="J1229" s="397" t="n"/>
      <c r="K1229" s="395">
        <f>DATE(VALUE(LEFT(A1229,4)),VALUE(MID(A1229,5,2)),VALUE(RIGHT(A1229,2)))</f>
        <v/>
      </c>
      <c r="L1229" s="395">
        <f>DATEVALUE(LEFT(F1229,10))</f>
        <v/>
      </c>
      <c r="M1229" s="396">
        <f>TIMEVALUE(MID(F1229,12,8))</f>
        <v/>
      </c>
      <c r="N1229" s="395">
        <f>DATEVALUE(LEFT(G1229,10))</f>
        <v/>
      </c>
      <c r="O1229" s="396">
        <f>TIMEVALUE(MID(G1229,12,8))</f>
        <v/>
      </c>
      <c r="P1229" s="396">
        <f>IFERROR(_xlfn.MINIFS($M:$M,$E:$E,$E1229,$K:$K,$K1229,$M:$M,"&gt;"&amp;$O1229),"")</f>
        <v/>
      </c>
      <c r="Q1229" s="396">
        <f>IF($P1229="","",$P1229-$O1229)</f>
        <v/>
      </c>
    </row>
    <row r="1230" ht="15" customHeight="1" s="231">
      <c r="A1230" s="397" t="n"/>
      <c r="B1230" s="397" t="n"/>
      <c r="C1230" s="397" t="n"/>
      <c r="D1230" s="397" t="n"/>
      <c r="E1230" s="397" t="n"/>
      <c r="F1230" s="397" t="n"/>
      <c r="G1230" s="397" t="n"/>
      <c r="I1230" s="397" t="n"/>
      <c r="J1230" s="397" t="n"/>
      <c r="K1230" s="395">
        <f>DATE(VALUE(LEFT(A1230,4)),VALUE(MID(A1230,5,2)),VALUE(RIGHT(A1230,2)))</f>
        <v/>
      </c>
      <c r="L1230" s="395">
        <f>DATEVALUE(LEFT(F1230,10))</f>
        <v/>
      </c>
      <c r="M1230" s="396">
        <f>TIMEVALUE(MID(F1230,12,8))</f>
        <v/>
      </c>
      <c r="N1230" s="395">
        <f>DATEVALUE(LEFT(G1230,10))</f>
        <v/>
      </c>
      <c r="O1230" s="396">
        <f>TIMEVALUE(MID(G1230,12,8))</f>
        <v/>
      </c>
      <c r="P1230" s="396">
        <f>IFERROR(_xlfn.MINIFS($M:$M,$E:$E,$E1230,$K:$K,$K1230,$M:$M,"&gt;"&amp;$O1230),"")</f>
        <v/>
      </c>
      <c r="Q1230" s="396">
        <f>IF($P1230="","",$P1230-$O1230)</f>
        <v/>
      </c>
    </row>
    <row r="1231" ht="15" customHeight="1" s="231">
      <c r="A1231" s="397" t="n"/>
      <c r="B1231" s="397" t="n"/>
      <c r="C1231" s="397" t="n"/>
      <c r="D1231" s="397" t="n"/>
      <c r="E1231" s="397" t="n"/>
      <c r="F1231" s="397" t="n"/>
      <c r="G1231" s="397" t="n"/>
      <c r="I1231" s="397" t="n"/>
      <c r="J1231" s="397" t="n"/>
      <c r="K1231" s="395">
        <f>DATE(VALUE(LEFT(A1231,4)),VALUE(MID(A1231,5,2)),VALUE(RIGHT(A1231,2)))</f>
        <v/>
      </c>
      <c r="L1231" s="395">
        <f>DATEVALUE(LEFT(F1231,10))</f>
        <v/>
      </c>
      <c r="M1231" s="396">
        <f>TIMEVALUE(MID(F1231,12,8))</f>
        <v/>
      </c>
      <c r="N1231" s="395">
        <f>DATEVALUE(LEFT(G1231,10))</f>
        <v/>
      </c>
      <c r="O1231" s="396">
        <f>TIMEVALUE(MID(G1231,12,8))</f>
        <v/>
      </c>
      <c r="P1231" s="396">
        <f>IFERROR(_xlfn.MINIFS($M:$M,$E:$E,$E1231,$K:$K,$K1231,$M:$M,"&gt;"&amp;$O1231),"")</f>
        <v/>
      </c>
      <c r="Q1231" s="396">
        <f>IF($P1231="","",$P1231-$O1231)</f>
        <v/>
      </c>
    </row>
    <row r="1232" ht="15" customHeight="1" s="231">
      <c r="A1232" s="397" t="n"/>
      <c r="B1232" s="397" t="n"/>
      <c r="C1232" s="397" t="n"/>
      <c r="D1232" s="397" t="n"/>
      <c r="E1232" s="397" t="n"/>
      <c r="F1232" s="397" t="n"/>
      <c r="G1232" s="397" t="n"/>
      <c r="I1232" s="397" t="n"/>
      <c r="J1232" s="397" t="n"/>
      <c r="K1232" s="395">
        <f>DATE(VALUE(LEFT(A1232,4)),VALUE(MID(A1232,5,2)),VALUE(RIGHT(A1232,2)))</f>
        <v/>
      </c>
      <c r="L1232" s="395">
        <f>DATEVALUE(LEFT(F1232,10))</f>
        <v/>
      </c>
      <c r="M1232" s="396">
        <f>TIMEVALUE(MID(F1232,12,8))</f>
        <v/>
      </c>
      <c r="N1232" s="395">
        <f>DATEVALUE(LEFT(G1232,10))</f>
        <v/>
      </c>
      <c r="O1232" s="396">
        <f>TIMEVALUE(MID(G1232,12,8))</f>
        <v/>
      </c>
      <c r="P1232" s="396">
        <f>IFERROR(_xlfn.MINIFS($M:$M,$E:$E,$E1232,$K:$K,$K1232,$M:$M,"&gt;"&amp;$O1232),"")</f>
        <v/>
      </c>
      <c r="Q1232" s="396">
        <f>IF($P1232="","",$P1232-$O1232)</f>
        <v/>
      </c>
    </row>
    <row r="1233" ht="15" customHeight="1" s="231">
      <c r="A1233" s="397" t="n"/>
      <c r="B1233" s="397" t="n"/>
      <c r="C1233" s="397" t="n"/>
      <c r="D1233" s="397" t="n"/>
      <c r="E1233" s="397" t="n"/>
      <c r="F1233" s="397" t="n"/>
      <c r="G1233" s="397" t="n"/>
      <c r="I1233" s="397" t="n"/>
      <c r="J1233" s="397" t="n"/>
      <c r="K1233" s="395">
        <f>DATE(VALUE(LEFT(A1233,4)),VALUE(MID(A1233,5,2)),VALUE(RIGHT(A1233,2)))</f>
        <v/>
      </c>
      <c r="L1233" s="395">
        <f>DATEVALUE(LEFT(F1233,10))</f>
        <v/>
      </c>
      <c r="M1233" s="396">
        <f>TIMEVALUE(MID(F1233,12,8))</f>
        <v/>
      </c>
      <c r="N1233" s="395">
        <f>DATEVALUE(LEFT(G1233,10))</f>
        <v/>
      </c>
      <c r="O1233" s="396">
        <f>TIMEVALUE(MID(G1233,12,8))</f>
        <v/>
      </c>
      <c r="P1233" s="396">
        <f>IFERROR(_xlfn.MINIFS($M:$M,$E:$E,$E1233,$K:$K,$K1233,$M:$M,"&gt;"&amp;$O1233),"")</f>
        <v/>
      </c>
      <c r="Q1233" s="396">
        <f>IF($P1233="","",$P1233-$O1233)</f>
        <v/>
      </c>
    </row>
    <row r="1234" ht="15" customHeight="1" s="231">
      <c r="A1234" s="397" t="n"/>
      <c r="B1234" s="397" t="n"/>
      <c r="C1234" s="397" t="n"/>
      <c r="D1234" s="397" t="n"/>
      <c r="E1234" s="397" t="n"/>
      <c r="F1234" s="397" t="n"/>
      <c r="G1234" s="397" t="n"/>
      <c r="I1234" s="397" t="n"/>
      <c r="J1234" s="397" t="n"/>
      <c r="K1234" s="395">
        <f>DATE(VALUE(LEFT(A1234,4)),VALUE(MID(A1234,5,2)),VALUE(RIGHT(A1234,2)))</f>
        <v/>
      </c>
      <c r="L1234" s="395">
        <f>DATEVALUE(LEFT(F1234,10))</f>
        <v/>
      </c>
      <c r="M1234" s="396">
        <f>TIMEVALUE(MID(F1234,12,8))</f>
        <v/>
      </c>
      <c r="N1234" s="395">
        <f>DATEVALUE(LEFT(G1234,10))</f>
        <v/>
      </c>
      <c r="O1234" s="396">
        <f>TIMEVALUE(MID(G1234,12,8))</f>
        <v/>
      </c>
      <c r="P1234" s="396">
        <f>IFERROR(_xlfn.MINIFS($M:$M,$E:$E,$E1234,$K:$K,$K1234,$M:$M,"&gt;"&amp;$O1234),"")</f>
        <v/>
      </c>
      <c r="Q1234" s="396">
        <f>IF($P1234="","",$P1234-$O1234)</f>
        <v/>
      </c>
    </row>
    <row r="1235" ht="15" customHeight="1" s="231">
      <c r="A1235" s="397" t="n"/>
      <c r="B1235" s="397" t="n"/>
      <c r="C1235" s="397" t="n"/>
      <c r="D1235" s="397" t="n"/>
      <c r="E1235" s="397" t="n"/>
      <c r="F1235" s="397" t="n"/>
      <c r="G1235" s="397" t="n"/>
      <c r="I1235" s="397" t="n"/>
      <c r="J1235" s="397" t="n"/>
      <c r="K1235" s="395">
        <f>DATE(VALUE(LEFT(A1235,4)),VALUE(MID(A1235,5,2)),VALUE(RIGHT(A1235,2)))</f>
        <v/>
      </c>
      <c r="L1235" s="395">
        <f>DATEVALUE(LEFT(F1235,10))</f>
        <v/>
      </c>
      <c r="M1235" s="396">
        <f>TIMEVALUE(MID(F1235,12,8))</f>
        <v/>
      </c>
      <c r="N1235" s="395">
        <f>DATEVALUE(LEFT(G1235,10))</f>
        <v/>
      </c>
      <c r="O1235" s="396">
        <f>TIMEVALUE(MID(G1235,12,8))</f>
        <v/>
      </c>
      <c r="P1235" s="396">
        <f>IFERROR(_xlfn.MINIFS($M:$M,$E:$E,$E1235,$K:$K,$K1235,$M:$M,"&gt;"&amp;$O1235),"")</f>
        <v/>
      </c>
      <c r="Q1235" s="396">
        <f>IF($P1235="","",$P1235-$O1235)</f>
        <v/>
      </c>
    </row>
    <row r="1236" ht="15" customHeight="1" s="231">
      <c r="A1236" s="397" t="n"/>
      <c r="B1236" s="397" t="n"/>
      <c r="C1236" s="397" t="n"/>
      <c r="D1236" s="397" t="n"/>
      <c r="E1236" s="397" t="n"/>
      <c r="F1236" s="397" t="n"/>
      <c r="G1236" s="397" t="n"/>
      <c r="I1236" s="397" t="n"/>
      <c r="J1236" s="397" t="n"/>
      <c r="K1236" s="395">
        <f>DATE(VALUE(LEFT(A1236,4)),VALUE(MID(A1236,5,2)),VALUE(RIGHT(A1236,2)))</f>
        <v/>
      </c>
      <c r="L1236" s="395">
        <f>DATEVALUE(LEFT(F1236,10))</f>
        <v/>
      </c>
      <c r="M1236" s="396">
        <f>TIMEVALUE(MID(F1236,12,8))</f>
        <v/>
      </c>
      <c r="N1236" s="395">
        <f>DATEVALUE(LEFT(G1236,10))</f>
        <v/>
      </c>
      <c r="O1236" s="396">
        <f>TIMEVALUE(MID(G1236,12,8))</f>
        <v/>
      </c>
      <c r="P1236" s="396">
        <f>IFERROR(_xlfn.MINIFS($M:$M,$E:$E,$E1236,$K:$K,$K1236,$M:$M,"&gt;"&amp;$O1236),"")</f>
        <v/>
      </c>
      <c r="Q1236" s="396">
        <f>IF($P1236="","",$P1236-$O1236)</f>
        <v/>
      </c>
    </row>
    <row r="1237" ht="15" customHeight="1" s="231">
      <c r="A1237" s="397" t="n"/>
      <c r="B1237" s="397" t="n"/>
      <c r="C1237" s="397" t="n"/>
      <c r="D1237" s="397" t="n"/>
      <c r="E1237" s="397" t="n"/>
      <c r="F1237" s="397" t="n"/>
      <c r="G1237" s="397" t="n"/>
      <c r="I1237" s="397" t="n"/>
      <c r="J1237" s="397" t="n"/>
      <c r="K1237" s="395">
        <f>DATE(VALUE(LEFT(A1237,4)),VALUE(MID(A1237,5,2)),VALUE(RIGHT(A1237,2)))</f>
        <v/>
      </c>
      <c r="L1237" s="395">
        <f>DATEVALUE(LEFT(F1237,10))</f>
        <v/>
      </c>
      <c r="M1237" s="396">
        <f>TIMEVALUE(MID(F1237,12,8))</f>
        <v/>
      </c>
      <c r="N1237" s="395">
        <f>DATEVALUE(LEFT(G1237,10))</f>
        <v/>
      </c>
      <c r="O1237" s="396">
        <f>TIMEVALUE(MID(G1237,12,8))</f>
        <v/>
      </c>
      <c r="P1237" s="396">
        <f>IFERROR(_xlfn.MINIFS($M:$M,$E:$E,$E1237,$K:$K,$K1237,$M:$M,"&gt;"&amp;$O1237),"")</f>
        <v/>
      </c>
      <c r="Q1237" s="396">
        <f>IF($P1237="","",$P1237-$O1237)</f>
        <v/>
      </c>
    </row>
    <row r="1238" ht="15" customHeight="1" s="231">
      <c r="A1238" s="397" t="n"/>
      <c r="B1238" s="397" t="n"/>
      <c r="C1238" s="397" t="n"/>
      <c r="D1238" s="397" t="n"/>
      <c r="E1238" s="397" t="n"/>
      <c r="F1238" s="397" t="n"/>
      <c r="G1238" s="397" t="n"/>
      <c r="I1238" s="397" t="n"/>
      <c r="J1238" s="397" t="n"/>
      <c r="K1238" s="395">
        <f>DATE(VALUE(LEFT(A1238,4)),VALUE(MID(A1238,5,2)),VALUE(RIGHT(A1238,2)))</f>
        <v/>
      </c>
      <c r="L1238" s="395">
        <f>DATEVALUE(LEFT(F1238,10))</f>
        <v/>
      </c>
      <c r="M1238" s="396">
        <f>TIMEVALUE(MID(F1238,12,8))</f>
        <v/>
      </c>
      <c r="N1238" s="395">
        <f>DATEVALUE(LEFT(G1238,10))</f>
        <v/>
      </c>
      <c r="O1238" s="396">
        <f>TIMEVALUE(MID(G1238,12,8))</f>
        <v/>
      </c>
      <c r="P1238" s="396">
        <f>IFERROR(_xlfn.MINIFS($M:$M,$E:$E,$E1238,$K:$K,$K1238,$M:$M,"&gt;"&amp;$O1238),"")</f>
        <v/>
      </c>
      <c r="Q1238" s="396">
        <f>IF($P1238="","",$P1238-$O1238)</f>
        <v/>
      </c>
    </row>
    <row r="1239" ht="15" customHeight="1" s="231">
      <c r="A1239" s="397" t="n"/>
      <c r="B1239" s="397" t="n"/>
      <c r="C1239" s="397" t="n"/>
      <c r="D1239" s="397" t="n"/>
      <c r="E1239" s="397" t="n"/>
      <c r="F1239" s="397" t="n"/>
      <c r="G1239" s="397" t="n"/>
      <c r="I1239" s="397" t="n"/>
      <c r="J1239" s="397" t="n"/>
      <c r="K1239" s="395">
        <f>DATE(VALUE(LEFT(A1239,4)),VALUE(MID(A1239,5,2)),VALUE(RIGHT(A1239,2)))</f>
        <v/>
      </c>
      <c r="L1239" s="395">
        <f>DATEVALUE(LEFT(F1239,10))</f>
        <v/>
      </c>
      <c r="M1239" s="396">
        <f>TIMEVALUE(MID(F1239,12,8))</f>
        <v/>
      </c>
      <c r="N1239" s="395">
        <f>DATEVALUE(LEFT(G1239,10))</f>
        <v/>
      </c>
      <c r="O1239" s="396">
        <f>TIMEVALUE(MID(G1239,12,8))</f>
        <v/>
      </c>
      <c r="P1239" s="396">
        <f>IFERROR(_xlfn.MINIFS($M:$M,$E:$E,$E1239,$K:$K,$K1239,$M:$M,"&gt;"&amp;$O1239),"")</f>
        <v/>
      </c>
      <c r="Q1239" s="396">
        <f>IF($P1239="","",$P1239-$O1239)</f>
        <v/>
      </c>
    </row>
    <row r="1240" ht="15" customHeight="1" s="231">
      <c r="A1240" s="397" t="n"/>
      <c r="B1240" s="397" t="n"/>
      <c r="C1240" s="397" t="n"/>
      <c r="D1240" s="397" t="n"/>
      <c r="E1240" s="397" t="n"/>
      <c r="F1240" s="397" t="n"/>
      <c r="G1240" s="397" t="n"/>
      <c r="I1240" s="397" t="n"/>
      <c r="J1240" s="397" t="n"/>
      <c r="K1240" s="395">
        <f>DATE(VALUE(LEFT(A1240,4)),VALUE(MID(A1240,5,2)),VALUE(RIGHT(A1240,2)))</f>
        <v/>
      </c>
      <c r="L1240" s="395">
        <f>DATEVALUE(LEFT(F1240,10))</f>
        <v/>
      </c>
      <c r="M1240" s="396">
        <f>TIMEVALUE(MID(F1240,12,8))</f>
        <v/>
      </c>
      <c r="N1240" s="395">
        <f>DATEVALUE(LEFT(G1240,10))</f>
        <v/>
      </c>
      <c r="O1240" s="396">
        <f>TIMEVALUE(MID(G1240,12,8))</f>
        <v/>
      </c>
      <c r="P1240" s="396">
        <f>IFERROR(_xlfn.MINIFS($M:$M,$E:$E,$E1240,$K:$K,$K1240,$M:$M,"&gt;"&amp;$O1240),"")</f>
        <v/>
      </c>
      <c r="Q1240" s="396">
        <f>IF($P1240="","",$P1240-$O1240)</f>
        <v/>
      </c>
    </row>
    <row r="1241" ht="15" customHeight="1" s="231">
      <c r="A1241" s="397" t="n"/>
      <c r="B1241" s="397" t="n"/>
      <c r="C1241" s="397" t="n"/>
      <c r="D1241" s="397" t="n"/>
      <c r="E1241" s="397" t="n"/>
      <c r="F1241" s="397" t="n"/>
      <c r="G1241" s="397" t="n"/>
      <c r="I1241" s="397" t="n"/>
      <c r="J1241" s="397" t="n"/>
      <c r="K1241" s="395">
        <f>DATE(VALUE(LEFT(A1241,4)),VALUE(MID(A1241,5,2)),VALUE(RIGHT(A1241,2)))</f>
        <v/>
      </c>
      <c r="L1241" s="395">
        <f>DATEVALUE(LEFT(F1241,10))</f>
        <v/>
      </c>
      <c r="M1241" s="396">
        <f>TIMEVALUE(MID(F1241,12,8))</f>
        <v/>
      </c>
      <c r="N1241" s="395">
        <f>DATEVALUE(LEFT(G1241,10))</f>
        <v/>
      </c>
      <c r="O1241" s="396">
        <f>TIMEVALUE(MID(G1241,12,8))</f>
        <v/>
      </c>
      <c r="P1241" s="396">
        <f>IFERROR(_xlfn.MINIFS($M:$M,$E:$E,$E1241,$K:$K,$K1241,$M:$M,"&gt;"&amp;$O1241),"")</f>
        <v/>
      </c>
      <c r="Q1241" s="396">
        <f>IF($P1241="","",$P1241-$O1241)</f>
        <v/>
      </c>
    </row>
    <row r="1242" ht="15" customHeight="1" s="231">
      <c r="A1242" s="397" t="n"/>
      <c r="B1242" s="397" t="n"/>
      <c r="C1242" s="397" t="n"/>
      <c r="D1242" s="397" t="n"/>
      <c r="E1242" s="397" t="n"/>
      <c r="F1242" s="397" t="n"/>
      <c r="G1242" s="397" t="n"/>
      <c r="I1242" s="397" t="n"/>
      <c r="J1242" s="397" t="n"/>
      <c r="K1242" s="395">
        <f>DATE(VALUE(LEFT(A1242,4)),VALUE(MID(A1242,5,2)),VALUE(RIGHT(A1242,2)))</f>
        <v/>
      </c>
      <c r="L1242" s="395">
        <f>DATEVALUE(LEFT(F1242,10))</f>
        <v/>
      </c>
      <c r="M1242" s="396">
        <f>TIMEVALUE(MID(F1242,12,8))</f>
        <v/>
      </c>
      <c r="N1242" s="395">
        <f>DATEVALUE(LEFT(G1242,10))</f>
        <v/>
      </c>
      <c r="O1242" s="396">
        <f>TIMEVALUE(MID(G1242,12,8))</f>
        <v/>
      </c>
      <c r="P1242" s="396">
        <f>IFERROR(_xlfn.MINIFS($M:$M,$E:$E,$E1242,$K:$K,$K1242,$M:$M,"&gt;"&amp;$O1242),"")</f>
        <v/>
      </c>
      <c r="Q1242" s="396">
        <f>IF($P1242="","",$P1242-$O1242)</f>
        <v/>
      </c>
    </row>
    <row r="1243" ht="15" customHeight="1" s="231">
      <c r="A1243" s="397" t="n"/>
      <c r="B1243" s="397" t="n"/>
      <c r="C1243" s="397" t="n"/>
      <c r="D1243" s="397" t="n"/>
      <c r="E1243" s="397" t="n"/>
      <c r="F1243" s="397" t="n"/>
      <c r="G1243" s="397" t="n"/>
      <c r="I1243" s="397" t="n"/>
      <c r="J1243" s="397" t="n"/>
      <c r="K1243" s="395">
        <f>DATE(VALUE(LEFT(A1243,4)),VALUE(MID(A1243,5,2)),VALUE(RIGHT(A1243,2)))</f>
        <v/>
      </c>
      <c r="L1243" s="395">
        <f>DATEVALUE(LEFT(F1243,10))</f>
        <v/>
      </c>
      <c r="M1243" s="396">
        <f>TIMEVALUE(MID(F1243,12,8))</f>
        <v/>
      </c>
      <c r="N1243" s="395">
        <f>DATEVALUE(LEFT(G1243,10))</f>
        <v/>
      </c>
      <c r="O1243" s="396">
        <f>TIMEVALUE(MID(G1243,12,8))</f>
        <v/>
      </c>
      <c r="P1243" s="396">
        <f>IFERROR(_xlfn.MINIFS($M:$M,$E:$E,$E1243,$K:$K,$K1243,$M:$M,"&gt;"&amp;$O1243),"")</f>
        <v/>
      </c>
      <c r="Q1243" s="396">
        <f>IF($P1243="","",$P1243-$O1243)</f>
        <v/>
      </c>
    </row>
    <row r="1244" ht="15" customHeight="1" s="231">
      <c r="A1244" s="397" t="n"/>
      <c r="B1244" s="397" t="n"/>
      <c r="C1244" s="397" t="n"/>
      <c r="D1244" s="397" t="n"/>
      <c r="E1244" s="397" t="n"/>
      <c r="F1244" s="397" t="n"/>
      <c r="G1244" s="397" t="n"/>
      <c r="I1244" s="397" t="n"/>
      <c r="J1244" s="397" t="n"/>
      <c r="K1244" s="395">
        <f>DATE(VALUE(LEFT(A1244,4)),VALUE(MID(A1244,5,2)),VALUE(RIGHT(A1244,2)))</f>
        <v/>
      </c>
      <c r="L1244" s="395">
        <f>DATEVALUE(LEFT(F1244,10))</f>
        <v/>
      </c>
      <c r="M1244" s="396">
        <f>TIMEVALUE(MID(F1244,12,8))</f>
        <v/>
      </c>
      <c r="N1244" s="395">
        <f>DATEVALUE(LEFT(G1244,10))</f>
        <v/>
      </c>
      <c r="O1244" s="396">
        <f>TIMEVALUE(MID(G1244,12,8))</f>
        <v/>
      </c>
      <c r="P1244" s="396">
        <f>IFERROR(_xlfn.MINIFS($M:$M,$E:$E,$E1244,$K:$K,$K1244,$M:$M,"&gt;"&amp;$O1244),"")</f>
        <v/>
      </c>
      <c r="Q1244" s="396">
        <f>IF($P1244="","",$P1244-$O1244)</f>
        <v/>
      </c>
    </row>
    <row r="1245" ht="15" customHeight="1" s="231">
      <c r="A1245" s="397" t="n"/>
      <c r="B1245" s="397" t="n"/>
      <c r="C1245" s="397" t="n"/>
      <c r="D1245" s="397" t="n"/>
      <c r="E1245" s="397" t="n"/>
      <c r="F1245" s="397" t="n"/>
      <c r="G1245" s="397" t="n"/>
      <c r="I1245" s="397" t="n"/>
      <c r="J1245" s="397" t="n"/>
      <c r="K1245" s="395">
        <f>DATE(VALUE(LEFT(A1245,4)),VALUE(MID(A1245,5,2)),VALUE(RIGHT(A1245,2)))</f>
        <v/>
      </c>
      <c r="L1245" s="395">
        <f>DATEVALUE(LEFT(F1245,10))</f>
        <v/>
      </c>
      <c r="M1245" s="396">
        <f>TIMEVALUE(MID(F1245,12,8))</f>
        <v/>
      </c>
      <c r="N1245" s="395">
        <f>DATEVALUE(LEFT(G1245,10))</f>
        <v/>
      </c>
      <c r="O1245" s="396">
        <f>TIMEVALUE(MID(G1245,12,8))</f>
        <v/>
      </c>
      <c r="P1245" s="396">
        <f>IFERROR(_xlfn.MINIFS($M:$M,$E:$E,$E1245,$K:$K,$K1245,$M:$M,"&gt;"&amp;$O1245),"")</f>
        <v/>
      </c>
      <c r="Q1245" s="396">
        <f>IF($P1245="","",$P1245-$O1245)</f>
        <v/>
      </c>
    </row>
    <row r="1246" ht="15" customHeight="1" s="231">
      <c r="A1246" s="397" t="n"/>
      <c r="B1246" s="397" t="n"/>
      <c r="C1246" s="397" t="n"/>
      <c r="D1246" s="397" t="n"/>
      <c r="E1246" s="397" t="n"/>
      <c r="F1246" s="397" t="n"/>
      <c r="G1246" s="397" t="n"/>
      <c r="I1246" s="397" t="n"/>
      <c r="J1246" s="397" t="n"/>
      <c r="K1246" s="395">
        <f>DATE(VALUE(LEFT(A1246,4)),VALUE(MID(A1246,5,2)),VALUE(RIGHT(A1246,2)))</f>
        <v/>
      </c>
      <c r="L1246" s="395">
        <f>DATEVALUE(LEFT(F1246,10))</f>
        <v/>
      </c>
      <c r="M1246" s="396">
        <f>TIMEVALUE(MID(F1246,12,8))</f>
        <v/>
      </c>
      <c r="N1246" s="395">
        <f>DATEVALUE(LEFT(G1246,10))</f>
        <v/>
      </c>
      <c r="O1246" s="396">
        <f>TIMEVALUE(MID(G1246,12,8))</f>
        <v/>
      </c>
      <c r="P1246" s="396">
        <f>IFERROR(_xlfn.MINIFS($M:$M,$E:$E,$E1246,$K:$K,$K1246,$M:$M,"&gt;"&amp;$O1246),"")</f>
        <v/>
      </c>
      <c r="Q1246" s="396">
        <f>IF($P1246="","",$P1246-$O1246)</f>
        <v/>
      </c>
    </row>
    <row r="1247" ht="15" customHeight="1" s="231">
      <c r="A1247" s="397" t="n"/>
      <c r="B1247" s="397" t="n"/>
      <c r="C1247" s="397" t="n"/>
      <c r="D1247" s="397" t="n"/>
      <c r="E1247" s="397" t="n"/>
      <c r="F1247" s="397" t="n"/>
      <c r="G1247" s="397" t="n"/>
      <c r="I1247" s="397" t="n"/>
      <c r="J1247" s="397" t="n"/>
      <c r="K1247" s="395">
        <f>DATE(VALUE(LEFT(A1247,4)),VALUE(MID(A1247,5,2)),VALUE(RIGHT(A1247,2)))</f>
        <v/>
      </c>
      <c r="L1247" s="395">
        <f>DATEVALUE(LEFT(F1247,10))</f>
        <v/>
      </c>
      <c r="M1247" s="396">
        <f>TIMEVALUE(MID(F1247,12,8))</f>
        <v/>
      </c>
      <c r="N1247" s="395">
        <f>DATEVALUE(LEFT(G1247,10))</f>
        <v/>
      </c>
      <c r="O1247" s="396">
        <f>TIMEVALUE(MID(G1247,12,8))</f>
        <v/>
      </c>
      <c r="P1247" s="396">
        <f>IFERROR(_xlfn.MINIFS($M:$M,$E:$E,$E1247,$K:$K,$K1247,$M:$M,"&gt;"&amp;$O1247),"")</f>
        <v/>
      </c>
      <c r="Q1247" s="396">
        <f>IF($P1247="","",$P1247-$O1247)</f>
        <v/>
      </c>
    </row>
    <row r="1248" ht="15" customHeight="1" s="231">
      <c r="A1248" s="397" t="n"/>
      <c r="B1248" s="397" t="n"/>
      <c r="C1248" s="397" t="n"/>
      <c r="D1248" s="397" t="n"/>
      <c r="E1248" s="397" t="n"/>
      <c r="F1248" s="397" t="n"/>
      <c r="G1248" s="397" t="n"/>
      <c r="I1248" s="397" t="n"/>
      <c r="J1248" s="397" t="n"/>
      <c r="K1248" s="395">
        <f>DATE(VALUE(LEFT(A1248,4)),VALUE(MID(A1248,5,2)),VALUE(RIGHT(A1248,2)))</f>
        <v/>
      </c>
      <c r="L1248" s="395">
        <f>DATEVALUE(LEFT(F1248,10))</f>
        <v/>
      </c>
      <c r="M1248" s="396">
        <f>TIMEVALUE(MID(F1248,12,8))</f>
        <v/>
      </c>
      <c r="N1248" s="395">
        <f>DATEVALUE(LEFT(G1248,10))</f>
        <v/>
      </c>
      <c r="O1248" s="396">
        <f>TIMEVALUE(MID(G1248,12,8))</f>
        <v/>
      </c>
      <c r="P1248" s="396">
        <f>IFERROR(_xlfn.MINIFS($M:$M,$E:$E,$E1248,$K:$K,$K1248,$M:$M,"&gt;"&amp;$O1248),"")</f>
        <v/>
      </c>
      <c r="Q1248" s="396">
        <f>IF($P1248="","",$P1248-$O1248)</f>
        <v/>
      </c>
    </row>
    <row r="1249" ht="15" customHeight="1" s="231">
      <c r="A1249" s="397" t="n"/>
      <c r="B1249" s="397" t="n"/>
      <c r="C1249" s="397" t="n"/>
      <c r="D1249" s="397" t="n"/>
      <c r="E1249" s="397" t="n"/>
      <c r="F1249" s="397" t="n"/>
      <c r="G1249" s="397" t="n"/>
      <c r="I1249" s="397" t="n"/>
      <c r="J1249" s="397" t="n"/>
      <c r="K1249" s="395">
        <f>DATE(VALUE(LEFT(A1249,4)),VALUE(MID(A1249,5,2)),VALUE(RIGHT(A1249,2)))</f>
        <v/>
      </c>
      <c r="L1249" s="395">
        <f>DATEVALUE(LEFT(F1249,10))</f>
        <v/>
      </c>
      <c r="M1249" s="396">
        <f>TIMEVALUE(MID(F1249,12,8))</f>
        <v/>
      </c>
      <c r="N1249" s="395">
        <f>DATEVALUE(LEFT(G1249,10))</f>
        <v/>
      </c>
      <c r="O1249" s="396">
        <f>TIMEVALUE(MID(G1249,12,8))</f>
        <v/>
      </c>
      <c r="P1249" s="396">
        <f>IFERROR(_xlfn.MINIFS($M:$M,$E:$E,$E1249,$K:$K,$K1249,$M:$M,"&gt;"&amp;$O1249),"")</f>
        <v/>
      </c>
      <c r="Q1249" s="396">
        <f>IF($P1249="","",$P1249-$O1249)</f>
        <v/>
      </c>
    </row>
    <row r="1250" ht="15" customHeight="1" s="231">
      <c r="A1250" s="397" t="n"/>
      <c r="B1250" s="397" t="n"/>
      <c r="C1250" s="397" t="n"/>
      <c r="D1250" s="397" t="n"/>
      <c r="E1250" s="397" t="n"/>
      <c r="F1250" s="397" t="n"/>
      <c r="G1250" s="397" t="n"/>
      <c r="I1250" s="397" t="n"/>
      <c r="J1250" s="397" t="n"/>
      <c r="K1250" s="395">
        <f>DATE(VALUE(LEFT(A1250,4)),VALUE(MID(A1250,5,2)),VALUE(RIGHT(A1250,2)))</f>
        <v/>
      </c>
      <c r="L1250" s="395">
        <f>DATEVALUE(LEFT(F1250,10))</f>
        <v/>
      </c>
      <c r="M1250" s="396">
        <f>TIMEVALUE(MID(F1250,12,8))</f>
        <v/>
      </c>
      <c r="N1250" s="395">
        <f>DATEVALUE(LEFT(G1250,10))</f>
        <v/>
      </c>
      <c r="O1250" s="396">
        <f>TIMEVALUE(MID(G1250,12,8))</f>
        <v/>
      </c>
      <c r="P1250" s="396">
        <f>IFERROR(_xlfn.MINIFS($M:$M,$E:$E,$E1250,$K:$K,$K1250,$M:$M,"&gt;"&amp;$O1250),"")</f>
        <v/>
      </c>
      <c r="Q1250" s="396">
        <f>IF($P1250="","",$P1250-$O1250)</f>
        <v/>
      </c>
    </row>
    <row r="1251" ht="15" customHeight="1" s="231">
      <c r="A1251" s="397" t="n"/>
      <c r="B1251" s="397" t="n"/>
      <c r="C1251" s="397" t="n"/>
      <c r="D1251" s="397" t="n"/>
      <c r="E1251" s="397" t="n"/>
      <c r="F1251" s="397" t="n"/>
      <c r="G1251" s="397" t="n"/>
      <c r="I1251" s="397" t="n"/>
      <c r="J1251" s="397" t="n"/>
      <c r="K1251" s="395">
        <f>DATE(VALUE(LEFT(A1251,4)),VALUE(MID(A1251,5,2)),VALUE(RIGHT(A1251,2)))</f>
        <v/>
      </c>
      <c r="L1251" s="395">
        <f>DATEVALUE(LEFT(F1251,10))</f>
        <v/>
      </c>
      <c r="M1251" s="396">
        <f>TIMEVALUE(MID(F1251,12,8))</f>
        <v/>
      </c>
      <c r="N1251" s="395">
        <f>DATEVALUE(LEFT(G1251,10))</f>
        <v/>
      </c>
      <c r="O1251" s="396">
        <f>TIMEVALUE(MID(G1251,12,8))</f>
        <v/>
      </c>
      <c r="P1251" s="396">
        <f>IFERROR(_xlfn.MINIFS($M:$M,$E:$E,$E1251,$K:$K,$K1251,$M:$M,"&gt;"&amp;$O1251),"")</f>
        <v/>
      </c>
      <c r="Q1251" s="396">
        <f>IF($P1251="","",$P1251-$O1251)</f>
        <v/>
      </c>
    </row>
    <row r="1252" ht="15" customHeight="1" s="231">
      <c r="A1252" s="397" t="n"/>
      <c r="B1252" s="397" t="n"/>
      <c r="C1252" s="397" t="n"/>
      <c r="D1252" s="397" t="n"/>
      <c r="E1252" s="397" t="n"/>
      <c r="F1252" s="397" t="n"/>
      <c r="G1252" s="397" t="n"/>
      <c r="I1252" s="397" t="n"/>
      <c r="J1252" s="397" t="n"/>
      <c r="K1252" s="395">
        <f>DATE(VALUE(LEFT(A1252,4)),VALUE(MID(A1252,5,2)),VALUE(RIGHT(A1252,2)))</f>
        <v/>
      </c>
      <c r="L1252" s="395">
        <f>DATEVALUE(LEFT(F1252,10))</f>
        <v/>
      </c>
      <c r="M1252" s="396">
        <f>TIMEVALUE(MID(F1252,12,8))</f>
        <v/>
      </c>
      <c r="N1252" s="395">
        <f>DATEVALUE(LEFT(G1252,10))</f>
        <v/>
      </c>
      <c r="O1252" s="396">
        <f>TIMEVALUE(MID(G1252,12,8))</f>
        <v/>
      </c>
      <c r="P1252" s="396">
        <f>IFERROR(_xlfn.MINIFS($M:$M,$E:$E,$E1252,$K:$K,$K1252,$M:$M,"&gt;"&amp;$O1252),"")</f>
        <v/>
      </c>
      <c r="Q1252" s="396">
        <f>IF($P1252="","",$P1252-$O1252)</f>
        <v/>
      </c>
    </row>
    <row r="1253" ht="15" customHeight="1" s="231">
      <c r="A1253" s="397" t="n"/>
      <c r="B1253" s="397" t="n"/>
      <c r="C1253" s="397" t="n"/>
      <c r="D1253" s="397" t="n"/>
      <c r="E1253" s="397" t="n"/>
      <c r="F1253" s="397" t="n"/>
      <c r="G1253" s="397" t="n"/>
      <c r="I1253" s="397" t="n"/>
      <c r="J1253" s="397" t="n"/>
      <c r="K1253" s="395">
        <f>DATE(VALUE(LEFT(A1253,4)),VALUE(MID(A1253,5,2)),VALUE(RIGHT(A1253,2)))</f>
        <v/>
      </c>
      <c r="L1253" s="395">
        <f>DATEVALUE(LEFT(F1253,10))</f>
        <v/>
      </c>
      <c r="M1253" s="396">
        <f>TIMEVALUE(MID(F1253,12,8))</f>
        <v/>
      </c>
      <c r="N1253" s="395">
        <f>DATEVALUE(LEFT(G1253,10))</f>
        <v/>
      </c>
      <c r="O1253" s="396">
        <f>TIMEVALUE(MID(G1253,12,8))</f>
        <v/>
      </c>
      <c r="P1253" s="396">
        <f>IFERROR(_xlfn.MINIFS($M:$M,$E:$E,$E1253,$K:$K,$K1253,$M:$M,"&gt;"&amp;$O1253),"")</f>
        <v/>
      </c>
      <c r="Q1253" s="396">
        <f>IF($P1253="","",$P1253-$O1253)</f>
        <v/>
      </c>
    </row>
    <row r="1254" ht="15" customHeight="1" s="231">
      <c r="A1254" s="397" t="n"/>
      <c r="B1254" s="397" t="n"/>
      <c r="C1254" s="397" t="n"/>
      <c r="D1254" s="397" t="n"/>
      <c r="E1254" s="397" t="n"/>
      <c r="F1254" s="397" t="n"/>
      <c r="G1254" s="397" t="n"/>
      <c r="I1254" s="397" t="n"/>
      <c r="J1254" s="397" t="n"/>
      <c r="K1254" s="395">
        <f>DATE(VALUE(LEFT(A1254,4)),VALUE(MID(A1254,5,2)),VALUE(RIGHT(A1254,2)))</f>
        <v/>
      </c>
      <c r="L1254" s="395">
        <f>DATEVALUE(LEFT(F1254,10))</f>
        <v/>
      </c>
      <c r="M1254" s="396">
        <f>TIMEVALUE(MID(F1254,12,8))</f>
        <v/>
      </c>
      <c r="N1254" s="395">
        <f>DATEVALUE(LEFT(G1254,10))</f>
        <v/>
      </c>
      <c r="O1254" s="396">
        <f>TIMEVALUE(MID(G1254,12,8))</f>
        <v/>
      </c>
      <c r="P1254" s="396">
        <f>IFERROR(_xlfn.MINIFS($M:$M,$E:$E,$E1254,$K:$K,$K1254,$M:$M,"&gt;"&amp;$O1254),"")</f>
        <v/>
      </c>
      <c r="Q1254" s="396">
        <f>IF($P1254="","",$P1254-$O1254)</f>
        <v/>
      </c>
    </row>
    <row r="1255" ht="15" customHeight="1" s="231">
      <c r="A1255" s="397" t="n"/>
      <c r="B1255" s="397" t="n"/>
      <c r="C1255" s="397" t="n"/>
      <c r="D1255" s="397" t="n"/>
      <c r="E1255" s="397" t="n"/>
      <c r="F1255" s="397" t="n"/>
      <c r="G1255" s="397" t="n"/>
      <c r="I1255" s="397" t="n"/>
      <c r="J1255" s="397" t="n"/>
      <c r="K1255" s="395">
        <f>DATE(VALUE(LEFT(A1255,4)),VALUE(MID(A1255,5,2)),VALUE(RIGHT(A1255,2)))</f>
        <v/>
      </c>
      <c r="L1255" s="395">
        <f>DATEVALUE(LEFT(F1255,10))</f>
        <v/>
      </c>
      <c r="M1255" s="396">
        <f>TIMEVALUE(MID(F1255,12,8))</f>
        <v/>
      </c>
      <c r="N1255" s="395">
        <f>DATEVALUE(LEFT(G1255,10))</f>
        <v/>
      </c>
      <c r="O1255" s="396">
        <f>TIMEVALUE(MID(G1255,12,8))</f>
        <v/>
      </c>
      <c r="P1255" s="396">
        <f>IFERROR(_xlfn.MINIFS($M:$M,$E:$E,$E1255,$K:$K,$K1255,$M:$M,"&gt;"&amp;$O1255),"")</f>
        <v/>
      </c>
      <c r="Q1255" s="396">
        <f>IF($P1255="","",$P1255-$O1255)</f>
        <v/>
      </c>
    </row>
    <row r="1256" ht="15" customHeight="1" s="231">
      <c r="A1256" s="397" t="n"/>
      <c r="B1256" s="397" t="n"/>
      <c r="C1256" s="397" t="n"/>
      <c r="D1256" s="397" t="n"/>
      <c r="E1256" s="397" t="n"/>
      <c r="F1256" s="397" t="n"/>
      <c r="G1256" s="397" t="n"/>
      <c r="I1256" s="397" t="n"/>
      <c r="J1256" s="397" t="n"/>
      <c r="K1256" s="395">
        <f>DATE(VALUE(LEFT(A1256,4)),VALUE(MID(A1256,5,2)),VALUE(RIGHT(A1256,2)))</f>
        <v/>
      </c>
      <c r="L1256" s="395">
        <f>DATEVALUE(LEFT(F1256,10))</f>
        <v/>
      </c>
      <c r="M1256" s="396">
        <f>TIMEVALUE(MID(F1256,12,8))</f>
        <v/>
      </c>
      <c r="N1256" s="395">
        <f>DATEVALUE(LEFT(G1256,10))</f>
        <v/>
      </c>
      <c r="O1256" s="396">
        <f>TIMEVALUE(MID(G1256,12,8))</f>
        <v/>
      </c>
      <c r="P1256" s="396">
        <f>IFERROR(_xlfn.MINIFS($M:$M,$E:$E,$E1256,$K:$K,$K1256,$M:$M,"&gt;"&amp;$O1256),"")</f>
        <v/>
      </c>
      <c r="Q1256" s="396">
        <f>IF($P1256="","",$P1256-$O1256)</f>
        <v/>
      </c>
    </row>
    <row r="1257" ht="15" customHeight="1" s="231">
      <c r="A1257" s="397" t="n"/>
      <c r="B1257" s="397" t="n"/>
      <c r="C1257" s="397" t="n"/>
      <c r="D1257" s="397" t="n"/>
      <c r="E1257" s="397" t="n"/>
      <c r="F1257" s="397" t="n"/>
      <c r="G1257" s="397" t="n"/>
      <c r="I1257" s="397" t="n"/>
      <c r="J1257" s="397" t="n"/>
      <c r="K1257" s="395">
        <f>DATE(VALUE(LEFT(A1257,4)),VALUE(MID(A1257,5,2)),VALUE(RIGHT(A1257,2)))</f>
        <v/>
      </c>
      <c r="L1257" s="395">
        <f>DATEVALUE(LEFT(F1257,10))</f>
        <v/>
      </c>
      <c r="M1257" s="396">
        <f>TIMEVALUE(MID(F1257,12,8))</f>
        <v/>
      </c>
      <c r="N1257" s="395">
        <f>DATEVALUE(LEFT(G1257,10))</f>
        <v/>
      </c>
      <c r="O1257" s="396">
        <f>TIMEVALUE(MID(G1257,12,8))</f>
        <v/>
      </c>
      <c r="P1257" s="396">
        <f>IFERROR(_xlfn.MINIFS($M:$M,$E:$E,$E1257,$K:$K,$K1257,$M:$M,"&gt;"&amp;$O1257),"")</f>
        <v/>
      </c>
      <c r="Q1257" s="396">
        <f>IF($P1257="","",$P1257-$O1257)</f>
        <v/>
      </c>
    </row>
    <row r="1258" ht="15" customHeight="1" s="231">
      <c r="A1258" s="397" t="n"/>
      <c r="B1258" s="397" t="n"/>
      <c r="C1258" s="397" t="n"/>
      <c r="D1258" s="397" t="n"/>
      <c r="E1258" s="397" t="n"/>
      <c r="F1258" s="397" t="n"/>
      <c r="G1258" s="397" t="n"/>
      <c r="I1258" s="397" t="n"/>
      <c r="J1258" s="397" t="n"/>
      <c r="K1258" s="395">
        <f>DATE(VALUE(LEFT(A1258,4)),VALUE(MID(A1258,5,2)),VALUE(RIGHT(A1258,2)))</f>
        <v/>
      </c>
      <c r="L1258" s="395">
        <f>DATEVALUE(LEFT(F1258,10))</f>
        <v/>
      </c>
      <c r="M1258" s="396">
        <f>TIMEVALUE(MID(F1258,12,8))</f>
        <v/>
      </c>
      <c r="N1258" s="395">
        <f>DATEVALUE(LEFT(G1258,10))</f>
        <v/>
      </c>
      <c r="O1258" s="396">
        <f>TIMEVALUE(MID(G1258,12,8))</f>
        <v/>
      </c>
      <c r="P1258" s="396">
        <f>IFERROR(_xlfn.MINIFS($M:$M,$E:$E,$E1258,$K:$K,$K1258,$M:$M,"&gt;"&amp;$O1258),"")</f>
        <v/>
      </c>
      <c r="Q1258" s="396">
        <f>IF($P1258="","",$P1258-$O1258)</f>
        <v/>
      </c>
    </row>
    <row r="1259" ht="15" customHeight="1" s="231">
      <c r="A1259" s="397" t="n"/>
      <c r="B1259" s="397" t="n"/>
      <c r="C1259" s="397" t="n"/>
      <c r="D1259" s="397" t="n"/>
      <c r="E1259" s="397" t="n"/>
      <c r="F1259" s="397" t="n"/>
      <c r="G1259" s="397" t="n"/>
      <c r="I1259" s="397" t="n"/>
      <c r="J1259" s="397" t="n"/>
      <c r="K1259" s="395">
        <f>DATE(VALUE(LEFT(A1259,4)),VALUE(MID(A1259,5,2)),VALUE(RIGHT(A1259,2)))</f>
        <v/>
      </c>
      <c r="L1259" s="395">
        <f>DATEVALUE(LEFT(F1259,10))</f>
        <v/>
      </c>
      <c r="M1259" s="396">
        <f>TIMEVALUE(MID(F1259,12,8))</f>
        <v/>
      </c>
      <c r="N1259" s="395">
        <f>DATEVALUE(LEFT(G1259,10))</f>
        <v/>
      </c>
      <c r="O1259" s="396">
        <f>TIMEVALUE(MID(G1259,12,8))</f>
        <v/>
      </c>
      <c r="P1259" s="396">
        <f>IFERROR(_xlfn.MINIFS($M:$M,$E:$E,$E1259,$K:$K,$K1259,$M:$M,"&gt;"&amp;$O1259),"")</f>
        <v/>
      </c>
      <c r="Q1259" s="396">
        <f>IF($P1259="","",$P1259-$O1259)</f>
        <v/>
      </c>
    </row>
    <row r="1260" ht="15" customHeight="1" s="231">
      <c r="A1260" s="397" t="n"/>
      <c r="B1260" s="397" t="n"/>
      <c r="C1260" s="397" t="n"/>
      <c r="D1260" s="397" t="n"/>
      <c r="E1260" s="397" t="n"/>
      <c r="F1260" s="397" t="n"/>
      <c r="G1260" s="397" t="n"/>
      <c r="I1260" s="397" t="n"/>
      <c r="J1260" s="397" t="n"/>
      <c r="K1260" s="395">
        <f>DATE(VALUE(LEFT(A1260,4)),VALUE(MID(A1260,5,2)),VALUE(RIGHT(A1260,2)))</f>
        <v/>
      </c>
      <c r="L1260" s="395">
        <f>DATEVALUE(LEFT(F1260,10))</f>
        <v/>
      </c>
      <c r="M1260" s="396">
        <f>TIMEVALUE(MID(F1260,12,8))</f>
        <v/>
      </c>
      <c r="N1260" s="395">
        <f>DATEVALUE(LEFT(G1260,10))</f>
        <v/>
      </c>
      <c r="O1260" s="396">
        <f>TIMEVALUE(MID(G1260,12,8))</f>
        <v/>
      </c>
      <c r="P1260" s="396">
        <f>IFERROR(_xlfn.MINIFS($M:$M,$E:$E,$E1260,$K:$K,$K1260,$M:$M,"&gt;"&amp;$O1260),"")</f>
        <v/>
      </c>
      <c r="Q1260" s="396">
        <f>IF($P1260="","",$P1260-$O1260)</f>
        <v/>
      </c>
    </row>
    <row r="1261" ht="15" customHeight="1" s="231">
      <c r="A1261" s="397" t="n"/>
      <c r="B1261" s="397" t="n"/>
      <c r="C1261" s="397" t="n"/>
      <c r="D1261" s="397" t="n"/>
      <c r="E1261" s="397" t="n"/>
      <c r="F1261" s="397" t="n"/>
      <c r="G1261" s="397" t="n"/>
      <c r="I1261" s="397" t="n"/>
      <c r="J1261" s="397" t="n"/>
      <c r="K1261" s="395">
        <f>DATE(VALUE(LEFT(A1261,4)),VALUE(MID(A1261,5,2)),VALUE(RIGHT(A1261,2)))</f>
        <v/>
      </c>
      <c r="L1261" s="395">
        <f>DATEVALUE(LEFT(F1261,10))</f>
        <v/>
      </c>
      <c r="M1261" s="396">
        <f>TIMEVALUE(MID(F1261,12,8))</f>
        <v/>
      </c>
      <c r="N1261" s="395">
        <f>DATEVALUE(LEFT(G1261,10))</f>
        <v/>
      </c>
      <c r="O1261" s="396">
        <f>TIMEVALUE(MID(G1261,12,8))</f>
        <v/>
      </c>
      <c r="P1261" s="396">
        <f>IFERROR(_xlfn.MINIFS($M:$M,$E:$E,$E1261,$K:$K,$K1261,$M:$M,"&gt;"&amp;$O1261),"")</f>
        <v/>
      </c>
      <c r="Q1261" s="396">
        <f>IF($P1261="","",$P1261-$O1261)</f>
        <v/>
      </c>
    </row>
    <row r="1262" ht="15" customHeight="1" s="231">
      <c r="A1262" s="397" t="n"/>
      <c r="B1262" s="397" t="n"/>
      <c r="C1262" s="397" t="n"/>
      <c r="D1262" s="397" t="n"/>
      <c r="E1262" s="397" t="n"/>
      <c r="F1262" s="397" t="n"/>
      <c r="G1262" s="397" t="n"/>
      <c r="I1262" s="397" t="n"/>
      <c r="J1262" s="397" t="n"/>
      <c r="K1262" s="395">
        <f>DATE(VALUE(LEFT(A1262,4)),VALUE(MID(A1262,5,2)),VALUE(RIGHT(A1262,2)))</f>
        <v/>
      </c>
      <c r="L1262" s="395">
        <f>DATEVALUE(LEFT(F1262,10))</f>
        <v/>
      </c>
      <c r="M1262" s="396">
        <f>TIMEVALUE(MID(F1262,12,8))</f>
        <v/>
      </c>
      <c r="N1262" s="395">
        <f>DATEVALUE(LEFT(G1262,10))</f>
        <v/>
      </c>
      <c r="O1262" s="396">
        <f>TIMEVALUE(MID(G1262,12,8))</f>
        <v/>
      </c>
      <c r="P1262" s="396">
        <f>IFERROR(_xlfn.MINIFS($M:$M,$E:$E,$E1262,$K:$K,$K1262,$M:$M,"&gt;"&amp;$O1262),"")</f>
        <v/>
      </c>
      <c r="Q1262" s="396">
        <f>IF($P1262="","",$P1262-$O1262)</f>
        <v/>
      </c>
    </row>
    <row r="1263" ht="15" customHeight="1" s="231">
      <c r="A1263" s="397" t="n"/>
      <c r="B1263" s="397" t="n"/>
      <c r="C1263" s="397" t="n"/>
      <c r="D1263" s="397" t="n"/>
      <c r="E1263" s="397" t="n"/>
      <c r="F1263" s="397" t="n"/>
      <c r="G1263" s="397" t="n"/>
      <c r="I1263" s="397" t="n"/>
      <c r="J1263" s="397" t="n"/>
      <c r="K1263" s="395">
        <f>DATE(VALUE(LEFT(A1263,4)),VALUE(MID(A1263,5,2)),VALUE(RIGHT(A1263,2)))</f>
        <v/>
      </c>
      <c r="L1263" s="395">
        <f>DATEVALUE(LEFT(F1263,10))</f>
        <v/>
      </c>
      <c r="M1263" s="396">
        <f>TIMEVALUE(MID(F1263,12,8))</f>
        <v/>
      </c>
      <c r="N1263" s="395">
        <f>DATEVALUE(LEFT(G1263,10))</f>
        <v/>
      </c>
      <c r="O1263" s="396">
        <f>TIMEVALUE(MID(G1263,12,8))</f>
        <v/>
      </c>
      <c r="P1263" s="396">
        <f>IFERROR(_xlfn.MINIFS($M:$M,$E:$E,$E1263,$K:$K,$K1263,$M:$M,"&gt;"&amp;$O1263),"")</f>
        <v/>
      </c>
      <c r="Q1263" s="396">
        <f>IF($P1263="","",$P1263-$O1263)</f>
        <v/>
      </c>
    </row>
    <row r="1264" ht="15" customHeight="1" s="231">
      <c r="A1264" s="397" t="n"/>
      <c r="B1264" s="397" t="n"/>
      <c r="C1264" s="397" t="n"/>
      <c r="D1264" s="397" t="n"/>
      <c r="E1264" s="397" t="n"/>
      <c r="F1264" s="397" t="n"/>
      <c r="G1264" s="397" t="n"/>
      <c r="I1264" s="397" t="n"/>
      <c r="J1264" s="397" t="n"/>
      <c r="K1264" s="395">
        <f>DATE(VALUE(LEFT(A1264,4)),VALUE(MID(A1264,5,2)),VALUE(RIGHT(A1264,2)))</f>
        <v/>
      </c>
      <c r="L1264" s="395">
        <f>DATEVALUE(LEFT(F1264,10))</f>
        <v/>
      </c>
      <c r="M1264" s="396">
        <f>TIMEVALUE(MID(F1264,12,8))</f>
        <v/>
      </c>
      <c r="N1264" s="395">
        <f>DATEVALUE(LEFT(G1264,10))</f>
        <v/>
      </c>
      <c r="O1264" s="396">
        <f>TIMEVALUE(MID(G1264,12,8))</f>
        <v/>
      </c>
      <c r="P1264" s="396">
        <f>IFERROR(_xlfn.MINIFS($M:$M,$E:$E,$E1264,$K:$K,$K1264,$M:$M,"&gt;"&amp;$O1264),"")</f>
        <v/>
      </c>
      <c r="Q1264" s="396">
        <f>IF($P1264="","",$P1264-$O1264)</f>
        <v/>
      </c>
    </row>
    <row r="1265" ht="15" customHeight="1" s="231">
      <c r="A1265" s="397" t="n"/>
      <c r="B1265" s="397" t="n"/>
      <c r="C1265" s="397" t="n"/>
      <c r="D1265" s="397" t="n"/>
      <c r="E1265" s="397" t="n"/>
      <c r="F1265" s="397" t="n"/>
      <c r="G1265" s="397" t="n"/>
      <c r="I1265" s="397" t="n"/>
      <c r="J1265" s="397" t="n"/>
      <c r="K1265" s="395">
        <f>DATE(VALUE(LEFT(A1265,4)),VALUE(MID(A1265,5,2)),VALUE(RIGHT(A1265,2)))</f>
        <v/>
      </c>
      <c r="L1265" s="395">
        <f>DATEVALUE(LEFT(F1265,10))</f>
        <v/>
      </c>
      <c r="M1265" s="396">
        <f>TIMEVALUE(MID(F1265,12,8))</f>
        <v/>
      </c>
      <c r="N1265" s="395">
        <f>DATEVALUE(LEFT(G1265,10))</f>
        <v/>
      </c>
      <c r="O1265" s="396">
        <f>TIMEVALUE(MID(G1265,12,8))</f>
        <v/>
      </c>
      <c r="P1265" s="396">
        <f>IFERROR(_xlfn.MINIFS($M:$M,$E:$E,$E1265,$K:$K,$K1265,$M:$M,"&gt;"&amp;$O1265),"")</f>
        <v/>
      </c>
      <c r="Q1265" s="396">
        <f>IF($P1265="","",$P1265-$O1265)</f>
        <v/>
      </c>
    </row>
    <row r="1266" ht="15" customHeight="1" s="231">
      <c r="A1266" s="397" t="n"/>
      <c r="B1266" s="397" t="n"/>
      <c r="C1266" s="397" t="n"/>
      <c r="D1266" s="397" t="n"/>
      <c r="E1266" s="397" t="n"/>
      <c r="F1266" s="397" t="n"/>
      <c r="G1266" s="397" t="n"/>
      <c r="I1266" s="397" t="n"/>
      <c r="J1266" s="397" t="n"/>
      <c r="K1266" s="395">
        <f>DATE(VALUE(LEFT(A1266,4)),VALUE(MID(A1266,5,2)),VALUE(RIGHT(A1266,2)))</f>
        <v/>
      </c>
      <c r="L1266" s="395">
        <f>DATEVALUE(LEFT(F1266,10))</f>
        <v/>
      </c>
      <c r="M1266" s="396">
        <f>TIMEVALUE(MID(F1266,12,8))</f>
        <v/>
      </c>
      <c r="N1266" s="395">
        <f>DATEVALUE(LEFT(G1266,10))</f>
        <v/>
      </c>
      <c r="O1266" s="396">
        <f>TIMEVALUE(MID(G1266,12,8))</f>
        <v/>
      </c>
      <c r="P1266" s="396">
        <f>IFERROR(_xlfn.MINIFS($M:$M,$E:$E,$E1266,$K:$K,$K1266,$M:$M,"&gt;"&amp;$O1266),"")</f>
        <v/>
      </c>
      <c r="Q1266" s="396">
        <f>IF($P1266="","",$P1266-$O1266)</f>
        <v/>
      </c>
    </row>
    <row r="1267" ht="15" customHeight="1" s="231">
      <c r="A1267" s="397" t="n"/>
      <c r="B1267" s="397" t="n"/>
      <c r="C1267" s="397" t="n"/>
      <c r="D1267" s="397" t="n"/>
      <c r="E1267" s="397" t="n"/>
      <c r="F1267" s="397" t="n"/>
      <c r="G1267" s="397" t="n"/>
      <c r="I1267" s="397" t="n"/>
      <c r="J1267" s="397" t="n"/>
      <c r="K1267" s="395">
        <f>DATE(VALUE(LEFT(A1267,4)),VALUE(MID(A1267,5,2)),VALUE(RIGHT(A1267,2)))</f>
        <v/>
      </c>
      <c r="L1267" s="395">
        <f>DATEVALUE(LEFT(F1267,10))</f>
        <v/>
      </c>
      <c r="M1267" s="396">
        <f>TIMEVALUE(MID(F1267,12,8))</f>
        <v/>
      </c>
      <c r="N1267" s="395">
        <f>DATEVALUE(LEFT(G1267,10))</f>
        <v/>
      </c>
      <c r="O1267" s="396">
        <f>TIMEVALUE(MID(G1267,12,8))</f>
        <v/>
      </c>
      <c r="P1267" s="396">
        <f>IFERROR(_xlfn.MINIFS($M:$M,$E:$E,$E1267,$K:$K,$K1267,$M:$M,"&gt;"&amp;$O1267),"")</f>
        <v/>
      </c>
      <c r="Q1267" s="396">
        <f>IF($P1267="","",$P1267-$O1267)</f>
        <v/>
      </c>
    </row>
    <row r="1268" ht="15" customHeight="1" s="231">
      <c r="A1268" s="397" t="n"/>
      <c r="B1268" s="397" t="n"/>
      <c r="C1268" s="397" t="n"/>
      <c r="D1268" s="397" t="n"/>
      <c r="E1268" s="397" t="n"/>
      <c r="F1268" s="397" t="n"/>
      <c r="G1268" s="397" t="n"/>
      <c r="I1268" s="397" t="n"/>
      <c r="J1268" s="397" t="n"/>
      <c r="K1268" s="395">
        <f>DATE(VALUE(LEFT(A1268,4)),VALUE(MID(A1268,5,2)),VALUE(RIGHT(A1268,2)))</f>
        <v/>
      </c>
      <c r="L1268" s="395">
        <f>DATEVALUE(LEFT(F1268,10))</f>
        <v/>
      </c>
      <c r="M1268" s="396">
        <f>TIMEVALUE(MID(F1268,12,8))</f>
        <v/>
      </c>
      <c r="N1268" s="395">
        <f>DATEVALUE(LEFT(G1268,10))</f>
        <v/>
      </c>
      <c r="O1268" s="396">
        <f>TIMEVALUE(MID(G1268,12,8))</f>
        <v/>
      </c>
      <c r="P1268" s="396">
        <f>IFERROR(_xlfn.MINIFS($M:$M,$E:$E,$E1268,$K:$K,$K1268,$M:$M,"&gt;"&amp;$O1268),"")</f>
        <v/>
      </c>
      <c r="Q1268" s="396">
        <f>IF($P1268="","",$P1268-$O1268)</f>
        <v/>
      </c>
    </row>
    <row r="1269" ht="15" customHeight="1" s="231">
      <c r="A1269" s="397" t="n"/>
      <c r="B1269" s="397" t="n"/>
      <c r="C1269" s="397" t="n"/>
      <c r="D1269" s="397" t="n"/>
      <c r="E1269" s="397" t="n"/>
      <c r="F1269" s="397" t="n"/>
      <c r="G1269" s="397" t="n"/>
      <c r="I1269" s="397" t="n"/>
      <c r="J1269" s="397" t="n"/>
      <c r="K1269" s="395">
        <f>DATE(VALUE(LEFT(A1269,4)),VALUE(MID(A1269,5,2)),VALUE(RIGHT(A1269,2)))</f>
        <v/>
      </c>
      <c r="L1269" s="395">
        <f>DATEVALUE(LEFT(F1269,10))</f>
        <v/>
      </c>
      <c r="M1269" s="396">
        <f>TIMEVALUE(MID(F1269,12,8))</f>
        <v/>
      </c>
      <c r="N1269" s="395">
        <f>DATEVALUE(LEFT(G1269,10))</f>
        <v/>
      </c>
      <c r="O1269" s="396">
        <f>TIMEVALUE(MID(G1269,12,8))</f>
        <v/>
      </c>
      <c r="P1269" s="396">
        <f>IFERROR(_xlfn.MINIFS($M:$M,$E:$E,$E1269,$K:$K,$K1269,$M:$M,"&gt;"&amp;$O1269),"")</f>
        <v/>
      </c>
      <c r="Q1269" s="396">
        <f>IF($P1269="","",$P1269-$O1269)</f>
        <v/>
      </c>
    </row>
    <row r="1270" ht="15" customHeight="1" s="231">
      <c r="A1270" s="397" t="n"/>
      <c r="B1270" s="397" t="n"/>
      <c r="C1270" s="397" t="n"/>
      <c r="D1270" s="397" t="n"/>
      <c r="E1270" s="397" t="n"/>
      <c r="F1270" s="397" t="n"/>
      <c r="G1270" s="397" t="n"/>
      <c r="I1270" s="397" t="n"/>
      <c r="J1270" s="397" t="n"/>
      <c r="K1270" s="395">
        <f>DATE(VALUE(LEFT(A1270,4)),VALUE(MID(A1270,5,2)),VALUE(RIGHT(A1270,2)))</f>
        <v/>
      </c>
      <c r="L1270" s="395">
        <f>DATEVALUE(LEFT(F1270,10))</f>
        <v/>
      </c>
      <c r="M1270" s="396">
        <f>TIMEVALUE(MID(F1270,12,8))</f>
        <v/>
      </c>
      <c r="N1270" s="395">
        <f>DATEVALUE(LEFT(G1270,10))</f>
        <v/>
      </c>
      <c r="O1270" s="396">
        <f>TIMEVALUE(MID(G1270,12,8))</f>
        <v/>
      </c>
      <c r="P1270" s="396">
        <f>IFERROR(_xlfn.MINIFS($M:$M,$E:$E,$E1270,$K:$K,$K1270,$M:$M,"&gt;"&amp;$O1270),"")</f>
        <v/>
      </c>
      <c r="Q1270" s="396">
        <f>IF($P1270="","",$P1270-$O1270)</f>
        <v/>
      </c>
    </row>
    <row r="1271" ht="15" customHeight="1" s="231">
      <c r="A1271" s="397" t="n"/>
      <c r="B1271" s="397" t="n"/>
      <c r="C1271" s="397" t="n"/>
      <c r="D1271" s="397" t="n"/>
      <c r="E1271" s="397" t="n"/>
      <c r="F1271" s="397" t="n"/>
      <c r="G1271" s="397" t="n"/>
      <c r="I1271" s="397" t="n"/>
      <c r="J1271" s="397" t="n"/>
      <c r="K1271" s="395">
        <f>DATE(VALUE(LEFT(A1271,4)),VALUE(MID(A1271,5,2)),VALUE(RIGHT(A1271,2)))</f>
        <v/>
      </c>
      <c r="L1271" s="395">
        <f>DATEVALUE(LEFT(F1271,10))</f>
        <v/>
      </c>
      <c r="M1271" s="396">
        <f>TIMEVALUE(MID(F1271,12,8))</f>
        <v/>
      </c>
      <c r="N1271" s="395">
        <f>DATEVALUE(LEFT(G1271,10))</f>
        <v/>
      </c>
      <c r="O1271" s="396">
        <f>TIMEVALUE(MID(G1271,12,8))</f>
        <v/>
      </c>
      <c r="P1271" s="396">
        <f>IFERROR(_xlfn.MINIFS($M:$M,$E:$E,$E1271,$K:$K,$K1271,$M:$M,"&gt;"&amp;$O1271),"")</f>
        <v/>
      </c>
      <c r="Q1271" s="396">
        <f>IF($P1271="","",$P1271-$O1271)</f>
        <v/>
      </c>
    </row>
    <row r="1272" ht="15" customHeight="1" s="231">
      <c r="A1272" s="397" t="n"/>
      <c r="B1272" s="397" t="n"/>
      <c r="C1272" s="397" t="n"/>
      <c r="D1272" s="397" t="n"/>
      <c r="E1272" s="397" t="n"/>
      <c r="F1272" s="397" t="n"/>
      <c r="G1272" s="397" t="n"/>
      <c r="I1272" s="397" t="n"/>
      <c r="J1272" s="397" t="n"/>
      <c r="K1272" s="395">
        <f>DATE(VALUE(LEFT(A1272,4)),VALUE(MID(A1272,5,2)),VALUE(RIGHT(A1272,2)))</f>
        <v/>
      </c>
      <c r="L1272" s="395">
        <f>DATEVALUE(LEFT(F1272,10))</f>
        <v/>
      </c>
      <c r="M1272" s="396">
        <f>TIMEVALUE(MID(F1272,12,8))</f>
        <v/>
      </c>
      <c r="N1272" s="395">
        <f>DATEVALUE(LEFT(G1272,10))</f>
        <v/>
      </c>
      <c r="O1272" s="396">
        <f>TIMEVALUE(MID(G1272,12,8))</f>
        <v/>
      </c>
      <c r="P1272" s="396">
        <f>IFERROR(_xlfn.MINIFS($M:$M,$E:$E,$E1272,$K:$K,$K1272,$M:$M,"&gt;"&amp;$O1272),"")</f>
        <v/>
      </c>
      <c r="Q1272" s="396">
        <f>IF($P1272="","",$P1272-$O1272)</f>
        <v/>
      </c>
    </row>
    <row r="1273" ht="15" customHeight="1" s="231">
      <c r="A1273" s="397" t="n"/>
      <c r="B1273" s="397" t="n"/>
      <c r="C1273" s="397" t="n"/>
      <c r="D1273" s="397" t="n"/>
      <c r="E1273" s="397" t="n"/>
      <c r="F1273" s="397" t="n"/>
      <c r="G1273" s="397" t="n"/>
      <c r="I1273" s="397" t="n"/>
      <c r="J1273" s="397" t="n"/>
      <c r="K1273" s="395">
        <f>DATE(VALUE(LEFT(A1273,4)),VALUE(MID(A1273,5,2)),VALUE(RIGHT(A1273,2)))</f>
        <v/>
      </c>
      <c r="L1273" s="395">
        <f>DATEVALUE(LEFT(F1273,10))</f>
        <v/>
      </c>
      <c r="M1273" s="396">
        <f>TIMEVALUE(MID(F1273,12,8))</f>
        <v/>
      </c>
      <c r="N1273" s="395">
        <f>DATEVALUE(LEFT(G1273,10))</f>
        <v/>
      </c>
      <c r="O1273" s="396">
        <f>TIMEVALUE(MID(G1273,12,8))</f>
        <v/>
      </c>
      <c r="P1273" s="396">
        <f>IFERROR(_xlfn.MINIFS($M:$M,$E:$E,$E1273,$K:$K,$K1273,$M:$M,"&gt;"&amp;$O1273),"")</f>
        <v/>
      </c>
      <c r="Q1273" s="396">
        <f>IF($P1273="","",$P1273-$O1273)</f>
        <v/>
      </c>
    </row>
    <row r="1274" ht="15" customHeight="1" s="231">
      <c r="A1274" s="397" t="n"/>
      <c r="B1274" s="397" t="n"/>
      <c r="C1274" s="397" t="n"/>
      <c r="D1274" s="397" t="n"/>
      <c r="E1274" s="397" t="n"/>
      <c r="F1274" s="397" t="n"/>
      <c r="G1274" s="397" t="n"/>
      <c r="I1274" s="397" t="n"/>
      <c r="J1274" s="397" t="n"/>
      <c r="K1274" s="395">
        <f>DATE(VALUE(LEFT(A1274,4)),VALUE(MID(A1274,5,2)),VALUE(RIGHT(A1274,2)))</f>
        <v/>
      </c>
      <c r="L1274" s="395">
        <f>DATEVALUE(LEFT(F1274,10))</f>
        <v/>
      </c>
      <c r="M1274" s="396">
        <f>TIMEVALUE(MID(F1274,12,8))</f>
        <v/>
      </c>
      <c r="N1274" s="395">
        <f>DATEVALUE(LEFT(G1274,10))</f>
        <v/>
      </c>
      <c r="O1274" s="396">
        <f>TIMEVALUE(MID(G1274,12,8))</f>
        <v/>
      </c>
      <c r="P1274" s="396">
        <f>IFERROR(_xlfn.MINIFS($M:$M,$E:$E,$E1274,$K:$K,$K1274,$M:$M,"&gt;"&amp;$O1274),"")</f>
        <v/>
      </c>
      <c r="Q1274" s="396">
        <f>IF($P1274="","",$P1274-$O1274)</f>
        <v/>
      </c>
    </row>
    <row r="1275" ht="15" customHeight="1" s="231">
      <c r="A1275" s="397" t="n"/>
      <c r="B1275" s="397" t="n"/>
      <c r="C1275" s="397" t="n"/>
      <c r="D1275" s="397" t="n"/>
      <c r="E1275" s="397" t="n"/>
      <c r="F1275" s="397" t="n"/>
      <c r="G1275" s="397" t="n"/>
      <c r="I1275" s="397" t="n"/>
      <c r="J1275" s="397" t="n"/>
      <c r="K1275" s="395">
        <f>DATE(VALUE(LEFT(A1275,4)),VALUE(MID(A1275,5,2)),VALUE(RIGHT(A1275,2)))</f>
        <v/>
      </c>
      <c r="L1275" s="395">
        <f>DATEVALUE(LEFT(F1275,10))</f>
        <v/>
      </c>
      <c r="M1275" s="396">
        <f>TIMEVALUE(MID(F1275,12,8))</f>
        <v/>
      </c>
      <c r="N1275" s="395">
        <f>DATEVALUE(LEFT(G1275,10))</f>
        <v/>
      </c>
      <c r="O1275" s="396">
        <f>TIMEVALUE(MID(G1275,12,8))</f>
        <v/>
      </c>
      <c r="P1275" s="396">
        <f>IFERROR(_xlfn.MINIFS($M:$M,$E:$E,$E1275,$K:$K,$K1275,$M:$M,"&gt;"&amp;$O1275),"")</f>
        <v/>
      </c>
      <c r="Q1275" s="396">
        <f>IF($P1275="","",$P1275-$O1275)</f>
        <v/>
      </c>
    </row>
    <row r="1276" ht="15" customHeight="1" s="231">
      <c r="A1276" s="397" t="n"/>
      <c r="B1276" s="397" t="n"/>
      <c r="C1276" s="397" t="n"/>
      <c r="D1276" s="397" t="n"/>
      <c r="E1276" s="397" t="n"/>
      <c r="F1276" s="397" t="n"/>
      <c r="G1276" s="397" t="n"/>
      <c r="I1276" s="397" t="n"/>
      <c r="J1276" s="397" t="n"/>
      <c r="K1276" s="395">
        <f>DATE(VALUE(LEFT(A1276,4)),VALUE(MID(A1276,5,2)),VALUE(RIGHT(A1276,2)))</f>
        <v/>
      </c>
      <c r="L1276" s="395">
        <f>DATEVALUE(LEFT(F1276,10))</f>
        <v/>
      </c>
      <c r="M1276" s="396">
        <f>TIMEVALUE(MID(F1276,12,8))</f>
        <v/>
      </c>
      <c r="N1276" s="395">
        <f>DATEVALUE(LEFT(G1276,10))</f>
        <v/>
      </c>
      <c r="O1276" s="396">
        <f>TIMEVALUE(MID(G1276,12,8))</f>
        <v/>
      </c>
      <c r="P1276" s="396">
        <f>IFERROR(_xlfn.MINIFS($M:$M,$E:$E,$E1276,$K:$K,$K1276,$M:$M,"&gt;"&amp;$O1276),"")</f>
        <v/>
      </c>
      <c r="Q1276" s="396">
        <f>IF($P1276="","",$P1276-$O1276)</f>
        <v/>
      </c>
    </row>
    <row r="1277" ht="15" customHeight="1" s="231">
      <c r="A1277" s="397" t="n"/>
      <c r="B1277" s="397" t="n"/>
      <c r="C1277" s="397" t="n"/>
      <c r="D1277" s="397" t="n"/>
      <c r="E1277" s="397" t="n"/>
      <c r="F1277" s="397" t="n"/>
      <c r="G1277" s="397" t="n"/>
      <c r="I1277" s="397" t="n"/>
      <c r="J1277" s="397" t="n"/>
      <c r="K1277" s="395">
        <f>DATE(VALUE(LEFT(A1277,4)),VALUE(MID(A1277,5,2)),VALUE(RIGHT(A1277,2)))</f>
        <v/>
      </c>
      <c r="L1277" s="395">
        <f>DATEVALUE(LEFT(F1277,10))</f>
        <v/>
      </c>
      <c r="M1277" s="396">
        <f>TIMEVALUE(MID(F1277,12,8))</f>
        <v/>
      </c>
      <c r="N1277" s="395">
        <f>DATEVALUE(LEFT(G1277,10))</f>
        <v/>
      </c>
      <c r="O1277" s="396">
        <f>TIMEVALUE(MID(G1277,12,8))</f>
        <v/>
      </c>
      <c r="P1277" s="396">
        <f>IFERROR(_xlfn.MINIFS($M:$M,$E:$E,$E1277,$K:$K,$K1277,$M:$M,"&gt;"&amp;$O1277),"")</f>
        <v/>
      </c>
      <c r="Q1277" s="396">
        <f>IF($P1277="","",$P1277-$O1277)</f>
        <v/>
      </c>
    </row>
    <row r="1278" ht="15" customHeight="1" s="231">
      <c r="A1278" s="397" t="n"/>
      <c r="B1278" s="397" t="n"/>
      <c r="C1278" s="397" t="n"/>
      <c r="D1278" s="397" t="n"/>
      <c r="E1278" s="397" t="n"/>
      <c r="F1278" s="397" t="n"/>
      <c r="G1278" s="397" t="n"/>
      <c r="I1278" s="397" t="n"/>
      <c r="J1278" s="397" t="n"/>
      <c r="K1278" s="395">
        <f>DATE(VALUE(LEFT(A1278,4)),VALUE(MID(A1278,5,2)),VALUE(RIGHT(A1278,2)))</f>
        <v/>
      </c>
      <c r="L1278" s="395">
        <f>DATEVALUE(LEFT(F1278,10))</f>
        <v/>
      </c>
      <c r="M1278" s="396">
        <f>TIMEVALUE(MID(F1278,12,8))</f>
        <v/>
      </c>
      <c r="N1278" s="395">
        <f>DATEVALUE(LEFT(G1278,10))</f>
        <v/>
      </c>
      <c r="O1278" s="396">
        <f>TIMEVALUE(MID(G1278,12,8))</f>
        <v/>
      </c>
      <c r="P1278" s="396">
        <f>IFERROR(_xlfn.MINIFS($M:$M,$E:$E,$E1278,$K:$K,$K1278,$M:$M,"&gt;"&amp;$O1278),"")</f>
        <v/>
      </c>
      <c r="Q1278" s="396">
        <f>IF($P1278="","",$P1278-$O1278)</f>
        <v/>
      </c>
    </row>
    <row r="1279" ht="15" customHeight="1" s="231">
      <c r="A1279" s="397" t="n"/>
      <c r="B1279" s="397" t="n"/>
      <c r="C1279" s="397" t="n"/>
      <c r="D1279" s="397" t="n"/>
      <c r="E1279" s="397" t="n"/>
      <c r="F1279" s="397" t="n"/>
      <c r="G1279" s="397" t="n"/>
      <c r="I1279" s="397" t="n"/>
      <c r="J1279" s="397" t="n"/>
      <c r="K1279" s="395">
        <f>DATE(VALUE(LEFT(A1279,4)),VALUE(MID(A1279,5,2)),VALUE(RIGHT(A1279,2)))</f>
        <v/>
      </c>
      <c r="L1279" s="395">
        <f>DATEVALUE(LEFT(F1279,10))</f>
        <v/>
      </c>
      <c r="M1279" s="396">
        <f>TIMEVALUE(MID(F1279,12,8))</f>
        <v/>
      </c>
      <c r="N1279" s="395">
        <f>DATEVALUE(LEFT(G1279,10))</f>
        <v/>
      </c>
      <c r="O1279" s="396">
        <f>TIMEVALUE(MID(G1279,12,8))</f>
        <v/>
      </c>
      <c r="P1279" s="396">
        <f>IFERROR(_xlfn.MINIFS($M:$M,$E:$E,$E1279,$K:$K,$K1279,$M:$M,"&gt;"&amp;$O1279),"")</f>
        <v/>
      </c>
      <c r="Q1279" s="396">
        <f>IF($P1279="","",$P1279-$O1279)</f>
        <v/>
      </c>
    </row>
    <row r="1280" ht="15" customHeight="1" s="231">
      <c r="A1280" s="397" t="n"/>
      <c r="B1280" s="397" t="n"/>
      <c r="C1280" s="397" t="n"/>
      <c r="D1280" s="397" t="n"/>
      <c r="E1280" s="397" t="n"/>
      <c r="F1280" s="397" t="n"/>
      <c r="G1280" s="397" t="n"/>
      <c r="I1280" s="397" t="n"/>
      <c r="J1280" s="397" t="n"/>
      <c r="K1280" s="395">
        <f>DATE(VALUE(LEFT(A1280,4)),VALUE(MID(A1280,5,2)),VALUE(RIGHT(A1280,2)))</f>
        <v/>
      </c>
      <c r="L1280" s="395">
        <f>DATEVALUE(LEFT(F1280,10))</f>
        <v/>
      </c>
      <c r="M1280" s="396">
        <f>TIMEVALUE(MID(F1280,12,8))</f>
        <v/>
      </c>
      <c r="N1280" s="395">
        <f>DATEVALUE(LEFT(G1280,10))</f>
        <v/>
      </c>
      <c r="O1280" s="396">
        <f>TIMEVALUE(MID(G1280,12,8))</f>
        <v/>
      </c>
      <c r="P1280" s="396">
        <f>IFERROR(_xlfn.MINIFS($M:$M,$E:$E,$E1280,$K:$K,$K1280,$M:$M,"&gt;"&amp;$O1280),"")</f>
        <v/>
      </c>
      <c r="Q1280" s="396">
        <f>IF($P1280="","",$P1280-$O1280)</f>
        <v/>
      </c>
    </row>
    <row r="1281" ht="15" customHeight="1" s="231">
      <c r="A1281" s="397" t="n"/>
      <c r="B1281" s="397" t="n"/>
      <c r="C1281" s="397" t="n"/>
      <c r="D1281" s="397" t="n"/>
      <c r="E1281" s="397" t="n"/>
      <c r="F1281" s="397" t="n"/>
      <c r="G1281" s="397" t="n"/>
      <c r="I1281" s="397" t="n"/>
      <c r="J1281" s="397" t="n"/>
      <c r="K1281" s="395">
        <f>DATE(VALUE(LEFT(A1281,4)),VALUE(MID(A1281,5,2)),VALUE(RIGHT(A1281,2)))</f>
        <v/>
      </c>
      <c r="L1281" s="395">
        <f>DATEVALUE(LEFT(F1281,10))</f>
        <v/>
      </c>
      <c r="M1281" s="396">
        <f>TIMEVALUE(MID(F1281,12,8))</f>
        <v/>
      </c>
      <c r="N1281" s="395">
        <f>DATEVALUE(LEFT(G1281,10))</f>
        <v/>
      </c>
      <c r="O1281" s="396">
        <f>TIMEVALUE(MID(G1281,12,8))</f>
        <v/>
      </c>
      <c r="P1281" s="396">
        <f>IFERROR(_xlfn.MINIFS($M:$M,$E:$E,$E1281,$K:$K,$K1281,$M:$M,"&gt;"&amp;$O1281),"")</f>
        <v/>
      </c>
      <c r="Q1281" s="396">
        <f>IF($P1281="","",$P1281-$O1281)</f>
        <v/>
      </c>
    </row>
    <row r="1282" ht="15" customHeight="1" s="231">
      <c r="A1282" s="397" t="n"/>
      <c r="B1282" s="397" t="n"/>
      <c r="C1282" s="397" t="n"/>
      <c r="D1282" s="397" t="n"/>
      <c r="E1282" s="397" t="n"/>
      <c r="F1282" s="397" t="n"/>
      <c r="G1282" s="397" t="n"/>
      <c r="I1282" s="397" t="n"/>
      <c r="J1282" s="397" t="n"/>
      <c r="K1282" s="395">
        <f>DATE(VALUE(LEFT(A1282,4)),VALUE(MID(A1282,5,2)),VALUE(RIGHT(A1282,2)))</f>
        <v/>
      </c>
      <c r="L1282" s="395">
        <f>DATEVALUE(LEFT(F1282,10))</f>
        <v/>
      </c>
      <c r="M1282" s="396">
        <f>TIMEVALUE(MID(F1282,12,8))</f>
        <v/>
      </c>
      <c r="N1282" s="395">
        <f>DATEVALUE(LEFT(G1282,10))</f>
        <v/>
      </c>
      <c r="O1282" s="396">
        <f>TIMEVALUE(MID(G1282,12,8))</f>
        <v/>
      </c>
      <c r="P1282" s="396">
        <f>IFERROR(_xlfn.MINIFS($M:$M,$E:$E,$E1282,$K:$K,$K1282,$M:$M,"&gt;"&amp;$O1282),"")</f>
        <v/>
      </c>
      <c r="Q1282" s="396">
        <f>IF($P1282="","",$P1282-$O1282)</f>
        <v/>
      </c>
    </row>
    <row r="1283" ht="15" customHeight="1" s="231">
      <c r="A1283" s="397" t="n"/>
      <c r="B1283" s="397" t="n"/>
      <c r="C1283" s="397" t="n"/>
      <c r="D1283" s="397" t="n"/>
      <c r="E1283" s="397" t="n"/>
      <c r="F1283" s="397" t="n"/>
      <c r="G1283" s="397" t="n"/>
      <c r="I1283" s="397" t="n"/>
      <c r="J1283" s="397" t="n"/>
      <c r="K1283" s="395">
        <f>DATE(VALUE(LEFT(A1283,4)),VALUE(MID(A1283,5,2)),VALUE(RIGHT(A1283,2)))</f>
        <v/>
      </c>
      <c r="L1283" s="395">
        <f>DATEVALUE(LEFT(F1283,10))</f>
        <v/>
      </c>
      <c r="M1283" s="396">
        <f>TIMEVALUE(MID(F1283,12,8))</f>
        <v/>
      </c>
      <c r="N1283" s="395">
        <f>DATEVALUE(LEFT(G1283,10))</f>
        <v/>
      </c>
      <c r="O1283" s="396">
        <f>TIMEVALUE(MID(G1283,12,8))</f>
        <v/>
      </c>
      <c r="P1283" s="396">
        <f>IFERROR(_xlfn.MINIFS($M:$M,$E:$E,$E1283,$K:$K,$K1283,$M:$M,"&gt;"&amp;$O1283),"")</f>
        <v/>
      </c>
      <c r="Q1283" s="396">
        <f>IF($P1283="","",$P1283-$O1283)</f>
        <v/>
      </c>
    </row>
    <row r="1284" ht="15" customHeight="1" s="231">
      <c r="A1284" s="397" t="n"/>
      <c r="B1284" s="397" t="n"/>
      <c r="C1284" s="397" t="n"/>
      <c r="D1284" s="397" t="n"/>
      <c r="E1284" s="397" t="n"/>
      <c r="F1284" s="397" t="n"/>
      <c r="G1284" s="397" t="n"/>
      <c r="I1284" s="397" t="n"/>
      <c r="J1284" s="397" t="n"/>
      <c r="K1284" s="395">
        <f>DATE(VALUE(LEFT(A1284,4)),VALUE(MID(A1284,5,2)),VALUE(RIGHT(A1284,2)))</f>
        <v/>
      </c>
      <c r="L1284" s="395">
        <f>DATEVALUE(LEFT(F1284,10))</f>
        <v/>
      </c>
      <c r="M1284" s="396">
        <f>TIMEVALUE(MID(F1284,12,8))</f>
        <v/>
      </c>
      <c r="N1284" s="395">
        <f>DATEVALUE(LEFT(G1284,10))</f>
        <v/>
      </c>
      <c r="O1284" s="396">
        <f>TIMEVALUE(MID(G1284,12,8))</f>
        <v/>
      </c>
      <c r="P1284" s="396">
        <f>IFERROR(_xlfn.MINIFS($M:$M,$E:$E,$E1284,$K:$K,$K1284,$M:$M,"&gt;"&amp;$O1284),"")</f>
        <v/>
      </c>
      <c r="Q1284" s="396">
        <f>IF($P1284="","",$P1284-$O1284)</f>
        <v/>
      </c>
    </row>
    <row r="1285" ht="15" customHeight="1" s="231">
      <c r="A1285" s="397" t="n"/>
      <c r="B1285" s="397" t="n"/>
      <c r="C1285" s="397" t="n"/>
      <c r="D1285" s="397" t="n"/>
      <c r="E1285" s="397" t="n"/>
      <c r="F1285" s="397" t="n"/>
      <c r="G1285" s="397" t="n"/>
      <c r="I1285" s="397" t="n"/>
      <c r="J1285" s="397" t="n"/>
      <c r="K1285" s="395">
        <f>DATE(VALUE(LEFT(A1285,4)),VALUE(MID(A1285,5,2)),VALUE(RIGHT(A1285,2)))</f>
        <v/>
      </c>
      <c r="L1285" s="395">
        <f>DATEVALUE(LEFT(F1285,10))</f>
        <v/>
      </c>
      <c r="M1285" s="396">
        <f>TIMEVALUE(MID(F1285,12,8))</f>
        <v/>
      </c>
      <c r="N1285" s="395">
        <f>DATEVALUE(LEFT(G1285,10))</f>
        <v/>
      </c>
      <c r="O1285" s="396">
        <f>TIMEVALUE(MID(G1285,12,8))</f>
        <v/>
      </c>
      <c r="P1285" s="396">
        <f>IFERROR(_xlfn.MINIFS($M:$M,$E:$E,$E1285,$K:$K,$K1285,$M:$M,"&gt;"&amp;$O1285),"")</f>
        <v/>
      </c>
      <c r="Q1285" s="396">
        <f>IF($P1285="","",$P1285-$O1285)</f>
        <v/>
      </c>
    </row>
    <row r="1286" ht="15" customHeight="1" s="231">
      <c r="A1286" s="397" t="n"/>
      <c r="B1286" s="397" t="n"/>
      <c r="C1286" s="397" t="n"/>
      <c r="D1286" s="397" t="n"/>
      <c r="E1286" s="397" t="n"/>
      <c r="F1286" s="397" t="n"/>
      <c r="G1286" s="397" t="n"/>
      <c r="I1286" s="397" t="n"/>
      <c r="J1286" s="397" t="n"/>
      <c r="K1286" s="395">
        <f>DATE(VALUE(LEFT(A1286,4)),VALUE(MID(A1286,5,2)),VALUE(RIGHT(A1286,2)))</f>
        <v/>
      </c>
      <c r="L1286" s="395">
        <f>DATEVALUE(LEFT(F1286,10))</f>
        <v/>
      </c>
      <c r="M1286" s="396">
        <f>TIMEVALUE(MID(F1286,12,8))</f>
        <v/>
      </c>
      <c r="N1286" s="395">
        <f>DATEVALUE(LEFT(G1286,10))</f>
        <v/>
      </c>
      <c r="O1286" s="396">
        <f>TIMEVALUE(MID(G1286,12,8))</f>
        <v/>
      </c>
      <c r="P1286" s="396">
        <f>IFERROR(_xlfn.MINIFS($M:$M,$E:$E,$E1286,$K:$K,$K1286,$M:$M,"&gt;"&amp;$O1286),"")</f>
        <v/>
      </c>
      <c r="Q1286" s="396">
        <f>IF($P1286="","",$P1286-$O1286)</f>
        <v/>
      </c>
    </row>
    <row r="1287" ht="15" customHeight="1" s="231">
      <c r="A1287" s="397" t="n"/>
      <c r="B1287" s="397" t="n"/>
      <c r="C1287" s="397" t="n"/>
      <c r="D1287" s="397" t="n"/>
      <c r="E1287" s="397" t="n"/>
      <c r="F1287" s="397" t="n"/>
      <c r="G1287" s="397" t="n"/>
      <c r="I1287" s="397" t="n"/>
      <c r="J1287" s="397" t="n"/>
      <c r="K1287" s="395">
        <f>DATE(VALUE(LEFT(A1287,4)),VALUE(MID(A1287,5,2)),VALUE(RIGHT(A1287,2)))</f>
        <v/>
      </c>
      <c r="L1287" s="395">
        <f>DATEVALUE(LEFT(F1287,10))</f>
        <v/>
      </c>
      <c r="M1287" s="396">
        <f>TIMEVALUE(MID(F1287,12,8))</f>
        <v/>
      </c>
      <c r="N1287" s="395">
        <f>DATEVALUE(LEFT(G1287,10))</f>
        <v/>
      </c>
      <c r="O1287" s="396">
        <f>TIMEVALUE(MID(G1287,12,8))</f>
        <v/>
      </c>
      <c r="P1287" s="396">
        <f>IFERROR(_xlfn.MINIFS($M:$M,$E:$E,$E1287,$K:$K,$K1287,$M:$M,"&gt;"&amp;$O1287),"")</f>
        <v/>
      </c>
      <c r="Q1287" s="396">
        <f>IF($P1287="","",$P1287-$O1287)</f>
        <v/>
      </c>
    </row>
    <row r="1288" ht="15" customHeight="1" s="231">
      <c r="A1288" s="397" t="n"/>
      <c r="B1288" s="397" t="n"/>
      <c r="C1288" s="397" t="n"/>
      <c r="D1288" s="397" t="n"/>
      <c r="E1288" s="397" t="n"/>
      <c r="F1288" s="397" t="n"/>
      <c r="G1288" s="397" t="n"/>
      <c r="I1288" s="397" t="n"/>
      <c r="J1288" s="397" t="n"/>
      <c r="K1288" s="395">
        <f>DATE(VALUE(LEFT(A1288,4)),VALUE(MID(A1288,5,2)),VALUE(RIGHT(A1288,2)))</f>
        <v/>
      </c>
      <c r="L1288" s="395">
        <f>DATEVALUE(LEFT(F1288,10))</f>
        <v/>
      </c>
      <c r="M1288" s="396">
        <f>TIMEVALUE(MID(F1288,12,8))</f>
        <v/>
      </c>
      <c r="N1288" s="395">
        <f>DATEVALUE(LEFT(G1288,10))</f>
        <v/>
      </c>
      <c r="O1288" s="396">
        <f>TIMEVALUE(MID(G1288,12,8))</f>
        <v/>
      </c>
      <c r="P1288" s="396">
        <f>IFERROR(_xlfn.MINIFS($M:$M,$E:$E,$E1288,$K:$K,$K1288,$M:$M,"&gt;"&amp;$O1288),"")</f>
        <v/>
      </c>
      <c r="Q1288" s="396">
        <f>IF($P1288="","",$P1288-$O1288)</f>
        <v/>
      </c>
    </row>
    <row r="1289" ht="15" customHeight="1" s="231">
      <c r="A1289" s="397" t="n"/>
      <c r="B1289" s="397" t="n"/>
      <c r="C1289" s="397" t="n"/>
      <c r="D1289" s="397" t="n"/>
      <c r="E1289" s="397" t="n"/>
      <c r="F1289" s="397" t="n"/>
      <c r="G1289" s="397" t="n"/>
      <c r="I1289" s="397" t="n"/>
      <c r="J1289" s="397" t="n"/>
      <c r="K1289" s="395">
        <f>DATE(VALUE(LEFT(A1289,4)),VALUE(MID(A1289,5,2)),VALUE(RIGHT(A1289,2)))</f>
        <v/>
      </c>
      <c r="L1289" s="395">
        <f>DATEVALUE(LEFT(F1289,10))</f>
        <v/>
      </c>
      <c r="M1289" s="396">
        <f>TIMEVALUE(MID(F1289,12,8))</f>
        <v/>
      </c>
      <c r="N1289" s="395">
        <f>DATEVALUE(LEFT(G1289,10))</f>
        <v/>
      </c>
      <c r="O1289" s="396">
        <f>TIMEVALUE(MID(G1289,12,8))</f>
        <v/>
      </c>
      <c r="P1289" s="396">
        <f>IFERROR(_xlfn.MINIFS($M:$M,$E:$E,$E1289,$K:$K,$K1289,$M:$M,"&gt;"&amp;$O1289),"")</f>
        <v/>
      </c>
      <c r="Q1289" s="396">
        <f>IF($P1289="","",$P1289-$O1289)</f>
        <v/>
      </c>
    </row>
    <row r="1290" ht="15" customHeight="1" s="231">
      <c r="A1290" s="397" t="n"/>
      <c r="B1290" s="397" t="n"/>
      <c r="C1290" s="397" t="n"/>
      <c r="D1290" s="397" t="n"/>
      <c r="E1290" s="397" t="n"/>
      <c r="F1290" s="397" t="n"/>
      <c r="G1290" s="397" t="n"/>
      <c r="I1290" s="397" t="n"/>
      <c r="J1290" s="397" t="n"/>
      <c r="K1290" s="395">
        <f>DATE(VALUE(LEFT(A1290,4)),VALUE(MID(A1290,5,2)),VALUE(RIGHT(A1290,2)))</f>
        <v/>
      </c>
      <c r="L1290" s="395">
        <f>DATEVALUE(LEFT(F1290,10))</f>
        <v/>
      </c>
      <c r="M1290" s="396">
        <f>TIMEVALUE(MID(F1290,12,8))</f>
        <v/>
      </c>
      <c r="N1290" s="395">
        <f>DATEVALUE(LEFT(G1290,10))</f>
        <v/>
      </c>
      <c r="O1290" s="396">
        <f>TIMEVALUE(MID(G1290,12,8))</f>
        <v/>
      </c>
      <c r="P1290" s="396">
        <f>IFERROR(_xlfn.MINIFS($M:$M,$E:$E,$E1290,$K:$K,$K1290,$M:$M,"&gt;"&amp;$O1290),"")</f>
        <v/>
      </c>
      <c r="Q1290" s="396">
        <f>IF($P1290="","",$P1290-$O1290)</f>
        <v/>
      </c>
    </row>
    <row r="1291" ht="15" customHeight="1" s="231">
      <c r="A1291" s="397" t="n"/>
      <c r="B1291" s="397" t="n"/>
      <c r="C1291" s="397" t="n"/>
      <c r="D1291" s="397" t="n"/>
      <c r="E1291" s="397" t="n"/>
      <c r="F1291" s="397" t="n"/>
      <c r="G1291" s="397" t="n"/>
      <c r="I1291" s="397" t="n"/>
      <c r="J1291" s="397" t="n"/>
      <c r="K1291" s="395">
        <f>DATE(VALUE(LEFT(A1291,4)),VALUE(MID(A1291,5,2)),VALUE(RIGHT(A1291,2)))</f>
        <v/>
      </c>
      <c r="L1291" s="395">
        <f>DATEVALUE(LEFT(F1291,10))</f>
        <v/>
      </c>
      <c r="M1291" s="396">
        <f>TIMEVALUE(MID(F1291,12,8))</f>
        <v/>
      </c>
      <c r="N1291" s="395">
        <f>DATEVALUE(LEFT(G1291,10))</f>
        <v/>
      </c>
      <c r="O1291" s="396">
        <f>TIMEVALUE(MID(G1291,12,8))</f>
        <v/>
      </c>
      <c r="P1291" s="396">
        <f>IFERROR(_xlfn.MINIFS($M:$M,$E:$E,$E1291,$K:$K,$K1291,$M:$M,"&gt;"&amp;$O1291),"")</f>
        <v/>
      </c>
      <c r="Q1291" s="396">
        <f>IF($P1291="","",$P1291-$O1291)</f>
        <v/>
      </c>
    </row>
    <row r="1292" ht="15" customHeight="1" s="231">
      <c r="A1292" s="397" t="n"/>
      <c r="B1292" s="397" t="n"/>
      <c r="C1292" s="397" t="n"/>
      <c r="D1292" s="397" t="n"/>
      <c r="E1292" s="397" t="n"/>
      <c r="F1292" s="397" t="n"/>
      <c r="G1292" s="397" t="n"/>
      <c r="I1292" s="397" t="n"/>
      <c r="J1292" s="397" t="n"/>
      <c r="K1292" s="395">
        <f>DATE(VALUE(LEFT(A1292,4)),VALUE(MID(A1292,5,2)),VALUE(RIGHT(A1292,2)))</f>
        <v/>
      </c>
      <c r="L1292" s="395">
        <f>DATEVALUE(LEFT(F1292,10))</f>
        <v/>
      </c>
      <c r="M1292" s="396">
        <f>TIMEVALUE(MID(F1292,12,8))</f>
        <v/>
      </c>
      <c r="N1292" s="395">
        <f>DATEVALUE(LEFT(G1292,10))</f>
        <v/>
      </c>
      <c r="O1292" s="396">
        <f>TIMEVALUE(MID(G1292,12,8))</f>
        <v/>
      </c>
      <c r="P1292" s="396">
        <f>IFERROR(_xlfn.MINIFS($M:$M,$E:$E,$E1292,$K:$K,$K1292,$M:$M,"&gt;"&amp;$O1292),"")</f>
        <v/>
      </c>
      <c r="Q1292" s="396">
        <f>IF($P1292="","",$P1292-$O1292)</f>
        <v/>
      </c>
    </row>
    <row r="1293" ht="15" customHeight="1" s="231">
      <c r="A1293" s="397" t="n"/>
      <c r="B1293" s="397" t="n"/>
      <c r="C1293" s="397" t="n"/>
      <c r="D1293" s="397" t="n"/>
      <c r="E1293" s="397" t="n"/>
      <c r="F1293" s="397" t="n"/>
      <c r="G1293" s="397" t="n"/>
      <c r="I1293" s="397" t="n"/>
      <c r="J1293" s="397" t="n"/>
      <c r="K1293" s="395">
        <f>DATE(VALUE(LEFT(A1293,4)),VALUE(MID(A1293,5,2)),VALUE(RIGHT(A1293,2)))</f>
        <v/>
      </c>
      <c r="L1293" s="395">
        <f>DATEVALUE(LEFT(F1293,10))</f>
        <v/>
      </c>
      <c r="M1293" s="396">
        <f>TIMEVALUE(MID(F1293,12,8))</f>
        <v/>
      </c>
      <c r="N1293" s="395">
        <f>DATEVALUE(LEFT(G1293,10))</f>
        <v/>
      </c>
      <c r="O1293" s="396">
        <f>TIMEVALUE(MID(G1293,12,8))</f>
        <v/>
      </c>
      <c r="P1293" s="396">
        <f>IFERROR(_xlfn.MINIFS($M:$M,$E:$E,$E1293,$K:$K,$K1293,$M:$M,"&gt;"&amp;$O1293),"")</f>
        <v/>
      </c>
      <c r="Q1293" s="396">
        <f>IF($P1293="","",$P1293-$O1293)</f>
        <v/>
      </c>
    </row>
    <row r="1294" ht="15" customHeight="1" s="231">
      <c r="A1294" s="397" t="n"/>
      <c r="B1294" s="397" t="n"/>
      <c r="C1294" s="397" t="n"/>
      <c r="D1294" s="397" t="n"/>
      <c r="E1294" s="397" t="n"/>
      <c r="F1294" s="397" t="n"/>
      <c r="G1294" s="397" t="n"/>
      <c r="I1294" s="397" t="n"/>
      <c r="J1294" s="397" t="n"/>
      <c r="K1294" s="395">
        <f>DATE(VALUE(LEFT(A1294,4)),VALUE(MID(A1294,5,2)),VALUE(RIGHT(A1294,2)))</f>
        <v/>
      </c>
      <c r="L1294" s="395">
        <f>DATEVALUE(LEFT(F1294,10))</f>
        <v/>
      </c>
      <c r="M1294" s="396">
        <f>TIMEVALUE(MID(F1294,12,8))</f>
        <v/>
      </c>
      <c r="N1294" s="395">
        <f>DATEVALUE(LEFT(G1294,10))</f>
        <v/>
      </c>
      <c r="O1294" s="396">
        <f>TIMEVALUE(MID(G1294,12,8))</f>
        <v/>
      </c>
      <c r="P1294" s="396">
        <f>IFERROR(_xlfn.MINIFS($M:$M,$E:$E,$E1294,$K:$K,$K1294,$M:$M,"&gt;"&amp;$O1294),"")</f>
        <v/>
      </c>
      <c r="Q1294" s="396">
        <f>IF($P1294="","",$P1294-$O1294)</f>
        <v/>
      </c>
    </row>
    <row r="1295" ht="15" customHeight="1" s="231">
      <c r="A1295" s="397" t="n"/>
      <c r="B1295" s="397" t="n"/>
      <c r="C1295" s="397" t="n"/>
      <c r="D1295" s="397" t="n"/>
      <c r="E1295" s="397" t="n"/>
      <c r="F1295" s="397" t="n"/>
      <c r="G1295" s="397" t="n"/>
      <c r="I1295" s="397" t="n"/>
      <c r="J1295" s="397" t="n"/>
      <c r="K1295" s="395">
        <f>DATE(VALUE(LEFT(A1295,4)),VALUE(MID(A1295,5,2)),VALUE(RIGHT(A1295,2)))</f>
        <v/>
      </c>
      <c r="L1295" s="395">
        <f>DATEVALUE(LEFT(F1295,10))</f>
        <v/>
      </c>
      <c r="M1295" s="396">
        <f>TIMEVALUE(MID(F1295,12,8))</f>
        <v/>
      </c>
      <c r="N1295" s="395">
        <f>DATEVALUE(LEFT(G1295,10))</f>
        <v/>
      </c>
      <c r="O1295" s="396">
        <f>TIMEVALUE(MID(G1295,12,8))</f>
        <v/>
      </c>
      <c r="P1295" s="396">
        <f>IFERROR(_xlfn.MINIFS($M:$M,$E:$E,$E1295,$K:$K,$K1295,$M:$M,"&gt;"&amp;$O1295),"")</f>
        <v/>
      </c>
      <c r="Q1295" s="396">
        <f>IF($P1295="","",$P1295-$O1295)</f>
        <v/>
      </c>
    </row>
    <row r="1296" ht="15" customHeight="1" s="231">
      <c r="A1296" s="397" t="n"/>
      <c r="B1296" s="397" t="n"/>
      <c r="C1296" s="397" t="n"/>
      <c r="D1296" s="397" t="n"/>
      <c r="E1296" s="397" t="n"/>
      <c r="F1296" s="397" t="n"/>
      <c r="G1296" s="397" t="n"/>
      <c r="I1296" s="397" t="n"/>
      <c r="J1296" s="397" t="n"/>
      <c r="K1296" s="395">
        <f>DATE(VALUE(LEFT(A1296,4)),VALUE(MID(A1296,5,2)),VALUE(RIGHT(A1296,2)))</f>
        <v/>
      </c>
      <c r="L1296" s="395">
        <f>DATEVALUE(LEFT(F1296,10))</f>
        <v/>
      </c>
      <c r="M1296" s="396">
        <f>TIMEVALUE(MID(F1296,12,8))</f>
        <v/>
      </c>
      <c r="N1296" s="395">
        <f>DATEVALUE(LEFT(G1296,10))</f>
        <v/>
      </c>
      <c r="O1296" s="396">
        <f>TIMEVALUE(MID(G1296,12,8))</f>
        <v/>
      </c>
      <c r="P1296" s="396">
        <f>IFERROR(_xlfn.MINIFS($M:$M,$E:$E,$E1296,$K:$K,$K1296,$M:$M,"&gt;"&amp;$O1296),"")</f>
        <v/>
      </c>
      <c r="Q1296" s="396">
        <f>IF($P1296="","",$P1296-$O1296)</f>
        <v/>
      </c>
    </row>
    <row r="1297" ht="15" customHeight="1" s="231">
      <c r="A1297" s="397" t="n"/>
      <c r="B1297" s="397" t="n"/>
      <c r="C1297" s="397" t="n"/>
      <c r="D1297" s="397" t="n"/>
      <c r="E1297" s="397" t="n"/>
      <c r="F1297" s="397" t="n"/>
      <c r="G1297" s="397" t="n"/>
      <c r="I1297" s="397" t="n"/>
      <c r="J1297" s="397" t="n"/>
      <c r="K1297" s="395">
        <f>DATE(VALUE(LEFT(A1297,4)),VALUE(MID(A1297,5,2)),VALUE(RIGHT(A1297,2)))</f>
        <v/>
      </c>
      <c r="L1297" s="395">
        <f>DATEVALUE(LEFT(F1297,10))</f>
        <v/>
      </c>
      <c r="M1297" s="396">
        <f>TIMEVALUE(MID(F1297,12,8))</f>
        <v/>
      </c>
      <c r="N1297" s="395">
        <f>DATEVALUE(LEFT(G1297,10))</f>
        <v/>
      </c>
      <c r="O1297" s="396">
        <f>TIMEVALUE(MID(G1297,12,8))</f>
        <v/>
      </c>
      <c r="P1297" s="396">
        <f>IFERROR(_xlfn.MINIFS($M:$M,$E:$E,$E1297,$K:$K,$K1297,$M:$M,"&gt;"&amp;$O1297),"")</f>
        <v/>
      </c>
      <c r="Q1297" s="396">
        <f>IF($P1297="","",$P1297-$O1297)</f>
        <v/>
      </c>
    </row>
    <row r="1298" ht="15" customHeight="1" s="231">
      <c r="A1298" s="397" t="n"/>
      <c r="B1298" s="397" t="n"/>
      <c r="C1298" s="397" t="n"/>
      <c r="D1298" s="397" t="n"/>
      <c r="E1298" s="397" t="n"/>
      <c r="F1298" s="397" t="n"/>
      <c r="G1298" s="397" t="n"/>
      <c r="I1298" s="397" t="n"/>
      <c r="J1298" s="397" t="n"/>
      <c r="K1298" s="395">
        <f>DATE(VALUE(LEFT(A1298,4)),VALUE(MID(A1298,5,2)),VALUE(RIGHT(A1298,2)))</f>
        <v/>
      </c>
      <c r="L1298" s="395">
        <f>DATEVALUE(LEFT(F1298,10))</f>
        <v/>
      </c>
      <c r="M1298" s="396">
        <f>TIMEVALUE(MID(F1298,12,8))</f>
        <v/>
      </c>
      <c r="N1298" s="395">
        <f>DATEVALUE(LEFT(G1298,10))</f>
        <v/>
      </c>
      <c r="O1298" s="396">
        <f>TIMEVALUE(MID(G1298,12,8))</f>
        <v/>
      </c>
      <c r="P1298" s="396">
        <f>IFERROR(_xlfn.MINIFS($M:$M,$E:$E,$E1298,$K:$K,$K1298,$M:$M,"&gt;"&amp;$O1298),"")</f>
        <v/>
      </c>
      <c r="Q1298" s="396">
        <f>IF($P1298="","",$P1298-$O1298)</f>
        <v/>
      </c>
    </row>
    <row r="1299" ht="15" customHeight="1" s="231">
      <c r="A1299" s="397" t="n"/>
      <c r="B1299" s="397" t="n"/>
      <c r="C1299" s="397" t="n"/>
      <c r="D1299" s="397" t="n"/>
      <c r="E1299" s="397" t="n"/>
      <c r="F1299" s="397" t="n"/>
      <c r="G1299" s="397" t="n"/>
      <c r="I1299" s="397" t="n"/>
      <c r="J1299" s="397" t="n"/>
      <c r="K1299" s="395">
        <f>DATE(VALUE(LEFT(A1299,4)),VALUE(MID(A1299,5,2)),VALUE(RIGHT(A1299,2)))</f>
        <v/>
      </c>
      <c r="L1299" s="395">
        <f>DATEVALUE(LEFT(F1299,10))</f>
        <v/>
      </c>
      <c r="M1299" s="396">
        <f>TIMEVALUE(MID(F1299,12,8))</f>
        <v/>
      </c>
      <c r="N1299" s="395">
        <f>DATEVALUE(LEFT(G1299,10))</f>
        <v/>
      </c>
      <c r="O1299" s="396">
        <f>TIMEVALUE(MID(G1299,12,8))</f>
        <v/>
      </c>
      <c r="P1299" s="396">
        <f>IFERROR(_xlfn.MINIFS($M:$M,$E:$E,$E1299,$K:$K,$K1299,$M:$M,"&gt;"&amp;$O1299),"")</f>
        <v/>
      </c>
      <c r="Q1299" s="396">
        <f>IF($P1299="","",$P1299-$O1299)</f>
        <v/>
      </c>
    </row>
    <row r="1300" ht="15" customHeight="1" s="231">
      <c r="A1300" s="397" t="n"/>
      <c r="B1300" s="397" t="n"/>
      <c r="C1300" s="397" t="n"/>
      <c r="D1300" s="397" t="n"/>
      <c r="E1300" s="397" t="n"/>
      <c r="F1300" s="397" t="n"/>
      <c r="G1300" s="397" t="n"/>
      <c r="I1300" s="397" t="n"/>
      <c r="J1300" s="397" t="n"/>
      <c r="K1300" s="395">
        <f>DATE(VALUE(LEFT(A1300,4)),VALUE(MID(A1300,5,2)),VALUE(RIGHT(A1300,2)))</f>
        <v/>
      </c>
      <c r="L1300" s="395">
        <f>DATEVALUE(LEFT(F1300,10))</f>
        <v/>
      </c>
      <c r="M1300" s="396">
        <f>TIMEVALUE(MID(F1300,12,8))</f>
        <v/>
      </c>
      <c r="N1300" s="395">
        <f>DATEVALUE(LEFT(G1300,10))</f>
        <v/>
      </c>
      <c r="O1300" s="396">
        <f>TIMEVALUE(MID(G1300,12,8))</f>
        <v/>
      </c>
      <c r="P1300" s="396">
        <f>IFERROR(_xlfn.MINIFS($M:$M,$E:$E,$E1300,$K:$K,$K1300,$M:$M,"&gt;"&amp;$O1300),"")</f>
        <v/>
      </c>
      <c r="Q1300" s="396">
        <f>IF($P1300="","",$P1300-$O1300)</f>
        <v/>
      </c>
    </row>
    <row r="1301" ht="15" customHeight="1" s="231">
      <c r="A1301" s="397" t="n"/>
      <c r="B1301" s="397" t="n"/>
      <c r="C1301" s="397" t="n"/>
      <c r="D1301" s="397" t="n"/>
      <c r="E1301" s="397" t="n"/>
      <c r="F1301" s="397" t="n"/>
      <c r="G1301" s="397" t="n"/>
      <c r="I1301" s="397" t="n"/>
      <c r="J1301" s="397" t="n"/>
      <c r="K1301" s="395">
        <f>DATE(VALUE(LEFT(A1301,4)),VALUE(MID(A1301,5,2)),VALUE(RIGHT(A1301,2)))</f>
        <v/>
      </c>
      <c r="L1301" s="395">
        <f>DATEVALUE(LEFT(F1301,10))</f>
        <v/>
      </c>
      <c r="M1301" s="396">
        <f>TIMEVALUE(MID(F1301,12,8))</f>
        <v/>
      </c>
      <c r="N1301" s="395">
        <f>DATEVALUE(LEFT(G1301,10))</f>
        <v/>
      </c>
      <c r="O1301" s="396">
        <f>TIMEVALUE(MID(G1301,12,8))</f>
        <v/>
      </c>
      <c r="P1301" s="396">
        <f>IFERROR(_xlfn.MINIFS($M:$M,$E:$E,$E1301,$K:$K,$K1301,$M:$M,"&gt;"&amp;$O1301),"")</f>
        <v/>
      </c>
      <c r="Q1301" s="396">
        <f>IF($P1301="","",$P1301-$O1301)</f>
        <v/>
      </c>
    </row>
    <row r="1302" ht="15" customHeight="1" s="231">
      <c r="A1302" s="397" t="n"/>
      <c r="B1302" s="397" t="n"/>
      <c r="C1302" s="397" t="n"/>
      <c r="D1302" s="397" t="n"/>
      <c r="E1302" s="397" t="n"/>
      <c r="F1302" s="397" t="n"/>
      <c r="G1302" s="397" t="n"/>
      <c r="I1302" s="397" t="n"/>
      <c r="J1302" s="397" t="n"/>
      <c r="K1302" s="395">
        <f>DATE(VALUE(LEFT(A1302,4)),VALUE(MID(A1302,5,2)),VALUE(RIGHT(A1302,2)))</f>
        <v/>
      </c>
      <c r="L1302" s="395">
        <f>DATEVALUE(LEFT(F1302,10))</f>
        <v/>
      </c>
      <c r="M1302" s="396">
        <f>TIMEVALUE(MID(F1302,12,8))</f>
        <v/>
      </c>
      <c r="N1302" s="395">
        <f>DATEVALUE(LEFT(G1302,10))</f>
        <v/>
      </c>
      <c r="O1302" s="396">
        <f>TIMEVALUE(MID(G1302,12,8))</f>
        <v/>
      </c>
      <c r="P1302" s="396">
        <f>IFERROR(_xlfn.MINIFS($M:$M,$E:$E,$E1302,$K:$K,$K1302,$M:$M,"&gt;"&amp;$O1302),"")</f>
        <v/>
      </c>
      <c r="Q1302" s="396">
        <f>IF($P1302="","",$P1302-$O1302)</f>
        <v/>
      </c>
    </row>
    <row r="1303" ht="15" customHeight="1" s="231">
      <c r="A1303" s="397" t="n"/>
      <c r="B1303" s="397" t="n"/>
      <c r="C1303" s="397" t="n"/>
      <c r="D1303" s="397" t="n"/>
      <c r="E1303" s="397" t="n"/>
      <c r="F1303" s="397" t="n"/>
      <c r="G1303" s="397" t="n"/>
      <c r="I1303" s="397" t="n"/>
      <c r="J1303" s="397" t="n"/>
      <c r="K1303" s="395">
        <f>DATE(VALUE(LEFT(A1303,4)),VALUE(MID(A1303,5,2)),VALUE(RIGHT(A1303,2)))</f>
        <v/>
      </c>
      <c r="L1303" s="395">
        <f>DATEVALUE(LEFT(F1303,10))</f>
        <v/>
      </c>
      <c r="M1303" s="396">
        <f>TIMEVALUE(MID(F1303,12,8))</f>
        <v/>
      </c>
      <c r="N1303" s="395">
        <f>DATEVALUE(LEFT(G1303,10))</f>
        <v/>
      </c>
      <c r="O1303" s="396">
        <f>TIMEVALUE(MID(G1303,12,8))</f>
        <v/>
      </c>
      <c r="P1303" s="396">
        <f>IFERROR(_xlfn.MINIFS($M:$M,$E:$E,$E1303,$K:$K,$K1303,$M:$M,"&gt;"&amp;$O1303),"")</f>
        <v/>
      </c>
      <c r="Q1303" s="396">
        <f>IF($P1303="","",$P1303-$O1303)</f>
        <v/>
      </c>
    </row>
    <row r="1304" ht="15" customHeight="1" s="231">
      <c r="A1304" s="397" t="n"/>
      <c r="B1304" s="397" t="n"/>
      <c r="C1304" s="397" t="n"/>
      <c r="D1304" s="397" t="n"/>
      <c r="E1304" s="397" t="n"/>
      <c r="F1304" s="397" t="n"/>
      <c r="G1304" s="397" t="n"/>
      <c r="I1304" s="397" t="n"/>
      <c r="J1304" s="397" t="n"/>
      <c r="K1304" s="395">
        <f>DATE(VALUE(LEFT(A1304,4)),VALUE(MID(A1304,5,2)),VALUE(RIGHT(A1304,2)))</f>
        <v/>
      </c>
      <c r="L1304" s="395">
        <f>DATEVALUE(LEFT(F1304,10))</f>
        <v/>
      </c>
      <c r="M1304" s="396">
        <f>TIMEVALUE(MID(F1304,12,8))</f>
        <v/>
      </c>
      <c r="N1304" s="395">
        <f>DATEVALUE(LEFT(G1304,10))</f>
        <v/>
      </c>
      <c r="O1304" s="396">
        <f>TIMEVALUE(MID(G1304,12,8))</f>
        <v/>
      </c>
      <c r="P1304" s="396">
        <f>IFERROR(_xlfn.MINIFS($M:$M,$E:$E,$E1304,$K:$K,$K1304,$M:$M,"&gt;"&amp;$O1304),"")</f>
        <v/>
      </c>
      <c r="Q1304" s="396">
        <f>IF($P1304="","",$P1304-$O1304)</f>
        <v/>
      </c>
    </row>
    <row r="1305" ht="15" customHeight="1" s="231">
      <c r="A1305" s="397" t="n"/>
      <c r="B1305" s="397" t="n"/>
      <c r="C1305" s="397" t="n"/>
      <c r="D1305" s="397" t="n"/>
      <c r="E1305" s="397" t="n"/>
      <c r="F1305" s="397" t="n"/>
      <c r="G1305" s="397" t="n"/>
      <c r="I1305" s="397" t="n"/>
      <c r="J1305" s="397" t="n"/>
      <c r="K1305" s="395">
        <f>DATE(VALUE(LEFT(A1305,4)),VALUE(MID(A1305,5,2)),VALUE(RIGHT(A1305,2)))</f>
        <v/>
      </c>
      <c r="L1305" s="395">
        <f>DATEVALUE(LEFT(F1305,10))</f>
        <v/>
      </c>
      <c r="M1305" s="396">
        <f>TIMEVALUE(MID(F1305,12,8))</f>
        <v/>
      </c>
      <c r="N1305" s="395">
        <f>DATEVALUE(LEFT(G1305,10))</f>
        <v/>
      </c>
      <c r="O1305" s="396">
        <f>TIMEVALUE(MID(G1305,12,8))</f>
        <v/>
      </c>
      <c r="P1305" s="396">
        <f>IFERROR(_xlfn.MINIFS($M:$M,$E:$E,$E1305,$K:$K,$K1305,$M:$M,"&gt;"&amp;$O1305),"")</f>
        <v/>
      </c>
      <c r="Q1305" s="396">
        <f>IF($P1305="","",$P1305-$O1305)</f>
        <v/>
      </c>
    </row>
    <row r="1306" ht="15" customHeight="1" s="231">
      <c r="A1306" s="397" t="n"/>
      <c r="B1306" s="397" t="n"/>
      <c r="C1306" s="397" t="n"/>
      <c r="D1306" s="397" t="n"/>
      <c r="E1306" s="397" t="n"/>
      <c r="F1306" s="397" t="n"/>
      <c r="G1306" s="397" t="n"/>
      <c r="I1306" s="397" t="n"/>
      <c r="J1306" s="397" t="n"/>
      <c r="K1306" s="395">
        <f>DATE(VALUE(LEFT(A1306,4)),VALUE(MID(A1306,5,2)),VALUE(RIGHT(A1306,2)))</f>
        <v/>
      </c>
      <c r="L1306" s="395">
        <f>DATEVALUE(LEFT(F1306,10))</f>
        <v/>
      </c>
      <c r="M1306" s="396">
        <f>TIMEVALUE(MID(F1306,12,8))</f>
        <v/>
      </c>
      <c r="N1306" s="395">
        <f>DATEVALUE(LEFT(G1306,10))</f>
        <v/>
      </c>
      <c r="O1306" s="396">
        <f>TIMEVALUE(MID(G1306,12,8))</f>
        <v/>
      </c>
      <c r="P1306" s="396">
        <f>IFERROR(_xlfn.MINIFS($M:$M,$E:$E,$E1306,$K:$K,$K1306,$M:$M,"&gt;"&amp;$O1306),"")</f>
        <v/>
      </c>
      <c r="Q1306" s="396">
        <f>IF($P1306="","",$P1306-$O1306)</f>
        <v/>
      </c>
    </row>
    <row r="1307" ht="15" customHeight="1" s="231">
      <c r="A1307" s="397" t="n"/>
      <c r="B1307" s="397" t="n"/>
      <c r="C1307" s="397" t="n"/>
      <c r="D1307" s="397" t="n"/>
      <c r="E1307" s="397" t="n"/>
      <c r="F1307" s="397" t="n"/>
      <c r="G1307" s="397" t="n"/>
      <c r="I1307" s="397" t="n"/>
      <c r="J1307" s="397" t="n"/>
      <c r="K1307" s="395">
        <f>DATE(VALUE(LEFT(A1307,4)),VALUE(MID(A1307,5,2)),VALUE(RIGHT(A1307,2)))</f>
        <v/>
      </c>
      <c r="L1307" s="395">
        <f>DATEVALUE(LEFT(F1307,10))</f>
        <v/>
      </c>
      <c r="M1307" s="396">
        <f>TIMEVALUE(MID(F1307,12,8))</f>
        <v/>
      </c>
      <c r="N1307" s="395">
        <f>DATEVALUE(LEFT(G1307,10))</f>
        <v/>
      </c>
      <c r="O1307" s="396">
        <f>TIMEVALUE(MID(G1307,12,8))</f>
        <v/>
      </c>
      <c r="P1307" s="396">
        <f>IFERROR(_xlfn.MINIFS($M:$M,$E:$E,$E1307,$K:$K,$K1307,$M:$M,"&gt;"&amp;$O1307),"")</f>
        <v/>
      </c>
      <c r="Q1307" s="396">
        <f>IF($P1307="","",$P1307-$O1307)</f>
        <v/>
      </c>
    </row>
    <row r="1308" ht="15" customHeight="1" s="231">
      <c r="A1308" s="397" t="n"/>
      <c r="B1308" s="397" t="n"/>
      <c r="C1308" s="397" t="n"/>
      <c r="D1308" s="397" t="n"/>
      <c r="E1308" s="397" t="n"/>
      <c r="F1308" s="397" t="n"/>
      <c r="G1308" s="397" t="n"/>
      <c r="I1308" s="397" t="n"/>
      <c r="J1308" s="397" t="n"/>
      <c r="K1308" s="395">
        <f>DATE(VALUE(LEFT(A1308,4)),VALUE(MID(A1308,5,2)),VALUE(RIGHT(A1308,2)))</f>
        <v/>
      </c>
      <c r="L1308" s="395">
        <f>DATEVALUE(LEFT(F1308,10))</f>
        <v/>
      </c>
      <c r="M1308" s="396">
        <f>TIMEVALUE(MID(F1308,12,8))</f>
        <v/>
      </c>
      <c r="N1308" s="395">
        <f>DATEVALUE(LEFT(G1308,10))</f>
        <v/>
      </c>
      <c r="O1308" s="396">
        <f>TIMEVALUE(MID(G1308,12,8))</f>
        <v/>
      </c>
      <c r="P1308" s="396">
        <f>IFERROR(_xlfn.MINIFS($M:$M,$E:$E,$E1308,$K:$K,$K1308,$M:$M,"&gt;"&amp;$O1308),"")</f>
        <v/>
      </c>
      <c r="Q1308" s="396">
        <f>IF($P1308="","",$P1308-$O1308)</f>
        <v/>
      </c>
    </row>
    <row r="1309" ht="15" customHeight="1" s="231">
      <c r="A1309" s="397" t="n"/>
      <c r="B1309" s="397" t="n"/>
      <c r="C1309" s="397" t="n"/>
      <c r="D1309" s="397" t="n"/>
      <c r="E1309" s="397" t="n"/>
      <c r="F1309" s="397" t="n"/>
      <c r="G1309" s="397" t="n"/>
      <c r="I1309" s="397" t="n"/>
      <c r="J1309" s="397" t="n"/>
      <c r="K1309" s="395">
        <f>DATE(VALUE(LEFT(A1309,4)),VALUE(MID(A1309,5,2)),VALUE(RIGHT(A1309,2)))</f>
        <v/>
      </c>
      <c r="L1309" s="395">
        <f>DATEVALUE(LEFT(F1309,10))</f>
        <v/>
      </c>
      <c r="M1309" s="396">
        <f>TIMEVALUE(MID(F1309,12,8))</f>
        <v/>
      </c>
      <c r="N1309" s="395">
        <f>DATEVALUE(LEFT(G1309,10))</f>
        <v/>
      </c>
      <c r="O1309" s="396">
        <f>TIMEVALUE(MID(G1309,12,8))</f>
        <v/>
      </c>
      <c r="P1309" s="396">
        <f>IFERROR(_xlfn.MINIFS($M:$M,$E:$E,$E1309,$K:$K,$K1309,$M:$M,"&gt;"&amp;$O1309),"")</f>
        <v/>
      </c>
      <c r="Q1309" s="396">
        <f>IF($P1309="","",$P1309-$O1309)</f>
        <v/>
      </c>
    </row>
    <row r="1310" ht="15" customHeight="1" s="231">
      <c r="A1310" s="397" t="n"/>
      <c r="B1310" s="397" t="n"/>
      <c r="C1310" s="397" t="n"/>
      <c r="D1310" s="397" t="n"/>
      <c r="E1310" s="397" t="n"/>
      <c r="F1310" s="397" t="n"/>
      <c r="G1310" s="397" t="n"/>
      <c r="I1310" s="397" t="n"/>
      <c r="J1310" s="397" t="n"/>
      <c r="K1310" s="395">
        <f>DATE(VALUE(LEFT(A1310,4)),VALUE(MID(A1310,5,2)),VALUE(RIGHT(A1310,2)))</f>
        <v/>
      </c>
      <c r="L1310" s="395">
        <f>DATEVALUE(LEFT(F1310,10))</f>
        <v/>
      </c>
      <c r="M1310" s="396">
        <f>TIMEVALUE(MID(F1310,12,8))</f>
        <v/>
      </c>
      <c r="N1310" s="395">
        <f>DATEVALUE(LEFT(G1310,10))</f>
        <v/>
      </c>
      <c r="O1310" s="396">
        <f>TIMEVALUE(MID(G1310,12,8))</f>
        <v/>
      </c>
      <c r="P1310" s="396">
        <f>IFERROR(_xlfn.MINIFS($M:$M,$E:$E,$E1310,$K:$K,$K1310,$M:$M,"&gt;"&amp;$O1310),"")</f>
        <v/>
      </c>
      <c r="Q1310" s="396">
        <f>IF($P1310="","",$P1310-$O1310)</f>
        <v/>
      </c>
    </row>
    <row r="1311" ht="15" customHeight="1" s="231">
      <c r="A1311" s="397" t="n"/>
      <c r="B1311" s="397" t="n"/>
      <c r="C1311" s="397" t="n"/>
      <c r="D1311" s="397" t="n"/>
      <c r="E1311" s="397" t="n"/>
      <c r="F1311" s="397" t="n"/>
      <c r="G1311" s="397" t="n"/>
      <c r="I1311" s="397" t="n"/>
      <c r="J1311" s="397" t="n"/>
      <c r="K1311" s="395">
        <f>DATE(VALUE(LEFT(A1311,4)),VALUE(MID(A1311,5,2)),VALUE(RIGHT(A1311,2)))</f>
        <v/>
      </c>
      <c r="L1311" s="395">
        <f>DATEVALUE(LEFT(F1311,10))</f>
        <v/>
      </c>
      <c r="M1311" s="396">
        <f>TIMEVALUE(MID(F1311,12,8))</f>
        <v/>
      </c>
      <c r="N1311" s="395">
        <f>DATEVALUE(LEFT(G1311,10))</f>
        <v/>
      </c>
      <c r="O1311" s="396">
        <f>TIMEVALUE(MID(G1311,12,8))</f>
        <v/>
      </c>
      <c r="P1311" s="396">
        <f>IFERROR(_xlfn.MINIFS($M:$M,$E:$E,$E1311,$K:$K,$K1311,$M:$M,"&gt;"&amp;$O1311),"")</f>
        <v/>
      </c>
      <c r="Q1311" s="396">
        <f>IF($P1311="","",$P1311-$O1311)</f>
        <v/>
      </c>
    </row>
    <row r="1312" ht="15" customHeight="1" s="231">
      <c r="A1312" s="397" t="n"/>
      <c r="B1312" s="397" t="n"/>
      <c r="C1312" s="397" t="n"/>
      <c r="D1312" s="397" t="n"/>
      <c r="E1312" s="397" t="n"/>
      <c r="F1312" s="397" t="n"/>
      <c r="G1312" s="397" t="n"/>
      <c r="I1312" s="397" t="n"/>
      <c r="J1312" s="397" t="n"/>
      <c r="K1312" s="395">
        <f>DATE(VALUE(LEFT(A1312,4)),VALUE(MID(A1312,5,2)),VALUE(RIGHT(A1312,2)))</f>
        <v/>
      </c>
      <c r="L1312" s="395">
        <f>DATEVALUE(LEFT(F1312,10))</f>
        <v/>
      </c>
      <c r="M1312" s="396">
        <f>TIMEVALUE(MID(F1312,12,8))</f>
        <v/>
      </c>
      <c r="N1312" s="395">
        <f>DATEVALUE(LEFT(G1312,10))</f>
        <v/>
      </c>
      <c r="O1312" s="396">
        <f>TIMEVALUE(MID(G1312,12,8))</f>
        <v/>
      </c>
      <c r="P1312" s="396">
        <f>IFERROR(_xlfn.MINIFS($M:$M,$E:$E,$E1312,$K:$K,$K1312,$M:$M,"&gt;"&amp;$O1312),"")</f>
        <v/>
      </c>
      <c r="Q1312" s="396">
        <f>IF($P1312="","",$P1312-$O1312)</f>
        <v/>
      </c>
    </row>
    <row r="1313" ht="15" customHeight="1" s="231">
      <c r="A1313" s="397" t="n"/>
      <c r="B1313" s="397" t="n"/>
      <c r="C1313" s="397" t="n"/>
      <c r="D1313" s="397" t="n"/>
      <c r="E1313" s="397" t="n"/>
      <c r="F1313" s="397" t="n"/>
      <c r="G1313" s="397" t="n"/>
      <c r="I1313" s="397" t="n"/>
      <c r="J1313" s="397" t="n"/>
      <c r="K1313" s="395">
        <f>DATE(VALUE(LEFT(A1313,4)),VALUE(MID(A1313,5,2)),VALUE(RIGHT(A1313,2)))</f>
        <v/>
      </c>
      <c r="L1313" s="395">
        <f>DATEVALUE(LEFT(F1313,10))</f>
        <v/>
      </c>
      <c r="M1313" s="396">
        <f>TIMEVALUE(MID(F1313,12,8))</f>
        <v/>
      </c>
      <c r="N1313" s="395">
        <f>DATEVALUE(LEFT(G1313,10))</f>
        <v/>
      </c>
      <c r="O1313" s="396">
        <f>TIMEVALUE(MID(G1313,12,8))</f>
        <v/>
      </c>
      <c r="P1313" s="396">
        <f>IFERROR(_xlfn.MINIFS($M:$M,$E:$E,$E1313,$K:$K,$K1313,$M:$M,"&gt;"&amp;$O1313),"")</f>
        <v/>
      </c>
      <c r="Q1313" s="396">
        <f>IF($P1313="","",$P1313-$O1313)</f>
        <v/>
      </c>
    </row>
    <row r="1314" ht="15" customHeight="1" s="231">
      <c r="A1314" s="397" t="n"/>
      <c r="B1314" s="397" t="n"/>
      <c r="C1314" s="397" t="n"/>
      <c r="D1314" s="397" t="n"/>
      <c r="E1314" s="397" t="n"/>
      <c r="F1314" s="397" t="n"/>
      <c r="G1314" s="397" t="n"/>
      <c r="I1314" s="397" t="n"/>
      <c r="J1314" s="397" t="n"/>
      <c r="K1314" s="395">
        <f>DATE(VALUE(LEFT(A1314,4)),VALUE(MID(A1314,5,2)),VALUE(RIGHT(A1314,2)))</f>
        <v/>
      </c>
      <c r="L1314" s="395">
        <f>DATEVALUE(LEFT(F1314,10))</f>
        <v/>
      </c>
      <c r="M1314" s="396">
        <f>TIMEVALUE(MID(F1314,12,8))</f>
        <v/>
      </c>
      <c r="N1314" s="395">
        <f>DATEVALUE(LEFT(G1314,10))</f>
        <v/>
      </c>
      <c r="O1314" s="396">
        <f>TIMEVALUE(MID(G1314,12,8))</f>
        <v/>
      </c>
      <c r="P1314" s="396">
        <f>IFERROR(_xlfn.MINIFS($M:$M,$E:$E,$E1314,$K:$K,$K1314,$M:$M,"&gt;"&amp;$O1314),"")</f>
        <v/>
      </c>
      <c r="Q1314" s="396">
        <f>IF($P1314="","",$P1314-$O1314)</f>
        <v/>
      </c>
    </row>
    <row r="1315" ht="15" customHeight="1" s="231">
      <c r="A1315" s="397" t="n"/>
      <c r="B1315" s="397" t="n"/>
      <c r="C1315" s="397" t="n"/>
      <c r="D1315" s="397" t="n"/>
      <c r="E1315" s="397" t="n"/>
      <c r="F1315" s="397" t="n"/>
      <c r="G1315" s="397" t="n"/>
      <c r="I1315" s="397" t="n"/>
      <c r="J1315" s="397" t="n"/>
      <c r="K1315" s="395">
        <f>DATE(VALUE(LEFT(A1315,4)),VALUE(MID(A1315,5,2)),VALUE(RIGHT(A1315,2)))</f>
        <v/>
      </c>
      <c r="L1315" s="395">
        <f>DATEVALUE(LEFT(F1315,10))</f>
        <v/>
      </c>
      <c r="M1315" s="396">
        <f>TIMEVALUE(MID(F1315,12,8))</f>
        <v/>
      </c>
      <c r="N1315" s="395">
        <f>DATEVALUE(LEFT(G1315,10))</f>
        <v/>
      </c>
      <c r="O1315" s="396">
        <f>TIMEVALUE(MID(G1315,12,8))</f>
        <v/>
      </c>
      <c r="P1315" s="396">
        <f>IFERROR(_xlfn.MINIFS($M:$M,$E:$E,$E1315,$K:$K,$K1315,$M:$M,"&gt;"&amp;$O1315),"")</f>
        <v/>
      </c>
      <c r="Q1315" s="396">
        <f>IF($P1315="","",$P1315-$O1315)</f>
        <v/>
      </c>
    </row>
    <row r="1316" ht="15" customHeight="1" s="231">
      <c r="A1316" s="397" t="n"/>
      <c r="B1316" s="397" t="n"/>
      <c r="C1316" s="397" t="n"/>
      <c r="D1316" s="397" t="n"/>
      <c r="E1316" s="397" t="n"/>
      <c r="F1316" s="397" t="n"/>
      <c r="G1316" s="397" t="n"/>
      <c r="I1316" s="397" t="n"/>
      <c r="J1316" s="397" t="n"/>
      <c r="K1316" s="395">
        <f>DATE(VALUE(LEFT(A1316,4)),VALUE(MID(A1316,5,2)),VALUE(RIGHT(A1316,2)))</f>
        <v/>
      </c>
      <c r="L1316" s="395">
        <f>DATEVALUE(LEFT(F1316,10))</f>
        <v/>
      </c>
      <c r="M1316" s="396">
        <f>TIMEVALUE(MID(F1316,12,8))</f>
        <v/>
      </c>
      <c r="N1316" s="395">
        <f>DATEVALUE(LEFT(G1316,10))</f>
        <v/>
      </c>
      <c r="O1316" s="396">
        <f>TIMEVALUE(MID(G1316,12,8))</f>
        <v/>
      </c>
      <c r="P1316" s="396">
        <f>IFERROR(_xlfn.MINIFS($M:$M,$E:$E,$E1316,$K:$K,$K1316,$M:$M,"&gt;"&amp;$O1316),"")</f>
        <v/>
      </c>
      <c r="Q1316" s="396">
        <f>IF($P1316="","",$P1316-$O1316)</f>
        <v/>
      </c>
    </row>
    <row r="1317" ht="15" customHeight="1" s="231">
      <c r="A1317" s="397" t="n"/>
      <c r="B1317" s="397" t="n"/>
      <c r="C1317" s="397" t="n"/>
      <c r="D1317" s="397" t="n"/>
      <c r="E1317" s="397" t="n"/>
      <c r="F1317" s="397" t="n"/>
      <c r="G1317" s="397" t="n"/>
      <c r="I1317" s="397" t="n"/>
      <c r="J1317" s="397" t="n"/>
      <c r="K1317" s="395">
        <f>DATE(VALUE(LEFT(A1317,4)),VALUE(MID(A1317,5,2)),VALUE(RIGHT(A1317,2)))</f>
        <v/>
      </c>
      <c r="L1317" s="395">
        <f>DATEVALUE(LEFT(F1317,10))</f>
        <v/>
      </c>
      <c r="M1317" s="396">
        <f>TIMEVALUE(MID(F1317,12,8))</f>
        <v/>
      </c>
      <c r="N1317" s="395">
        <f>DATEVALUE(LEFT(G1317,10))</f>
        <v/>
      </c>
      <c r="O1317" s="396">
        <f>TIMEVALUE(MID(G1317,12,8))</f>
        <v/>
      </c>
      <c r="P1317" s="396">
        <f>IFERROR(_xlfn.MINIFS($M:$M,$E:$E,$E1317,$K:$K,$K1317,$M:$M,"&gt;"&amp;$O1317),"")</f>
        <v/>
      </c>
      <c r="Q1317" s="396">
        <f>IF($P1317="","",$P1317-$O1317)</f>
        <v/>
      </c>
    </row>
    <row r="1318" ht="15" customHeight="1" s="231">
      <c r="A1318" s="397" t="n"/>
      <c r="B1318" s="397" t="n"/>
      <c r="C1318" s="397" t="n"/>
      <c r="D1318" s="397" t="n"/>
      <c r="E1318" s="397" t="n"/>
      <c r="F1318" s="397" t="n"/>
      <c r="G1318" s="397" t="n"/>
      <c r="I1318" s="397" t="n"/>
      <c r="J1318" s="397" t="n"/>
      <c r="K1318" s="395">
        <f>DATE(VALUE(LEFT(A1318,4)),VALUE(MID(A1318,5,2)),VALUE(RIGHT(A1318,2)))</f>
        <v/>
      </c>
      <c r="L1318" s="395">
        <f>DATEVALUE(LEFT(F1318,10))</f>
        <v/>
      </c>
      <c r="M1318" s="396">
        <f>TIMEVALUE(MID(F1318,12,8))</f>
        <v/>
      </c>
      <c r="N1318" s="395">
        <f>DATEVALUE(LEFT(G1318,10))</f>
        <v/>
      </c>
      <c r="O1318" s="396">
        <f>TIMEVALUE(MID(G1318,12,8))</f>
        <v/>
      </c>
      <c r="P1318" s="396">
        <f>IFERROR(_xlfn.MINIFS($M:$M,$E:$E,$E1318,$K:$K,$K1318,$M:$M,"&gt;"&amp;$O1318),"")</f>
        <v/>
      </c>
      <c r="Q1318" s="396">
        <f>IF($P1318="","",$P1318-$O1318)</f>
        <v/>
      </c>
    </row>
    <row r="1319" ht="15" customHeight="1" s="231">
      <c r="A1319" s="397" t="n"/>
      <c r="B1319" s="397" t="n"/>
      <c r="C1319" s="397" t="n"/>
      <c r="D1319" s="397" t="n"/>
      <c r="E1319" s="397" t="n"/>
      <c r="F1319" s="397" t="n"/>
      <c r="G1319" s="397" t="n"/>
      <c r="I1319" s="397" t="n"/>
      <c r="J1319" s="397" t="n"/>
      <c r="K1319" s="395">
        <f>DATE(VALUE(LEFT(A1319,4)),VALUE(MID(A1319,5,2)),VALUE(RIGHT(A1319,2)))</f>
        <v/>
      </c>
      <c r="L1319" s="395">
        <f>DATEVALUE(LEFT(F1319,10))</f>
        <v/>
      </c>
      <c r="M1319" s="396">
        <f>TIMEVALUE(MID(F1319,12,8))</f>
        <v/>
      </c>
      <c r="N1319" s="395">
        <f>DATEVALUE(LEFT(G1319,10))</f>
        <v/>
      </c>
      <c r="O1319" s="396">
        <f>TIMEVALUE(MID(G1319,12,8))</f>
        <v/>
      </c>
      <c r="P1319" s="396">
        <f>IFERROR(_xlfn.MINIFS($M:$M,$E:$E,$E1319,$K:$K,$K1319,$M:$M,"&gt;"&amp;$O1319),"")</f>
        <v/>
      </c>
      <c r="Q1319" s="396">
        <f>IF($P1319="","",$P1319-$O1319)</f>
        <v/>
      </c>
    </row>
    <row r="1320" ht="15" customHeight="1" s="231">
      <c r="A1320" s="397" t="n"/>
      <c r="B1320" s="397" t="n"/>
      <c r="C1320" s="397" t="n"/>
      <c r="D1320" s="397" t="n"/>
      <c r="E1320" s="397" t="n"/>
      <c r="F1320" s="397" t="n"/>
      <c r="G1320" s="397" t="n"/>
      <c r="I1320" s="397" t="n"/>
      <c r="J1320" s="397" t="n"/>
      <c r="K1320" s="395">
        <f>DATE(VALUE(LEFT(A1320,4)),VALUE(MID(A1320,5,2)),VALUE(RIGHT(A1320,2)))</f>
        <v/>
      </c>
      <c r="L1320" s="395">
        <f>DATEVALUE(LEFT(F1320,10))</f>
        <v/>
      </c>
      <c r="M1320" s="396">
        <f>TIMEVALUE(MID(F1320,12,8))</f>
        <v/>
      </c>
      <c r="N1320" s="395">
        <f>DATEVALUE(LEFT(G1320,10))</f>
        <v/>
      </c>
      <c r="O1320" s="396">
        <f>TIMEVALUE(MID(G1320,12,8))</f>
        <v/>
      </c>
      <c r="P1320" s="396">
        <f>IFERROR(_xlfn.MINIFS($M:$M,$E:$E,$E1320,$K:$K,$K1320,$M:$M,"&gt;"&amp;$O1320),"")</f>
        <v/>
      </c>
      <c r="Q1320" s="396">
        <f>IF($P1320="","",$P1320-$O1320)</f>
        <v/>
      </c>
    </row>
    <row r="1321" ht="15" customHeight="1" s="231">
      <c r="A1321" s="397" t="n"/>
      <c r="B1321" s="397" t="n"/>
      <c r="C1321" s="397" t="n"/>
      <c r="D1321" s="397" t="n"/>
      <c r="E1321" s="397" t="n"/>
      <c r="F1321" s="397" t="n"/>
      <c r="G1321" s="397" t="n"/>
      <c r="I1321" s="397" t="n"/>
      <c r="J1321" s="397" t="n"/>
      <c r="K1321" s="395">
        <f>DATE(VALUE(LEFT(A1321,4)),VALUE(MID(A1321,5,2)),VALUE(RIGHT(A1321,2)))</f>
        <v/>
      </c>
      <c r="L1321" s="395">
        <f>DATEVALUE(LEFT(F1321,10))</f>
        <v/>
      </c>
      <c r="M1321" s="396">
        <f>TIMEVALUE(MID(F1321,12,8))</f>
        <v/>
      </c>
      <c r="N1321" s="395">
        <f>DATEVALUE(LEFT(G1321,10))</f>
        <v/>
      </c>
      <c r="O1321" s="396">
        <f>TIMEVALUE(MID(G1321,12,8))</f>
        <v/>
      </c>
      <c r="P1321" s="396">
        <f>IFERROR(_xlfn.MINIFS($M:$M,$E:$E,$E1321,$K:$K,$K1321,$M:$M,"&gt;"&amp;$O1321),"")</f>
        <v/>
      </c>
      <c r="Q1321" s="396">
        <f>IF($P1321="","",$P1321-$O1321)</f>
        <v/>
      </c>
    </row>
    <row r="1322" ht="15" customHeight="1" s="231">
      <c r="A1322" s="397" t="n"/>
      <c r="B1322" s="397" t="n"/>
      <c r="C1322" s="397" t="n"/>
      <c r="D1322" s="397" t="n"/>
      <c r="E1322" s="397" t="n"/>
      <c r="F1322" s="397" t="n"/>
      <c r="G1322" s="397" t="n"/>
      <c r="I1322" s="397" t="n"/>
      <c r="J1322" s="397" t="n"/>
      <c r="K1322" s="395">
        <f>DATE(VALUE(LEFT(A1322,4)),VALUE(MID(A1322,5,2)),VALUE(RIGHT(A1322,2)))</f>
        <v/>
      </c>
      <c r="L1322" s="395">
        <f>DATEVALUE(LEFT(F1322,10))</f>
        <v/>
      </c>
      <c r="M1322" s="396">
        <f>TIMEVALUE(MID(F1322,12,8))</f>
        <v/>
      </c>
      <c r="N1322" s="395">
        <f>DATEVALUE(LEFT(G1322,10))</f>
        <v/>
      </c>
      <c r="O1322" s="396">
        <f>TIMEVALUE(MID(G1322,12,8))</f>
        <v/>
      </c>
      <c r="P1322" s="396">
        <f>IFERROR(_xlfn.MINIFS($M:$M,$E:$E,$E1322,$K:$K,$K1322,$M:$M,"&gt;"&amp;$O1322),"")</f>
        <v/>
      </c>
      <c r="Q1322" s="396">
        <f>IF($P1322="","",$P1322-$O1322)</f>
        <v/>
      </c>
    </row>
    <row r="1323" ht="15" customHeight="1" s="231">
      <c r="A1323" s="397" t="n"/>
      <c r="B1323" s="397" t="n"/>
      <c r="C1323" s="397" t="n"/>
      <c r="D1323" s="397" t="n"/>
      <c r="E1323" s="397" t="n"/>
      <c r="F1323" s="397" t="n"/>
      <c r="G1323" s="397" t="n"/>
      <c r="I1323" s="397" t="n"/>
      <c r="J1323" s="397" t="n"/>
      <c r="K1323" s="395">
        <f>DATE(VALUE(LEFT(A1323,4)),VALUE(MID(A1323,5,2)),VALUE(RIGHT(A1323,2)))</f>
        <v/>
      </c>
      <c r="L1323" s="395">
        <f>DATEVALUE(LEFT(F1323,10))</f>
        <v/>
      </c>
      <c r="M1323" s="396">
        <f>TIMEVALUE(MID(F1323,12,8))</f>
        <v/>
      </c>
      <c r="N1323" s="395">
        <f>DATEVALUE(LEFT(G1323,10))</f>
        <v/>
      </c>
      <c r="O1323" s="396">
        <f>TIMEVALUE(MID(G1323,12,8))</f>
        <v/>
      </c>
      <c r="P1323" s="396">
        <f>IFERROR(_xlfn.MINIFS($M:$M,$E:$E,$E1323,$K:$K,$K1323,$M:$M,"&gt;"&amp;$O1323),"")</f>
        <v/>
      </c>
      <c r="Q1323" s="396">
        <f>IF($P1323="","",$P1323-$O1323)</f>
        <v/>
      </c>
    </row>
    <row r="1324" ht="15" customHeight="1" s="231">
      <c r="A1324" s="397" t="n"/>
      <c r="B1324" s="397" t="n"/>
      <c r="C1324" s="397" t="n"/>
      <c r="D1324" s="397" t="n"/>
      <c r="E1324" s="397" t="n"/>
      <c r="F1324" s="397" t="n"/>
      <c r="G1324" s="397" t="n"/>
      <c r="I1324" s="397" t="n"/>
      <c r="J1324" s="397" t="n"/>
      <c r="K1324" s="395">
        <f>DATE(VALUE(LEFT(A1324,4)),VALUE(MID(A1324,5,2)),VALUE(RIGHT(A1324,2)))</f>
        <v/>
      </c>
      <c r="L1324" s="395">
        <f>DATEVALUE(LEFT(F1324,10))</f>
        <v/>
      </c>
      <c r="M1324" s="396">
        <f>TIMEVALUE(MID(F1324,12,8))</f>
        <v/>
      </c>
      <c r="N1324" s="395">
        <f>DATEVALUE(LEFT(G1324,10))</f>
        <v/>
      </c>
      <c r="O1324" s="396">
        <f>TIMEVALUE(MID(G1324,12,8))</f>
        <v/>
      </c>
      <c r="P1324" s="396">
        <f>IFERROR(_xlfn.MINIFS($M:$M,$E:$E,$E1324,$K:$K,$K1324,$M:$M,"&gt;"&amp;$O1324),"")</f>
        <v/>
      </c>
      <c r="Q1324" s="396">
        <f>IF($P1324="","",$P1324-$O1324)</f>
        <v/>
      </c>
    </row>
    <row r="1325" ht="15" customHeight="1" s="231">
      <c r="A1325" s="397" t="n"/>
      <c r="B1325" s="397" t="n"/>
      <c r="C1325" s="397" t="n"/>
      <c r="D1325" s="397" t="n"/>
      <c r="E1325" s="397" t="n"/>
      <c r="F1325" s="397" t="n"/>
      <c r="G1325" s="397" t="n"/>
      <c r="I1325" s="397" t="n"/>
      <c r="J1325" s="397" t="n"/>
      <c r="K1325" s="395">
        <f>DATE(VALUE(LEFT(A1325,4)),VALUE(MID(A1325,5,2)),VALUE(RIGHT(A1325,2)))</f>
        <v/>
      </c>
      <c r="L1325" s="395">
        <f>DATEVALUE(LEFT(F1325,10))</f>
        <v/>
      </c>
      <c r="M1325" s="396">
        <f>TIMEVALUE(MID(F1325,12,8))</f>
        <v/>
      </c>
      <c r="N1325" s="395">
        <f>DATEVALUE(LEFT(G1325,10))</f>
        <v/>
      </c>
      <c r="O1325" s="396">
        <f>TIMEVALUE(MID(G1325,12,8))</f>
        <v/>
      </c>
      <c r="P1325" s="396">
        <f>IFERROR(_xlfn.MINIFS($M:$M,$E:$E,$E1325,$K:$K,$K1325,$M:$M,"&gt;"&amp;$O1325),"")</f>
        <v/>
      </c>
      <c r="Q1325" s="396">
        <f>IF($P1325="","",$P1325-$O1325)</f>
        <v/>
      </c>
    </row>
    <row r="1326" ht="15" customHeight="1" s="231">
      <c r="A1326" s="397" t="n"/>
      <c r="B1326" s="397" t="n"/>
      <c r="C1326" s="397" t="n"/>
      <c r="D1326" s="397" t="n"/>
      <c r="E1326" s="397" t="n"/>
      <c r="F1326" s="397" t="n"/>
      <c r="G1326" s="397" t="n"/>
      <c r="I1326" s="397" t="n"/>
      <c r="J1326" s="397" t="n"/>
      <c r="K1326" s="395">
        <f>DATE(VALUE(LEFT(A1326,4)),VALUE(MID(A1326,5,2)),VALUE(RIGHT(A1326,2)))</f>
        <v/>
      </c>
      <c r="L1326" s="395">
        <f>DATEVALUE(LEFT(F1326,10))</f>
        <v/>
      </c>
      <c r="M1326" s="396">
        <f>TIMEVALUE(MID(F1326,12,8))</f>
        <v/>
      </c>
      <c r="N1326" s="395">
        <f>DATEVALUE(LEFT(G1326,10))</f>
        <v/>
      </c>
      <c r="O1326" s="396">
        <f>TIMEVALUE(MID(G1326,12,8))</f>
        <v/>
      </c>
      <c r="P1326" s="396">
        <f>IFERROR(_xlfn.MINIFS($M:$M,$E:$E,$E1326,$K:$K,$K1326,$M:$M,"&gt;"&amp;$O1326),"")</f>
        <v/>
      </c>
      <c r="Q1326" s="396">
        <f>IF($P1326="","",$P1326-$O1326)</f>
        <v/>
      </c>
    </row>
    <row r="1327" ht="15" customHeight="1" s="231">
      <c r="A1327" s="397" t="n"/>
      <c r="B1327" s="397" t="n"/>
      <c r="C1327" s="397" t="n"/>
      <c r="D1327" s="397" t="n"/>
      <c r="E1327" s="397" t="n"/>
      <c r="F1327" s="397" t="n"/>
      <c r="G1327" s="397" t="n"/>
      <c r="I1327" s="397" t="n"/>
      <c r="J1327" s="397" t="n"/>
      <c r="K1327" s="395">
        <f>DATE(VALUE(LEFT(A1327,4)),VALUE(MID(A1327,5,2)),VALUE(RIGHT(A1327,2)))</f>
        <v/>
      </c>
      <c r="L1327" s="395">
        <f>DATEVALUE(LEFT(F1327,10))</f>
        <v/>
      </c>
      <c r="M1327" s="396">
        <f>TIMEVALUE(MID(F1327,12,8))</f>
        <v/>
      </c>
      <c r="N1327" s="395">
        <f>DATEVALUE(LEFT(G1327,10))</f>
        <v/>
      </c>
      <c r="O1327" s="396">
        <f>TIMEVALUE(MID(G1327,12,8))</f>
        <v/>
      </c>
      <c r="P1327" s="396">
        <f>IFERROR(_xlfn.MINIFS($M:$M,$E:$E,$E1327,$K:$K,$K1327,$M:$M,"&gt;"&amp;$O1327),"")</f>
        <v/>
      </c>
      <c r="Q1327" s="396">
        <f>IF($P1327="","",$P1327-$O1327)</f>
        <v/>
      </c>
    </row>
    <row r="1328" ht="15" customHeight="1" s="231">
      <c r="A1328" s="397" t="n"/>
      <c r="B1328" s="397" t="n"/>
      <c r="C1328" s="397" t="n"/>
      <c r="D1328" s="397" t="n"/>
      <c r="E1328" s="397" t="n"/>
      <c r="F1328" s="397" t="n"/>
      <c r="G1328" s="397" t="n"/>
      <c r="I1328" s="397" t="n"/>
      <c r="J1328" s="397" t="n"/>
      <c r="K1328" s="395">
        <f>DATE(VALUE(LEFT(A1328,4)),VALUE(MID(A1328,5,2)),VALUE(RIGHT(A1328,2)))</f>
        <v/>
      </c>
      <c r="L1328" s="395">
        <f>DATEVALUE(LEFT(F1328,10))</f>
        <v/>
      </c>
      <c r="M1328" s="396">
        <f>TIMEVALUE(MID(F1328,12,8))</f>
        <v/>
      </c>
      <c r="N1328" s="395">
        <f>DATEVALUE(LEFT(G1328,10))</f>
        <v/>
      </c>
      <c r="O1328" s="396">
        <f>TIMEVALUE(MID(G1328,12,8))</f>
        <v/>
      </c>
      <c r="P1328" s="396">
        <f>IFERROR(_xlfn.MINIFS($M:$M,$E:$E,$E1328,$K:$K,$K1328,$M:$M,"&gt;"&amp;$O1328),"")</f>
        <v/>
      </c>
      <c r="Q1328" s="396">
        <f>IF($P1328="","",$P1328-$O1328)</f>
        <v/>
      </c>
    </row>
    <row r="1329" ht="15" customHeight="1" s="231">
      <c r="A1329" s="397" t="n"/>
      <c r="B1329" s="397" t="n"/>
      <c r="C1329" s="397" t="n"/>
      <c r="D1329" s="397" t="n"/>
      <c r="E1329" s="397" t="n"/>
      <c r="F1329" s="397" t="n"/>
      <c r="G1329" s="397" t="n"/>
      <c r="I1329" s="397" t="n"/>
      <c r="J1329" s="397" t="n"/>
      <c r="K1329" s="395">
        <f>DATE(VALUE(LEFT(A1329,4)),VALUE(MID(A1329,5,2)),VALUE(RIGHT(A1329,2)))</f>
        <v/>
      </c>
      <c r="L1329" s="395">
        <f>DATEVALUE(LEFT(F1329,10))</f>
        <v/>
      </c>
      <c r="M1329" s="396">
        <f>TIMEVALUE(MID(F1329,12,8))</f>
        <v/>
      </c>
      <c r="N1329" s="395">
        <f>DATEVALUE(LEFT(G1329,10))</f>
        <v/>
      </c>
      <c r="O1329" s="396">
        <f>TIMEVALUE(MID(G1329,12,8))</f>
        <v/>
      </c>
      <c r="P1329" s="396">
        <f>IFERROR(_xlfn.MINIFS($M:$M,$E:$E,$E1329,$K:$K,$K1329,$M:$M,"&gt;"&amp;$O1329),"")</f>
        <v/>
      </c>
      <c r="Q1329" s="396">
        <f>IF($P1329="","",$P1329-$O1329)</f>
        <v/>
      </c>
    </row>
    <row r="1330" ht="15" customHeight="1" s="231">
      <c r="A1330" s="397" t="n"/>
      <c r="B1330" s="397" t="n"/>
      <c r="C1330" s="397" t="n"/>
      <c r="D1330" s="397" t="n"/>
      <c r="E1330" s="397" t="n"/>
      <c r="F1330" s="397" t="n"/>
      <c r="G1330" s="397" t="n"/>
      <c r="I1330" s="397" t="n"/>
      <c r="J1330" s="397" t="n"/>
      <c r="K1330" s="395">
        <f>DATE(VALUE(LEFT(A1330,4)),VALUE(MID(A1330,5,2)),VALUE(RIGHT(A1330,2)))</f>
        <v/>
      </c>
      <c r="L1330" s="395">
        <f>DATEVALUE(LEFT(F1330,10))</f>
        <v/>
      </c>
      <c r="M1330" s="396">
        <f>TIMEVALUE(MID(F1330,12,8))</f>
        <v/>
      </c>
      <c r="N1330" s="395">
        <f>DATEVALUE(LEFT(G1330,10))</f>
        <v/>
      </c>
      <c r="O1330" s="396">
        <f>TIMEVALUE(MID(G1330,12,8))</f>
        <v/>
      </c>
      <c r="P1330" s="396">
        <f>IFERROR(_xlfn.MINIFS($M:$M,$E:$E,$E1330,$K:$K,$K1330,$M:$M,"&gt;"&amp;$O1330),"")</f>
        <v/>
      </c>
      <c r="Q1330" s="396">
        <f>IF($P1330="","",$P1330-$O1330)</f>
        <v/>
      </c>
    </row>
    <row r="1331" ht="15" customHeight="1" s="231">
      <c r="A1331" s="397" t="n"/>
      <c r="B1331" s="397" t="n"/>
      <c r="C1331" s="397" t="n"/>
      <c r="D1331" s="397" t="n"/>
      <c r="E1331" s="397" t="n"/>
      <c r="F1331" s="397" t="n"/>
      <c r="G1331" s="397" t="n"/>
      <c r="I1331" s="397" t="n"/>
      <c r="J1331" s="397" t="n"/>
      <c r="K1331" s="395">
        <f>DATE(VALUE(LEFT(A1331,4)),VALUE(MID(A1331,5,2)),VALUE(RIGHT(A1331,2)))</f>
        <v/>
      </c>
      <c r="L1331" s="395">
        <f>DATEVALUE(LEFT(F1331,10))</f>
        <v/>
      </c>
      <c r="M1331" s="396">
        <f>TIMEVALUE(MID(F1331,12,8))</f>
        <v/>
      </c>
      <c r="N1331" s="395">
        <f>DATEVALUE(LEFT(G1331,10))</f>
        <v/>
      </c>
      <c r="O1331" s="396">
        <f>TIMEVALUE(MID(G1331,12,8))</f>
        <v/>
      </c>
      <c r="P1331" s="396">
        <f>IFERROR(_xlfn.MINIFS($M:$M,$E:$E,$E1331,$K:$K,$K1331,$M:$M,"&gt;"&amp;$O1331),"")</f>
        <v/>
      </c>
      <c r="Q1331" s="396">
        <f>IF($P1331="","",$P1331-$O1331)</f>
        <v/>
      </c>
    </row>
    <row r="1332" ht="15" customHeight="1" s="231">
      <c r="A1332" s="397" t="n"/>
      <c r="B1332" s="397" t="n"/>
      <c r="C1332" s="397" t="n"/>
      <c r="D1332" s="397" t="n"/>
      <c r="E1332" s="397" t="n"/>
      <c r="F1332" s="397" t="n"/>
      <c r="G1332" s="397" t="n"/>
      <c r="I1332" s="397" t="n"/>
      <c r="J1332" s="397" t="n"/>
      <c r="K1332" s="395">
        <f>DATE(VALUE(LEFT(A1332,4)),VALUE(MID(A1332,5,2)),VALUE(RIGHT(A1332,2)))</f>
        <v/>
      </c>
      <c r="L1332" s="395">
        <f>DATEVALUE(LEFT(F1332,10))</f>
        <v/>
      </c>
      <c r="M1332" s="396">
        <f>TIMEVALUE(MID(F1332,12,8))</f>
        <v/>
      </c>
      <c r="N1332" s="395">
        <f>DATEVALUE(LEFT(G1332,10))</f>
        <v/>
      </c>
      <c r="O1332" s="396">
        <f>TIMEVALUE(MID(G1332,12,8))</f>
        <v/>
      </c>
      <c r="P1332" s="396">
        <f>IFERROR(_xlfn.MINIFS($M:$M,$E:$E,$E1332,$K:$K,$K1332,$M:$M,"&gt;"&amp;$O1332),"")</f>
        <v/>
      </c>
      <c r="Q1332" s="396">
        <f>IF($P1332="","",$P1332-$O1332)</f>
        <v/>
      </c>
    </row>
    <row r="1333" ht="15" customHeight="1" s="231">
      <c r="A1333" s="397" t="n"/>
      <c r="B1333" s="397" t="n"/>
      <c r="C1333" s="397" t="n"/>
      <c r="D1333" s="397" t="n"/>
      <c r="E1333" s="397" t="n"/>
      <c r="F1333" s="397" t="n"/>
      <c r="G1333" s="397" t="n"/>
      <c r="I1333" s="397" t="n"/>
      <c r="J1333" s="397" t="n"/>
      <c r="K1333" s="395">
        <f>DATE(VALUE(LEFT(A1333,4)),VALUE(MID(A1333,5,2)),VALUE(RIGHT(A1333,2)))</f>
        <v/>
      </c>
      <c r="L1333" s="395">
        <f>DATEVALUE(LEFT(F1333,10))</f>
        <v/>
      </c>
      <c r="M1333" s="396">
        <f>TIMEVALUE(MID(F1333,12,8))</f>
        <v/>
      </c>
      <c r="N1333" s="395">
        <f>DATEVALUE(LEFT(G1333,10))</f>
        <v/>
      </c>
      <c r="O1333" s="396">
        <f>TIMEVALUE(MID(G1333,12,8))</f>
        <v/>
      </c>
      <c r="P1333" s="396">
        <f>IFERROR(_xlfn.MINIFS($M:$M,$E:$E,$E1333,$K:$K,$K1333,$M:$M,"&gt;"&amp;$O1333),"")</f>
        <v/>
      </c>
      <c r="Q1333" s="396">
        <f>IF($P1333="","",$P1333-$O1333)</f>
        <v/>
      </c>
    </row>
    <row r="1334" ht="15" customHeight="1" s="231">
      <c r="A1334" s="397" t="n"/>
      <c r="B1334" s="397" t="n"/>
      <c r="C1334" s="397" t="n"/>
      <c r="D1334" s="397" t="n"/>
      <c r="E1334" s="397" t="n"/>
      <c r="F1334" s="397" t="n"/>
      <c r="G1334" s="397" t="n"/>
      <c r="I1334" s="397" t="n"/>
      <c r="J1334" s="397" t="n"/>
      <c r="K1334" s="395">
        <f>DATE(VALUE(LEFT(A1334,4)),VALUE(MID(A1334,5,2)),VALUE(RIGHT(A1334,2)))</f>
        <v/>
      </c>
      <c r="L1334" s="395">
        <f>DATEVALUE(LEFT(F1334,10))</f>
        <v/>
      </c>
      <c r="M1334" s="396">
        <f>TIMEVALUE(MID(F1334,12,8))</f>
        <v/>
      </c>
      <c r="N1334" s="395">
        <f>DATEVALUE(LEFT(G1334,10))</f>
        <v/>
      </c>
      <c r="O1334" s="396">
        <f>TIMEVALUE(MID(G1334,12,8))</f>
        <v/>
      </c>
      <c r="P1334" s="396">
        <f>IFERROR(_xlfn.MINIFS($M:$M,$E:$E,$E1334,$K:$K,$K1334,$M:$M,"&gt;"&amp;$O1334),"")</f>
        <v/>
      </c>
      <c r="Q1334" s="396">
        <f>IF($P1334="","",$P1334-$O1334)</f>
        <v/>
      </c>
    </row>
    <row r="1335" ht="15" customHeight="1" s="231">
      <c r="A1335" s="397" t="n"/>
      <c r="B1335" s="397" t="n"/>
      <c r="C1335" s="397" t="n"/>
      <c r="D1335" s="397" t="n"/>
      <c r="E1335" s="397" t="n"/>
      <c r="F1335" s="397" t="n"/>
      <c r="G1335" s="397" t="n"/>
      <c r="I1335" s="397" t="n"/>
      <c r="J1335" s="397" t="n"/>
      <c r="K1335" s="395">
        <f>DATE(VALUE(LEFT(A1335,4)),VALUE(MID(A1335,5,2)),VALUE(RIGHT(A1335,2)))</f>
        <v/>
      </c>
      <c r="L1335" s="395">
        <f>DATEVALUE(LEFT(F1335,10))</f>
        <v/>
      </c>
      <c r="M1335" s="396">
        <f>TIMEVALUE(MID(F1335,12,8))</f>
        <v/>
      </c>
      <c r="N1335" s="395">
        <f>DATEVALUE(LEFT(G1335,10))</f>
        <v/>
      </c>
      <c r="O1335" s="396">
        <f>TIMEVALUE(MID(G1335,12,8))</f>
        <v/>
      </c>
      <c r="P1335" s="396">
        <f>IFERROR(_xlfn.MINIFS($M:$M,$E:$E,$E1335,$K:$K,$K1335,$M:$M,"&gt;"&amp;$O1335),"")</f>
        <v/>
      </c>
      <c r="Q1335" s="396">
        <f>IF($P1335="","",$P1335-$O1335)</f>
        <v/>
      </c>
    </row>
    <row r="1336" ht="15" customHeight="1" s="231">
      <c r="A1336" s="397" t="n"/>
      <c r="B1336" s="397" t="n"/>
      <c r="C1336" s="397" t="n"/>
      <c r="D1336" s="397" t="n"/>
      <c r="E1336" s="397" t="n"/>
      <c r="F1336" s="397" t="n"/>
      <c r="G1336" s="397" t="n"/>
      <c r="I1336" s="397" t="n"/>
      <c r="J1336" s="397" t="n"/>
      <c r="K1336" s="395">
        <f>DATE(VALUE(LEFT(A1336,4)),VALUE(MID(A1336,5,2)),VALUE(RIGHT(A1336,2)))</f>
        <v/>
      </c>
      <c r="L1336" s="395">
        <f>DATEVALUE(LEFT(F1336,10))</f>
        <v/>
      </c>
      <c r="M1336" s="396">
        <f>TIMEVALUE(MID(F1336,12,8))</f>
        <v/>
      </c>
      <c r="N1336" s="395">
        <f>DATEVALUE(LEFT(G1336,10))</f>
        <v/>
      </c>
      <c r="O1336" s="396">
        <f>TIMEVALUE(MID(G1336,12,8))</f>
        <v/>
      </c>
      <c r="P1336" s="396">
        <f>IFERROR(_xlfn.MINIFS($M:$M,$E:$E,$E1336,$K:$K,$K1336,$M:$M,"&gt;"&amp;$O1336),"")</f>
        <v/>
      </c>
      <c r="Q1336" s="396">
        <f>IF($P1336="","",$P1336-$O1336)</f>
        <v/>
      </c>
    </row>
    <row r="1337" ht="15" customHeight="1" s="231">
      <c r="A1337" s="397" t="n"/>
      <c r="B1337" s="397" t="n"/>
      <c r="C1337" s="397" t="n"/>
      <c r="D1337" s="397" t="n"/>
      <c r="E1337" s="397" t="n"/>
      <c r="F1337" s="397" t="n"/>
      <c r="G1337" s="397" t="n"/>
      <c r="I1337" s="397" t="n"/>
      <c r="J1337" s="397" t="n"/>
      <c r="K1337" s="395">
        <f>DATE(VALUE(LEFT(A1337,4)),VALUE(MID(A1337,5,2)),VALUE(RIGHT(A1337,2)))</f>
        <v/>
      </c>
      <c r="L1337" s="395">
        <f>DATEVALUE(LEFT(F1337,10))</f>
        <v/>
      </c>
      <c r="M1337" s="396">
        <f>TIMEVALUE(MID(F1337,12,8))</f>
        <v/>
      </c>
      <c r="N1337" s="395">
        <f>DATEVALUE(LEFT(G1337,10))</f>
        <v/>
      </c>
      <c r="O1337" s="396">
        <f>TIMEVALUE(MID(G1337,12,8))</f>
        <v/>
      </c>
      <c r="P1337" s="396">
        <f>IFERROR(_xlfn.MINIFS($M:$M,$E:$E,$E1337,$K:$K,$K1337,$M:$M,"&gt;"&amp;$O1337),"")</f>
        <v/>
      </c>
      <c r="Q1337" s="396">
        <f>IF($P1337="","",$P1337-$O1337)</f>
        <v/>
      </c>
    </row>
    <row r="1338" ht="15" customHeight="1" s="231">
      <c r="A1338" s="397" t="n"/>
      <c r="B1338" s="397" t="n"/>
      <c r="C1338" s="397" t="n"/>
      <c r="D1338" s="397" t="n"/>
      <c r="E1338" s="397" t="n"/>
      <c r="F1338" s="397" t="n"/>
      <c r="G1338" s="397" t="n"/>
      <c r="I1338" s="397" t="n"/>
      <c r="J1338" s="397" t="n"/>
      <c r="K1338" s="395">
        <f>DATE(VALUE(LEFT(A1338,4)),VALUE(MID(A1338,5,2)),VALUE(RIGHT(A1338,2)))</f>
        <v/>
      </c>
      <c r="L1338" s="395">
        <f>DATEVALUE(LEFT(F1338,10))</f>
        <v/>
      </c>
      <c r="M1338" s="396">
        <f>TIMEVALUE(MID(F1338,12,8))</f>
        <v/>
      </c>
      <c r="N1338" s="395">
        <f>DATEVALUE(LEFT(G1338,10))</f>
        <v/>
      </c>
      <c r="O1338" s="396">
        <f>TIMEVALUE(MID(G1338,12,8))</f>
        <v/>
      </c>
      <c r="P1338" s="396">
        <f>IFERROR(_xlfn.MINIFS($M:$M,$E:$E,$E1338,$K:$K,$K1338,$M:$M,"&gt;"&amp;$O1338),"")</f>
        <v/>
      </c>
      <c r="Q1338" s="396">
        <f>IF($P1338="","",$P1338-$O1338)</f>
        <v/>
      </c>
    </row>
    <row r="1339" ht="15" customHeight="1" s="231">
      <c r="A1339" s="397" t="n"/>
      <c r="B1339" s="397" t="n"/>
      <c r="C1339" s="397" t="n"/>
      <c r="D1339" s="397" t="n"/>
      <c r="E1339" s="397" t="n"/>
      <c r="F1339" s="397" t="n"/>
      <c r="G1339" s="397" t="n"/>
      <c r="I1339" s="397" t="n"/>
      <c r="J1339" s="397" t="n"/>
      <c r="K1339" s="395">
        <f>DATE(VALUE(LEFT(A1339,4)),VALUE(MID(A1339,5,2)),VALUE(RIGHT(A1339,2)))</f>
        <v/>
      </c>
      <c r="L1339" s="395">
        <f>DATEVALUE(LEFT(F1339,10))</f>
        <v/>
      </c>
      <c r="M1339" s="396">
        <f>TIMEVALUE(MID(F1339,12,8))</f>
        <v/>
      </c>
      <c r="N1339" s="395">
        <f>DATEVALUE(LEFT(G1339,10))</f>
        <v/>
      </c>
      <c r="O1339" s="396">
        <f>TIMEVALUE(MID(G1339,12,8))</f>
        <v/>
      </c>
      <c r="P1339" s="396">
        <f>IFERROR(_xlfn.MINIFS($M:$M,$E:$E,$E1339,$K:$K,$K1339,$M:$M,"&gt;"&amp;$O1339),"")</f>
        <v/>
      </c>
      <c r="Q1339" s="396">
        <f>IF($P1339="","",$P1339-$O1339)</f>
        <v/>
      </c>
    </row>
    <row r="1340" ht="15" customHeight="1" s="231">
      <c r="A1340" s="397" t="n"/>
      <c r="B1340" s="397" t="n"/>
      <c r="C1340" s="397" t="n"/>
      <c r="D1340" s="397" t="n"/>
      <c r="E1340" s="397" t="n"/>
      <c r="F1340" s="397" t="n"/>
      <c r="G1340" s="397" t="n"/>
      <c r="I1340" s="397" t="n"/>
      <c r="J1340" s="397" t="n"/>
      <c r="K1340" s="395">
        <f>DATE(VALUE(LEFT(A1340,4)),VALUE(MID(A1340,5,2)),VALUE(RIGHT(A1340,2)))</f>
        <v/>
      </c>
      <c r="L1340" s="395">
        <f>DATEVALUE(LEFT(F1340,10))</f>
        <v/>
      </c>
      <c r="M1340" s="396">
        <f>TIMEVALUE(MID(F1340,12,8))</f>
        <v/>
      </c>
      <c r="N1340" s="395">
        <f>DATEVALUE(LEFT(G1340,10))</f>
        <v/>
      </c>
      <c r="O1340" s="396">
        <f>TIMEVALUE(MID(G1340,12,8))</f>
        <v/>
      </c>
      <c r="P1340" s="396">
        <f>IFERROR(_xlfn.MINIFS($M:$M,$E:$E,$E1340,$K:$K,$K1340,$M:$M,"&gt;"&amp;$O1340),"")</f>
        <v/>
      </c>
      <c r="Q1340" s="396">
        <f>IF($P1340="","",$P1340-$O1340)</f>
        <v/>
      </c>
    </row>
    <row r="1341" ht="15" customHeight="1" s="231">
      <c r="A1341" s="397" t="n"/>
      <c r="B1341" s="397" t="n"/>
      <c r="C1341" s="397" t="n"/>
      <c r="D1341" s="397" t="n"/>
      <c r="E1341" s="397" t="n"/>
      <c r="F1341" s="397" t="n"/>
      <c r="G1341" s="397" t="n"/>
      <c r="I1341" s="397" t="n"/>
      <c r="J1341" s="397" t="n"/>
      <c r="K1341" s="395">
        <f>DATE(VALUE(LEFT(A1341,4)),VALUE(MID(A1341,5,2)),VALUE(RIGHT(A1341,2)))</f>
        <v/>
      </c>
      <c r="L1341" s="395">
        <f>DATEVALUE(LEFT(F1341,10))</f>
        <v/>
      </c>
      <c r="M1341" s="396">
        <f>TIMEVALUE(MID(F1341,12,8))</f>
        <v/>
      </c>
      <c r="N1341" s="395">
        <f>DATEVALUE(LEFT(G1341,10))</f>
        <v/>
      </c>
      <c r="O1341" s="396">
        <f>TIMEVALUE(MID(G1341,12,8))</f>
        <v/>
      </c>
      <c r="P1341" s="396">
        <f>IFERROR(_xlfn.MINIFS($M:$M,$E:$E,$E1341,$K:$K,$K1341,$M:$M,"&gt;"&amp;$O1341),"")</f>
        <v/>
      </c>
      <c r="Q1341" s="396">
        <f>IF($P1341="","",$P1341-$O1341)</f>
        <v/>
      </c>
    </row>
    <row r="1342" ht="15" customHeight="1" s="231">
      <c r="A1342" s="397" t="n"/>
      <c r="B1342" s="397" t="n"/>
      <c r="C1342" s="397" t="n"/>
      <c r="D1342" s="397" t="n"/>
      <c r="E1342" s="397" t="n"/>
      <c r="F1342" s="397" t="n"/>
      <c r="G1342" s="397" t="n"/>
      <c r="I1342" s="397" t="n"/>
      <c r="J1342" s="397" t="n"/>
      <c r="K1342" s="395">
        <f>DATE(VALUE(LEFT(A1342,4)),VALUE(MID(A1342,5,2)),VALUE(RIGHT(A1342,2)))</f>
        <v/>
      </c>
      <c r="L1342" s="395">
        <f>DATEVALUE(LEFT(F1342,10))</f>
        <v/>
      </c>
      <c r="M1342" s="396">
        <f>TIMEVALUE(MID(F1342,12,8))</f>
        <v/>
      </c>
      <c r="N1342" s="395">
        <f>DATEVALUE(LEFT(G1342,10))</f>
        <v/>
      </c>
      <c r="O1342" s="396">
        <f>TIMEVALUE(MID(G1342,12,8))</f>
        <v/>
      </c>
      <c r="P1342" s="396">
        <f>IFERROR(_xlfn.MINIFS($M:$M,$E:$E,$E1342,$K:$K,$K1342,$M:$M,"&gt;"&amp;$O1342),"")</f>
        <v/>
      </c>
      <c r="Q1342" s="396">
        <f>IF($P1342="","",$P1342-$O1342)</f>
        <v/>
      </c>
    </row>
    <row r="1343" ht="15" customHeight="1" s="231">
      <c r="A1343" s="397" t="n"/>
      <c r="B1343" s="397" t="n"/>
      <c r="C1343" s="397" t="n"/>
      <c r="D1343" s="397" t="n"/>
      <c r="E1343" s="397" t="n"/>
      <c r="F1343" s="397" t="n"/>
      <c r="G1343" s="397" t="n"/>
      <c r="I1343" s="397" t="n"/>
      <c r="J1343" s="397" t="n"/>
      <c r="K1343" s="395">
        <f>DATE(VALUE(LEFT(A1343,4)),VALUE(MID(A1343,5,2)),VALUE(RIGHT(A1343,2)))</f>
        <v/>
      </c>
      <c r="L1343" s="395">
        <f>DATEVALUE(LEFT(F1343,10))</f>
        <v/>
      </c>
      <c r="M1343" s="396">
        <f>TIMEVALUE(MID(F1343,12,8))</f>
        <v/>
      </c>
      <c r="N1343" s="395">
        <f>DATEVALUE(LEFT(G1343,10))</f>
        <v/>
      </c>
      <c r="O1343" s="396">
        <f>TIMEVALUE(MID(G1343,12,8))</f>
        <v/>
      </c>
      <c r="P1343" s="396">
        <f>IFERROR(_xlfn.MINIFS($M:$M,$E:$E,$E1343,$K:$K,$K1343,$M:$M,"&gt;"&amp;$O1343),"")</f>
        <v/>
      </c>
      <c r="Q1343" s="396">
        <f>IF($P1343="","",$P1343-$O1343)</f>
        <v/>
      </c>
    </row>
    <row r="1344" ht="15" customHeight="1" s="231">
      <c r="A1344" s="397" t="n"/>
      <c r="B1344" s="397" t="n"/>
      <c r="C1344" s="397" t="n"/>
      <c r="D1344" s="397" t="n"/>
      <c r="E1344" s="397" t="n"/>
      <c r="F1344" s="397" t="n"/>
      <c r="G1344" s="397" t="n"/>
      <c r="I1344" s="397" t="n"/>
      <c r="J1344" s="397" t="n"/>
      <c r="K1344" s="395">
        <f>DATE(VALUE(LEFT(A1344,4)),VALUE(MID(A1344,5,2)),VALUE(RIGHT(A1344,2)))</f>
        <v/>
      </c>
      <c r="L1344" s="395">
        <f>DATEVALUE(LEFT(F1344,10))</f>
        <v/>
      </c>
      <c r="M1344" s="396">
        <f>TIMEVALUE(MID(F1344,12,8))</f>
        <v/>
      </c>
      <c r="N1344" s="395">
        <f>DATEVALUE(LEFT(G1344,10))</f>
        <v/>
      </c>
      <c r="O1344" s="396">
        <f>TIMEVALUE(MID(G1344,12,8))</f>
        <v/>
      </c>
      <c r="P1344" s="396">
        <f>IFERROR(_xlfn.MINIFS($M:$M,$E:$E,$E1344,$K:$K,$K1344,$M:$M,"&gt;"&amp;$O1344),"")</f>
        <v/>
      </c>
      <c r="Q1344" s="396">
        <f>IF($P1344="","",$P1344-$O1344)</f>
        <v/>
      </c>
    </row>
    <row r="1345" ht="15" customHeight="1" s="231">
      <c r="A1345" s="397" t="n"/>
      <c r="B1345" s="397" t="n"/>
      <c r="C1345" s="397" t="n"/>
      <c r="D1345" s="397" t="n"/>
      <c r="E1345" s="397" t="n"/>
      <c r="F1345" s="397" t="n"/>
      <c r="G1345" s="397" t="n"/>
      <c r="I1345" s="397" t="n"/>
      <c r="J1345" s="397" t="n"/>
      <c r="K1345" s="395">
        <f>DATE(VALUE(LEFT(A1345,4)),VALUE(MID(A1345,5,2)),VALUE(RIGHT(A1345,2)))</f>
        <v/>
      </c>
      <c r="L1345" s="395">
        <f>DATEVALUE(LEFT(F1345,10))</f>
        <v/>
      </c>
      <c r="M1345" s="396">
        <f>TIMEVALUE(MID(F1345,12,8))</f>
        <v/>
      </c>
      <c r="N1345" s="395">
        <f>DATEVALUE(LEFT(G1345,10))</f>
        <v/>
      </c>
      <c r="O1345" s="396">
        <f>TIMEVALUE(MID(G1345,12,8))</f>
        <v/>
      </c>
      <c r="P1345" s="396">
        <f>IFERROR(_xlfn.MINIFS($M:$M,$E:$E,$E1345,$K:$K,$K1345,$M:$M,"&gt;"&amp;$O1345),"")</f>
        <v/>
      </c>
      <c r="Q1345" s="396">
        <f>IF($P1345="","",$P1345-$O1345)</f>
        <v/>
      </c>
    </row>
    <row r="1346" ht="15" customHeight="1" s="231">
      <c r="A1346" s="397" t="n"/>
      <c r="B1346" s="397" t="n"/>
      <c r="C1346" s="397" t="n"/>
      <c r="D1346" s="397" t="n"/>
      <c r="E1346" s="397" t="n"/>
      <c r="F1346" s="397" t="n"/>
      <c r="G1346" s="397" t="n"/>
      <c r="I1346" s="397" t="n"/>
      <c r="J1346" s="397" t="n"/>
      <c r="K1346" s="395">
        <f>DATE(VALUE(LEFT(A1346,4)),VALUE(MID(A1346,5,2)),VALUE(RIGHT(A1346,2)))</f>
        <v/>
      </c>
      <c r="L1346" s="395">
        <f>DATEVALUE(LEFT(F1346,10))</f>
        <v/>
      </c>
      <c r="M1346" s="396">
        <f>TIMEVALUE(MID(F1346,12,8))</f>
        <v/>
      </c>
      <c r="N1346" s="395">
        <f>DATEVALUE(LEFT(G1346,10))</f>
        <v/>
      </c>
      <c r="O1346" s="396">
        <f>TIMEVALUE(MID(G1346,12,8))</f>
        <v/>
      </c>
      <c r="P1346" s="396">
        <f>IFERROR(_xlfn.MINIFS($M:$M,$E:$E,$E1346,$K:$K,$K1346,$M:$M,"&gt;"&amp;$O1346),"")</f>
        <v/>
      </c>
      <c r="Q1346" s="396">
        <f>IF($P1346="","",$P1346-$O1346)</f>
        <v/>
      </c>
    </row>
    <row r="1347" ht="15" customHeight="1" s="231">
      <c r="A1347" s="397" t="n"/>
      <c r="B1347" s="397" t="n"/>
      <c r="C1347" s="397" t="n"/>
      <c r="D1347" s="397" t="n"/>
      <c r="E1347" s="397" t="n"/>
      <c r="F1347" s="397" t="n"/>
      <c r="G1347" s="397" t="n"/>
      <c r="I1347" s="397" t="n"/>
      <c r="J1347" s="397" t="n"/>
      <c r="K1347" s="395">
        <f>DATE(VALUE(LEFT(A1347,4)),VALUE(MID(A1347,5,2)),VALUE(RIGHT(A1347,2)))</f>
        <v/>
      </c>
      <c r="L1347" s="395">
        <f>DATEVALUE(LEFT(F1347,10))</f>
        <v/>
      </c>
      <c r="M1347" s="396">
        <f>TIMEVALUE(MID(F1347,12,8))</f>
        <v/>
      </c>
      <c r="N1347" s="395">
        <f>DATEVALUE(LEFT(G1347,10))</f>
        <v/>
      </c>
      <c r="O1347" s="396">
        <f>TIMEVALUE(MID(G1347,12,8))</f>
        <v/>
      </c>
      <c r="P1347" s="396">
        <f>IFERROR(_xlfn.MINIFS($M:$M,$E:$E,$E1347,$K:$K,$K1347,$M:$M,"&gt;"&amp;$O1347),"")</f>
        <v/>
      </c>
      <c r="Q1347" s="396">
        <f>IF($P1347="","",$P1347-$O1347)</f>
        <v/>
      </c>
    </row>
    <row r="1348" ht="15" customHeight="1" s="231">
      <c r="A1348" s="397" t="n"/>
      <c r="B1348" s="397" t="n"/>
      <c r="C1348" s="397" t="n"/>
      <c r="D1348" s="397" t="n"/>
      <c r="E1348" s="397" t="n"/>
      <c r="F1348" s="397" t="n"/>
      <c r="G1348" s="397" t="n"/>
      <c r="I1348" s="397" t="n"/>
      <c r="J1348" s="397" t="n"/>
      <c r="K1348" s="395">
        <f>DATE(VALUE(LEFT(A1348,4)),VALUE(MID(A1348,5,2)),VALUE(RIGHT(A1348,2)))</f>
        <v/>
      </c>
      <c r="L1348" s="395">
        <f>DATEVALUE(LEFT(F1348,10))</f>
        <v/>
      </c>
      <c r="M1348" s="396">
        <f>TIMEVALUE(MID(F1348,12,8))</f>
        <v/>
      </c>
      <c r="N1348" s="395">
        <f>DATEVALUE(LEFT(G1348,10))</f>
        <v/>
      </c>
      <c r="O1348" s="396">
        <f>TIMEVALUE(MID(G1348,12,8))</f>
        <v/>
      </c>
      <c r="P1348" s="396">
        <f>IFERROR(_xlfn.MINIFS($M:$M,$E:$E,$E1348,$K:$K,$K1348,$M:$M,"&gt;"&amp;$O1348),"")</f>
        <v/>
      </c>
      <c r="Q1348" s="396">
        <f>IF($P1348="","",$P1348-$O1348)</f>
        <v/>
      </c>
    </row>
    <row r="1349" ht="15" customHeight="1" s="231">
      <c r="A1349" s="397" t="n"/>
      <c r="B1349" s="397" t="n"/>
      <c r="C1349" s="397" t="n"/>
      <c r="D1349" s="397" t="n"/>
      <c r="E1349" s="397" t="n"/>
      <c r="F1349" s="397" t="n"/>
      <c r="G1349" s="397" t="n"/>
      <c r="I1349" s="397" t="n"/>
      <c r="J1349" s="397" t="n"/>
      <c r="K1349" s="395">
        <f>DATE(VALUE(LEFT(A1349,4)),VALUE(MID(A1349,5,2)),VALUE(RIGHT(A1349,2)))</f>
        <v/>
      </c>
      <c r="L1349" s="395">
        <f>DATEVALUE(LEFT(F1349,10))</f>
        <v/>
      </c>
      <c r="M1349" s="396">
        <f>TIMEVALUE(MID(F1349,12,8))</f>
        <v/>
      </c>
      <c r="N1349" s="395">
        <f>DATEVALUE(LEFT(G1349,10))</f>
        <v/>
      </c>
      <c r="O1349" s="396">
        <f>TIMEVALUE(MID(G1349,12,8))</f>
        <v/>
      </c>
      <c r="P1349" s="396">
        <f>IFERROR(_xlfn.MINIFS($M:$M,$E:$E,$E1349,$K:$K,$K1349,$M:$M,"&gt;"&amp;$O1349),"")</f>
        <v/>
      </c>
      <c r="Q1349" s="396">
        <f>IF($P1349="","",$P1349-$O1349)</f>
        <v/>
      </c>
    </row>
    <row r="1350" ht="15" customHeight="1" s="231">
      <c r="A1350" s="397" t="n"/>
      <c r="B1350" s="397" t="n"/>
      <c r="C1350" s="397" t="n"/>
      <c r="D1350" s="397" t="n"/>
      <c r="E1350" s="397" t="n"/>
      <c r="F1350" s="397" t="n"/>
      <c r="G1350" s="397" t="n"/>
      <c r="I1350" s="397" t="n"/>
      <c r="J1350" s="397" t="n"/>
      <c r="K1350" s="395">
        <f>DATE(VALUE(LEFT(A1350,4)),VALUE(MID(A1350,5,2)),VALUE(RIGHT(A1350,2)))</f>
        <v/>
      </c>
      <c r="L1350" s="395">
        <f>DATEVALUE(LEFT(F1350,10))</f>
        <v/>
      </c>
      <c r="M1350" s="396">
        <f>TIMEVALUE(MID(F1350,12,8))</f>
        <v/>
      </c>
      <c r="N1350" s="395">
        <f>DATEVALUE(LEFT(G1350,10))</f>
        <v/>
      </c>
      <c r="O1350" s="396">
        <f>TIMEVALUE(MID(G1350,12,8))</f>
        <v/>
      </c>
      <c r="P1350" s="396">
        <f>IFERROR(_xlfn.MINIFS($M:$M,$E:$E,$E1350,$K:$K,$K1350,$M:$M,"&gt;"&amp;$O1350),"")</f>
        <v/>
      </c>
      <c r="Q1350" s="396">
        <f>IF($P1350="","",$P1350-$O1350)</f>
        <v/>
      </c>
    </row>
    <row r="1351" ht="15" customHeight="1" s="231">
      <c r="A1351" s="397" t="n"/>
      <c r="B1351" s="397" t="n"/>
      <c r="C1351" s="397" t="n"/>
      <c r="D1351" s="397" t="n"/>
      <c r="E1351" s="397" t="n"/>
      <c r="F1351" s="397" t="n"/>
      <c r="G1351" s="397" t="n"/>
      <c r="I1351" s="397" t="n"/>
      <c r="J1351" s="397" t="n"/>
      <c r="K1351" s="395">
        <f>DATE(VALUE(LEFT(A1351,4)),VALUE(MID(A1351,5,2)),VALUE(RIGHT(A1351,2)))</f>
        <v/>
      </c>
      <c r="L1351" s="395">
        <f>DATEVALUE(LEFT(F1351,10))</f>
        <v/>
      </c>
      <c r="M1351" s="396">
        <f>TIMEVALUE(MID(F1351,12,8))</f>
        <v/>
      </c>
      <c r="N1351" s="395">
        <f>DATEVALUE(LEFT(G1351,10))</f>
        <v/>
      </c>
      <c r="O1351" s="396">
        <f>TIMEVALUE(MID(G1351,12,8))</f>
        <v/>
      </c>
      <c r="P1351" s="396">
        <f>IFERROR(_xlfn.MINIFS($M:$M,$E:$E,$E1351,$K:$K,$K1351,$M:$M,"&gt;"&amp;$O1351),"")</f>
        <v/>
      </c>
      <c r="Q1351" s="396">
        <f>IF($P1351="","",$P1351-$O1351)</f>
        <v/>
      </c>
    </row>
    <row r="1352" ht="15" customHeight="1" s="231">
      <c r="A1352" s="397" t="n"/>
      <c r="B1352" s="397" t="n"/>
      <c r="C1352" s="397" t="n"/>
      <c r="D1352" s="397" t="n"/>
      <c r="E1352" s="397" t="n"/>
      <c r="F1352" s="397" t="n"/>
      <c r="G1352" s="397" t="n"/>
      <c r="I1352" s="397" t="n"/>
      <c r="J1352" s="397" t="n"/>
      <c r="K1352" s="395">
        <f>DATE(VALUE(LEFT(A1352,4)),VALUE(MID(A1352,5,2)),VALUE(RIGHT(A1352,2)))</f>
        <v/>
      </c>
      <c r="L1352" s="395">
        <f>DATEVALUE(LEFT(F1352,10))</f>
        <v/>
      </c>
      <c r="M1352" s="396">
        <f>TIMEVALUE(MID(F1352,12,8))</f>
        <v/>
      </c>
      <c r="N1352" s="395">
        <f>DATEVALUE(LEFT(G1352,10))</f>
        <v/>
      </c>
      <c r="O1352" s="396">
        <f>TIMEVALUE(MID(G1352,12,8))</f>
        <v/>
      </c>
      <c r="P1352" s="396">
        <f>IFERROR(_xlfn.MINIFS($M:$M,$E:$E,$E1352,$K:$K,$K1352,$M:$M,"&gt;"&amp;$O1352),"")</f>
        <v/>
      </c>
      <c r="Q1352" s="396">
        <f>IF($P1352="","",$P1352-$O1352)</f>
        <v/>
      </c>
    </row>
    <row r="1353" ht="15" customHeight="1" s="231">
      <c r="A1353" s="397" t="n"/>
      <c r="B1353" s="397" t="n"/>
      <c r="C1353" s="397" t="n"/>
      <c r="D1353" s="397" t="n"/>
      <c r="E1353" s="397" t="n"/>
      <c r="F1353" s="397" t="n"/>
      <c r="G1353" s="397" t="n"/>
      <c r="I1353" s="397" t="n"/>
      <c r="J1353" s="397" t="n"/>
      <c r="K1353" s="395">
        <f>DATE(VALUE(LEFT(A1353,4)),VALUE(MID(A1353,5,2)),VALUE(RIGHT(A1353,2)))</f>
        <v/>
      </c>
      <c r="L1353" s="395">
        <f>DATEVALUE(LEFT(F1353,10))</f>
        <v/>
      </c>
      <c r="M1353" s="396">
        <f>TIMEVALUE(MID(F1353,12,8))</f>
        <v/>
      </c>
      <c r="N1353" s="395">
        <f>DATEVALUE(LEFT(G1353,10))</f>
        <v/>
      </c>
      <c r="O1353" s="396">
        <f>TIMEVALUE(MID(G1353,12,8))</f>
        <v/>
      </c>
      <c r="P1353" s="396">
        <f>IFERROR(_xlfn.MINIFS($M:$M,$E:$E,$E1353,$K:$K,$K1353,$M:$M,"&gt;"&amp;$O1353),"")</f>
        <v/>
      </c>
      <c r="Q1353" s="396">
        <f>IF($P1353="","",$P1353-$O1353)</f>
        <v/>
      </c>
    </row>
    <row r="1354" ht="15" customHeight="1" s="231">
      <c r="A1354" s="397" t="n"/>
      <c r="B1354" s="397" t="n"/>
      <c r="C1354" s="397" t="n"/>
      <c r="D1354" s="397" t="n"/>
      <c r="E1354" s="397" t="n"/>
      <c r="F1354" s="397" t="n"/>
      <c r="G1354" s="397" t="n"/>
      <c r="I1354" s="397" t="n"/>
      <c r="J1354" s="397" t="n"/>
      <c r="K1354" s="395">
        <f>DATE(VALUE(LEFT(A1354,4)),VALUE(MID(A1354,5,2)),VALUE(RIGHT(A1354,2)))</f>
        <v/>
      </c>
      <c r="L1354" s="395">
        <f>DATEVALUE(LEFT(F1354,10))</f>
        <v/>
      </c>
      <c r="M1354" s="396">
        <f>TIMEVALUE(MID(F1354,12,8))</f>
        <v/>
      </c>
      <c r="N1354" s="395">
        <f>DATEVALUE(LEFT(G1354,10))</f>
        <v/>
      </c>
      <c r="O1354" s="396">
        <f>TIMEVALUE(MID(G1354,12,8))</f>
        <v/>
      </c>
      <c r="P1354" s="396">
        <f>IFERROR(_xlfn.MINIFS($M:$M,$E:$E,$E1354,$K:$K,$K1354,$M:$M,"&gt;"&amp;$O1354),"")</f>
        <v/>
      </c>
      <c r="Q1354" s="396">
        <f>IF($P1354="","",$P1354-$O1354)</f>
        <v/>
      </c>
    </row>
    <row r="1355" ht="15" customHeight="1" s="231">
      <c r="A1355" s="397" t="n"/>
      <c r="B1355" s="397" t="n"/>
      <c r="C1355" s="397" t="n"/>
      <c r="D1355" s="397" t="n"/>
      <c r="E1355" s="397" t="n"/>
      <c r="F1355" s="397" t="n"/>
      <c r="G1355" s="397" t="n"/>
      <c r="I1355" s="397" t="n"/>
      <c r="J1355" s="397" t="n"/>
      <c r="K1355" s="395">
        <f>DATE(VALUE(LEFT(A1355,4)),VALUE(MID(A1355,5,2)),VALUE(RIGHT(A1355,2)))</f>
        <v/>
      </c>
      <c r="L1355" s="395">
        <f>DATEVALUE(LEFT(F1355,10))</f>
        <v/>
      </c>
      <c r="M1355" s="396">
        <f>TIMEVALUE(MID(F1355,12,8))</f>
        <v/>
      </c>
      <c r="N1355" s="395">
        <f>DATEVALUE(LEFT(G1355,10))</f>
        <v/>
      </c>
      <c r="O1355" s="396">
        <f>TIMEVALUE(MID(G1355,12,8))</f>
        <v/>
      </c>
      <c r="P1355" s="396">
        <f>IFERROR(_xlfn.MINIFS($M:$M,$E:$E,$E1355,$K:$K,$K1355,$M:$M,"&gt;"&amp;$O1355),"")</f>
        <v/>
      </c>
      <c r="Q1355" s="396">
        <f>IF($P1355="","",$P1355-$O1355)</f>
        <v/>
      </c>
    </row>
    <row r="1356" ht="15" customHeight="1" s="231">
      <c r="A1356" s="397" t="n"/>
      <c r="B1356" s="397" t="n"/>
      <c r="C1356" s="397" t="n"/>
      <c r="D1356" s="397" t="n"/>
      <c r="E1356" s="397" t="n"/>
      <c r="F1356" s="397" t="n"/>
      <c r="G1356" s="397" t="n"/>
      <c r="I1356" s="397" t="n"/>
      <c r="J1356" s="397" t="n"/>
      <c r="K1356" s="395">
        <f>DATE(VALUE(LEFT(A1356,4)),VALUE(MID(A1356,5,2)),VALUE(RIGHT(A1356,2)))</f>
        <v/>
      </c>
      <c r="L1356" s="395">
        <f>DATEVALUE(LEFT(F1356,10))</f>
        <v/>
      </c>
      <c r="M1356" s="396">
        <f>TIMEVALUE(MID(F1356,12,8))</f>
        <v/>
      </c>
      <c r="N1356" s="395">
        <f>DATEVALUE(LEFT(G1356,10))</f>
        <v/>
      </c>
      <c r="O1356" s="396">
        <f>TIMEVALUE(MID(G1356,12,8))</f>
        <v/>
      </c>
      <c r="P1356" s="396">
        <f>IFERROR(_xlfn.MINIFS($M:$M,$E:$E,$E1356,$K:$K,$K1356,$M:$M,"&gt;"&amp;$O1356),"")</f>
        <v/>
      </c>
      <c r="Q1356" s="396">
        <f>IF($P1356="","",$P1356-$O1356)</f>
        <v/>
      </c>
    </row>
    <row r="1357" ht="15" customHeight="1" s="231">
      <c r="A1357" s="397" t="n"/>
      <c r="B1357" s="397" t="n"/>
      <c r="C1357" s="397" t="n"/>
      <c r="D1357" s="397" t="n"/>
      <c r="E1357" s="397" t="n"/>
      <c r="F1357" s="397" t="n"/>
      <c r="G1357" s="397" t="n"/>
      <c r="I1357" s="397" t="n"/>
      <c r="J1357" s="397" t="n"/>
      <c r="K1357" s="395">
        <f>DATE(VALUE(LEFT(A1357,4)),VALUE(MID(A1357,5,2)),VALUE(RIGHT(A1357,2)))</f>
        <v/>
      </c>
      <c r="L1357" s="395">
        <f>DATEVALUE(LEFT(F1357,10))</f>
        <v/>
      </c>
      <c r="M1357" s="396">
        <f>TIMEVALUE(MID(F1357,12,8))</f>
        <v/>
      </c>
      <c r="N1357" s="395">
        <f>DATEVALUE(LEFT(G1357,10))</f>
        <v/>
      </c>
      <c r="O1357" s="396">
        <f>TIMEVALUE(MID(G1357,12,8))</f>
        <v/>
      </c>
      <c r="P1357" s="396">
        <f>IFERROR(_xlfn.MINIFS($M:$M,$E:$E,$E1357,$K:$K,$K1357,$M:$M,"&gt;"&amp;$O1357),"")</f>
        <v/>
      </c>
      <c r="Q1357" s="396">
        <f>IF($P1357="","",$P1357-$O1357)</f>
        <v/>
      </c>
    </row>
    <row r="1358" ht="15" customHeight="1" s="231">
      <c r="A1358" s="397" t="n"/>
      <c r="B1358" s="397" t="n"/>
      <c r="C1358" s="397" t="n"/>
      <c r="D1358" s="397" t="n"/>
      <c r="E1358" s="397" t="n"/>
      <c r="F1358" s="397" t="n"/>
      <c r="G1358" s="397" t="n"/>
      <c r="I1358" s="397" t="n"/>
      <c r="J1358" s="397" t="n"/>
      <c r="K1358" s="395">
        <f>DATE(VALUE(LEFT(A1358,4)),VALUE(MID(A1358,5,2)),VALUE(RIGHT(A1358,2)))</f>
        <v/>
      </c>
      <c r="L1358" s="395">
        <f>DATEVALUE(LEFT(F1358,10))</f>
        <v/>
      </c>
      <c r="M1358" s="396">
        <f>TIMEVALUE(MID(F1358,12,8))</f>
        <v/>
      </c>
      <c r="N1358" s="395">
        <f>DATEVALUE(LEFT(G1358,10))</f>
        <v/>
      </c>
      <c r="O1358" s="396">
        <f>TIMEVALUE(MID(G1358,12,8))</f>
        <v/>
      </c>
      <c r="P1358" s="396">
        <f>IFERROR(_xlfn.MINIFS($M:$M,$E:$E,$E1358,$K:$K,$K1358,$M:$M,"&gt;"&amp;$O1358),"")</f>
        <v/>
      </c>
      <c r="Q1358" s="396">
        <f>IF($P1358="","",$P1358-$O1358)</f>
        <v/>
      </c>
    </row>
    <row r="1359" ht="15" customHeight="1" s="231">
      <c r="A1359" s="397" t="n"/>
      <c r="B1359" s="397" t="n"/>
      <c r="C1359" s="397" t="n"/>
      <c r="D1359" s="397" t="n"/>
      <c r="E1359" s="397" t="n"/>
      <c r="F1359" s="397" t="n"/>
      <c r="G1359" s="397" t="n"/>
      <c r="I1359" s="397" t="n"/>
      <c r="J1359" s="397" t="n"/>
      <c r="K1359" s="395">
        <f>DATE(VALUE(LEFT(A1359,4)),VALUE(MID(A1359,5,2)),VALUE(RIGHT(A1359,2)))</f>
        <v/>
      </c>
      <c r="L1359" s="395">
        <f>DATEVALUE(LEFT(F1359,10))</f>
        <v/>
      </c>
      <c r="M1359" s="396">
        <f>TIMEVALUE(MID(F1359,12,8))</f>
        <v/>
      </c>
      <c r="N1359" s="395">
        <f>DATEVALUE(LEFT(G1359,10))</f>
        <v/>
      </c>
      <c r="O1359" s="396">
        <f>TIMEVALUE(MID(G1359,12,8))</f>
        <v/>
      </c>
      <c r="P1359" s="396">
        <f>IFERROR(_xlfn.MINIFS($M:$M,$E:$E,$E1359,$K:$K,$K1359,$M:$M,"&gt;"&amp;$O1359),"")</f>
        <v/>
      </c>
      <c r="Q1359" s="396">
        <f>IF($P1359="","",$P1359-$O1359)</f>
        <v/>
      </c>
    </row>
    <row r="1360" ht="15" customHeight="1" s="231">
      <c r="A1360" s="397" t="n"/>
      <c r="B1360" s="397" t="n"/>
      <c r="C1360" s="397" t="n"/>
      <c r="D1360" s="397" t="n"/>
      <c r="E1360" s="397" t="n"/>
      <c r="F1360" s="397" t="n"/>
      <c r="G1360" s="397" t="n"/>
      <c r="I1360" s="397" t="n"/>
      <c r="J1360" s="397" t="n"/>
      <c r="K1360" s="395">
        <f>DATE(VALUE(LEFT(A1360,4)),VALUE(MID(A1360,5,2)),VALUE(RIGHT(A1360,2)))</f>
        <v/>
      </c>
      <c r="L1360" s="395">
        <f>DATEVALUE(LEFT(F1360,10))</f>
        <v/>
      </c>
      <c r="M1360" s="396">
        <f>TIMEVALUE(MID(F1360,12,8))</f>
        <v/>
      </c>
      <c r="N1360" s="395">
        <f>DATEVALUE(LEFT(G1360,10))</f>
        <v/>
      </c>
      <c r="O1360" s="396">
        <f>TIMEVALUE(MID(G1360,12,8))</f>
        <v/>
      </c>
      <c r="P1360" s="396">
        <f>IFERROR(_xlfn.MINIFS($M:$M,$E:$E,$E1360,$K:$K,$K1360,$M:$M,"&gt;"&amp;$O1360),"")</f>
        <v/>
      </c>
      <c r="Q1360" s="396">
        <f>IF($P1360="","",$P1360-$O1360)</f>
        <v/>
      </c>
    </row>
    <row r="1361" ht="15" customHeight="1" s="231">
      <c r="A1361" s="397" t="n"/>
      <c r="B1361" s="397" t="n"/>
      <c r="C1361" s="397" t="n"/>
      <c r="D1361" s="397" t="n"/>
      <c r="E1361" s="397" t="n"/>
      <c r="F1361" s="397" t="n"/>
      <c r="G1361" s="397" t="n"/>
      <c r="I1361" s="397" t="n"/>
      <c r="J1361" s="397" t="n"/>
      <c r="K1361" s="395">
        <f>DATE(VALUE(LEFT(A1361,4)),VALUE(MID(A1361,5,2)),VALUE(RIGHT(A1361,2)))</f>
        <v/>
      </c>
      <c r="L1361" s="395">
        <f>DATEVALUE(LEFT(F1361,10))</f>
        <v/>
      </c>
      <c r="M1361" s="396">
        <f>TIMEVALUE(MID(F1361,12,8))</f>
        <v/>
      </c>
      <c r="N1361" s="395">
        <f>DATEVALUE(LEFT(G1361,10))</f>
        <v/>
      </c>
      <c r="O1361" s="396">
        <f>TIMEVALUE(MID(G1361,12,8))</f>
        <v/>
      </c>
      <c r="P1361" s="396">
        <f>IFERROR(_xlfn.MINIFS($M:$M,$E:$E,$E1361,$K:$K,$K1361,$M:$M,"&gt;"&amp;$O1361),"")</f>
        <v/>
      </c>
      <c r="Q1361" s="396">
        <f>IF($P1361="","",$P1361-$O1361)</f>
        <v/>
      </c>
    </row>
    <row r="1362" ht="15" customHeight="1" s="231">
      <c r="A1362" s="397" t="n"/>
      <c r="B1362" s="397" t="n"/>
      <c r="C1362" s="397" t="n"/>
      <c r="D1362" s="397" t="n"/>
      <c r="E1362" s="397" t="n"/>
      <c r="F1362" s="397" t="n"/>
      <c r="G1362" s="397" t="n"/>
      <c r="I1362" s="397" t="n"/>
      <c r="J1362" s="397" t="n"/>
      <c r="K1362" s="395">
        <f>DATE(VALUE(LEFT(A1362,4)),VALUE(MID(A1362,5,2)),VALUE(RIGHT(A1362,2)))</f>
        <v/>
      </c>
      <c r="L1362" s="395">
        <f>DATEVALUE(LEFT(F1362,10))</f>
        <v/>
      </c>
      <c r="M1362" s="396">
        <f>TIMEVALUE(MID(F1362,12,8))</f>
        <v/>
      </c>
      <c r="N1362" s="395">
        <f>DATEVALUE(LEFT(G1362,10))</f>
        <v/>
      </c>
      <c r="O1362" s="396">
        <f>TIMEVALUE(MID(G1362,12,8))</f>
        <v/>
      </c>
      <c r="P1362" s="396">
        <f>IFERROR(_xlfn.MINIFS($M:$M,$E:$E,$E1362,$K:$K,$K1362,$M:$M,"&gt;"&amp;$O1362),"")</f>
        <v/>
      </c>
      <c r="Q1362" s="396">
        <f>IF($P1362="","",$P1362-$O1362)</f>
        <v/>
      </c>
    </row>
    <row r="1363" ht="15" customHeight="1" s="231">
      <c r="A1363" s="397" t="n"/>
      <c r="B1363" s="397" t="n"/>
      <c r="C1363" s="397" t="n"/>
      <c r="D1363" s="397" t="n"/>
      <c r="E1363" s="397" t="n"/>
      <c r="F1363" s="397" t="n"/>
      <c r="G1363" s="397" t="n"/>
      <c r="I1363" s="397" t="n"/>
      <c r="J1363" s="397" t="n"/>
      <c r="K1363" s="395">
        <f>DATE(VALUE(LEFT(A1363,4)),VALUE(MID(A1363,5,2)),VALUE(RIGHT(A1363,2)))</f>
        <v/>
      </c>
      <c r="L1363" s="395">
        <f>DATEVALUE(LEFT(F1363,10))</f>
        <v/>
      </c>
      <c r="M1363" s="396">
        <f>TIMEVALUE(MID(F1363,12,8))</f>
        <v/>
      </c>
      <c r="N1363" s="395">
        <f>DATEVALUE(LEFT(G1363,10))</f>
        <v/>
      </c>
      <c r="O1363" s="396">
        <f>TIMEVALUE(MID(G1363,12,8))</f>
        <v/>
      </c>
      <c r="P1363" s="396">
        <f>IFERROR(_xlfn.MINIFS($M:$M,$E:$E,$E1363,$K:$K,$K1363,$M:$M,"&gt;"&amp;$O1363),"")</f>
        <v/>
      </c>
      <c r="Q1363" s="396">
        <f>IF($P1363="","",$P1363-$O1363)</f>
        <v/>
      </c>
    </row>
    <row r="1364" ht="15" customHeight="1" s="231">
      <c r="A1364" s="397" t="n"/>
      <c r="B1364" s="397" t="n"/>
      <c r="C1364" s="397" t="n"/>
      <c r="D1364" s="397" t="n"/>
      <c r="E1364" s="397" t="n"/>
      <c r="F1364" s="397" t="n"/>
      <c r="G1364" s="397" t="n"/>
      <c r="I1364" s="397" t="n"/>
      <c r="J1364" s="397" t="n"/>
      <c r="K1364" s="395">
        <f>DATE(VALUE(LEFT(A1364,4)),VALUE(MID(A1364,5,2)),VALUE(RIGHT(A1364,2)))</f>
        <v/>
      </c>
      <c r="L1364" s="395">
        <f>DATEVALUE(LEFT(F1364,10))</f>
        <v/>
      </c>
      <c r="M1364" s="396">
        <f>TIMEVALUE(MID(F1364,12,8))</f>
        <v/>
      </c>
      <c r="N1364" s="395">
        <f>DATEVALUE(LEFT(G1364,10))</f>
        <v/>
      </c>
      <c r="O1364" s="396">
        <f>TIMEVALUE(MID(G1364,12,8))</f>
        <v/>
      </c>
      <c r="P1364" s="396">
        <f>IFERROR(_xlfn.MINIFS($M:$M,$E:$E,$E1364,$K:$K,$K1364,$M:$M,"&gt;"&amp;$O1364),"")</f>
        <v/>
      </c>
      <c r="Q1364" s="396">
        <f>IF($P1364="","",$P1364-$O1364)</f>
        <v/>
      </c>
    </row>
    <row r="1365" ht="15" customHeight="1" s="231">
      <c r="A1365" s="397" t="n"/>
      <c r="B1365" s="397" t="n"/>
      <c r="C1365" s="397" t="n"/>
      <c r="D1365" s="397" t="n"/>
      <c r="E1365" s="397" t="n"/>
      <c r="F1365" s="397" t="n"/>
      <c r="G1365" s="397" t="n"/>
      <c r="I1365" s="397" t="n"/>
      <c r="J1365" s="397" t="n"/>
      <c r="K1365" s="395">
        <f>DATE(VALUE(LEFT(A1365,4)),VALUE(MID(A1365,5,2)),VALUE(RIGHT(A1365,2)))</f>
        <v/>
      </c>
      <c r="L1365" s="395">
        <f>DATEVALUE(LEFT(F1365,10))</f>
        <v/>
      </c>
      <c r="M1365" s="396">
        <f>TIMEVALUE(MID(F1365,12,8))</f>
        <v/>
      </c>
      <c r="N1365" s="395">
        <f>DATEVALUE(LEFT(G1365,10))</f>
        <v/>
      </c>
      <c r="O1365" s="396">
        <f>TIMEVALUE(MID(G1365,12,8))</f>
        <v/>
      </c>
      <c r="P1365" s="396">
        <f>IFERROR(_xlfn.MINIFS($M:$M,$E:$E,$E1365,$K:$K,$K1365,$M:$M,"&gt;"&amp;$O1365),"")</f>
        <v/>
      </c>
      <c r="Q1365" s="396">
        <f>IF($P1365="","",$P1365-$O1365)</f>
        <v/>
      </c>
    </row>
    <row r="1366" ht="15" customHeight="1" s="231">
      <c r="A1366" s="397" t="n"/>
      <c r="B1366" s="397" t="n"/>
      <c r="C1366" s="397" t="n"/>
      <c r="D1366" s="397" t="n"/>
      <c r="E1366" s="397" t="n"/>
      <c r="F1366" s="397" t="n"/>
      <c r="G1366" s="397" t="n"/>
      <c r="I1366" s="397" t="n"/>
      <c r="J1366" s="397" t="n"/>
      <c r="K1366" s="395">
        <f>DATE(VALUE(LEFT(A1366,4)),VALUE(MID(A1366,5,2)),VALUE(RIGHT(A1366,2)))</f>
        <v/>
      </c>
      <c r="L1366" s="395">
        <f>DATEVALUE(LEFT(F1366,10))</f>
        <v/>
      </c>
      <c r="M1366" s="396">
        <f>TIMEVALUE(MID(F1366,12,8))</f>
        <v/>
      </c>
      <c r="N1366" s="395">
        <f>DATEVALUE(LEFT(G1366,10))</f>
        <v/>
      </c>
      <c r="O1366" s="396">
        <f>TIMEVALUE(MID(G1366,12,8))</f>
        <v/>
      </c>
      <c r="P1366" s="396">
        <f>IFERROR(_xlfn.MINIFS($M:$M,$E:$E,$E1366,$K:$K,$K1366,$M:$M,"&gt;"&amp;$O1366),"")</f>
        <v/>
      </c>
      <c r="Q1366" s="396">
        <f>IF($P1366="","",$P1366-$O1366)</f>
        <v/>
      </c>
    </row>
    <row r="1367" ht="15" customHeight="1" s="231">
      <c r="A1367" s="397" t="n"/>
      <c r="B1367" s="397" t="n"/>
      <c r="C1367" s="397" t="n"/>
      <c r="D1367" s="397" t="n"/>
      <c r="E1367" s="397" t="n"/>
      <c r="F1367" s="397" t="n"/>
      <c r="G1367" s="397" t="n"/>
      <c r="I1367" s="397" t="n"/>
      <c r="J1367" s="397" t="n"/>
      <c r="K1367" s="395">
        <f>DATE(VALUE(LEFT(A1367,4)),VALUE(MID(A1367,5,2)),VALUE(RIGHT(A1367,2)))</f>
        <v/>
      </c>
      <c r="L1367" s="395">
        <f>DATEVALUE(LEFT(F1367,10))</f>
        <v/>
      </c>
      <c r="M1367" s="396">
        <f>TIMEVALUE(MID(F1367,12,8))</f>
        <v/>
      </c>
      <c r="N1367" s="395">
        <f>DATEVALUE(LEFT(G1367,10))</f>
        <v/>
      </c>
      <c r="O1367" s="396">
        <f>TIMEVALUE(MID(G1367,12,8))</f>
        <v/>
      </c>
      <c r="P1367" s="396">
        <f>IFERROR(_xlfn.MINIFS($M:$M,$E:$E,$E1367,$K:$K,$K1367,$M:$M,"&gt;"&amp;$O1367),"")</f>
        <v/>
      </c>
      <c r="Q1367" s="396">
        <f>IF($P1367="","",$P1367-$O1367)</f>
        <v/>
      </c>
    </row>
    <row r="1368" ht="15" customHeight="1" s="231">
      <c r="A1368" s="397" t="n"/>
      <c r="B1368" s="397" t="n"/>
      <c r="C1368" s="397" t="n"/>
      <c r="D1368" s="397" t="n"/>
      <c r="E1368" s="397" t="n"/>
      <c r="F1368" s="397" t="n"/>
      <c r="G1368" s="397" t="n"/>
      <c r="I1368" s="397" t="n"/>
      <c r="J1368" s="397" t="n"/>
      <c r="K1368" s="395">
        <f>DATE(VALUE(LEFT(A1368,4)),VALUE(MID(A1368,5,2)),VALUE(RIGHT(A1368,2)))</f>
        <v/>
      </c>
      <c r="L1368" s="395">
        <f>DATEVALUE(LEFT(F1368,10))</f>
        <v/>
      </c>
      <c r="M1368" s="396">
        <f>TIMEVALUE(MID(F1368,12,8))</f>
        <v/>
      </c>
      <c r="N1368" s="395">
        <f>DATEVALUE(LEFT(G1368,10))</f>
        <v/>
      </c>
      <c r="O1368" s="396">
        <f>TIMEVALUE(MID(G1368,12,8))</f>
        <v/>
      </c>
      <c r="P1368" s="396">
        <f>IFERROR(_xlfn.MINIFS($M:$M,$E:$E,$E1368,$K:$K,$K1368,$M:$M,"&gt;"&amp;$O1368),"")</f>
        <v/>
      </c>
      <c r="Q1368" s="396">
        <f>IF($P1368="","",$P1368-$O1368)</f>
        <v/>
      </c>
    </row>
    <row r="1369" ht="15" customHeight="1" s="231">
      <c r="A1369" s="397" t="n"/>
      <c r="B1369" s="397" t="n"/>
      <c r="C1369" s="397" t="n"/>
      <c r="D1369" s="397" t="n"/>
      <c r="E1369" s="397" t="n"/>
      <c r="F1369" s="397" t="n"/>
      <c r="G1369" s="397" t="n"/>
      <c r="I1369" s="397" t="n"/>
      <c r="J1369" s="397" t="n"/>
      <c r="K1369" s="395">
        <f>DATE(VALUE(LEFT(A1369,4)),VALUE(MID(A1369,5,2)),VALUE(RIGHT(A1369,2)))</f>
        <v/>
      </c>
      <c r="L1369" s="395">
        <f>DATEVALUE(LEFT(F1369,10))</f>
        <v/>
      </c>
      <c r="M1369" s="396">
        <f>TIMEVALUE(MID(F1369,12,8))</f>
        <v/>
      </c>
      <c r="N1369" s="395">
        <f>DATEVALUE(LEFT(G1369,10))</f>
        <v/>
      </c>
      <c r="O1369" s="396">
        <f>TIMEVALUE(MID(G1369,12,8))</f>
        <v/>
      </c>
      <c r="P1369" s="396">
        <f>IFERROR(_xlfn.MINIFS($M:$M,$E:$E,$E1369,$K:$K,$K1369,$M:$M,"&gt;"&amp;$O1369),"")</f>
        <v/>
      </c>
      <c r="Q1369" s="396">
        <f>IF($P1369="","",$P1369-$O1369)</f>
        <v/>
      </c>
    </row>
    <row r="1370" ht="15" customHeight="1" s="231">
      <c r="A1370" s="397" t="n"/>
      <c r="B1370" s="397" t="n"/>
      <c r="C1370" s="397" t="n"/>
      <c r="D1370" s="397" t="n"/>
      <c r="E1370" s="397" t="n"/>
      <c r="F1370" s="397" t="n"/>
      <c r="G1370" s="397" t="n"/>
      <c r="I1370" s="397" t="n"/>
      <c r="J1370" s="397" t="n"/>
      <c r="K1370" s="395">
        <f>DATE(VALUE(LEFT(A1370,4)),VALUE(MID(A1370,5,2)),VALUE(RIGHT(A1370,2)))</f>
        <v/>
      </c>
      <c r="L1370" s="395">
        <f>DATEVALUE(LEFT(F1370,10))</f>
        <v/>
      </c>
      <c r="M1370" s="396">
        <f>TIMEVALUE(MID(F1370,12,8))</f>
        <v/>
      </c>
      <c r="N1370" s="395">
        <f>DATEVALUE(LEFT(G1370,10))</f>
        <v/>
      </c>
      <c r="O1370" s="396">
        <f>TIMEVALUE(MID(G1370,12,8))</f>
        <v/>
      </c>
      <c r="P1370" s="396">
        <f>IFERROR(_xlfn.MINIFS($M:$M,$E:$E,$E1370,$K:$K,$K1370,$M:$M,"&gt;"&amp;$O1370),"")</f>
        <v/>
      </c>
      <c r="Q1370" s="396">
        <f>IF($P1370="","",$P1370-$O1370)</f>
        <v/>
      </c>
    </row>
    <row r="1371" ht="15" customHeight="1" s="231">
      <c r="A1371" s="397" t="n"/>
      <c r="B1371" s="397" t="n"/>
      <c r="C1371" s="397" t="n"/>
      <c r="D1371" s="397" t="n"/>
      <c r="E1371" s="397" t="n"/>
      <c r="F1371" s="397" t="n"/>
      <c r="G1371" s="397" t="n"/>
      <c r="I1371" s="397" t="n"/>
      <c r="J1371" s="397" t="n"/>
      <c r="K1371" s="395">
        <f>DATE(VALUE(LEFT(A1371,4)),VALUE(MID(A1371,5,2)),VALUE(RIGHT(A1371,2)))</f>
        <v/>
      </c>
      <c r="L1371" s="395">
        <f>DATEVALUE(LEFT(F1371,10))</f>
        <v/>
      </c>
      <c r="M1371" s="396">
        <f>TIMEVALUE(MID(F1371,12,8))</f>
        <v/>
      </c>
      <c r="N1371" s="395">
        <f>DATEVALUE(LEFT(G1371,10))</f>
        <v/>
      </c>
      <c r="O1371" s="396">
        <f>TIMEVALUE(MID(G1371,12,8))</f>
        <v/>
      </c>
      <c r="P1371" s="396">
        <f>IFERROR(_xlfn.MINIFS($M:$M,$E:$E,$E1371,$K:$K,$K1371,$M:$M,"&gt;"&amp;$O1371),"")</f>
        <v/>
      </c>
      <c r="Q1371" s="396">
        <f>IF($P1371="","",$P1371-$O1371)</f>
        <v/>
      </c>
    </row>
    <row r="1372" ht="15" customHeight="1" s="231">
      <c r="A1372" s="397" t="n"/>
      <c r="B1372" s="397" t="n"/>
      <c r="C1372" s="397" t="n"/>
      <c r="D1372" s="397" t="n"/>
      <c r="E1372" s="397" t="n"/>
      <c r="F1372" s="397" t="n"/>
      <c r="G1372" s="397" t="n"/>
      <c r="I1372" s="397" t="n"/>
      <c r="J1372" s="397" t="n"/>
      <c r="K1372" s="395">
        <f>DATE(VALUE(LEFT(A1372,4)),VALUE(MID(A1372,5,2)),VALUE(RIGHT(A1372,2)))</f>
        <v/>
      </c>
      <c r="L1372" s="395">
        <f>DATEVALUE(LEFT(F1372,10))</f>
        <v/>
      </c>
      <c r="M1372" s="396">
        <f>TIMEVALUE(MID(F1372,12,8))</f>
        <v/>
      </c>
      <c r="N1372" s="395">
        <f>DATEVALUE(LEFT(G1372,10))</f>
        <v/>
      </c>
      <c r="O1372" s="396">
        <f>TIMEVALUE(MID(G1372,12,8))</f>
        <v/>
      </c>
      <c r="P1372" s="396">
        <f>IFERROR(_xlfn.MINIFS($M:$M,$E:$E,$E1372,$K:$K,$K1372,$M:$M,"&gt;"&amp;$O1372),"")</f>
        <v/>
      </c>
      <c r="Q1372" s="396">
        <f>IF($P1372="","",$P1372-$O1372)</f>
        <v/>
      </c>
    </row>
    <row r="1373" ht="15" customHeight="1" s="231">
      <c r="A1373" s="397" t="n"/>
      <c r="B1373" s="397" t="n"/>
      <c r="C1373" s="397" t="n"/>
      <c r="D1373" s="397" t="n"/>
      <c r="E1373" s="397" t="n"/>
      <c r="F1373" s="397" t="n"/>
      <c r="G1373" s="397" t="n"/>
      <c r="I1373" s="397" t="n"/>
      <c r="J1373" s="397" t="n"/>
      <c r="K1373" s="395">
        <f>DATE(VALUE(LEFT(A1373,4)),VALUE(MID(A1373,5,2)),VALUE(RIGHT(A1373,2)))</f>
        <v/>
      </c>
      <c r="L1373" s="395">
        <f>DATEVALUE(LEFT(F1373,10))</f>
        <v/>
      </c>
      <c r="M1373" s="396">
        <f>TIMEVALUE(MID(F1373,12,8))</f>
        <v/>
      </c>
      <c r="N1373" s="395">
        <f>DATEVALUE(LEFT(G1373,10))</f>
        <v/>
      </c>
      <c r="O1373" s="396">
        <f>TIMEVALUE(MID(G1373,12,8))</f>
        <v/>
      </c>
      <c r="P1373" s="396">
        <f>IFERROR(_xlfn.MINIFS($M:$M,$E:$E,$E1373,$K:$K,$K1373,$M:$M,"&gt;"&amp;$O1373),"")</f>
        <v/>
      </c>
      <c r="Q1373" s="396">
        <f>IF($P1373="","",$P1373-$O1373)</f>
        <v/>
      </c>
    </row>
    <row r="1374" ht="15" customHeight="1" s="231">
      <c r="A1374" s="397" t="n"/>
      <c r="B1374" s="397" t="n"/>
      <c r="C1374" s="397" t="n"/>
      <c r="D1374" s="397" t="n"/>
      <c r="E1374" s="397" t="n"/>
      <c r="F1374" s="397" t="n"/>
      <c r="G1374" s="397" t="n"/>
      <c r="I1374" s="397" t="n"/>
      <c r="J1374" s="397" t="n"/>
      <c r="K1374" s="395">
        <f>DATE(VALUE(LEFT(A1374,4)),VALUE(MID(A1374,5,2)),VALUE(RIGHT(A1374,2)))</f>
        <v/>
      </c>
      <c r="L1374" s="395">
        <f>DATEVALUE(LEFT(F1374,10))</f>
        <v/>
      </c>
      <c r="M1374" s="396">
        <f>TIMEVALUE(MID(F1374,12,8))</f>
        <v/>
      </c>
      <c r="N1374" s="395">
        <f>DATEVALUE(LEFT(G1374,10))</f>
        <v/>
      </c>
      <c r="O1374" s="396">
        <f>TIMEVALUE(MID(G1374,12,8))</f>
        <v/>
      </c>
      <c r="P1374" s="396">
        <f>IFERROR(_xlfn.MINIFS($M:$M,$E:$E,$E1374,$K:$K,$K1374,$M:$M,"&gt;"&amp;$O1374),"")</f>
        <v/>
      </c>
      <c r="Q1374" s="396">
        <f>IF($P1374="","",$P1374-$O1374)</f>
        <v/>
      </c>
    </row>
    <row r="1375" ht="15" customHeight="1" s="231">
      <c r="A1375" s="397" t="n"/>
      <c r="B1375" s="397" t="n"/>
      <c r="C1375" s="397" t="n"/>
      <c r="D1375" s="397" t="n"/>
      <c r="E1375" s="397" t="n"/>
      <c r="F1375" s="397" t="n"/>
      <c r="G1375" s="397" t="n"/>
      <c r="I1375" s="397" t="n"/>
      <c r="J1375" s="397" t="n"/>
      <c r="K1375" s="395">
        <f>DATE(VALUE(LEFT(A1375,4)),VALUE(MID(A1375,5,2)),VALUE(RIGHT(A1375,2)))</f>
        <v/>
      </c>
      <c r="L1375" s="395">
        <f>DATEVALUE(LEFT(F1375,10))</f>
        <v/>
      </c>
      <c r="M1375" s="396">
        <f>TIMEVALUE(MID(F1375,12,8))</f>
        <v/>
      </c>
      <c r="N1375" s="395">
        <f>DATEVALUE(LEFT(G1375,10))</f>
        <v/>
      </c>
      <c r="O1375" s="396">
        <f>TIMEVALUE(MID(G1375,12,8))</f>
        <v/>
      </c>
      <c r="P1375" s="396">
        <f>IFERROR(_xlfn.MINIFS($M:$M,$E:$E,$E1375,$K:$K,$K1375,$M:$M,"&gt;"&amp;$O1375),"")</f>
        <v/>
      </c>
      <c r="Q1375" s="396">
        <f>IF($P1375="","",$P1375-$O1375)</f>
        <v/>
      </c>
    </row>
    <row r="1376" ht="15" customHeight="1" s="231">
      <c r="A1376" s="397" t="n"/>
      <c r="B1376" s="397" t="n"/>
      <c r="C1376" s="397" t="n"/>
      <c r="D1376" s="397" t="n"/>
      <c r="E1376" s="397" t="n"/>
      <c r="F1376" s="397" t="n"/>
      <c r="G1376" s="397" t="n"/>
      <c r="I1376" s="397" t="n"/>
      <c r="J1376" s="397" t="n"/>
      <c r="K1376" s="395">
        <f>DATE(VALUE(LEFT(A1376,4)),VALUE(MID(A1376,5,2)),VALUE(RIGHT(A1376,2)))</f>
        <v/>
      </c>
      <c r="L1376" s="395">
        <f>DATEVALUE(LEFT(F1376,10))</f>
        <v/>
      </c>
      <c r="M1376" s="396">
        <f>TIMEVALUE(MID(F1376,12,8))</f>
        <v/>
      </c>
      <c r="N1376" s="395">
        <f>DATEVALUE(LEFT(G1376,10))</f>
        <v/>
      </c>
      <c r="O1376" s="396">
        <f>TIMEVALUE(MID(G1376,12,8))</f>
        <v/>
      </c>
      <c r="P1376" s="396">
        <f>IFERROR(_xlfn.MINIFS($M:$M,$E:$E,$E1376,$K:$K,$K1376,$M:$M,"&gt;"&amp;$O1376),"")</f>
        <v/>
      </c>
      <c r="Q1376" s="396">
        <f>IF($P1376="","",$P1376-$O1376)</f>
        <v/>
      </c>
    </row>
    <row r="1377" ht="15" customHeight="1" s="231">
      <c r="A1377" s="397" t="n"/>
      <c r="B1377" s="397" t="n"/>
      <c r="C1377" s="397" t="n"/>
      <c r="D1377" s="397" t="n"/>
      <c r="E1377" s="397" t="n"/>
      <c r="F1377" s="397" t="n"/>
      <c r="G1377" s="397" t="n"/>
      <c r="I1377" s="397" t="n"/>
      <c r="J1377" s="397" t="n"/>
      <c r="K1377" s="395">
        <f>DATE(VALUE(LEFT(A1377,4)),VALUE(MID(A1377,5,2)),VALUE(RIGHT(A1377,2)))</f>
        <v/>
      </c>
      <c r="L1377" s="395">
        <f>DATEVALUE(LEFT(F1377,10))</f>
        <v/>
      </c>
      <c r="M1377" s="396">
        <f>TIMEVALUE(MID(F1377,12,8))</f>
        <v/>
      </c>
      <c r="N1377" s="395">
        <f>DATEVALUE(LEFT(G1377,10))</f>
        <v/>
      </c>
      <c r="O1377" s="396">
        <f>TIMEVALUE(MID(G1377,12,8))</f>
        <v/>
      </c>
      <c r="P1377" s="396">
        <f>IFERROR(_xlfn.MINIFS($M:$M,$E:$E,$E1377,$K:$K,$K1377,$M:$M,"&gt;"&amp;$O1377),"")</f>
        <v/>
      </c>
      <c r="Q1377" s="396">
        <f>IF($P1377="","",$P1377-$O1377)</f>
        <v/>
      </c>
    </row>
    <row r="1378" ht="15" customHeight="1" s="231">
      <c r="A1378" s="397" t="n"/>
      <c r="B1378" s="397" t="n"/>
      <c r="C1378" s="397" t="n"/>
      <c r="D1378" s="397" t="n"/>
      <c r="E1378" s="397" t="n"/>
      <c r="F1378" s="397" t="n"/>
      <c r="G1378" s="397" t="n"/>
      <c r="I1378" s="397" t="n"/>
      <c r="J1378" s="397" t="n"/>
      <c r="K1378" s="395">
        <f>DATE(VALUE(LEFT(A1378,4)),VALUE(MID(A1378,5,2)),VALUE(RIGHT(A1378,2)))</f>
        <v/>
      </c>
      <c r="L1378" s="395">
        <f>DATEVALUE(LEFT(F1378,10))</f>
        <v/>
      </c>
      <c r="M1378" s="396">
        <f>TIMEVALUE(MID(F1378,12,8))</f>
        <v/>
      </c>
      <c r="N1378" s="395">
        <f>DATEVALUE(LEFT(G1378,10))</f>
        <v/>
      </c>
      <c r="O1378" s="396">
        <f>TIMEVALUE(MID(G1378,12,8))</f>
        <v/>
      </c>
      <c r="P1378" s="396">
        <f>IFERROR(_xlfn.MINIFS($M:$M,$E:$E,$E1378,$K:$K,$K1378,$M:$M,"&gt;"&amp;$O1378),"")</f>
        <v/>
      </c>
      <c r="Q1378" s="396">
        <f>IF($P1378="","",$P1378-$O1378)</f>
        <v/>
      </c>
    </row>
    <row r="1379" ht="15" customHeight="1" s="231">
      <c r="A1379" s="397" t="n"/>
      <c r="B1379" s="397" t="n"/>
      <c r="C1379" s="397" t="n"/>
      <c r="D1379" s="397" t="n"/>
      <c r="E1379" s="397" t="n"/>
      <c r="F1379" s="397" t="n"/>
      <c r="G1379" s="397" t="n"/>
      <c r="I1379" s="397" t="n"/>
      <c r="J1379" s="397" t="n"/>
      <c r="K1379" s="395">
        <f>DATE(VALUE(LEFT(A1379,4)),VALUE(MID(A1379,5,2)),VALUE(RIGHT(A1379,2)))</f>
        <v/>
      </c>
      <c r="L1379" s="395">
        <f>DATEVALUE(LEFT(F1379,10))</f>
        <v/>
      </c>
      <c r="M1379" s="396">
        <f>TIMEVALUE(MID(F1379,12,8))</f>
        <v/>
      </c>
      <c r="N1379" s="395">
        <f>DATEVALUE(LEFT(G1379,10))</f>
        <v/>
      </c>
      <c r="O1379" s="396">
        <f>TIMEVALUE(MID(G1379,12,8))</f>
        <v/>
      </c>
      <c r="P1379" s="396">
        <f>IFERROR(_xlfn.MINIFS($M:$M,$E:$E,$E1379,$K:$K,$K1379,$M:$M,"&gt;"&amp;$O1379),"")</f>
        <v/>
      </c>
      <c r="Q1379" s="396">
        <f>IF($P1379="","",$P1379-$O1379)</f>
        <v/>
      </c>
    </row>
    <row r="1380" ht="15" customHeight="1" s="231">
      <c r="A1380" s="397" t="n"/>
      <c r="B1380" s="397" t="n"/>
      <c r="C1380" s="397" t="n"/>
      <c r="D1380" s="397" t="n"/>
      <c r="E1380" s="397" t="n"/>
      <c r="F1380" s="397" t="n"/>
      <c r="G1380" s="397" t="n"/>
      <c r="I1380" s="397" t="n"/>
      <c r="J1380" s="397" t="n"/>
      <c r="K1380" s="395">
        <f>DATE(VALUE(LEFT(A1380,4)),VALUE(MID(A1380,5,2)),VALUE(RIGHT(A1380,2)))</f>
        <v/>
      </c>
      <c r="L1380" s="395">
        <f>DATEVALUE(LEFT(F1380,10))</f>
        <v/>
      </c>
      <c r="M1380" s="396">
        <f>TIMEVALUE(MID(F1380,12,8))</f>
        <v/>
      </c>
      <c r="N1380" s="395">
        <f>DATEVALUE(LEFT(G1380,10))</f>
        <v/>
      </c>
      <c r="O1380" s="396">
        <f>TIMEVALUE(MID(G1380,12,8))</f>
        <v/>
      </c>
      <c r="P1380" s="396">
        <f>IFERROR(_xlfn.MINIFS($M:$M,$E:$E,$E1380,$K:$K,$K1380,$M:$M,"&gt;"&amp;$O1380),"")</f>
        <v/>
      </c>
      <c r="Q1380" s="396">
        <f>IF($P1380="","",$P1380-$O1380)</f>
        <v/>
      </c>
    </row>
    <row r="1381" ht="15" customHeight="1" s="231">
      <c r="A1381" s="397" t="n"/>
      <c r="B1381" s="397" t="n"/>
      <c r="C1381" s="397" t="n"/>
      <c r="D1381" s="397" t="n"/>
      <c r="E1381" s="397" t="n"/>
      <c r="F1381" s="397" t="n"/>
      <c r="G1381" s="397" t="n"/>
      <c r="I1381" s="397" t="n"/>
      <c r="J1381" s="397" t="n"/>
      <c r="K1381" s="395">
        <f>DATE(VALUE(LEFT(A1381,4)),VALUE(MID(A1381,5,2)),VALUE(RIGHT(A1381,2)))</f>
        <v/>
      </c>
      <c r="L1381" s="395">
        <f>DATEVALUE(LEFT(F1381,10))</f>
        <v/>
      </c>
      <c r="M1381" s="396">
        <f>TIMEVALUE(MID(F1381,12,8))</f>
        <v/>
      </c>
      <c r="N1381" s="395">
        <f>DATEVALUE(LEFT(G1381,10))</f>
        <v/>
      </c>
      <c r="O1381" s="396">
        <f>TIMEVALUE(MID(G1381,12,8))</f>
        <v/>
      </c>
      <c r="P1381" s="396">
        <f>IFERROR(_xlfn.MINIFS($M:$M,$E:$E,$E1381,$K:$K,$K1381,$M:$M,"&gt;"&amp;$O1381),"")</f>
        <v/>
      </c>
      <c r="Q1381" s="396">
        <f>IF($P1381="","",$P1381-$O1381)</f>
        <v/>
      </c>
    </row>
    <row r="1382" ht="15" customHeight="1" s="231">
      <c r="A1382" s="397" t="n"/>
      <c r="B1382" s="397" t="n"/>
      <c r="C1382" s="397" t="n"/>
      <c r="D1382" s="397" t="n"/>
      <c r="E1382" s="397" t="n"/>
      <c r="F1382" s="397" t="n"/>
      <c r="G1382" s="397" t="n"/>
      <c r="I1382" s="397" t="n"/>
      <c r="J1382" s="397" t="n"/>
      <c r="K1382" s="395">
        <f>DATE(VALUE(LEFT(A1382,4)),VALUE(MID(A1382,5,2)),VALUE(RIGHT(A1382,2)))</f>
        <v/>
      </c>
      <c r="L1382" s="395">
        <f>DATEVALUE(LEFT(F1382,10))</f>
        <v/>
      </c>
      <c r="M1382" s="396">
        <f>TIMEVALUE(MID(F1382,12,8))</f>
        <v/>
      </c>
      <c r="N1382" s="395">
        <f>DATEVALUE(LEFT(G1382,10))</f>
        <v/>
      </c>
      <c r="O1382" s="396">
        <f>TIMEVALUE(MID(G1382,12,8))</f>
        <v/>
      </c>
      <c r="P1382" s="396">
        <f>IFERROR(_xlfn.MINIFS($M:$M,$E:$E,$E1382,$K:$K,$K1382,$M:$M,"&gt;"&amp;$O1382),"")</f>
        <v/>
      </c>
      <c r="Q1382" s="396">
        <f>IF($P1382="","",$P1382-$O1382)</f>
        <v/>
      </c>
    </row>
    <row r="1383" ht="15" customHeight="1" s="231">
      <c r="A1383" s="397" t="n"/>
      <c r="B1383" s="397" t="n"/>
      <c r="C1383" s="397" t="n"/>
      <c r="D1383" s="397" t="n"/>
      <c r="E1383" s="397" t="n"/>
      <c r="F1383" s="397" t="n"/>
      <c r="G1383" s="397" t="n"/>
      <c r="I1383" s="397" t="n"/>
      <c r="J1383" s="397" t="n"/>
      <c r="K1383" s="395">
        <f>DATE(VALUE(LEFT(A1383,4)),VALUE(MID(A1383,5,2)),VALUE(RIGHT(A1383,2)))</f>
        <v/>
      </c>
      <c r="L1383" s="395">
        <f>DATEVALUE(LEFT(F1383,10))</f>
        <v/>
      </c>
      <c r="M1383" s="396">
        <f>TIMEVALUE(MID(F1383,12,8))</f>
        <v/>
      </c>
      <c r="N1383" s="395">
        <f>DATEVALUE(LEFT(G1383,10))</f>
        <v/>
      </c>
      <c r="O1383" s="396">
        <f>TIMEVALUE(MID(G1383,12,8))</f>
        <v/>
      </c>
      <c r="P1383" s="396">
        <f>IFERROR(_xlfn.MINIFS($M:$M,$E:$E,$E1383,$K:$K,$K1383,$M:$M,"&gt;"&amp;$O1383),"")</f>
        <v/>
      </c>
      <c r="Q1383" s="396">
        <f>IF($P1383="","",$P1383-$O1383)</f>
        <v/>
      </c>
    </row>
    <row r="1384" ht="15" customHeight="1" s="231">
      <c r="A1384" s="397" t="n"/>
      <c r="B1384" s="397" t="n"/>
      <c r="C1384" s="397" t="n"/>
      <c r="D1384" s="397" t="n"/>
      <c r="E1384" s="397" t="n"/>
      <c r="F1384" s="397" t="n"/>
      <c r="G1384" s="397" t="n"/>
      <c r="I1384" s="397" t="n"/>
      <c r="J1384" s="397" t="n"/>
      <c r="K1384" s="395">
        <f>DATE(VALUE(LEFT(A1384,4)),VALUE(MID(A1384,5,2)),VALUE(RIGHT(A1384,2)))</f>
        <v/>
      </c>
      <c r="L1384" s="395">
        <f>DATEVALUE(LEFT(F1384,10))</f>
        <v/>
      </c>
      <c r="M1384" s="396">
        <f>TIMEVALUE(MID(F1384,12,8))</f>
        <v/>
      </c>
      <c r="N1384" s="395">
        <f>DATEVALUE(LEFT(G1384,10))</f>
        <v/>
      </c>
      <c r="O1384" s="396">
        <f>TIMEVALUE(MID(G1384,12,8))</f>
        <v/>
      </c>
      <c r="P1384" s="396">
        <f>IFERROR(_xlfn.MINIFS($M:$M,$E:$E,$E1384,$K:$K,$K1384,$M:$M,"&gt;"&amp;$O1384),"")</f>
        <v/>
      </c>
      <c r="Q1384" s="396">
        <f>IF($P1384="","",$P1384-$O1384)</f>
        <v/>
      </c>
    </row>
    <row r="1385" ht="15" customHeight="1" s="231">
      <c r="A1385" s="397" t="n"/>
      <c r="B1385" s="397" t="n"/>
      <c r="C1385" s="397" t="n"/>
      <c r="D1385" s="397" t="n"/>
      <c r="E1385" s="397" t="n"/>
      <c r="F1385" s="397" t="n"/>
      <c r="G1385" s="397" t="n"/>
      <c r="I1385" s="397" t="n"/>
      <c r="J1385" s="397" t="n"/>
      <c r="K1385" s="395">
        <f>DATE(VALUE(LEFT(A1385,4)),VALUE(MID(A1385,5,2)),VALUE(RIGHT(A1385,2)))</f>
        <v/>
      </c>
      <c r="L1385" s="395">
        <f>DATEVALUE(LEFT(F1385,10))</f>
        <v/>
      </c>
      <c r="M1385" s="396">
        <f>TIMEVALUE(MID(F1385,12,8))</f>
        <v/>
      </c>
      <c r="N1385" s="395">
        <f>DATEVALUE(LEFT(G1385,10))</f>
        <v/>
      </c>
      <c r="O1385" s="396">
        <f>TIMEVALUE(MID(G1385,12,8))</f>
        <v/>
      </c>
      <c r="P1385" s="396">
        <f>IFERROR(_xlfn.MINIFS($M:$M,$E:$E,$E1385,$K:$K,$K1385,$M:$M,"&gt;"&amp;$O1385),"")</f>
        <v/>
      </c>
      <c r="Q1385" s="396">
        <f>IF($P1385="","",$P1385-$O1385)</f>
        <v/>
      </c>
    </row>
    <row r="1386" ht="15" customHeight="1" s="231">
      <c r="A1386" s="397" t="n"/>
      <c r="B1386" s="397" t="n"/>
      <c r="C1386" s="397" t="n"/>
      <c r="D1386" s="397" t="n"/>
      <c r="E1386" s="397" t="n"/>
      <c r="F1386" s="397" t="n"/>
      <c r="G1386" s="397" t="n"/>
      <c r="I1386" s="397" t="n"/>
      <c r="J1386" s="397" t="n"/>
      <c r="K1386" s="395">
        <f>DATE(VALUE(LEFT(A1386,4)),VALUE(MID(A1386,5,2)),VALUE(RIGHT(A1386,2)))</f>
        <v/>
      </c>
      <c r="L1386" s="395">
        <f>DATEVALUE(LEFT(F1386,10))</f>
        <v/>
      </c>
      <c r="M1386" s="396">
        <f>TIMEVALUE(MID(F1386,12,8))</f>
        <v/>
      </c>
      <c r="N1386" s="395">
        <f>DATEVALUE(LEFT(G1386,10))</f>
        <v/>
      </c>
      <c r="O1386" s="396">
        <f>TIMEVALUE(MID(G1386,12,8))</f>
        <v/>
      </c>
      <c r="P1386" s="396">
        <f>IFERROR(_xlfn.MINIFS($M:$M,$E:$E,$E1386,$K:$K,$K1386,$M:$M,"&gt;"&amp;$O1386),"")</f>
        <v/>
      </c>
      <c r="Q1386" s="396">
        <f>IF($P1386="","",$P1386-$O1386)</f>
        <v/>
      </c>
    </row>
    <row r="1387" ht="15" customHeight="1" s="231">
      <c r="A1387" s="397" t="n"/>
      <c r="B1387" s="397" t="n"/>
      <c r="C1387" s="397" t="n"/>
      <c r="D1387" s="397" t="n"/>
      <c r="E1387" s="397" t="n"/>
      <c r="F1387" s="397" t="n"/>
      <c r="G1387" s="397" t="n"/>
      <c r="I1387" s="397" t="n"/>
      <c r="J1387" s="397" t="n"/>
      <c r="K1387" s="395">
        <f>DATE(VALUE(LEFT(A1387,4)),VALUE(MID(A1387,5,2)),VALUE(RIGHT(A1387,2)))</f>
        <v/>
      </c>
      <c r="L1387" s="395">
        <f>DATEVALUE(LEFT(F1387,10))</f>
        <v/>
      </c>
      <c r="M1387" s="396">
        <f>TIMEVALUE(MID(F1387,12,8))</f>
        <v/>
      </c>
      <c r="N1387" s="395">
        <f>DATEVALUE(LEFT(G1387,10))</f>
        <v/>
      </c>
      <c r="O1387" s="396">
        <f>TIMEVALUE(MID(G1387,12,8))</f>
        <v/>
      </c>
      <c r="P1387" s="396">
        <f>IFERROR(_xlfn.MINIFS($M:$M,$E:$E,$E1387,$K:$K,$K1387,$M:$M,"&gt;"&amp;$O1387),"")</f>
        <v/>
      </c>
      <c r="Q1387" s="396">
        <f>IF($P1387="","",$P1387-$O1387)</f>
        <v/>
      </c>
    </row>
    <row r="1388" ht="15" customHeight="1" s="231">
      <c r="A1388" s="397" t="n"/>
      <c r="B1388" s="397" t="n"/>
      <c r="C1388" s="397" t="n"/>
      <c r="D1388" s="397" t="n"/>
      <c r="E1388" s="397" t="n"/>
      <c r="F1388" s="397" t="n"/>
      <c r="G1388" s="397" t="n"/>
      <c r="I1388" s="397" t="n"/>
      <c r="J1388" s="397" t="n"/>
      <c r="K1388" s="395">
        <f>DATE(VALUE(LEFT(A1388,4)),VALUE(MID(A1388,5,2)),VALUE(RIGHT(A1388,2)))</f>
        <v/>
      </c>
      <c r="L1388" s="395">
        <f>DATEVALUE(LEFT(F1388,10))</f>
        <v/>
      </c>
      <c r="M1388" s="396">
        <f>TIMEVALUE(MID(F1388,12,8))</f>
        <v/>
      </c>
      <c r="N1388" s="395">
        <f>DATEVALUE(LEFT(G1388,10))</f>
        <v/>
      </c>
      <c r="O1388" s="396">
        <f>TIMEVALUE(MID(G1388,12,8))</f>
        <v/>
      </c>
      <c r="P1388" s="396">
        <f>IFERROR(_xlfn.MINIFS($M:$M,$E:$E,$E1388,$K:$K,$K1388,$M:$M,"&gt;"&amp;$O1388),"")</f>
        <v/>
      </c>
      <c r="Q1388" s="396">
        <f>IF($P1388="","",$P1388-$O1388)</f>
        <v/>
      </c>
    </row>
    <row r="1389" ht="15" customHeight="1" s="231">
      <c r="A1389" s="397" t="n"/>
      <c r="B1389" s="397" t="n"/>
      <c r="C1389" s="397" t="n"/>
      <c r="D1389" s="397" t="n"/>
      <c r="E1389" s="397" t="n"/>
      <c r="F1389" s="397" t="n"/>
      <c r="G1389" s="397" t="n"/>
      <c r="I1389" s="397" t="n"/>
      <c r="J1389" s="397" t="n"/>
      <c r="K1389" s="395">
        <f>DATE(VALUE(LEFT(A1389,4)),VALUE(MID(A1389,5,2)),VALUE(RIGHT(A1389,2)))</f>
        <v/>
      </c>
      <c r="L1389" s="395">
        <f>DATEVALUE(LEFT(F1389,10))</f>
        <v/>
      </c>
      <c r="M1389" s="396">
        <f>TIMEVALUE(MID(F1389,12,8))</f>
        <v/>
      </c>
      <c r="N1389" s="395">
        <f>DATEVALUE(LEFT(G1389,10))</f>
        <v/>
      </c>
      <c r="O1389" s="396">
        <f>TIMEVALUE(MID(G1389,12,8))</f>
        <v/>
      </c>
      <c r="P1389" s="396">
        <f>IFERROR(_xlfn.MINIFS($M:$M,$E:$E,$E1389,$K:$K,$K1389,$M:$M,"&gt;"&amp;$O1389),"")</f>
        <v/>
      </c>
      <c r="Q1389" s="396">
        <f>IF($P1389="","",$P1389-$O1389)</f>
        <v/>
      </c>
    </row>
    <row r="1390" ht="15" customHeight="1" s="231">
      <c r="A1390" s="397" t="n"/>
      <c r="B1390" s="397" t="n"/>
      <c r="C1390" s="397" t="n"/>
      <c r="D1390" s="397" t="n"/>
      <c r="E1390" s="397" t="n"/>
      <c r="F1390" s="397" t="n"/>
      <c r="G1390" s="397" t="n"/>
      <c r="I1390" s="397" t="n"/>
      <c r="J1390" s="397" t="n"/>
      <c r="K1390" s="395">
        <f>DATE(VALUE(LEFT(A1390,4)),VALUE(MID(A1390,5,2)),VALUE(RIGHT(A1390,2)))</f>
        <v/>
      </c>
      <c r="L1390" s="395">
        <f>DATEVALUE(LEFT(F1390,10))</f>
        <v/>
      </c>
      <c r="M1390" s="396">
        <f>TIMEVALUE(MID(F1390,12,8))</f>
        <v/>
      </c>
      <c r="N1390" s="395">
        <f>DATEVALUE(LEFT(G1390,10))</f>
        <v/>
      </c>
      <c r="O1390" s="396">
        <f>TIMEVALUE(MID(G1390,12,8))</f>
        <v/>
      </c>
      <c r="P1390" s="396">
        <f>IFERROR(_xlfn.MINIFS($M:$M,$E:$E,$E1390,$K:$K,$K1390,$M:$M,"&gt;"&amp;$O1390),"")</f>
        <v/>
      </c>
      <c r="Q1390" s="396">
        <f>IF($P1390="","",$P1390-$O1390)</f>
        <v/>
      </c>
    </row>
    <row r="1391" ht="15" customHeight="1" s="231">
      <c r="A1391" s="397" t="n"/>
      <c r="B1391" s="397" t="n"/>
      <c r="C1391" s="397" t="n"/>
      <c r="D1391" s="397" t="n"/>
      <c r="E1391" s="397" t="n"/>
      <c r="F1391" s="397" t="n"/>
      <c r="G1391" s="397" t="n"/>
      <c r="I1391" s="397" t="n"/>
      <c r="J1391" s="397" t="n"/>
      <c r="K1391" s="395">
        <f>DATE(VALUE(LEFT(A1391,4)),VALUE(MID(A1391,5,2)),VALUE(RIGHT(A1391,2)))</f>
        <v/>
      </c>
      <c r="L1391" s="395">
        <f>DATEVALUE(LEFT(F1391,10))</f>
        <v/>
      </c>
      <c r="M1391" s="396">
        <f>TIMEVALUE(MID(F1391,12,8))</f>
        <v/>
      </c>
      <c r="N1391" s="395">
        <f>DATEVALUE(LEFT(G1391,10))</f>
        <v/>
      </c>
      <c r="O1391" s="396">
        <f>TIMEVALUE(MID(G1391,12,8))</f>
        <v/>
      </c>
      <c r="P1391" s="396">
        <f>IFERROR(_xlfn.MINIFS($M:$M,$E:$E,$E1391,$K:$K,$K1391,$M:$M,"&gt;"&amp;$O1391),"")</f>
        <v/>
      </c>
      <c r="Q1391" s="396">
        <f>IF($P1391="","",$P1391-$O1391)</f>
        <v/>
      </c>
    </row>
    <row r="1392" ht="15" customHeight="1" s="231">
      <c r="A1392" s="397" t="n"/>
      <c r="B1392" s="397" t="n"/>
      <c r="C1392" s="397" t="n"/>
      <c r="D1392" s="397" t="n"/>
      <c r="E1392" s="397" t="n"/>
      <c r="F1392" s="397" t="n"/>
      <c r="G1392" s="397" t="n"/>
      <c r="I1392" s="397" t="n"/>
      <c r="J1392" s="397" t="n"/>
      <c r="K1392" s="395">
        <f>DATE(VALUE(LEFT(A1392,4)),VALUE(MID(A1392,5,2)),VALUE(RIGHT(A1392,2)))</f>
        <v/>
      </c>
      <c r="L1392" s="395">
        <f>DATEVALUE(LEFT(F1392,10))</f>
        <v/>
      </c>
      <c r="M1392" s="396">
        <f>TIMEVALUE(MID(F1392,12,8))</f>
        <v/>
      </c>
      <c r="N1392" s="395">
        <f>DATEVALUE(LEFT(G1392,10))</f>
        <v/>
      </c>
      <c r="O1392" s="396">
        <f>TIMEVALUE(MID(G1392,12,8))</f>
        <v/>
      </c>
      <c r="P1392" s="396">
        <f>IFERROR(_xlfn.MINIFS($M:$M,$E:$E,$E1392,$K:$K,$K1392,$M:$M,"&gt;"&amp;$O1392),"")</f>
        <v/>
      </c>
      <c r="Q1392" s="396">
        <f>IF($P1392="","",$P1392-$O1392)</f>
        <v/>
      </c>
    </row>
    <row r="1393" ht="15" customHeight="1" s="231">
      <c r="A1393" s="397" t="n"/>
      <c r="B1393" s="397" t="n"/>
      <c r="C1393" s="397" t="n"/>
      <c r="D1393" s="397" t="n"/>
      <c r="E1393" s="397" t="n"/>
      <c r="F1393" s="397" t="n"/>
      <c r="G1393" s="397" t="n"/>
      <c r="I1393" s="397" t="n"/>
      <c r="J1393" s="397" t="n"/>
      <c r="K1393" s="395">
        <f>DATE(VALUE(LEFT(A1393,4)),VALUE(MID(A1393,5,2)),VALUE(RIGHT(A1393,2)))</f>
        <v/>
      </c>
      <c r="L1393" s="395">
        <f>DATEVALUE(LEFT(F1393,10))</f>
        <v/>
      </c>
      <c r="M1393" s="396">
        <f>TIMEVALUE(MID(F1393,12,8))</f>
        <v/>
      </c>
      <c r="N1393" s="395">
        <f>DATEVALUE(LEFT(G1393,10))</f>
        <v/>
      </c>
      <c r="O1393" s="396">
        <f>TIMEVALUE(MID(G1393,12,8))</f>
        <v/>
      </c>
      <c r="P1393" s="396">
        <f>IFERROR(_xlfn.MINIFS($M:$M,$E:$E,$E1393,$K:$K,$K1393,$M:$M,"&gt;"&amp;$O1393),"")</f>
        <v/>
      </c>
      <c r="Q1393" s="396">
        <f>IF($P1393="","",$P1393-$O1393)</f>
        <v/>
      </c>
    </row>
    <row r="1394" ht="15" customHeight="1" s="231">
      <c r="A1394" s="397" t="n"/>
      <c r="B1394" s="397" t="n"/>
      <c r="C1394" s="397" t="n"/>
      <c r="D1394" s="397" t="n"/>
      <c r="E1394" s="397" t="n"/>
      <c r="F1394" s="397" t="n"/>
      <c r="G1394" s="397" t="n"/>
      <c r="I1394" s="397" t="n"/>
      <c r="J1394" s="397" t="n"/>
      <c r="K1394" s="395">
        <f>DATE(VALUE(LEFT(A1394,4)),VALUE(MID(A1394,5,2)),VALUE(RIGHT(A1394,2)))</f>
        <v/>
      </c>
      <c r="L1394" s="395">
        <f>DATEVALUE(LEFT(F1394,10))</f>
        <v/>
      </c>
      <c r="M1394" s="396">
        <f>TIMEVALUE(MID(F1394,12,8))</f>
        <v/>
      </c>
      <c r="N1394" s="395">
        <f>DATEVALUE(LEFT(G1394,10))</f>
        <v/>
      </c>
      <c r="O1394" s="396">
        <f>TIMEVALUE(MID(G1394,12,8))</f>
        <v/>
      </c>
      <c r="P1394" s="396">
        <f>IFERROR(_xlfn.MINIFS($M:$M,$E:$E,$E1394,$K:$K,$K1394,$M:$M,"&gt;"&amp;$O1394),"")</f>
        <v/>
      </c>
      <c r="Q1394" s="396">
        <f>IF($P1394="","",$P1394-$O1394)</f>
        <v/>
      </c>
    </row>
    <row r="1395" ht="15" customHeight="1" s="231">
      <c r="A1395" s="397" t="n"/>
      <c r="B1395" s="397" t="n"/>
      <c r="C1395" s="397" t="n"/>
      <c r="D1395" s="397" t="n"/>
      <c r="E1395" s="397" t="n"/>
      <c r="F1395" s="397" t="n"/>
      <c r="G1395" s="397" t="n"/>
      <c r="I1395" s="397" t="n"/>
      <c r="J1395" s="397" t="n"/>
      <c r="K1395" s="395">
        <f>DATE(VALUE(LEFT(A1395,4)),VALUE(MID(A1395,5,2)),VALUE(RIGHT(A1395,2)))</f>
        <v/>
      </c>
      <c r="L1395" s="395">
        <f>DATEVALUE(LEFT(F1395,10))</f>
        <v/>
      </c>
      <c r="M1395" s="396">
        <f>TIMEVALUE(MID(F1395,12,8))</f>
        <v/>
      </c>
      <c r="N1395" s="395">
        <f>DATEVALUE(LEFT(G1395,10))</f>
        <v/>
      </c>
      <c r="O1395" s="396">
        <f>TIMEVALUE(MID(G1395,12,8))</f>
        <v/>
      </c>
      <c r="P1395" s="396">
        <f>IFERROR(_xlfn.MINIFS($M:$M,$E:$E,$E1395,$K:$K,$K1395,$M:$M,"&gt;"&amp;$O1395),"")</f>
        <v/>
      </c>
      <c r="Q1395" s="396">
        <f>IF($P1395="","",$P1395-$O1395)</f>
        <v/>
      </c>
    </row>
    <row r="1396" ht="15" customHeight="1" s="231">
      <c r="A1396" s="397" t="n"/>
      <c r="B1396" s="397" t="n"/>
      <c r="C1396" s="397" t="n"/>
      <c r="D1396" s="397" t="n"/>
      <c r="E1396" s="397" t="n"/>
      <c r="F1396" s="397" t="n"/>
      <c r="G1396" s="397" t="n"/>
      <c r="I1396" s="397" t="n"/>
      <c r="J1396" s="397" t="n"/>
      <c r="K1396" s="395">
        <f>DATE(VALUE(LEFT(A1396,4)),VALUE(MID(A1396,5,2)),VALUE(RIGHT(A1396,2)))</f>
        <v/>
      </c>
      <c r="L1396" s="395">
        <f>DATEVALUE(LEFT(F1396,10))</f>
        <v/>
      </c>
      <c r="M1396" s="396">
        <f>TIMEVALUE(MID(F1396,12,8))</f>
        <v/>
      </c>
      <c r="N1396" s="395">
        <f>DATEVALUE(LEFT(G1396,10))</f>
        <v/>
      </c>
      <c r="O1396" s="396">
        <f>TIMEVALUE(MID(G1396,12,8))</f>
        <v/>
      </c>
      <c r="P1396" s="396">
        <f>IFERROR(_xlfn.MINIFS($M:$M,$E:$E,$E1396,$K:$K,$K1396,$M:$M,"&gt;"&amp;$O1396),"")</f>
        <v/>
      </c>
      <c r="Q1396" s="396">
        <f>IF($P1396="","",$P1396-$O1396)</f>
        <v/>
      </c>
    </row>
    <row r="1397" ht="15" customHeight="1" s="231">
      <c r="A1397" s="397" t="n"/>
      <c r="B1397" s="397" t="n"/>
      <c r="C1397" s="397" t="n"/>
      <c r="D1397" s="397" t="n"/>
      <c r="E1397" s="397" t="n"/>
      <c r="F1397" s="397" t="n"/>
      <c r="G1397" s="397" t="n"/>
      <c r="I1397" s="397" t="n"/>
      <c r="J1397" s="397" t="n"/>
      <c r="K1397" s="395">
        <f>DATE(VALUE(LEFT(A1397,4)),VALUE(MID(A1397,5,2)),VALUE(RIGHT(A1397,2)))</f>
        <v/>
      </c>
      <c r="L1397" s="395">
        <f>DATEVALUE(LEFT(F1397,10))</f>
        <v/>
      </c>
      <c r="M1397" s="396">
        <f>TIMEVALUE(MID(F1397,12,8))</f>
        <v/>
      </c>
      <c r="N1397" s="395">
        <f>DATEVALUE(LEFT(G1397,10))</f>
        <v/>
      </c>
      <c r="O1397" s="396">
        <f>TIMEVALUE(MID(G1397,12,8))</f>
        <v/>
      </c>
      <c r="P1397" s="396">
        <f>IFERROR(_xlfn.MINIFS($M:$M,$E:$E,$E1397,$K:$K,$K1397,$M:$M,"&gt;"&amp;$O1397),"")</f>
        <v/>
      </c>
      <c r="Q1397" s="396">
        <f>IF($P1397="","",$P1397-$O1397)</f>
        <v/>
      </c>
    </row>
    <row r="1398" ht="15" customHeight="1" s="231">
      <c r="A1398" s="397" t="n"/>
      <c r="B1398" s="397" t="n"/>
      <c r="C1398" s="397" t="n"/>
      <c r="D1398" s="397" t="n"/>
      <c r="E1398" s="397" t="n"/>
      <c r="F1398" s="397" t="n"/>
      <c r="G1398" s="397" t="n"/>
      <c r="I1398" s="397" t="n"/>
      <c r="J1398" s="397" t="n"/>
      <c r="K1398" s="395">
        <f>DATE(VALUE(LEFT(A1398,4)),VALUE(MID(A1398,5,2)),VALUE(RIGHT(A1398,2)))</f>
        <v/>
      </c>
      <c r="L1398" s="395">
        <f>DATEVALUE(LEFT(F1398,10))</f>
        <v/>
      </c>
      <c r="M1398" s="396">
        <f>TIMEVALUE(MID(F1398,12,8))</f>
        <v/>
      </c>
      <c r="N1398" s="395">
        <f>DATEVALUE(LEFT(G1398,10))</f>
        <v/>
      </c>
      <c r="O1398" s="396">
        <f>TIMEVALUE(MID(G1398,12,8))</f>
        <v/>
      </c>
      <c r="P1398" s="396">
        <f>IFERROR(_xlfn.MINIFS($M:$M,$E:$E,$E1398,$K:$K,$K1398,$M:$M,"&gt;"&amp;$O1398),"")</f>
        <v/>
      </c>
      <c r="Q1398" s="396">
        <f>IF($P1398="","",$P1398-$O1398)</f>
        <v/>
      </c>
    </row>
    <row r="1399" ht="15" customHeight="1" s="231">
      <c r="A1399" s="397" t="n"/>
      <c r="B1399" s="397" t="n"/>
      <c r="C1399" s="397" t="n"/>
      <c r="D1399" s="397" t="n"/>
      <c r="E1399" s="397" t="n"/>
      <c r="F1399" s="397" t="n"/>
      <c r="G1399" s="397" t="n"/>
      <c r="I1399" s="397" t="n"/>
      <c r="J1399" s="397" t="n"/>
      <c r="K1399" s="395">
        <f>DATE(VALUE(LEFT(A1399,4)),VALUE(MID(A1399,5,2)),VALUE(RIGHT(A1399,2)))</f>
        <v/>
      </c>
      <c r="L1399" s="395">
        <f>DATEVALUE(LEFT(F1399,10))</f>
        <v/>
      </c>
      <c r="M1399" s="396">
        <f>TIMEVALUE(MID(F1399,12,8))</f>
        <v/>
      </c>
      <c r="N1399" s="395">
        <f>DATEVALUE(LEFT(G1399,10))</f>
        <v/>
      </c>
      <c r="O1399" s="396">
        <f>TIMEVALUE(MID(G1399,12,8))</f>
        <v/>
      </c>
      <c r="P1399" s="396">
        <f>IFERROR(_xlfn.MINIFS($M:$M,$E:$E,$E1399,$K:$K,$K1399,$M:$M,"&gt;"&amp;$O1399),"")</f>
        <v/>
      </c>
      <c r="Q1399" s="396">
        <f>IF($P1399="","",$P1399-$O1399)</f>
        <v/>
      </c>
    </row>
    <row r="1400" ht="15" customHeight="1" s="231">
      <c r="A1400" s="397" t="n"/>
      <c r="B1400" s="397" t="n"/>
      <c r="C1400" s="397" t="n"/>
      <c r="D1400" s="397" t="n"/>
      <c r="E1400" s="397" t="n"/>
      <c r="F1400" s="397" t="n"/>
      <c r="G1400" s="397" t="n"/>
      <c r="I1400" s="397" t="n"/>
      <c r="J1400" s="397" t="n"/>
      <c r="K1400" s="395">
        <f>DATE(VALUE(LEFT(A1400,4)),VALUE(MID(A1400,5,2)),VALUE(RIGHT(A1400,2)))</f>
        <v/>
      </c>
      <c r="L1400" s="395">
        <f>DATEVALUE(LEFT(F1400,10))</f>
        <v/>
      </c>
      <c r="M1400" s="396">
        <f>TIMEVALUE(MID(F1400,12,8))</f>
        <v/>
      </c>
      <c r="N1400" s="395">
        <f>DATEVALUE(LEFT(G1400,10))</f>
        <v/>
      </c>
      <c r="O1400" s="396">
        <f>TIMEVALUE(MID(G1400,12,8))</f>
        <v/>
      </c>
      <c r="P1400" s="396">
        <f>IFERROR(_xlfn.MINIFS($M:$M,$E:$E,$E1400,$K:$K,$K1400,$M:$M,"&gt;"&amp;$O1400),"")</f>
        <v/>
      </c>
      <c r="Q1400" s="396">
        <f>IF($P1400="","",$P1400-$O1400)</f>
        <v/>
      </c>
    </row>
    <row r="1401" ht="15" customHeight="1" s="231">
      <c r="A1401" s="397" t="n"/>
      <c r="B1401" s="397" t="n"/>
      <c r="C1401" s="397" t="n"/>
      <c r="D1401" s="397" t="n"/>
      <c r="E1401" s="397" t="n"/>
      <c r="F1401" s="397" t="n"/>
      <c r="G1401" s="397" t="n"/>
      <c r="I1401" s="397" t="n"/>
      <c r="J1401" s="397" t="n"/>
      <c r="K1401" s="395">
        <f>DATE(VALUE(LEFT(A1401,4)),VALUE(MID(A1401,5,2)),VALUE(RIGHT(A1401,2)))</f>
        <v/>
      </c>
      <c r="L1401" s="395">
        <f>DATEVALUE(LEFT(F1401,10))</f>
        <v/>
      </c>
      <c r="M1401" s="396">
        <f>TIMEVALUE(MID(F1401,12,8))</f>
        <v/>
      </c>
      <c r="N1401" s="395">
        <f>DATEVALUE(LEFT(G1401,10))</f>
        <v/>
      </c>
      <c r="O1401" s="396">
        <f>TIMEVALUE(MID(G1401,12,8))</f>
        <v/>
      </c>
      <c r="P1401" s="396">
        <f>IFERROR(_xlfn.MINIFS($M:$M,$E:$E,$E1401,$K:$K,$K1401,$M:$M,"&gt;"&amp;$O1401),"")</f>
        <v/>
      </c>
      <c r="Q1401" s="396">
        <f>IF($P1401="","",$P1401-$O1401)</f>
        <v/>
      </c>
    </row>
    <row r="1402" ht="15" customHeight="1" s="231">
      <c r="A1402" s="397" t="n"/>
      <c r="B1402" s="397" t="n"/>
      <c r="C1402" s="397" t="n"/>
      <c r="D1402" s="397" t="n"/>
      <c r="E1402" s="397" t="n"/>
      <c r="F1402" s="397" t="n"/>
      <c r="G1402" s="397" t="n"/>
      <c r="I1402" s="397" t="n"/>
      <c r="J1402" s="397" t="n"/>
      <c r="K1402" s="395">
        <f>DATE(VALUE(LEFT(A1402,4)),VALUE(MID(A1402,5,2)),VALUE(RIGHT(A1402,2)))</f>
        <v/>
      </c>
      <c r="L1402" s="395">
        <f>DATEVALUE(LEFT(F1402,10))</f>
        <v/>
      </c>
      <c r="M1402" s="396">
        <f>TIMEVALUE(MID(F1402,12,8))</f>
        <v/>
      </c>
      <c r="N1402" s="395">
        <f>DATEVALUE(LEFT(G1402,10))</f>
        <v/>
      </c>
      <c r="O1402" s="396">
        <f>TIMEVALUE(MID(G1402,12,8))</f>
        <v/>
      </c>
      <c r="P1402" s="396">
        <f>IFERROR(_xlfn.MINIFS($M:$M,$E:$E,$E1402,$K:$K,$K1402,$M:$M,"&gt;"&amp;$O1402),"")</f>
        <v/>
      </c>
      <c r="Q1402" s="396">
        <f>IF($P1402="","",$P1402-$O1402)</f>
        <v/>
      </c>
    </row>
    <row r="1403" ht="15" customHeight="1" s="231">
      <c r="A1403" s="397" t="n"/>
      <c r="B1403" s="397" t="n"/>
      <c r="C1403" s="397" t="n"/>
      <c r="D1403" s="397" t="n"/>
      <c r="E1403" s="397" t="n"/>
      <c r="F1403" s="397" t="n"/>
      <c r="G1403" s="397" t="n"/>
      <c r="I1403" s="397" t="n"/>
      <c r="J1403" s="397" t="n"/>
      <c r="K1403" s="395">
        <f>DATE(VALUE(LEFT(A1403,4)),VALUE(MID(A1403,5,2)),VALUE(RIGHT(A1403,2)))</f>
        <v/>
      </c>
      <c r="L1403" s="395">
        <f>DATEVALUE(LEFT(F1403,10))</f>
        <v/>
      </c>
      <c r="M1403" s="396">
        <f>TIMEVALUE(MID(F1403,12,8))</f>
        <v/>
      </c>
      <c r="N1403" s="395">
        <f>DATEVALUE(LEFT(G1403,10))</f>
        <v/>
      </c>
      <c r="O1403" s="396">
        <f>TIMEVALUE(MID(G1403,12,8))</f>
        <v/>
      </c>
      <c r="P1403" s="396">
        <f>IFERROR(_xlfn.MINIFS($M:$M,$E:$E,$E1403,$K:$K,$K1403,$M:$M,"&gt;"&amp;$O1403),"")</f>
        <v/>
      </c>
      <c r="Q1403" s="396">
        <f>IF($P1403="","",$P1403-$O1403)</f>
        <v/>
      </c>
    </row>
    <row r="1404" ht="15" customHeight="1" s="231">
      <c r="A1404" s="397" t="n"/>
      <c r="B1404" s="397" t="n"/>
      <c r="C1404" s="397" t="n"/>
      <c r="D1404" s="397" t="n"/>
      <c r="E1404" s="397" t="n"/>
      <c r="F1404" s="397" t="n"/>
      <c r="G1404" s="397" t="n"/>
      <c r="I1404" s="397" t="n"/>
      <c r="J1404" s="397" t="n"/>
      <c r="K1404" s="395">
        <f>DATE(VALUE(LEFT(A1404,4)),VALUE(MID(A1404,5,2)),VALUE(RIGHT(A1404,2)))</f>
        <v/>
      </c>
      <c r="L1404" s="395">
        <f>DATEVALUE(LEFT(F1404,10))</f>
        <v/>
      </c>
      <c r="M1404" s="396">
        <f>TIMEVALUE(MID(F1404,12,8))</f>
        <v/>
      </c>
      <c r="N1404" s="395">
        <f>DATEVALUE(LEFT(G1404,10))</f>
        <v/>
      </c>
      <c r="O1404" s="396">
        <f>TIMEVALUE(MID(G1404,12,8))</f>
        <v/>
      </c>
      <c r="P1404" s="396">
        <f>IFERROR(_xlfn.MINIFS($M:$M,$E:$E,$E1404,$K:$K,$K1404,$M:$M,"&gt;"&amp;$O1404),"")</f>
        <v/>
      </c>
      <c r="Q1404" s="396">
        <f>IF($P1404="","",$P1404-$O1404)</f>
        <v/>
      </c>
    </row>
    <row r="1405" ht="15" customHeight="1" s="231">
      <c r="A1405" s="397" t="n"/>
      <c r="B1405" s="397" t="n"/>
      <c r="C1405" s="397" t="n"/>
      <c r="D1405" s="397" t="n"/>
      <c r="E1405" s="397" t="n"/>
      <c r="F1405" s="397" t="n"/>
      <c r="G1405" s="397" t="n"/>
      <c r="I1405" s="397" t="n"/>
      <c r="J1405" s="397" t="n"/>
      <c r="K1405" s="395">
        <f>DATE(VALUE(LEFT(A1405,4)),VALUE(MID(A1405,5,2)),VALUE(RIGHT(A1405,2)))</f>
        <v/>
      </c>
      <c r="L1405" s="395">
        <f>DATEVALUE(LEFT(F1405,10))</f>
        <v/>
      </c>
      <c r="M1405" s="396">
        <f>TIMEVALUE(MID(F1405,12,8))</f>
        <v/>
      </c>
      <c r="N1405" s="395">
        <f>DATEVALUE(LEFT(G1405,10))</f>
        <v/>
      </c>
      <c r="O1405" s="396">
        <f>TIMEVALUE(MID(G1405,12,8))</f>
        <v/>
      </c>
      <c r="P1405" s="396">
        <f>IFERROR(_xlfn.MINIFS($M:$M,$E:$E,$E1405,$K:$K,$K1405,$M:$M,"&gt;"&amp;$O1405),"")</f>
        <v/>
      </c>
      <c r="Q1405" s="396">
        <f>IF($P1405="","",$P1405-$O1405)</f>
        <v/>
      </c>
    </row>
    <row r="1406" ht="15" customHeight="1" s="231">
      <c r="A1406" s="397" t="n"/>
      <c r="B1406" s="397" t="n"/>
      <c r="C1406" s="397" t="n"/>
      <c r="D1406" s="397" t="n"/>
      <c r="E1406" s="397" t="n"/>
      <c r="F1406" s="397" t="n"/>
      <c r="G1406" s="397" t="n"/>
      <c r="I1406" s="397" t="n"/>
      <c r="J1406" s="397" t="n"/>
      <c r="K1406" s="395">
        <f>DATE(VALUE(LEFT(A1406,4)),VALUE(MID(A1406,5,2)),VALUE(RIGHT(A1406,2)))</f>
        <v/>
      </c>
      <c r="L1406" s="395">
        <f>DATEVALUE(LEFT(F1406,10))</f>
        <v/>
      </c>
      <c r="M1406" s="396">
        <f>TIMEVALUE(MID(F1406,12,8))</f>
        <v/>
      </c>
      <c r="N1406" s="395">
        <f>DATEVALUE(LEFT(G1406,10))</f>
        <v/>
      </c>
      <c r="O1406" s="396">
        <f>TIMEVALUE(MID(G1406,12,8))</f>
        <v/>
      </c>
      <c r="P1406" s="396">
        <f>IFERROR(_xlfn.MINIFS($M:$M,$E:$E,$E1406,$K:$K,$K1406,$M:$M,"&gt;"&amp;$O1406),"")</f>
        <v/>
      </c>
      <c r="Q1406" s="396">
        <f>IF($P1406="","",$P1406-$O1406)</f>
        <v/>
      </c>
    </row>
    <row r="1407" ht="15" customHeight="1" s="231">
      <c r="A1407" s="397" t="n"/>
      <c r="B1407" s="397" t="n"/>
      <c r="C1407" s="397" t="n"/>
      <c r="D1407" s="397" t="n"/>
      <c r="E1407" s="397" t="n"/>
      <c r="F1407" s="397" t="n"/>
      <c r="G1407" s="397" t="n"/>
      <c r="I1407" s="397" t="n"/>
      <c r="J1407" s="397" t="n"/>
      <c r="K1407" s="395">
        <f>DATE(VALUE(LEFT(A1407,4)),VALUE(MID(A1407,5,2)),VALUE(RIGHT(A1407,2)))</f>
        <v/>
      </c>
      <c r="L1407" s="395">
        <f>DATEVALUE(LEFT(F1407,10))</f>
        <v/>
      </c>
      <c r="M1407" s="396">
        <f>TIMEVALUE(MID(F1407,12,8))</f>
        <v/>
      </c>
      <c r="N1407" s="395">
        <f>DATEVALUE(LEFT(G1407,10))</f>
        <v/>
      </c>
      <c r="O1407" s="396">
        <f>TIMEVALUE(MID(G1407,12,8))</f>
        <v/>
      </c>
      <c r="P1407" s="396">
        <f>IFERROR(_xlfn.MINIFS($M:$M,$E:$E,$E1407,$K:$K,$K1407,$M:$M,"&gt;"&amp;$O1407),"")</f>
        <v/>
      </c>
      <c r="Q1407" s="396">
        <f>IF($P1407="","",$P1407-$O1407)</f>
        <v/>
      </c>
    </row>
    <row r="1408" ht="15" customHeight="1" s="231">
      <c r="A1408" s="397" t="n"/>
      <c r="B1408" s="397" t="n"/>
      <c r="C1408" s="397" t="n"/>
      <c r="D1408" s="397" t="n"/>
      <c r="E1408" s="397" t="n"/>
      <c r="F1408" s="397" t="n"/>
      <c r="G1408" s="397" t="n"/>
      <c r="I1408" s="397" t="n"/>
      <c r="J1408" s="397" t="n"/>
      <c r="K1408" s="395">
        <f>DATE(VALUE(LEFT(A1408,4)),VALUE(MID(A1408,5,2)),VALUE(RIGHT(A1408,2)))</f>
        <v/>
      </c>
      <c r="L1408" s="395">
        <f>DATEVALUE(LEFT(F1408,10))</f>
        <v/>
      </c>
      <c r="M1408" s="396">
        <f>TIMEVALUE(MID(F1408,12,8))</f>
        <v/>
      </c>
      <c r="N1408" s="395">
        <f>DATEVALUE(LEFT(G1408,10))</f>
        <v/>
      </c>
      <c r="O1408" s="396">
        <f>TIMEVALUE(MID(G1408,12,8))</f>
        <v/>
      </c>
      <c r="P1408" s="396">
        <f>IFERROR(_xlfn.MINIFS($M:$M,$E:$E,$E1408,$K:$K,$K1408,$M:$M,"&gt;"&amp;$O1408),"")</f>
        <v/>
      </c>
      <c r="Q1408" s="396">
        <f>IF($P1408="","",$P1408-$O1408)</f>
        <v/>
      </c>
    </row>
    <row r="1409" ht="15" customHeight="1" s="231">
      <c r="A1409" s="397" t="n"/>
      <c r="B1409" s="397" t="n"/>
      <c r="C1409" s="397" t="n"/>
      <c r="D1409" s="397" t="n"/>
      <c r="E1409" s="397" t="n"/>
      <c r="F1409" s="397" t="n"/>
      <c r="G1409" s="397" t="n"/>
      <c r="I1409" s="397" t="n"/>
      <c r="J1409" s="397" t="n"/>
      <c r="K1409" s="395">
        <f>DATE(VALUE(LEFT(A1409,4)),VALUE(MID(A1409,5,2)),VALUE(RIGHT(A1409,2)))</f>
        <v/>
      </c>
      <c r="L1409" s="395">
        <f>DATEVALUE(LEFT(F1409,10))</f>
        <v/>
      </c>
      <c r="M1409" s="396">
        <f>TIMEVALUE(MID(F1409,12,8))</f>
        <v/>
      </c>
      <c r="N1409" s="395">
        <f>DATEVALUE(LEFT(G1409,10))</f>
        <v/>
      </c>
      <c r="O1409" s="396">
        <f>TIMEVALUE(MID(G1409,12,8))</f>
        <v/>
      </c>
      <c r="P1409" s="396">
        <f>IFERROR(_xlfn.MINIFS($M:$M,$E:$E,$E1409,$K:$K,$K1409,$M:$M,"&gt;"&amp;$O1409),"")</f>
        <v/>
      </c>
      <c r="Q1409" s="396">
        <f>IF($P1409="","",$P1409-$O1409)</f>
        <v/>
      </c>
    </row>
    <row r="1410" ht="15" customHeight="1" s="231">
      <c r="A1410" s="397" t="n"/>
      <c r="B1410" s="397" t="n"/>
      <c r="C1410" s="397" t="n"/>
      <c r="D1410" s="397" t="n"/>
      <c r="E1410" s="397" t="n"/>
      <c r="F1410" s="397" t="n"/>
      <c r="G1410" s="397" t="n"/>
      <c r="I1410" s="397" t="n"/>
      <c r="J1410" s="397" t="n"/>
      <c r="K1410" s="395">
        <f>DATE(VALUE(LEFT(A1410,4)),VALUE(MID(A1410,5,2)),VALUE(RIGHT(A1410,2)))</f>
        <v/>
      </c>
      <c r="L1410" s="395">
        <f>DATEVALUE(LEFT(F1410,10))</f>
        <v/>
      </c>
      <c r="M1410" s="396">
        <f>TIMEVALUE(MID(F1410,12,8))</f>
        <v/>
      </c>
      <c r="N1410" s="395">
        <f>DATEVALUE(LEFT(G1410,10))</f>
        <v/>
      </c>
      <c r="O1410" s="396">
        <f>TIMEVALUE(MID(G1410,12,8))</f>
        <v/>
      </c>
      <c r="P1410" s="396">
        <f>IFERROR(_xlfn.MINIFS($M:$M,$E:$E,$E1410,$K:$K,$K1410,$M:$M,"&gt;"&amp;$O1410),"")</f>
        <v/>
      </c>
      <c r="Q1410" s="396">
        <f>IF($P1410="","",$P1410-$O1410)</f>
        <v/>
      </c>
    </row>
    <row r="1411" ht="15" customHeight="1" s="231">
      <c r="A1411" s="397" t="n"/>
      <c r="B1411" s="397" t="n"/>
      <c r="C1411" s="397" t="n"/>
      <c r="D1411" s="397" t="n"/>
      <c r="E1411" s="397" t="n"/>
      <c r="F1411" s="397" t="n"/>
      <c r="G1411" s="397" t="n"/>
      <c r="I1411" s="397" t="n"/>
      <c r="J1411" s="397" t="n"/>
      <c r="K1411" s="395">
        <f>DATE(VALUE(LEFT(A1411,4)),VALUE(MID(A1411,5,2)),VALUE(RIGHT(A1411,2)))</f>
        <v/>
      </c>
      <c r="L1411" s="395">
        <f>DATEVALUE(LEFT(F1411,10))</f>
        <v/>
      </c>
      <c r="M1411" s="396">
        <f>TIMEVALUE(MID(F1411,12,8))</f>
        <v/>
      </c>
      <c r="N1411" s="395">
        <f>DATEVALUE(LEFT(G1411,10))</f>
        <v/>
      </c>
      <c r="O1411" s="396">
        <f>TIMEVALUE(MID(G1411,12,8))</f>
        <v/>
      </c>
      <c r="P1411" s="396">
        <f>IFERROR(_xlfn.MINIFS($M:$M,$E:$E,$E1411,$K:$K,$K1411,$M:$M,"&gt;"&amp;$O1411),"")</f>
        <v/>
      </c>
      <c r="Q1411" s="396">
        <f>IF($P1411="","",$P1411-$O1411)</f>
        <v/>
      </c>
    </row>
    <row r="1412" ht="15" customHeight="1" s="231">
      <c r="A1412" s="397" t="n"/>
      <c r="B1412" s="397" t="n"/>
      <c r="C1412" s="397" t="n"/>
      <c r="D1412" s="397" t="n"/>
      <c r="E1412" s="397" t="n"/>
      <c r="F1412" s="397" t="n"/>
      <c r="G1412" s="397" t="n"/>
      <c r="I1412" s="397" t="n"/>
      <c r="J1412" s="397" t="n"/>
      <c r="K1412" s="395">
        <f>DATE(VALUE(LEFT(A1412,4)),VALUE(MID(A1412,5,2)),VALUE(RIGHT(A1412,2)))</f>
        <v/>
      </c>
      <c r="L1412" s="395">
        <f>DATEVALUE(LEFT(F1412,10))</f>
        <v/>
      </c>
      <c r="M1412" s="396">
        <f>TIMEVALUE(MID(F1412,12,8))</f>
        <v/>
      </c>
      <c r="N1412" s="395">
        <f>DATEVALUE(LEFT(G1412,10))</f>
        <v/>
      </c>
      <c r="O1412" s="396">
        <f>TIMEVALUE(MID(G1412,12,8))</f>
        <v/>
      </c>
      <c r="P1412" s="396">
        <f>IFERROR(_xlfn.MINIFS($M:$M,$E:$E,$E1412,$K:$K,$K1412,$M:$M,"&gt;"&amp;$O1412),"")</f>
        <v/>
      </c>
      <c r="Q1412" s="396">
        <f>IF($P1412="","",$P1412-$O1412)</f>
        <v/>
      </c>
    </row>
    <row r="1413" ht="15" customHeight="1" s="231">
      <c r="A1413" s="397" t="n"/>
      <c r="B1413" s="397" t="n"/>
      <c r="C1413" s="397" t="n"/>
      <c r="D1413" s="397" t="n"/>
      <c r="E1413" s="397" t="n"/>
      <c r="F1413" s="397" t="n"/>
      <c r="G1413" s="397" t="n"/>
      <c r="I1413" s="397" t="n"/>
      <c r="J1413" s="397" t="n"/>
      <c r="K1413" s="395">
        <f>DATE(VALUE(LEFT(A1413,4)),VALUE(MID(A1413,5,2)),VALUE(RIGHT(A1413,2)))</f>
        <v/>
      </c>
      <c r="L1413" s="395">
        <f>DATEVALUE(LEFT(F1413,10))</f>
        <v/>
      </c>
      <c r="M1413" s="396">
        <f>TIMEVALUE(MID(F1413,12,8))</f>
        <v/>
      </c>
      <c r="N1413" s="395">
        <f>DATEVALUE(LEFT(G1413,10))</f>
        <v/>
      </c>
      <c r="O1413" s="396">
        <f>TIMEVALUE(MID(G1413,12,8))</f>
        <v/>
      </c>
      <c r="P1413" s="396">
        <f>IFERROR(_xlfn.MINIFS($M:$M,$E:$E,$E1413,$K:$K,$K1413,$M:$M,"&gt;"&amp;$O1413),"")</f>
        <v/>
      </c>
      <c r="Q1413" s="396">
        <f>IF($P1413="","",$P1413-$O1413)</f>
        <v/>
      </c>
    </row>
    <row r="1414" ht="15" customHeight="1" s="231">
      <c r="A1414" s="397" t="n"/>
      <c r="B1414" s="397" t="n"/>
      <c r="C1414" s="397" t="n"/>
      <c r="D1414" s="397" t="n"/>
      <c r="E1414" s="397" t="n"/>
      <c r="F1414" s="397" t="n"/>
      <c r="G1414" s="397" t="n"/>
      <c r="I1414" s="397" t="n"/>
      <c r="J1414" s="397" t="n"/>
      <c r="K1414" s="395">
        <f>DATE(VALUE(LEFT(A1414,4)),VALUE(MID(A1414,5,2)),VALUE(RIGHT(A1414,2)))</f>
        <v/>
      </c>
      <c r="L1414" s="395">
        <f>DATEVALUE(LEFT(F1414,10))</f>
        <v/>
      </c>
      <c r="M1414" s="396">
        <f>TIMEVALUE(MID(F1414,12,8))</f>
        <v/>
      </c>
      <c r="N1414" s="395">
        <f>DATEVALUE(LEFT(G1414,10))</f>
        <v/>
      </c>
      <c r="O1414" s="396">
        <f>TIMEVALUE(MID(G1414,12,8))</f>
        <v/>
      </c>
      <c r="P1414" s="396">
        <f>IFERROR(_xlfn.MINIFS($M:$M,$E:$E,$E1414,$K:$K,$K1414,$M:$M,"&gt;"&amp;$O1414),"")</f>
        <v/>
      </c>
      <c r="Q1414" s="396">
        <f>IF($P1414="","",$P1414-$O1414)</f>
        <v/>
      </c>
    </row>
    <row r="1415" ht="15" customHeight="1" s="231">
      <c r="A1415" s="397" t="n"/>
      <c r="B1415" s="397" t="n"/>
      <c r="C1415" s="397" t="n"/>
      <c r="D1415" s="397" t="n"/>
      <c r="E1415" s="397" t="n"/>
      <c r="F1415" s="397" t="n"/>
      <c r="G1415" s="397" t="n"/>
      <c r="I1415" s="397" t="n"/>
      <c r="J1415" s="397" t="n"/>
      <c r="K1415" s="395">
        <f>DATE(VALUE(LEFT(A1415,4)),VALUE(MID(A1415,5,2)),VALUE(RIGHT(A1415,2)))</f>
        <v/>
      </c>
      <c r="L1415" s="395">
        <f>DATEVALUE(LEFT(F1415,10))</f>
        <v/>
      </c>
      <c r="M1415" s="396">
        <f>TIMEVALUE(MID(F1415,12,8))</f>
        <v/>
      </c>
      <c r="N1415" s="395">
        <f>DATEVALUE(LEFT(G1415,10))</f>
        <v/>
      </c>
      <c r="O1415" s="396">
        <f>TIMEVALUE(MID(G1415,12,8))</f>
        <v/>
      </c>
      <c r="P1415" s="396">
        <f>IFERROR(_xlfn.MINIFS($M:$M,$E:$E,$E1415,$K:$K,$K1415,$M:$M,"&gt;"&amp;$O1415),"")</f>
        <v/>
      </c>
      <c r="Q1415" s="396">
        <f>IF($P1415="","",$P1415-$O1415)</f>
        <v/>
      </c>
    </row>
    <row r="1416" ht="15" customHeight="1" s="231">
      <c r="A1416" s="397" t="n"/>
      <c r="B1416" s="397" t="n"/>
      <c r="C1416" s="397" t="n"/>
      <c r="D1416" s="397" t="n"/>
      <c r="E1416" s="397" t="n"/>
      <c r="F1416" s="397" t="n"/>
      <c r="G1416" s="397" t="n"/>
      <c r="I1416" s="397" t="n"/>
      <c r="J1416" s="397" t="n"/>
      <c r="K1416" s="395">
        <f>DATE(VALUE(LEFT(A1416,4)),VALUE(MID(A1416,5,2)),VALUE(RIGHT(A1416,2)))</f>
        <v/>
      </c>
      <c r="L1416" s="395">
        <f>DATEVALUE(LEFT(F1416,10))</f>
        <v/>
      </c>
      <c r="M1416" s="396">
        <f>TIMEVALUE(MID(F1416,12,8))</f>
        <v/>
      </c>
      <c r="N1416" s="395">
        <f>DATEVALUE(LEFT(G1416,10))</f>
        <v/>
      </c>
      <c r="O1416" s="396">
        <f>TIMEVALUE(MID(G1416,12,8))</f>
        <v/>
      </c>
      <c r="P1416" s="396">
        <f>IFERROR(_xlfn.MINIFS($M:$M,$E:$E,$E1416,$K:$K,$K1416,$M:$M,"&gt;"&amp;$O1416),"")</f>
        <v/>
      </c>
      <c r="Q1416" s="396">
        <f>IF($P1416="","",$P1416-$O1416)</f>
        <v/>
      </c>
    </row>
    <row r="1417" ht="15" customHeight="1" s="231">
      <c r="A1417" s="397" t="n"/>
      <c r="B1417" s="397" t="n"/>
      <c r="C1417" s="397" t="n"/>
      <c r="D1417" s="397" t="n"/>
      <c r="E1417" s="397" t="n"/>
      <c r="F1417" s="397" t="n"/>
      <c r="G1417" s="397" t="n"/>
      <c r="I1417" s="397" t="n"/>
      <c r="J1417" s="397" t="n"/>
      <c r="K1417" s="395">
        <f>DATE(VALUE(LEFT(A1417,4)),VALUE(MID(A1417,5,2)),VALUE(RIGHT(A1417,2)))</f>
        <v/>
      </c>
      <c r="L1417" s="395">
        <f>DATEVALUE(LEFT(F1417,10))</f>
        <v/>
      </c>
      <c r="M1417" s="396">
        <f>TIMEVALUE(MID(F1417,12,8))</f>
        <v/>
      </c>
      <c r="N1417" s="395">
        <f>DATEVALUE(LEFT(G1417,10))</f>
        <v/>
      </c>
      <c r="O1417" s="396">
        <f>TIMEVALUE(MID(G1417,12,8))</f>
        <v/>
      </c>
      <c r="P1417" s="396">
        <f>IFERROR(_xlfn.MINIFS($M:$M,$E:$E,$E1417,$K:$K,$K1417,$M:$M,"&gt;"&amp;$O1417),"")</f>
        <v/>
      </c>
      <c r="Q1417" s="396">
        <f>IF($P1417="","",$P1417-$O1417)</f>
        <v/>
      </c>
    </row>
    <row r="1418" ht="15" customHeight="1" s="231">
      <c r="A1418" s="397" t="n"/>
      <c r="B1418" s="397" t="n"/>
      <c r="C1418" s="397" t="n"/>
      <c r="D1418" s="397" t="n"/>
      <c r="E1418" s="397" t="n"/>
      <c r="F1418" s="397" t="n"/>
      <c r="G1418" s="397" t="n"/>
      <c r="I1418" s="397" t="n"/>
      <c r="J1418" s="397" t="n"/>
      <c r="K1418" s="395">
        <f>DATE(VALUE(LEFT(A1418,4)),VALUE(MID(A1418,5,2)),VALUE(RIGHT(A1418,2)))</f>
        <v/>
      </c>
      <c r="L1418" s="395">
        <f>DATEVALUE(LEFT(F1418,10))</f>
        <v/>
      </c>
      <c r="M1418" s="396">
        <f>TIMEVALUE(MID(F1418,12,8))</f>
        <v/>
      </c>
      <c r="N1418" s="395">
        <f>DATEVALUE(LEFT(G1418,10))</f>
        <v/>
      </c>
      <c r="O1418" s="396">
        <f>TIMEVALUE(MID(G1418,12,8))</f>
        <v/>
      </c>
      <c r="P1418" s="396">
        <f>IFERROR(_xlfn.MINIFS($M:$M,$E:$E,$E1418,$K:$K,$K1418,$M:$M,"&gt;"&amp;$O1418),"")</f>
        <v/>
      </c>
      <c r="Q1418" s="396">
        <f>IF($P1418="","",$P1418-$O1418)</f>
        <v/>
      </c>
    </row>
    <row r="1419" ht="15" customHeight="1" s="231">
      <c r="A1419" s="397" t="n"/>
      <c r="B1419" s="397" t="n"/>
      <c r="C1419" s="397" t="n"/>
      <c r="D1419" s="397" t="n"/>
      <c r="E1419" s="397" t="n"/>
      <c r="F1419" s="397" t="n"/>
      <c r="G1419" s="397" t="n"/>
      <c r="I1419" s="397" t="n"/>
      <c r="J1419" s="397" t="n"/>
      <c r="K1419" s="395">
        <f>DATE(VALUE(LEFT(A1419,4)),VALUE(MID(A1419,5,2)),VALUE(RIGHT(A1419,2)))</f>
        <v/>
      </c>
      <c r="L1419" s="395">
        <f>DATEVALUE(LEFT(F1419,10))</f>
        <v/>
      </c>
      <c r="M1419" s="396">
        <f>TIMEVALUE(MID(F1419,12,8))</f>
        <v/>
      </c>
      <c r="N1419" s="395">
        <f>DATEVALUE(LEFT(G1419,10))</f>
        <v/>
      </c>
      <c r="O1419" s="396">
        <f>TIMEVALUE(MID(G1419,12,8))</f>
        <v/>
      </c>
      <c r="P1419" s="396">
        <f>IFERROR(_xlfn.MINIFS($M:$M,$E:$E,$E1419,$K:$K,$K1419,$M:$M,"&gt;"&amp;$O1419),"")</f>
        <v/>
      </c>
      <c r="Q1419" s="396">
        <f>IF($P1419="","",$P1419-$O1419)</f>
        <v/>
      </c>
    </row>
    <row r="1420" ht="15" customHeight="1" s="231">
      <c r="A1420" s="397" t="n"/>
      <c r="B1420" s="397" t="n"/>
      <c r="C1420" s="397" t="n"/>
      <c r="D1420" s="397" t="n"/>
      <c r="E1420" s="397" t="n"/>
      <c r="F1420" s="397" t="n"/>
      <c r="G1420" s="397" t="n"/>
      <c r="I1420" s="397" t="n"/>
      <c r="J1420" s="397" t="n"/>
      <c r="K1420" s="395">
        <f>DATE(VALUE(LEFT(A1420,4)),VALUE(MID(A1420,5,2)),VALUE(RIGHT(A1420,2)))</f>
        <v/>
      </c>
      <c r="L1420" s="395">
        <f>DATEVALUE(LEFT(F1420,10))</f>
        <v/>
      </c>
      <c r="M1420" s="396">
        <f>TIMEVALUE(MID(F1420,12,8))</f>
        <v/>
      </c>
      <c r="N1420" s="395">
        <f>DATEVALUE(LEFT(G1420,10))</f>
        <v/>
      </c>
      <c r="O1420" s="396">
        <f>TIMEVALUE(MID(G1420,12,8))</f>
        <v/>
      </c>
      <c r="P1420" s="396">
        <f>IFERROR(_xlfn.MINIFS($M:$M,$E:$E,$E1420,$K:$K,$K1420,$M:$M,"&gt;"&amp;$O1420),"")</f>
        <v/>
      </c>
      <c r="Q1420" s="396">
        <f>IF($P1420="","",$P1420-$O1420)</f>
        <v/>
      </c>
    </row>
    <row r="1421" ht="15" customHeight="1" s="231">
      <c r="A1421" s="397" t="n"/>
      <c r="B1421" s="397" t="n"/>
      <c r="C1421" s="397" t="n"/>
      <c r="D1421" s="397" t="n"/>
      <c r="E1421" s="397" t="n"/>
      <c r="F1421" s="397" t="n"/>
      <c r="G1421" s="397" t="n"/>
      <c r="I1421" s="397" t="n"/>
      <c r="J1421" s="397" t="n"/>
      <c r="K1421" s="395">
        <f>DATE(VALUE(LEFT(A1421,4)),VALUE(MID(A1421,5,2)),VALUE(RIGHT(A1421,2)))</f>
        <v/>
      </c>
      <c r="L1421" s="395">
        <f>DATEVALUE(LEFT(F1421,10))</f>
        <v/>
      </c>
      <c r="M1421" s="396">
        <f>TIMEVALUE(MID(F1421,12,8))</f>
        <v/>
      </c>
      <c r="N1421" s="395">
        <f>DATEVALUE(LEFT(G1421,10))</f>
        <v/>
      </c>
      <c r="O1421" s="396">
        <f>TIMEVALUE(MID(G1421,12,8))</f>
        <v/>
      </c>
      <c r="P1421" s="396">
        <f>IFERROR(_xlfn.MINIFS($M:$M,$E:$E,$E1421,$K:$K,$K1421,$M:$M,"&gt;"&amp;$O1421),"")</f>
        <v/>
      </c>
      <c r="Q1421" s="396">
        <f>IF($P1421="","",$P1421-$O1421)</f>
        <v/>
      </c>
    </row>
    <row r="1422" ht="15" customHeight="1" s="231">
      <c r="A1422" s="397" t="n"/>
      <c r="B1422" s="397" t="n"/>
      <c r="C1422" s="397" t="n"/>
      <c r="D1422" s="397" t="n"/>
      <c r="E1422" s="397" t="n"/>
      <c r="F1422" s="397" t="n"/>
      <c r="G1422" s="397" t="n"/>
      <c r="I1422" s="397" t="n"/>
      <c r="J1422" s="397" t="n"/>
      <c r="K1422" s="395">
        <f>DATE(VALUE(LEFT(A1422,4)),VALUE(MID(A1422,5,2)),VALUE(RIGHT(A1422,2)))</f>
        <v/>
      </c>
      <c r="L1422" s="395">
        <f>DATEVALUE(LEFT(F1422,10))</f>
        <v/>
      </c>
      <c r="M1422" s="396">
        <f>TIMEVALUE(MID(F1422,12,8))</f>
        <v/>
      </c>
      <c r="N1422" s="395">
        <f>DATEVALUE(LEFT(G1422,10))</f>
        <v/>
      </c>
      <c r="O1422" s="396">
        <f>TIMEVALUE(MID(G1422,12,8))</f>
        <v/>
      </c>
      <c r="P1422" s="396">
        <f>IFERROR(_xlfn.MINIFS($M:$M,$E:$E,$E1422,$K:$K,$K1422,$M:$M,"&gt;"&amp;$O1422),"")</f>
        <v/>
      </c>
      <c r="Q1422" s="396">
        <f>IF($P1422="","",$P1422-$O1422)</f>
        <v/>
      </c>
    </row>
    <row r="1423" ht="15" customHeight="1" s="231">
      <c r="A1423" s="397" t="n"/>
      <c r="B1423" s="397" t="n"/>
      <c r="C1423" s="397" t="n"/>
      <c r="D1423" s="397" t="n"/>
      <c r="E1423" s="397" t="n"/>
      <c r="F1423" s="397" t="n"/>
      <c r="G1423" s="397" t="n"/>
      <c r="I1423" s="397" t="n"/>
      <c r="J1423" s="397" t="n"/>
      <c r="K1423" s="395">
        <f>DATE(VALUE(LEFT(A1423,4)),VALUE(MID(A1423,5,2)),VALUE(RIGHT(A1423,2)))</f>
        <v/>
      </c>
      <c r="L1423" s="395">
        <f>DATEVALUE(LEFT(F1423,10))</f>
        <v/>
      </c>
      <c r="M1423" s="396">
        <f>TIMEVALUE(MID(F1423,12,8))</f>
        <v/>
      </c>
      <c r="N1423" s="395">
        <f>DATEVALUE(LEFT(G1423,10))</f>
        <v/>
      </c>
      <c r="O1423" s="396">
        <f>TIMEVALUE(MID(G1423,12,8))</f>
        <v/>
      </c>
      <c r="P1423" s="396">
        <f>IFERROR(_xlfn.MINIFS($M:$M,$E:$E,$E1423,$K:$K,$K1423,$M:$M,"&gt;"&amp;$O1423),"")</f>
        <v/>
      </c>
      <c r="Q1423" s="396">
        <f>IF($P1423="","",$P1423-$O1423)</f>
        <v/>
      </c>
    </row>
    <row r="1424" ht="15" customHeight="1" s="231">
      <c r="A1424" s="397" t="n"/>
      <c r="B1424" s="397" t="n"/>
      <c r="C1424" s="397" t="n"/>
      <c r="D1424" s="397" t="n"/>
      <c r="E1424" s="397" t="n"/>
      <c r="F1424" s="397" t="n"/>
      <c r="G1424" s="397" t="n"/>
      <c r="I1424" s="397" t="n"/>
      <c r="J1424" s="397" t="n"/>
      <c r="K1424" s="395">
        <f>DATE(VALUE(LEFT(A1424,4)),VALUE(MID(A1424,5,2)),VALUE(RIGHT(A1424,2)))</f>
        <v/>
      </c>
      <c r="L1424" s="395">
        <f>DATEVALUE(LEFT(F1424,10))</f>
        <v/>
      </c>
      <c r="M1424" s="396">
        <f>TIMEVALUE(MID(F1424,12,8))</f>
        <v/>
      </c>
      <c r="N1424" s="395">
        <f>DATEVALUE(LEFT(G1424,10))</f>
        <v/>
      </c>
      <c r="O1424" s="396">
        <f>TIMEVALUE(MID(G1424,12,8))</f>
        <v/>
      </c>
      <c r="P1424" s="396">
        <f>IFERROR(_xlfn.MINIFS($M:$M,$E:$E,$E1424,$K:$K,$K1424,$M:$M,"&gt;"&amp;$O1424),"")</f>
        <v/>
      </c>
      <c r="Q1424" s="396">
        <f>IF($P1424="","",$P1424-$O1424)</f>
        <v/>
      </c>
    </row>
    <row r="1425" ht="15" customHeight="1" s="231">
      <c r="A1425" s="397" t="n"/>
      <c r="B1425" s="397" t="n"/>
      <c r="C1425" s="397" t="n"/>
      <c r="D1425" s="397" t="n"/>
      <c r="E1425" s="397" t="n"/>
      <c r="F1425" s="397" t="n"/>
      <c r="G1425" s="397" t="n"/>
      <c r="I1425" s="397" t="n"/>
      <c r="J1425" s="397" t="n"/>
      <c r="K1425" s="395">
        <f>DATE(VALUE(LEFT(A1425,4)),VALUE(MID(A1425,5,2)),VALUE(RIGHT(A1425,2)))</f>
        <v/>
      </c>
      <c r="L1425" s="395">
        <f>DATEVALUE(LEFT(F1425,10))</f>
        <v/>
      </c>
      <c r="M1425" s="396">
        <f>TIMEVALUE(MID(F1425,12,8))</f>
        <v/>
      </c>
      <c r="N1425" s="395">
        <f>DATEVALUE(LEFT(G1425,10))</f>
        <v/>
      </c>
      <c r="O1425" s="396">
        <f>TIMEVALUE(MID(G1425,12,8))</f>
        <v/>
      </c>
      <c r="P1425" s="396">
        <f>IFERROR(_xlfn.MINIFS($M:$M,$E:$E,$E1425,$K:$K,$K1425,$M:$M,"&gt;"&amp;$O1425),"")</f>
        <v/>
      </c>
      <c r="Q1425" s="396">
        <f>IF($P1425="","",$P1425-$O1425)</f>
        <v/>
      </c>
    </row>
    <row r="1426" ht="15" customHeight="1" s="231">
      <c r="A1426" s="397" t="n"/>
      <c r="B1426" s="397" t="n"/>
      <c r="C1426" s="397" t="n"/>
      <c r="D1426" s="397" t="n"/>
      <c r="E1426" s="397" t="n"/>
      <c r="F1426" s="397" t="n"/>
      <c r="G1426" s="397" t="n"/>
      <c r="I1426" s="397" t="n"/>
      <c r="J1426" s="397" t="n"/>
      <c r="K1426" s="395">
        <f>DATE(VALUE(LEFT(A1426,4)),VALUE(MID(A1426,5,2)),VALUE(RIGHT(A1426,2)))</f>
        <v/>
      </c>
      <c r="L1426" s="395">
        <f>DATEVALUE(LEFT(F1426,10))</f>
        <v/>
      </c>
      <c r="M1426" s="396">
        <f>TIMEVALUE(MID(F1426,12,8))</f>
        <v/>
      </c>
      <c r="N1426" s="395">
        <f>DATEVALUE(LEFT(G1426,10))</f>
        <v/>
      </c>
      <c r="O1426" s="396">
        <f>TIMEVALUE(MID(G1426,12,8))</f>
        <v/>
      </c>
      <c r="P1426" s="396">
        <f>IFERROR(_xlfn.MINIFS($M:$M,$E:$E,$E1426,$K:$K,$K1426,$M:$M,"&gt;"&amp;$O1426),"")</f>
        <v/>
      </c>
      <c r="Q1426" s="396">
        <f>IF($P1426="","",$P1426-$O1426)</f>
        <v/>
      </c>
    </row>
    <row r="1427" ht="15" customHeight="1" s="231">
      <c r="A1427" s="397" t="n"/>
      <c r="B1427" s="397" t="n"/>
      <c r="C1427" s="397" t="n"/>
      <c r="D1427" s="397" t="n"/>
      <c r="E1427" s="397" t="n"/>
      <c r="F1427" s="397" t="n"/>
      <c r="G1427" s="397" t="n"/>
      <c r="I1427" s="397" t="n"/>
      <c r="J1427" s="397" t="n"/>
      <c r="K1427" s="395">
        <f>DATE(VALUE(LEFT(A1427,4)),VALUE(MID(A1427,5,2)),VALUE(RIGHT(A1427,2)))</f>
        <v/>
      </c>
      <c r="L1427" s="395">
        <f>DATEVALUE(LEFT(F1427,10))</f>
        <v/>
      </c>
      <c r="M1427" s="396">
        <f>TIMEVALUE(MID(F1427,12,8))</f>
        <v/>
      </c>
      <c r="N1427" s="395">
        <f>DATEVALUE(LEFT(G1427,10))</f>
        <v/>
      </c>
      <c r="O1427" s="396">
        <f>TIMEVALUE(MID(G1427,12,8))</f>
        <v/>
      </c>
      <c r="P1427" s="396">
        <f>IFERROR(_xlfn.MINIFS($M:$M,$E:$E,$E1427,$K:$K,$K1427,$M:$M,"&gt;"&amp;$O1427),"")</f>
        <v/>
      </c>
      <c r="Q1427" s="396">
        <f>IF($P1427="","",$P1427-$O1427)</f>
        <v/>
      </c>
    </row>
    <row r="1428" ht="15" customHeight="1" s="231">
      <c r="A1428" s="397" t="n"/>
      <c r="B1428" s="397" t="n"/>
      <c r="C1428" s="397" t="n"/>
      <c r="D1428" s="397" t="n"/>
      <c r="E1428" s="397" t="n"/>
      <c r="F1428" s="397" t="n"/>
      <c r="G1428" s="397" t="n"/>
      <c r="I1428" s="397" t="n"/>
      <c r="J1428" s="397" t="n"/>
      <c r="K1428" s="395">
        <f>DATE(VALUE(LEFT(A1428,4)),VALUE(MID(A1428,5,2)),VALUE(RIGHT(A1428,2)))</f>
        <v/>
      </c>
      <c r="L1428" s="395">
        <f>DATEVALUE(LEFT(F1428,10))</f>
        <v/>
      </c>
      <c r="M1428" s="396">
        <f>TIMEVALUE(MID(F1428,12,8))</f>
        <v/>
      </c>
      <c r="N1428" s="395">
        <f>DATEVALUE(LEFT(G1428,10))</f>
        <v/>
      </c>
      <c r="O1428" s="396">
        <f>TIMEVALUE(MID(G1428,12,8))</f>
        <v/>
      </c>
      <c r="P1428" s="396">
        <f>IFERROR(_xlfn.MINIFS($M:$M,$E:$E,$E1428,$K:$K,$K1428,$M:$M,"&gt;"&amp;$O1428),"")</f>
        <v/>
      </c>
      <c r="Q1428" s="396">
        <f>IF($P1428="","",$P1428-$O1428)</f>
        <v/>
      </c>
    </row>
    <row r="1429" ht="15" customHeight="1" s="231">
      <c r="A1429" s="397" t="n"/>
      <c r="B1429" s="397" t="n"/>
      <c r="C1429" s="397" t="n"/>
      <c r="D1429" s="397" t="n"/>
      <c r="E1429" s="397" t="n"/>
      <c r="F1429" s="397" t="n"/>
      <c r="G1429" s="397" t="n"/>
      <c r="I1429" s="397" t="n"/>
      <c r="J1429" s="397" t="n"/>
      <c r="K1429" s="395">
        <f>DATE(VALUE(LEFT(A1429,4)),VALUE(MID(A1429,5,2)),VALUE(RIGHT(A1429,2)))</f>
        <v/>
      </c>
      <c r="L1429" s="395">
        <f>DATEVALUE(LEFT(F1429,10))</f>
        <v/>
      </c>
      <c r="M1429" s="396">
        <f>TIMEVALUE(MID(F1429,12,8))</f>
        <v/>
      </c>
      <c r="N1429" s="395">
        <f>DATEVALUE(LEFT(G1429,10))</f>
        <v/>
      </c>
      <c r="O1429" s="396">
        <f>TIMEVALUE(MID(G1429,12,8))</f>
        <v/>
      </c>
      <c r="P1429" s="396">
        <f>IFERROR(_xlfn.MINIFS($M:$M,$E:$E,$E1429,$K:$K,$K1429,$M:$M,"&gt;"&amp;$O1429),"")</f>
        <v/>
      </c>
      <c r="Q1429" s="396">
        <f>IF($P1429="","",$P1429-$O1429)</f>
        <v/>
      </c>
    </row>
    <row r="1430" ht="15" customHeight="1" s="231">
      <c r="A1430" s="397" t="n"/>
      <c r="B1430" s="397" t="n"/>
      <c r="C1430" s="397" t="n"/>
      <c r="D1430" s="397" t="n"/>
      <c r="E1430" s="397" t="n"/>
      <c r="F1430" s="397" t="n"/>
      <c r="G1430" s="397" t="n"/>
      <c r="I1430" s="397" t="n"/>
      <c r="J1430" s="397" t="n"/>
      <c r="K1430" s="395">
        <f>DATE(VALUE(LEFT(A1430,4)),VALUE(MID(A1430,5,2)),VALUE(RIGHT(A1430,2)))</f>
        <v/>
      </c>
      <c r="L1430" s="395">
        <f>DATEVALUE(LEFT(F1430,10))</f>
        <v/>
      </c>
      <c r="M1430" s="396">
        <f>TIMEVALUE(MID(F1430,12,8))</f>
        <v/>
      </c>
      <c r="N1430" s="395">
        <f>DATEVALUE(LEFT(G1430,10))</f>
        <v/>
      </c>
      <c r="O1430" s="396">
        <f>TIMEVALUE(MID(G1430,12,8))</f>
        <v/>
      </c>
      <c r="P1430" s="396">
        <f>IFERROR(_xlfn.MINIFS($M:$M,$E:$E,$E1430,$K:$K,$K1430,$M:$M,"&gt;"&amp;$O1430),"")</f>
        <v/>
      </c>
      <c r="Q1430" s="396">
        <f>IF($P1430="","",$P1430-$O1430)</f>
        <v/>
      </c>
    </row>
    <row r="1431" ht="15" customHeight="1" s="231">
      <c r="A1431" s="397" t="n"/>
      <c r="B1431" s="397" t="n"/>
      <c r="C1431" s="397" t="n"/>
      <c r="D1431" s="397" t="n"/>
      <c r="E1431" s="397" t="n"/>
      <c r="F1431" s="397" t="n"/>
      <c r="G1431" s="397" t="n"/>
      <c r="I1431" s="397" t="n"/>
      <c r="J1431" s="397" t="n"/>
      <c r="K1431" s="395">
        <f>DATE(VALUE(LEFT(A1431,4)),VALUE(MID(A1431,5,2)),VALUE(RIGHT(A1431,2)))</f>
        <v/>
      </c>
      <c r="L1431" s="395">
        <f>DATEVALUE(LEFT(F1431,10))</f>
        <v/>
      </c>
      <c r="M1431" s="396">
        <f>TIMEVALUE(MID(F1431,12,8))</f>
        <v/>
      </c>
      <c r="N1431" s="395">
        <f>DATEVALUE(LEFT(G1431,10))</f>
        <v/>
      </c>
      <c r="O1431" s="396">
        <f>TIMEVALUE(MID(G1431,12,8))</f>
        <v/>
      </c>
      <c r="P1431" s="396">
        <f>IFERROR(_xlfn.MINIFS($M:$M,$E:$E,$E1431,$K:$K,$K1431,$M:$M,"&gt;"&amp;$O1431),"")</f>
        <v/>
      </c>
      <c r="Q1431" s="396">
        <f>IF($P1431="","",$P1431-$O1431)</f>
        <v/>
      </c>
    </row>
    <row r="1432" ht="15" customHeight="1" s="231">
      <c r="A1432" s="397" t="n"/>
      <c r="B1432" s="397" t="n"/>
      <c r="C1432" s="397" t="n"/>
      <c r="D1432" s="397" t="n"/>
      <c r="E1432" s="397" t="n"/>
      <c r="F1432" s="397" t="n"/>
      <c r="G1432" s="397" t="n"/>
      <c r="I1432" s="397" t="n"/>
      <c r="J1432" s="397" t="n"/>
      <c r="K1432" s="395">
        <f>DATE(VALUE(LEFT(A1432,4)),VALUE(MID(A1432,5,2)),VALUE(RIGHT(A1432,2)))</f>
        <v/>
      </c>
      <c r="L1432" s="395">
        <f>DATEVALUE(LEFT(F1432,10))</f>
        <v/>
      </c>
      <c r="M1432" s="396">
        <f>TIMEVALUE(MID(F1432,12,8))</f>
        <v/>
      </c>
      <c r="N1432" s="395">
        <f>DATEVALUE(LEFT(G1432,10))</f>
        <v/>
      </c>
      <c r="O1432" s="396">
        <f>TIMEVALUE(MID(G1432,12,8))</f>
        <v/>
      </c>
      <c r="P1432" s="396">
        <f>IFERROR(_xlfn.MINIFS($M:$M,$E:$E,$E1432,$K:$K,$K1432,$M:$M,"&gt;"&amp;$O1432),"")</f>
        <v/>
      </c>
      <c r="Q1432" s="396">
        <f>IF($P1432="","",$P1432-$O1432)</f>
        <v/>
      </c>
    </row>
    <row r="1433" ht="15" customHeight="1" s="231">
      <c r="A1433" s="397" t="n"/>
      <c r="B1433" s="397" t="n"/>
      <c r="C1433" s="397" t="n"/>
      <c r="D1433" s="397" t="n"/>
      <c r="E1433" s="397" t="n"/>
      <c r="F1433" s="397" t="n"/>
      <c r="G1433" s="397" t="n"/>
      <c r="I1433" s="397" t="n"/>
      <c r="J1433" s="397" t="n"/>
      <c r="K1433" s="395">
        <f>DATE(VALUE(LEFT(A1433,4)),VALUE(MID(A1433,5,2)),VALUE(RIGHT(A1433,2)))</f>
        <v/>
      </c>
      <c r="L1433" s="395">
        <f>DATEVALUE(LEFT(F1433,10))</f>
        <v/>
      </c>
      <c r="M1433" s="396">
        <f>TIMEVALUE(MID(F1433,12,8))</f>
        <v/>
      </c>
      <c r="N1433" s="395">
        <f>DATEVALUE(LEFT(G1433,10))</f>
        <v/>
      </c>
      <c r="O1433" s="396">
        <f>TIMEVALUE(MID(G1433,12,8))</f>
        <v/>
      </c>
      <c r="P1433" s="396">
        <f>IFERROR(_xlfn.MINIFS($M:$M,$E:$E,$E1433,$K:$K,$K1433,$M:$M,"&gt;"&amp;$O1433),"")</f>
        <v/>
      </c>
      <c r="Q1433" s="396">
        <f>IF($P1433="","",$P1433-$O1433)</f>
        <v/>
      </c>
    </row>
    <row r="1434" ht="15" customHeight="1" s="231">
      <c r="A1434" s="397" t="n"/>
      <c r="B1434" s="397" t="n"/>
      <c r="C1434" s="397" t="n"/>
      <c r="D1434" s="397" t="n"/>
      <c r="E1434" s="397" t="n"/>
      <c r="F1434" s="397" t="n"/>
      <c r="G1434" s="397" t="n"/>
      <c r="I1434" s="397" t="n"/>
      <c r="J1434" s="397" t="n"/>
      <c r="K1434" s="395">
        <f>DATE(VALUE(LEFT(A1434,4)),VALUE(MID(A1434,5,2)),VALUE(RIGHT(A1434,2)))</f>
        <v/>
      </c>
      <c r="L1434" s="395">
        <f>DATEVALUE(LEFT(F1434,10))</f>
        <v/>
      </c>
      <c r="M1434" s="396">
        <f>TIMEVALUE(MID(F1434,12,8))</f>
        <v/>
      </c>
      <c r="N1434" s="395">
        <f>DATEVALUE(LEFT(G1434,10))</f>
        <v/>
      </c>
      <c r="O1434" s="396">
        <f>TIMEVALUE(MID(G1434,12,8))</f>
        <v/>
      </c>
      <c r="P1434" s="396">
        <f>IFERROR(_xlfn.MINIFS($M:$M,$E:$E,$E1434,$K:$K,$K1434,$M:$M,"&gt;"&amp;$O1434),"")</f>
        <v/>
      </c>
      <c r="Q1434" s="396">
        <f>IF($P1434="","",$P1434-$O1434)</f>
        <v/>
      </c>
    </row>
    <row r="1435" ht="15" customHeight="1" s="231">
      <c r="A1435" s="397" t="n"/>
      <c r="B1435" s="397" t="n"/>
      <c r="C1435" s="397" t="n"/>
      <c r="D1435" s="397" t="n"/>
      <c r="E1435" s="397" t="n"/>
      <c r="F1435" s="397" t="n"/>
      <c r="G1435" s="397" t="n"/>
      <c r="I1435" s="397" t="n"/>
      <c r="J1435" s="397" t="n"/>
      <c r="K1435" s="395">
        <f>DATE(VALUE(LEFT(A1435,4)),VALUE(MID(A1435,5,2)),VALUE(RIGHT(A1435,2)))</f>
        <v/>
      </c>
      <c r="L1435" s="395">
        <f>DATEVALUE(LEFT(F1435,10))</f>
        <v/>
      </c>
      <c r="M1435" s="396">
        <f>TIMEVALUE(MID(F1435,12,8))</f>
        <v/>
      </c>
      <c r="N1435" s="395">
        <f>DATEVALUE(LEFT(G1435,10))</f>
        <v/>
      </c>
      <c r="O1435" s="396">
        <f>TIMEVALUE(MID(G1435,12,8))</f>
        <v/>
      </c>
      <c r="P1435" s="396">
        <f>IFERROR(_xlfn.MINIFS($M:$M,$E:$E,$E1435,$K:$K,$K1435,$M:$M,"&gt;"&amp;$O1435),"")</f>
        <v/>
      </c>
      <c r="Q1435" s="396">
        <f>IF($P1435="","",$P1435-$O1435)</f>
        <v/>
      </c>
    </row>
    <row r="1436" ht="15" customHeight="1" s="231">
      <c r="A1436" s="397" t="n"/>
      <c r="B1436" s="397" t="n"/>
      <c r="C1436" s="397" t="n"/>
      <c r="D1436" s="397" t="n"/>
      <c r="E1436" s="397" t="n"/>
      <c r="F1436" s="397" t="n"/>
      <c r="G1436" s="397" t="n"/>
      <c r="I1436" s="397" t="n"/>
      <c r="J1436" s="397" t="n"/>
      <c r="K1436" s="395">
        <f>DATE(VALUE(LEFT(A1436,4)),VALUE(MID(A1436,5,2)),VALUE(RIGHT(A1436,2)))</f>
        <v/>
      </c>
      <c r="L1436" s="395">
        <f>DATEVALUE(LEFT(F1436,10))</f>
        <v/>
      </c>
      <c r="M1436" s="396">
        <f>TIMEVALUE(MID(F1436,12,8))</f>
        <v/>
      </c>
      <c r="N1436" s="395">
        <f>DATEVALUE(LEFT(G1436,10))</f>
        <v/>
      </c>
      <c r="O1436" s="396">
        <f>TIMEVALUE(MID(G1436,12,8))</f>
        <v/>
      </c>
      <c r="P1436" s="396">
        <f>IFERROR(_xlfn.MINIFS($M:$M,$E:$E,$E1436,$K:$K,$K1436,$M:$M,"&gt;"&amp;$O1436),"")</f>
        <v/>
      </c>
      <c r="Q1436" s="396">
        <f>IF($P1436="","",$P1436-$O1436)</f>
        <v/>
      </c>
    </row>
    <row r="1437" ht="15" customHeight="1" s="231">
      <c r="A1437" s="397" t="n"/>
      <c r="B1437" s="397" t="n"/>
      <c r="C1437" s="397" t="n"/>
      <c r="D1437" s="397" t="n"/>
      <c r="E1437" s="397" t="n"/>
      <c r="F1437" s="397" t="n"/>
      <c r="G1437" s="397" t="n"/>
      <c r="I1437" s="397" t="n"/>
      <c r="J1437" s="397" t="n"/>
      <c r="K1437" s="395">
        <f>DATE(VALUE(LEFT(A1437,4)),VALUE(MID(A1437,5,2)),VALUE(RIGHT(A1437,2)))</f>
        <v/>
      </c>
      <c r="L1437" s="395">
        <f>DATEVALUE(LEFT(F1437,10))</f>
        <v/>
      </c>
      <c r="M1437" s="396">
        <f>TIMEVALUE(MID(F1437,12,8))</f>
        <v/>
      </c>
      <c r="N1437" s="395">
        <f>DATEVALUE(LEFT(G1437,10))</f>
        <v/>
      </c>
      <c r="O1437" s="396">
        <f>TIMEVALUE(MID(G1437,12,8))</f>
        <v/>
      </c>
      <c r="P1437" s="396">
        <f>IFERROR(_xlfn.MINIFS($M:$M,$E:$E,$E1437,$K:$K,$K1437,$M:$M,"&gt;"&amp;$O1437),"")</f>
        <v/>
      </c>
      <c r="Q1437" s="396">
        <f>IF($P1437="","",$P1437-$O1437)</f>
        <v/>
      </c>
    </row>
    <row r="1438" ht="15" customHeight="1" s="231">
      <c r="A1438" s="397" t="n"/>
      <c r="B1438" s="397" t="n"/>
      <c r="C1438" s="397" t="n"/>
      <c r="D1438" s="397" t="n"/>
      <c r="E1438" s="397" t="n"/>
      <c r="F1438" s="397" t="n"/>
      <c r="G1438" s="397" t="n"/>
      <c r="I1438" s="397" t="n"/>
      <c r="J1438" s="397" t="n"/>
      <c r="K1438" s="395">
        <f>DATE(VALUE(LEFT(A1438,4)),VALUE(MID(A1438,5,2)),VALUE(RIGHT(A1438,2)))</f>
        <v/>
      </c>
      <c r="L1438" s="395">
        <f>DATEVALUE(LEFT(F1438,10))</f>
        <v/>
      </c>
      <c r="M1438" s="396">
        <f>TIMEVALUE(MID(F1438,12,8))</f>
        <v/>
      </c>
      <c r="N1438" s="395">
        <f>DATEVALUE(LEFT(G1438,10))</f>
        <v/>
      </c>
      <c r="O1438" s="396">
        <f>TIMEVALUE(MID(G1438,12,8))</f>
        <v/>
      </c>
      <c r="P1438" s="396">
        <f>IFERROR(_xlfn.MINIFS($M:$M,$E:$E,$E1438,$K:$K,$K1438,$M:$M,"&gt;"&amp;$O1438),"")</f>
        <v/>
      </c>
      <c r="Q1438" s="396">
        <f>IF($P1438="","",$P1438-$O1438)</f>
        <v/>
      </c>
    </row>
    <row r="1439" ht="15" customHeight="1" s="231">
      <c r="A1439" s="397" t="n"/>
      <c r="B1439" s="397" t="n"/>
      <c r="C1439" s="397" t="n"/>
      <c r="D1439" s="397" t="n"/>
      <c r="E1439" s="397" t="n"/>
      <c r="F1439" s="397" t="n"/>
      <c r="G1439" s="397" t="n"/>
      <c r="I1439" s="397" t="n"/>
      <c r="J1439" s="397" t="n"/>
      <c r="K1439" s="395">
        <f>DATE(VALUE(LEFT(A1439,4)),VALUE(MID(A1439,5,2)),VALUE(RIGHT(A1439,2)))</f>
        <v/>
      </c>
      <c r="L1439" s="395">
        <f>DATEVALUE(LEFT(F1439,10))</f>
        <v/>
      </c>
      <c r="M1439" s="396">
        <f>TIMEVALUE(MID(F1439,12,8))</f>
        <v/>
      </c>
      <c r="N1439" s="395">
        <f>DATEVALUE(LEFT(G1439,10))</f>
        <v/>
      </c>
      <c r="O1439" s="396">
        <f>TIMEVALUE(MID(G1439,12,8))</f>
        <v/>
      </c>
      <c r="P1439" s="396">
        <f>IFERROR(_xlfn.MINIFS($M:$M,$E:$E,$E1439,$K:$K,$K1439,$M:$M,"&gt;"&amp;$O1439),"")</f>
        <v/>
      </c>
      <c r="Q1439" s="396">
        <f>IF($P1439="","",$P1439-$O1439)</f>
        <v/>
      </c>
    </row>
    <row r="1440" ht="15" customHeight="1" s="231">
      <c r="A1440" s="397" t="n"/>
      <c r="B1440" s="397" t="n"/>
      <c r="C1440" s="397" t="n"/>
      <c r="D1440" s="397" t="n"/>
      <c r="E1440" s="397" t="n"/>
      <c r="F1440" s="397" t="n"/>
      <c r="G1440" s="397" t="n"/>
      <c r="I1440" s="397" t="n"/>
      <c r="J1440" s="397" t="n"/>
      <c r="K1440" s="395">
        <f>DATE(VALUE(LEFT(A1440,4)),VALUE(MID(A1440,5,2)),VALUE(RIGHT(A1440,2)))</f>
        <v/>
      </c>
      <c r="L1440" s="395">
        <f>DATEVALUE(LEFT(F1440,10))</f>
        <v/>
      </c>
      <c r="M1440" s="396">
        <f>TIMEVALUE(MID(F1440,12,8))</f>
        <v/>
      </c>
      <c r="N1440" s="395">
        <f>DATEVALUE(LEFT(G1440,10))</f>
        <v/>
      </c>
      <c r="O1440" s="396">
        <f>TIMEVALUE(MID(G1440,12,8))</f>
        <v/>
      </c>
      <c r="P1440" s="396">
        <f>IFERROR(_xlfn.MINIFS($M:$M,$E:$E,$E1440,$K:$K,$K1440,$M:$M,"&gt;"&amp;$O1440),"")</f>
        <v/>
      </c>
      <c r="Q1440" s="396">
        <f>IF($P1440="","",$P1440-$O1440)</f>
        <v/>
      </c>
    </row>
    <row r="1441" ht="15" customHeight="1" s="231">
      <c r="A1441" s="397" t="n"/>
      <c r="B1441" s="397" t="n"/>
      <c r="C1441" s="397" t="n"/>
      <c r="D1441" s="397" t="n"/>
      <c r="E1441" s="397" t="n"/>
      <c r="F1441" s="397" t="n"/>
      <c r="G1441" s="397" t="n"/>
      <c r="I1441" s="397" t="n"/>
      <c r="J1441" s="397" t="n"/>
      <c r="K1441" s="395">
        <f>DATE(VALUE(LEFT(A1441,4)),VALUE(MID(A1441,5,2)),VALUE(RIGHT(A1441,2)))</f>
        <v/>
      </c>
      <c r="L1441" s="395">
        <f>DATEVALUE(LEFT(F1441,10))</f>
        <v/>
      </c>
      <c r="M1441" s="396">
        <f>TIMEVALUE(MID(F1441,12,8))</f>
        <v/>
      </c>
      <c r="N1441" s="395">
        <f>DATEVALUE(LEFT(G1441,10))</f>
        <v/>
      </c>
      <c r="O1441" s="396">
        <f>TIMEVALUE(MID(G1441,12,8))</f>
        <v/>
      </c>
      <c r="P1441" s="396">
        <f>IFERROR(_xlfn.MINIFS($M:$M,$E:$E,$E1441,$K:$K,$K1441,$M:$M,"&gt;"&amp;$O1441),"")</f>
        <v/>
      </c>
      <c r="Q1441" s="396">
        <f>IF($P1441="","",$P1441-$O1441)</f>
        <v/>
      </c>
    </row>
    <row r="1442" ht="15" customHeight="1" s="231">
      <c r="A1442" s="397" t="n"/>
      <c r="B1442" s="397" t="n"/>
      <c r="C1442" s="397" t="n"/>
      <c r="D1442" s="397" t="n"/>
      <c r="E1442" s="397" t="n"/>
      <c r="F1442" s="397" t="n"/>
      <c r="G1442" s="397" t="n"/>
      <c r="I1442" s="397" t="n"/>
      <c r="J1442" s="397" t="n"/>
      <c r="K1442" s="395">
        <f>DATE(VALUE(LEFT(A1442,4)),VALUE(MID(A1442,5,2)),VALUE(RIGHT(A1442,2)))</f>
        <v/>
      </c>
      <c r="L1442" s="395">
        <f>DATEVALUE(LEFT(F1442,10))</f>
        <v/>
      </c>
      <c r="M1442" s="396">
        <f>TIMEVALUE(MID(F1442,12,8))</f>
        <v/>
      </c>
      <c r="N1442" s="395">
        <f>DATEVALUE(LEFT(G1442,10))</f>
        <v/>
      </c>
      <c r="O1442" s="396">
        <f>TIMEVALUE(MID(G1442,12,8))</f>
        <v/>
      </c>
      <c r="P1442" s="396">
        <f>IFERROR(_xlfn.MINIFS($M:$M,$E:$E,$E1442,$K:$K,$K1442,$M:$M,"&gt;"&amp;$O1442),"")</f>
        <v/>
      </c>
      <c r="Q1442" s="396">
        <f>IF($P1442="","",$P1442-$O1442)</f>
        <v/>
      </c>
    </row>
    <row r="1443" ht="15" customHeight="1" s="231">
      <c r="A1443" s="397" t="n"/>
      <c r="B1443" s="397" t="n"/>
      <c r="C1443" s="397" t="n"/>
      <c r="D1443" s="397" t="n"/>
      <c r="E1443" s="397" t="n"/>
      <c r="F1443" s="397" t="n"/>
      <c r="G1443" s="397" t="n"/>
      <c r="I1443" s="397" t="n"/>
      <c r="J1443" s="397" t="n"/>
      <c r="K1443" s="395">
        <f>DATE(VALUE(LEFT(A1443,4)),VALUE(MID(A1443,5,2)),VALUE(RIGHT(A1443,2)))</f>
        <v/>
      </c>
      <c r="L1443" s="395">
        <f>DATEVALUE(LEFT(F1443,10))</f>
        <v/>
      </c>
      <c r="M1443" s="396">
        <f>TIMEVALUE(MID(F1443,12,8))</f>
        <v/>
      </c>
      <c r="N1443" s="395">
        <f>DATEVALUE(LEFT(G1443,10))</f>
        <v/>
      </c>
      <c r="O1443" s="396">
        <f>TIMEVALUE(MID(G1443,12,8))</f>
        <v/>
      </c>
      <c r="P1443" s="396">
        <f>IFERROR(_xlfn.MINIFS($M:$M,$E:$E,$E1443,$K:$K,$K1443,$M:$M,"&gt;"&amp;$O1443),"")</f>
        <v/>
      </c>
      <c r="Q1443" s="396">
        <f>IF($P1443="","",$P1443-$O1443)</f>
        <v/>
      </c>
    </row>
    <row r="1444" ht="15" customHeight="1" s="231">
      <c r="A1444" s="397" t="n"/>
      <c r="B1444" s="397" t="n"/>
      <c r="C1444" s="397" t="n"/>
      <c r="D1444" s="397" t="n"/>
      <c r="E1444" s="397" t="n"/>
      <c r="F1444" s="397" t="n"/>
      <c r="G1444" s="397" t="n"/>
      <c r="I1444" s="397" t="n"/>
      <c r="J1444" s="397" t="n"/>
      <c r="K1444" s="395">
        <f>DATE(VALUE(LEFT(A1444,4)),VALUE(MID(A1444,5,2)),VALUE(RIGHT(A1444,2)))</f>
        <v/>
      </c>
      <c r="L1444" s="395">
        <f>DATEVALUE(LEFT(F1444,10))</f>
        <v/>
      </c>
      <c r="M1444" s="396">
        <f>TIMEVALUE(MID(F1444,12,8))</f>
        <v/>
      </c>
      <c r="N1444" s="395">
        <f>DATEVALUE(LEFT(G1444,10))</f>
        <v/>
      </c>
      <c r="O1444" s="396">
        <f>TIMEVALUE(MID(G1444,12,8))</f>
        <v/>
      </c>
      <c r="P1444" s="396">
        <f>IFERROR(_xlfn.MINIFS($M:$M,$E:$E,$E1444,$K:$K,$K1444,$M:$M,"&gt;"&amp;$O1444),"")</f>
        <v/>
      </c>
      <c r="Q1444" s="396">
        <f>IF($P1444="","",$P1444-$O1444)</f>
        <v/>
      </c>
    </row>
    <row r="1445" ht="15" customHeight="1" s="231">
      <c r="A1445" s="397" t="n"/>
      <c r="B1445" s="397" t="n"/>
      <c r="C1445" s="397" t="n"/>
      <c r="D1445" s="397" t="n"/>
      <c r="E1445" s="397" t="n"/>
      <c r="F1445" s="397" t="n"/>
      <c r="G1445" s="397" t="n"/>
      <c r="I1445" s="397" t="n"/>
      <c r="J1445" s="397" t="n"/>
      <c r="K1445" s="395">
        <f>DATE(VALUE(LEFT(A1445,4)),VALUE(MID(A1445,5,2)),VALUE(RIGHT(A1445,2)))</f>
        <v/>
      </c>
      <c r="L1445" s="395">
        <f>DATEVALUE(LEFT(F1445,10))</f>
        <v/>
      </c>
      <c r="M1445" s="396">
        <f>TIMEVALUE(MID(F1445,12,8))</f>
        <v/>
      </c>
      <c r="N1445" s="395">
        <f>DATEVALUE(LEFT(G1445,10))</f>
        <v/>
      </c>
      <c r="O1445" s="396">
        <f>TIMEVALUE(MID(G1445,12,8))</f>
        <v/>
      </c>
      <c r="P1445" s="396">
        <f>IFERROR(_xlfn.MINIFS($M:$M,$E:$E,$E1445,$K:$K,$K1445,$M:$M,"&gt;"&amp;$O1445),"")</f>
        <v/>
      </c>
      <c r="Q1445" s="396">
        <f>IF($P1445="","",$P1445-$O1445)</f>
        <v/>
      </c>
    </row>
    <row r="1446" ht="15" customHeight="1" s="231">
      <c r="A1446" s="397" t="n"/>
      <c r="B1446" s="397" t="n"/>
      <c r="C1446" s="397" t="n"/>
      <c r="D1446" s="397" t="n"/>
      <c r="E1446" s="397" t="n"/>
      <c r="F1446" s="397" t="n"/>
      <c r="G1446" s="397" t="n"/>
      <c r="I1446" s="397" t="n"/>
      <c r="J1446" s="397" t="n"/>
      <c r="K1446" s="395">
        <f>DATE(VALUE(LEFT(A1446,4)),VALUE(MID(A1446,5,2)),VALUE(RIGHT(A1446,2)))</f>
        <v/>
      </c>
      <c r="L1446" s="395">
        <f>DATEVALUE(LEFT(F1446,10))</f>
        <v/>
      </c>
      <c r="M1446" s="396">
        <f>TIMEVALUE(MID(F1446,12,8))</f>
        <v/>
      </c>
      <c r="N1446" s="395">
        <f>DATEVALUE(LEFT(G1446,10))</f>
        <v/>
      </c>
      <c r="O1446" s="396">
        <f>TIMEVALUE(MID(G1446,12,8))</f>
        <v/>
      </c>
      <c r="P1446" s="396">
        <f>IFERROR(_xlfn.MINIFS($M:$M,$E:$E,$E1446,$K:$K,$K1446,$M:$M,"&gt;"&amp;$O1446),"")</f>
        <v/>
      </c>
      <c r="Q1446" s="396">
        <f>IF($P1446="","",$P1446-$O1446)</f>
        <v/>
      </c>
    </row>
    <row r="1447" ht="15" customHeight="1" s="231">
      <c r="A1447" s="397" t="n"/>
      <c r="B1447" s="397" t="n"/>
      <c r="C1447" s="397" t="n"/>
      <c r="D1447" s="397" t="n"/>
      <c r="E1447" s="397" t="n"/>
      <c r="F1447" s="397" t="n"/>
      <c r="G1447" s="397" t="n"/>
      <c r="I1447" s="397" t="n"/>
      <c r="J1447" s="397" t="n"/>
      <c r="K1447" s="395">
        <f>DATE(VALUE(LEFT(A1447,4)),VALUE(MID(A1447,5,2)),VALUE(RIGHT(A1447,2)))</f>
        <v/>
      </c>
      <c r="L1447" s="395">
        <f>DATEVALUE(LEFT(F1447,10))</f>
        <v/>
      </c>
      <c r="M1447" s="396">
        <f>TIMEVALUE(MID(F1447,12,8))</f>
        <v/>
      </c>
      <c r="N1447" s="395">
        <f>DATEVALUE(LEFT(G1447,10))</f>
        <v/>
      </c>
      <c r="O1447" s="396">
        <f>TIMEVALUE(MID(G1447,12,8))</f>
        <v/>
      </c>
      <c r="P1447" s="396">
        <f>IFERROR(_xlfn.MINIFS($M:$M,$E:$E,$E1447,$K:$K,$K1447,$M:$M,"&gt;"&amp;$O1447),"")</f>
        <v/>
      </c>
      <c r="Q1447" s="396">
        <f>IF($P1447="","",$P1447-$O1447)</f>
        <v/>
      </c>
    </row>
    <row r="1448" ht="15" customHeight="1" s="231">
      <c r="A1448" s="397" t="n"/>
      <c r="B1448" s="397" t="n"/>
      <c r="C1448" s="397" t="n"/>
      <c r="D1448" s="397" t="n"/>
      <c r="E1448" s="397" t="n"/>
      <c r="F1448" s="397" t="n"/>
      <c r="G1448" s="397" t="n"/>
      <c r="I1448" s="397" t="n"/>
      <c r="J1448" s="397" t="n"/>
      <c r="K1448" s="395">
        <f>DATE(VALUE(LEFT(A1448,4)),VALUE(MID(A1448,5,2)),VALUE(RIGHT(A1448,2)))</f>
        <v/>
      </c>
      <c r="L1448" s="395">
        <f>DATEVALUE(LEFT(F1448,10))</f>
        <v/>
      </c>
      <c r="M1448" s="396">
        <f>TIMEVALUE(MID(F1448,12,8))</f>
        <v/>
      </c>
      <c r="N1448" s="395">
        <f>DATEVALUE(LEFT(G1448,10))</f>
        <v/>
      </c>
      <c r="O1448" s="396">
        <f>TIMEVALUE(MID(G1448,12,8))</f>
        <v/>
      </c>
      <c r="P1448" s="396">
        <f>IFERROR(_xlfn.MINIFS($M:$M,$E:$E,$E1448,$K:$K,$K1448,$M:$M,"&gt;"&amp;$O1448),"")</f>
        <v/>
      </c>
      <c r="Q1448" s="396">
        <f>IF($P1448="","",$P1448-$O1448)</f>
        <v/>
      </c>
    </row>
    <row r="1449" ht="15" customHeight="1" s="231">
      <c r="A1449" s="397" t="n"/>
      <c r="B1449" s="397" t="n"/>
      <c r="C1449" s="397" t="n"/>
      <c r="D1449" s="397" t="n"/>
      <c r="E1449" s="397" t="n"/>
      <c r="F1449" s="397" t="n"/>
      <c r="G1449" s="397" t="n"/>
      <c r="I1449" s="397" t="n"/>
      <c r="J1449" s="397" t="n"/>
      <c r="K1449" s="395">
        <f>DATE(VALUE(LEFT(A1449,4)),VALUE(MID(A1449,5,2)),VALUE(RIGHT(A1449,2)))</f>
        <v/>
      </c>
      <c r="L1449" s="395">
        <f>DATEVALUE(LEFT(F1449,10))</f>
        <v/>
      </c>
      <c r="M1449" s="396">
        <f>TIMEVALUE(MID(F1449,12,8))</f>
        <v/>
      </c>
      <c r="N1449" s="395">
        <f>DATEVALUE(LEFT(G1449,10))</f>
        <v/>
      </c>
      <c r="O1449" s="396">
        <f>TIMEVALUE(MID(G1449,12,8))</f>
        <v/>
      </c>
      <c r="P1449" s="396">
        <f>IFERROR(_xlfn.MINIFS($M:$M,$E:$E,$E1449,$K:$K,$K1449,$M:$M,"&gt;"&amp;$O1449),"")</f>
        <v/>
      </c>
      <c r="Q1449" s="396">
        <f>IF($P1449="","",$P1449-$O1449)</f>
        <v/>
      </c>
    </row>
    <row r="1450" ht="15" customHeight="1" s="231">
      <c r="A1450" s="397" t="n"/>
      <c r="B1450" s="397" t="n"/>
      <c r="C1450" s="397" t="n"/>
      <c r="D1450" s="397" t="n"/>
      <c r="E1450" s="397" t="n"/>
      <c r="F1450" s="397" t="n"/>
      <c r="G1450" s="397" t="n"/>
      <c r="I1450" s="397" t="n"/>
      <c r="J1450" s="397" t="n"/>
      <c r="K1450" s="395">
        <f>DATE(VALUE(LEFT(A1450,4)),VALUE(MID(A1450,5,2)),VALUE(RIGHT(A1450,2)))</f>
        <v/>
      </c>
      <c r="L1450" s="395">
        <f>DATEVALUE(LEFT(F1450,10))</f>
        <v/>
      </c>
      <c r="M1450" s="396">
        <f>TIMEVALUE(MID(F1450,12,8))</f>
        <v/>
      </c>
      <c r="N1450" s="395">
        <f>DATEVALUE(LEFT(G1450,10))</f>
        <v/>
      </c>
      <c r="O1450" s="396">
        <f>TIMEVALUE(MID(G1450,12,8))</f>
        <v/>
      </c>
      <c r="P1450" s="396">
        <f>IFERROR(_xlfn.MINIFS($M:$M,$E:$E,$E1450,$K:$K,$K1450,$M:$M,"&gt;"&amp;$O1450),"")</f>
        <v/>
      </c>
      <c r="Q1450" s="396">
        <f>IF($P1450="","",$P1450-$O1450)</f>
        <v/>
      </c>
    </row>
    <row r="1451" ht="15" customHeight="1" s="231">
      <c r="A1451" s="397" t="n"/>
      <c r="B1451" s="397" t="n"/>
      <c r="C1451" s="397" t="n"/>
      <c r="D1451" s="397" t="n"/>
      <c r="E1451" s="397" t="n"/>
      <c r="F1451" s="397" t="n"/>
      <c r="G1451" s="397" t="n"/>
      <c r="I1451" s="397" t="n"/>
      <c r="J1451" s="397" t="n"/>
      <c r="K1451" s="395">
        <f>DATE(VALUE(LEFT(A1451,4)),VALUE(MID(A1451,5,2)),VALUE(RIGHT(A1451,2)))</f>
        <v/>
      </c>
      <c r="L1451" s="395">
        <f>DATEVALUE(LEFT(F1451,10))</f>
        <v/>
      </c>
      <c r="M1451" s="396">
        <f>TIMEVALUE(MID(F1451,12,8))</f>
        <v/>
      </c>
      <c r="N1451" s="395">
        <f>DATEVALUE(LEFT(G1451,10))</f>
        <v/>
      </c>
      <c r="O1451" s="396">
        <f>TIMEVALUE(MID(G1451,12,8))</f>
        <v/>
      </c>
      <c r="P1451" s="396">
        <f>IFERROR(_xlfn.MINIFS($M:$M,$E:$E,$E1451,$K:$K,$K1451,$M:$M,"&gt;"&amp;$O1451),"")</f>
        <v/>
      </c>
      <c r="Q1451" s="396">
        <f>IF($P1451="","",$P1451-$O1451)</f>
        <v/>
      </c>
    </row>
    <row r="1452" ht="15" customHeight="1" s="231">
      <c r="A1452" s="397" t="n"/>
      <c r="B1452" s="397" t="n"/>
      <c r="C1452" s="397" t="n"/>
      <c r="D1452" s="397" t="n"/>
      <c r="E1452" s="397" t="n"/>
      <c r="F1452" s="397" t="n"/>
      <c r="G1452" s="397" t="n"/>
      <c r="I1452" s="397" t="n"/>
      <c r="J1452" s="397" t="n"/>
      <c r="K1452" s="395">
        <f>DATE(VALUE(LEFT(A1452,4)),VALUE(MID(A1452,5,2)),VALUE(RIGHT(A1452,2)))</f>
        <v/>
      </c>
      <c r="L1452" s="395">
        <f>DATEVALUE(LEFT(F1452,10))</f>
        <v/>
      </c>
      <c r="M1452" s="396">
        <f>TIMEVALUE(MID(F1452,12,8))</f>
        <v/>
      </c>
      <c r="N1452" s="395">
        <f>DATEVALUE(LEFT(G1452,10))</f>
        <v/>
      </c>
      <c r="O1452" s="396">
        <f>TIMEVALUE(MID(G1452,12,8))</f>
        <v/>
      </c>
      <c r="P1452" s="396">
        <f>IFERROR(_xlfn.MINIFS($M:$M,$E:$E,$E1452,$K:$K,$K1452,$M:$M,"&gt;"&amp;$O1452),"")</f>
        <v/>
      </c>
      <c r="Q1452" s="396">
        <f>IF($P1452="","",$P1452-$O1452)</f>
        <v/>
      </c>
    </row>
    <row r="1453" ht="15" customHeight="1" s="231">
      <c r="A1453" s="397" t="n"/>
      <c r="B1453" s="397" t="n"/>
      <c r="C1453" s="397" t="n"/>
      <c r="D1453" s="397" t="n"/>
      <c r="E1453" s="397" t="n"/>
      <c r="F1453" s="397" t="n"/>
      <c r="G1453" s="397" t="n"/>
      <c r="I1453" s="397" t="n"/>
      <c r="J1453" s="397" t="n"/>
      <c r="K1453" s="395">
        <f>DATE(VALUE(LEFT(A1453,4)),VALUE(MID(A1453,5,2)),VALUE(RIGHT(A1453,2)))</f>
        <v/>
      </c>
      <c r="L1453" s="395">
        <f>DATEVALUE(LEFT(F1453,10))</f>
        <v/>
      </c>
      <c r="M1453" s="396">
        <f>TIMEVALUE(MID(F1453,12,8))</f>
        <v/>
      </c>
      <c r="N1453" s="395">
        <f>DATEVALUE(LEFT(G1453,10))</f>
        <v/>
      </c>
      <c r="O1453" s="396">
        <f>TIMEVALUE(MID(G1453,12,8))</f>
        <v/>
      </c>
      <c r="P1453" s="396">
        <f>IFERROR(_xlfn.MINIFS($M:$M,$E:$E,$E1453,$K:$K,$K1453,$M:$M,"&gt;"&amp;$O1453),"")</f>
        <v/>
      </c>
      <c r="Q1453" s="396">
        <f>IF($P1453="","",$P1453-$O1453)</f>
        <v/>
      </c>
    </row>
    <row r="1454" ht="15" customHeight="1" s="231">
      <c r="A1454" s="397" t="n"/>
      <c r="B1454" s="397" t="n"/>
      <c r="C1454" s="397" t="n"/>
      <c r="D1454" s="397" t="n"/>
      <c r="E1454" s="397" t="n"/>
      <c r="F1454" s="397" t="n"/>
      <c r="G1454" s="397" t="n"/>
      <c r="I1454" s="397" t="n"/>
      <c r="J1454" s="397" t="n"/>
      <c r="K1454" s="395">
        <f>DATE(VALUE(LEFT(A1454,4)),VALUE(MID(A1454,5,2)),VALUE(RIGHT(A1454,2)))</f>
        <v/>
      </c>
      <c r="L1454" s="395">
        <f>DATEVALUE(LEFT(F1454,10))</f>
        <v/>
      </c>
      <c r="M1454" s="396">
        <f>TIMEVALUE(MID(F1454,12,8))</f>
        <v/>
      </c>
      <c r="N1454" s="395">
        <f>DATEVALUE(LEFT(G1454,10))</f>
        <v/>
      </c>
      <c r="O1454" s="396">
        <f>TIMEVALUE(MID(G1454,12,8))</f>
        <v/>
      </c>
      <c r="P1454" s="396">
        <f>IFERROR(_xlfn.MINIFS($M:$M,$E:$E,$E1454,$K:$K,$K1454,$M:$M,"&gt;"&amp;$O1454),"")</f>
        <v/>
      </c>
      <c r="Q1454" s="396">
        <f>IF($P1454="","",$P1454-$O1454)</f>
        <v/>
      </c>
    </row>
    <row r="1455" ht="15" customHeight="1" s="231">
      <c r="A1455" s="397" t="n"/>
      <c r="B1455" s="397" t="n"/>
      <c r="C1455" s="397" t="n"/>
      <c r="D1455" s="397" t="n"/>
      <c r="E1455" s="397" t="n"/>
      <c r="F1455" s="397" t="n"/>
      <c r="G1455" s="397" t="n"/>
      <c r="I1455" s="397" t="n"/>
      <c r="J1455" s="397" t="n"/>
      <c r="K1455" s="395">
        <f>DATE(VALUE(LEFT(A1455,4)),VALUE(MID(A1455,5,2)),VALUE(RIGHT(A1455,2)))</f>
        <v/>
      </c>
      <c r="L1455" s="395">
        <f>DATEVALUE(LEFT(F1455,10))</f>
        <v/>
      </c>
      <c r="M1455" s="396">
        <f>TIMEVALUE(MID(F1455,12,8))</f>
        <v/>
      </c>
      <c r="N1455" s="395">
        <f>DATEVALUE(LEFT(G1455,10))</f>
        <v/>
      </c>
      <c r="O1455" s="396">
        <f>TIMEVALUE(MID(G1455,12,8))</f>
        <v/>
      </c>
      <c r="P1455" s="396">
        <f>IFERROR(_xlfn.MINIFS($M:$M,$E:$E,$E1455,$K:$K,$K1455,$M:$M,"&gt;"&amp;$O1455),"")</f>
        <v/>
      </c>
      <c r="Q1455" s="396">
        <f>IF($P1455="","",$P1455-$O1455)</f>
        <v/>
      </c>
    </row>
    <row r="1456" ht="15" customHeight="1" s="231">
      <c r="A1456" s="397" t="n"/>
      <c r="B1456" s="397" t="n"/>
      <c r="C1456" s="397" t="n"/>
      <c r="D1456" s="397" t="n"/>
      <c r="E1456" s="397" t="n"/>
      <c r="F1456" s="397" t="n"/>
      <c r="G1456" s="397" t="n"/>
      <c r="I1456" s="397" t="n"/>
      <c r="J1456" s="397" t="n"/>
      <c r="K1456" s="395">
        <f>DATE(VALUE(LEFT(A1456,4)),VALUE(MID(A1456,5,2)),VALUE(RIGHT(A1456,2)))</f>
        <v/>
      </c>
      <c r="L1456" s="395">
        <f>DATEVALUE(LEFT(F1456,10))</f>
        <v/>
      </c>
      <c r="M1456" s="396">
        <f>TIMEVALUE(MID(F1456,12,8))</f>
        <v/>
      </c>
      <c r="N1456" s="395">
        <f>DATEVALUE(LEFT(G1456,10))</f>
        <v/>
      </c>
      <c r="O1456" s="396">
        <f>TIMEVALUE(MID(G1456,12,8))</f>
        <v/>
      </c>
      <c r="P1456" s="396">
        <f>IFERROR(_xlfn.MINIFS($M:$M,$E:$E,$E1456,$K:$K,$K1456,$M:$M,"&gt;"&amp;$O1456),"")</f>
        <v/>
      </c>
      <c r="Q1456" s="396">
        <f>IF($P1456="","",$P1456-$O1456)</f>
        <v/>
      </c>
    </row>
    <row r="1457" ht="15" customHeight="1" s="231">
      <c r="A1457" s="397" t="n"/>
      <c r="B1457" s="397" t="n"/>
      <c r="C1457" s="397" t="n"/>
      <c r="D1457" s="397" t="n"/>
      <c r="E1457" s="397" t="n"/>
      <c r="F1457" s="397" t="n"/>
      <c r="G1457" s="397" t="n"/>
      <c r="I1457" s="397" t="n"/>
      <c r="J1457" s="397" t="n"/>
      <c r="K1457" s="395">
        <f>DATE(VALUE(LEFT(A1457,4)),VALUE(MID(A1457,5,2)),VALUE(RIGHT(A1457,2)))</f>
        <v/>
      </c>
      <c r="L1457" s="395">
        <f>DATEVALUE(LEFT(F1457,10))</f>
        <v/>
      </c>
      <c r="M1457" s="396">
        <f>TIMEVALUE(MID(F1457,12,8))</f>
        <v/>
      </c>
      <c r="N1457" s="395">
        <f>DATEVALUE(LEFT(G1457,10))</f>
        <v/>
      </c>
      <c r="O1457" s="396">
        <f>TIMEVALUE(MID(G1457,12,8))</f>
        <v/>
      </c>
      <c r="P1457" s="396">
        <f>IFERROR(_xlfn.MINIFS($M:$M,$E:$E,$E1457,$K:$K,$K1457,$M:$M,"&gt;"&amp;$O1457),"")</f>
        <v/>
      </c>
      <c r="Q1457" s="396">
        <f>IF($P1457="","",$P1457-$O1457)</f>
        <v/>
      </c>
    </row>
    <row r="1458" ht="15" customHeight="1" s="231">
      <c r="A1458" s="397" t="n"/>
      <c r="B1458" s="397" t="n"/>
      <c r="C1458" s="397" t="n"/>
      <c r="D1458" s="397" t="n"/>
      <c r="E1458" s="397" t="n"/>
      <c r="F1458" s="397" t="n"/>
      <c r="G1458" s="397" t="n"/>
      <c r="I1458" s="397" t="n"/>
      <c r="J1458" s="397" t="n"/>
      <c r="K1458" s="395">
        <f>DATE(VALUE(LEFT(A1458,4)),VALUE(MID(A1458,5,2)),VALUE(RIGHT(A1458,2)))</f>
        <v/>
      </c>
      <c r="L1458" s="395">
        <f>DATEVALUE(LEFT(F1458,10))</f>
        <v/>
      </c>
      <c r="M1458" s="396">
        <f>TIMEVALUE(MID(F1458,12,8))</f>
        <v/>
      </c>
      <c r="N1458" s="395">
        <f>DATEVALUE(LEFT(G1458,10))</f>
        <v/>
      </c>
      <c r="O1458" s="396">
        <f>TIMEVALUE(MID(G1458,12,8))</f>
        <v/>
      </c>
      <c r="P1458" s="396">
        <f>IFERROR(_xlfn.MINIFS($M:$M,$E:$E,$E1458,$K:$K,$K1458,$M:$M,"&gt;"&amp;$O1458),"")</f>
        <v/>
      </c>
      <c r="Q1458" s="396">
        <f>IF($P1458="","",$P1458-$O1458)</f>
        <v/>
      </c>
    </row>
    <row r="1459" ht="15" customHeight="1" s="231">
      <c r="A1459" s="397" t="n"/>
      <c r="B1459" s="397" t="n"/>
      <c r="C1459" s="397" t="n"/>
      <c r="D1459" s="397" t="n"/>
      <c r="E1459" s="397" t="n"/>
      <c r="F1459" s="397" t="n"/>
      <c r="G1459" s="397" t="n"/>
      <c r="I1459" s="397" t="n"/>
      <c r="J1459" s="397" t="n"/>
      <c r="K1459" s="395">
        <f>DATE(VALUE(LEFT(A1459,4)),VALUE(MID(A1459,5,2)),VALUE(RIGHT(A1459,2)))</f>
        <v/>
      </c>
      <c r="L1459" s="395">
        <f>DATEVALUE(LEFT(F1459,10))</f>
        <v/>
      </c>
      <c r="M1459" s="396">
        <f>TIMEVALUE(MID(F1459,12,8))</f>
        <v/>
      </c>
      <c r="N1459" s="395">
        <f>DATEVALUE(LEFT(G1459,10))</f>
        <v/>
      </c>
      <c r="O1459" s="396">
        <f>TIMEVALUE(MID(G1459,12,8))</f>
        <v/>
      </c>
      <c r="P1459" s="396">
        <f>IFERROR(_xlfn.MINIFS($M:$M,$E:$E,$E1459,$K:$K,$K1459,$M:$M,"&gt;"&amp;$O1459),"")</f>
        <v/>
      </c>
      <c r="Q1459" s="396">
        <f>IF($P1459="","",$P1459-$O1459)</f>
        <v/>
      </c>
    </row>
    <row r="1460" ht="15" customHeight="1" s="231">
      <c r="A1460" s="397" t="n"/>
      <c r="B1460" s="397" t="n"/>
      <c r="C1460" s="397" t="n"/>
      <c r="D1460" s="397" t="n"/>
      <c r="E1460" s="397" t="n"/>
      <c r="F1460" s="397" t="n"/>
      <c r="G1460" s="397" t="n"/>
      <c r="I1460" s="397" t="n"/>
      <c r="J1460" s="397" t="n"/>
      <c r="K1460" s="395">
        <f>DATE(VALUE(LEFT(A1460,4)),VALUE(MID(A1460,5,2)),VALUE(RIGHT(A1460,2)))</f>
        <v/>
      </c>
      <c r="L1460" s="395">
        <f>DATEVALUE(LEFT(F1460,10))</f>
        <v/>
      </c>
      <c r="M1460" s="396">
        <f>TIMEVALUE(MID(F1460,12,8))</f>
        <v/>
      </c>
      <c r="N1460" s="395">
        <f>DATEVALUE(LEFT(G1460,10))</f>
        <v/>
      </c>
      <c r="O1460" s="396">
        <f>TIMEVALUE(MID(G1460,12,8))</f>
        <v/>
      </c>
      <c r="P1460" s="396">
        <f>IFERROR(_xlfn.MINIFS($M:$M,$E:$E,$E1460,$K:$K,$K1460,$M:$M,"&gt;"&amp;$O1460),"")</f>
        <v/>
      </c>
      <c r="Q1460" s="396">
        <f>IF($P1460="","",$P1460-$O1460)</f>
        <v/>
      </c>
    </row>
    <row r="1461" ht="15" customHeight="1" s="231">
      <c r="A1461" s="397" t="n"/>
      <c r="B1461" s="397" t="n"/>
      <c r="C1461" s="397" t="n"/>
      <c r="D1461" s="397" t="n"/>
      <c r="E1461" s="397" t="n"/>
      <c r="F1461" s="397" t="n"/>
      <c r="G1461" s="397" t="n"/>
      <c r="I1461" s="397" t="n"/>
      <c r="J1461" s="397" t="n"/>
      <c r="K1461" s="395">
        <f>DATE(VALUE(LEFT(A1461,4)),VALUE(MID(A1461,5,2)),VALUE(RIGHT(A1461,2)))</f>
        <v/>
      </c>
      <c r="L1461" s="395">
        <f>DATEVALUE(LEFT(F1461,10))</f>
        <v/>
      </c>
      <c r="M1461" s="396">
        <f>TIMEVALUE(MID(F1461,12,8))</f>
        <v/>
      </c>
      <c r="N1461" s="395">
        <f>DATEVALUE(LEFT(G1461,10))</f>
        <v/>
      </c>
      <c r="O1461" s="396">
        <f>TIMEVALUE(MID(G1461,12,8))</f>
        <v/>
      </c>
      <c r="P1461" s="396">
        <f>IFERROR(_xlfn.MINIFS($M:$M,$E:$E,$E1461,$K:$K,$K1461,$M:$M,"&gt;"&amp;$O1461),"")</f>
        <v/>
      </c>
      <c r="Q1461" s="396">
        <f>IF($P1461="","",$P1461-$O1461)</f>
        <v/>
      </c>
    </row>
    <row r="1462" ht="15" customHeight="1" s="231">
      <c r="A1462" s="397" t="n"/>
      <c r="B1462" s="397" t="n"/>
      <c r="C1462" s="397" t="n"/>
      <c r="D1462" s="397" t="n"/>
      <c r="E1462" s="397" t="n"/>
      <c r="F1462" s="397" t="n"/>
      <c r="G1462" s="397" t="n"/>
      <c r="I1462" s="397" t="n"/>
      <c r="J1462" s="397" t="n"/>
      <c r="K1462" s="395">
        <f>DATE(VALUE(LEFT(A1462,4)),VALUE(MID(A1462,5,2)),VALUE(RIGHT(A1462,2)))</f>
        <v/>
      </c>
      <c r="L1462" s="395">
        <f>DATEVALUE(LEFT(F1462,10))</f>
        <v/>
      </c>
      <c r="M1462" s="396">
        <f>TIMEVALUE(MID(F1462,12,8))</f>
        <v/>
      </c>
      <c r="N1462" s="395">
        <f>DATEVALUE(LEFT(G1462,10))</f>
        <v/>
      </c>
      <c r="O1462" s="396">
        <f>TIMEVALUE(MID(G1462,12,8))</f>
        <v/>
      </c>
      <c r="P1462" s="396">
        <f>IFERROR(_xlfn.MINIFS($M:$M,$E:$E,$E1462,$K:$K,$K1462,$M:$M,"&gt;"&amp;$O1462),"")</f>
        <v/>
      </c>
      <c r="Q1462" s="396">
        <f>IF($P1462="","",$P1462-$O1462)</f>
        <v/>
      </c>
    </row>
    <row r="1463" ht="15" customHeight="1" s="231">
      <c r="A1463" s="397" t="n"/>
      <c r="B1463" s="397" t="n"/>
      <c r="C1463" s="397" t="n"/>
      <c r="D1463" s="397" t="n"/>
      <c r="E1463" s="397" t="n"/>
      <c r="F1463" s="397" t="n"/>
      <c r="G1463" s="397" t="n"/>
      <c r="I1463" s="397" t="n"/>
      <c r="J1463" s="397" t="n"/>
      <c r="K1463" s="395">
        <f>DATE(VALUE(LEFT(A1463,4)),VALUE(MID(A1463,5,2)),VALUE(RIGHT(A1463,2)))</f>
        <v/>
      </c>
      <c r="L1463" s="395">
        <f>DATEVALUE(LEFT(F1463,10))</f>
        <v/>
      </c>
      <c r="M1463" s="396">
        <f>TIMEVALUE(MID(F1463,12,8))</f>
        <v/>
      </c>
      <c r="N1463" s="395">
        <f>DATEVALUE(LEFT(G1463,10))</f>
        <v/>
      </c>
      <c r="O1463" s="396">
        <f>TIMEVALUE(MID(G1463,12,8))</f>
        <v/>
      </c>
      <c r="P1463" s="396">
        <f>IFERROR(_xlfn.MINIFS($M:$M,$E:$E,$E1463,$K:$K,$K1463,$M:$M,"&gt;"&amp;$O1463),"")</f>
        <v/>
      </c>
      <c r="Q1463" s="396">
        <f>IF($P1463="","",$P1463-$O1463)</f>
        <v/>
      </c>
    </row>
    <row r="1464" ht="15" customHeight="1" s="231">
      <c r="A1464" s="397" t="n"/>
      <c r="B1464" s="397" t="n"/>
      <c r="C1464" s="397" t="n"/>
      <c r="D1464" s="397" t="n"/>
      <c r="E1464" s="397" t="n"/>
      <c r="F1464" s="397" t="n"/>
      <c r="G1464" s="397" t="n"/>
      <c r="I1464" s="397" t="n"/>
      <c r="J1464" s="397" t="n"/>
      <c r="K1464" s="395">
        <f>DATE(VALUE(LEFT(A1464,4)),VALUE(MID(A1464,5,2)),VALUE(RIGHT(A1464,2)))</f>
        <v/>
      </c>
      <c r="L1464" s="395">
        <f>DATEVALUE(LEFT(F1464,10))</f>
        <v/>
      </c>
      <c r="M1464" s="396">
        <f>TIMEVALUE(MID(F1464,12,8))</f>
        <v/>
      </c>
      <c r="N1464" s="395">
        <f>DATEVALUE(LEFT(G1464,10))</f>
        <v/>
      </c>
      <c r="O1464" s="396">
        <f>TIMEVALUE(MID(G1464,12,8))</f>
        <v/>
      </c>
      <c r="P1464" s="396">
        <f>IFERROR(_xlfn.MINIFS($M:$M,$E:$E,$E1464,$K:$K,$K1464,$M:$M,"&gt;"&amp;$O1464),"")</f>
        <v/>
      </c>
      <c r="Q1464" s="396">
        <f>IF($P1464="","",$P1464-$O1464)</f>
        <v/>
      </c>
    </row>
    <row r="1465" ht="15" customHeight="1" s="231">
      <c r="A1465" s="397" t="n"/>
      <c r="B1465" s="397" t="n"/>
      <c r="C1465" s="397" t="n"/>
      <c r="D1465" s="397" t="n"/>
      <c r="E1465" s="397" t="n"/>
      <c r="F1465" s="397" t="n"/>
      <c r="G1465" s="397" t="n"/>
      <c r="I1465" s="397" t="n"/>
      <c r="J1465" s="397" t="n"/>
      <c r="K1465" s="395">
        <f>DATE(VALUE(LEFT(A1465,4)),VALUE(MID(A1465,5,2)),VALUE(RIGHT(A1465,2)))</f>
        <v/>
      </c>
      <c r="L1465" s="395">
        <f>DATEVALUE(LEFT(F1465,10))</f>
        <v/>
      </c>
      <c r="M1465" s="396">
        <f>TIMEVALUE(MID(F1465,12,8))</f>
        <v/>
      </c>
      <c r="N1465" s="395">
        <f>DATEVALUE(LEFT(G1465,10))</f>
        <v/>
      </c>
      <c r="O1465" s="396">
        <f>TIMEVALUE(MID(G1465,12,8))</f>
        <v/>
      </c>
      <c r="P1465" s="396">
        <f>IFERROR(_xlfn.MINIFS($M:$M,$E:$E,$E1465,$K:$K,$K1465,$M:$M,"&gt;"&amp;$O1465),"")</f>
        <v/>
      </c>
      <c r="Q1465" s="396">
        <f>IF($P1465="","",$P1465-$O1465)</f>
        <v/>
      </c>
    </row>
    <row r="1466" ht="15" customHeight="1" s="231">
      <c r="A1466" s="397" t="n"/>
      <c r="B1466" s="397" t="n"/>
      <c r="C1466" s="397" t="n"/>
      <c r="D1466" s="397" t="n"/>
      <c r="E1466" s="397" t="n"/>
      <c r="F1466" s="397" t="n"/>
      <c r="G1466" s="397" t="n"/>
      <c r="I1466" s="397" t="n"/>
      <c r="J1466" s="397" t="n"/>
      <c r="K1466" s="395">
        <f>DATE(VALUE(LEFT(A1466,4)),VALUE(MID(A1466,5,2)),VALUE(RIGHT(A1466,2)))</f>
        <v/>
      </c>
      <c r="L1466" s="395">
        <f>DATEVALUE(LEFT(F1466,10))</f>
        <v/>
      </c>
      <c r="M1466" s="396">
        <f>TIMEVALUE(MID(F1466,12,8))</f>
        <v/>
      </c>
      <c r="N1466" s="395">
        <f>DATEVALUE(LEFT(G1466,10))</f>
        <v/>
      </c>
      <c r="O1466" s="396">
        <f>TIMEVALUE(MID(G1466,12,8))</f>
        <v/>
      </c>
      <c r="P1466" s="396">
        <f>IFERROR(_xlfn.MINIFS($M:$M,$E:$E,$E1466,$K:$K,$K1466,$M:$M,"&gt;"&amp;$O1466),"")</f>
        <v/>
      </c>
      <c r="Q1466" s="396">
        <f>IF($P1466="","",$P1466-$O1466)</f>
        <v/>
      </c>
    </row>
    <row r="1467" ht="15" customHeight="1" s="231">
      <c r="A1467" s="397" t="n"/>
      <c r="B1467" s="397" t="n"/>
      <c r="C1467" s="397" t="n"/>
      <c r="D1467" s="397" t="n"/>
      <c r="E1467" s="397" t="n"/>
      <c r="F1467" s="397" t="n"/>
      <c r="G1467" s="397" t="n"/>
      <c r="I1467" s="397" t="n"/>
      <c r="J1467" s="397" t="n"/>
      <c r="K1467" s="395">
        <f>DATE(VALUE(LEFT(A1467,4)),VALUE(MID(A1467,5,2)),VALUE(RIGHT(A1467,2)))</f>
        <v/>
      </c>
      <c r="L1467" s="395">
        <f>DATEVALUE(LEFT(F1467,10))</f>
        <v/>
      </c>
      <c r="M1467" s="396">
        <f>TIMEVALUE(MID(F1467,12,8))</f>
        <v/>
      </c>
      <c r="N1467" s="395">
        <f>DATEVALUE(LEFT(G1467,10))</f>
        <v/>
      </c>
      <c r="O1467" s="396">
        <f>TIMEVALUE(MID(G1467,12,8))</f>
        <v/>
      </c>
      <c r="P1467" s="396">
        <f>IFERROR(_xlfn.MINIFS($M:$M,$E:$E,$E1467,$K:$K,$K1467,$M:$M,"&gt;"&amp;$O1467),"")</f>
        <v/>
      </c>
      <c r="Q1467" s="396">
        <f>IF($P1467="","",$P1467-$O1467)</f>
        <v/>
      </c>
    </row>
    <row r="1468" ht="15" customHeight="1" s="231">
      <c r="A1468" s="397" t="n"/>
      <c r="B1468" s="397" t="n"/>
      <c r="C1468" s="397" t="n"/>
      <c r="D1468" s="397" t="n"/>
      <c r="E1468" s="397" t="n"/>
      <c r="F1468" s="397" t="n"/>
      <c r="G1468" s="397" t="n"/>
      <c r="I1468" s="397" t="n"/>
      <c r="J1468" s="397" t="n"/>
      <c r="K1468" s="395">
        <f>DATE(VALUE(LEFT(A1468,4)),VALUE(MID(A1468,5,2)),VALUE(RIGHT(A1468,2)))</f>
        <v/>
      </c>
      <c r="L1468" s="395">
        <f>DATEVALUE(LEFT(F1468,10))</f>
        <v/>
      </c>
      <c r="M1468" s="396">
        <f>TIMEVALUE(MID(F1468,12,8))</f>
        <v/>
      </c>
      <c r="N1468" s="395">
        <f>DATEVALUE(LEFT(G1468,10))</f>
        <v/>
      </c>
      <c r="O1468" s="396">
        <f>TIMEVALUE(MID(G1468,12,8))</f>
        <v/>
      </c>
      <c r="P1468" s="396">
        <f>IFERROR(_xlfn.MINIFS($M:$M,$E:$E,$E1468,$K:$K,$K1468,$M:$M,"&gt;"&amp;$O1468),"")</f>
        <v/>
      </c>
      <c r="Q1468" s="396">
        <f>IF($P1468="","",$P1468-$O1468)</f>
        <v/>
      </c>
    </row>
    <row r="1469" ht="15" customHeight="1" s="231">
      <c r="A1469" s="397" t="n"/>
      <c r="B1469" s="397" t="n"/>
      <c r="C1469" s="397" t="n"/>
      <c r="D1469" s="397" t="n"/>
      <c r="E1469" s="397" t="n"/>
      <c r="F1469" s="397" t="n"/>
      <c r="G1469" s="397" t="n"/>
      <c r="I1469" s="397" t="n"/>
      <c r="J1469" s="397" t="n"/>
      <c r="K1469" s="395">
        <f>DATE(VALUE(LEFT(A1469,4)),VALUE(MID(A1469,5,2)),VALUE(RIGHT(A1469,2)))</f>
        <v/>
      </c>
      <c r="L1469" s="395">
        <f>DATEVALUE(LEFT(F1469,10))</f>
        <v/>
      </c>
      <c r="M1469" s="396">
        <f>TIMEVALUE(MID(F1469,12,8))</f>
        <v/>
      </c>
      <c r="N1469" s="395">
        <f>DATEVALUE(LEFT(G1469,10))</f>
        <v/>
      </c>
      <c r="O1469" s="396">
        <f>TIMEVALUE(MID(G1469,12,8))</f>
        <v/>
      </c>
      <c r="P1469" s="396">
        <f>IFERROR(_xlfn.MINIFS($M:$M,$E:$E,$E1469,$K:$K,$K1469,$M:$M,"&gt;"&amp;$O1469),"")</f>
        <v/>
      </c>
      <c r="Q1469" s="396">
        <f>IF($P1469="","",$P1469-$O1469)</f>
        <v/>
      </c>
    </row>
    <row r="1470" ht="15" customHeight="1" s="231">
      <c r="A1470" s="397" t="n"/>
      <c r="B1470" s="397" t="n"/>
      <c r="C1470" s="397" t="n"/>
      <c r="D1470" s="397" t="n"/>
      <c r="E1470" s="397" t="n"/>
      <c r="F1470" s="397" t="n"/>
      <c r="G1470" s="397" t="n"/>
      <c r="I1470" s="397" t="n"/>
      <c r="J1470" s="397" t="n"/>
      <c r="K1470" s="395">
        <f>DATE(VALUE(LEFT(A1470,4)),VALUE(MID(A1470,5,2)),VALUE(RIGHT(A1470,2)))</f>
        <v/>
      </c>
      <c r="L1470" s="395">
        <f>DATEVALUE(LEFT(F1470,10))</f>
        <v/>
      </c>
      <c r="M1470" s="396">
        <f>TIMEVALUE(MID(F1470,12,8))</f>
        <v/>
      </c>
      <c r="N1470" s="395">
        <f>DATEVALUE(LEFT(G1470,10))</f>
        <v/>
      </c>
      <c r="O1470" s="396">
        <f>TIMEVALUE(MID(G1470,12,8))</f>
        <v/>
      </c>
      <c r="P1470" s="396">
        <f>IFERROR(_xlfn.MINIFS($M:$M,$E:$E,$E1470,$K:$K,$K1470,$M:$M,"&gt;"&amp;$O1470),"")</f>
        <v/>
      </c>
      <c r="Q1470" s="396">
        <f>IF($P1470="","",$P1470-$O1470)</f>
        <v/>
      </c>
    </row>
    <row r="1471" ht="15" customHeight="1" s="231">
      <c r="A1471" s="397" t="n"/>
      <c r="B1471" s="397" t="n"/>
      <c r="C1471" s="397" t="n"/>
      <c r="D1471" s="397" t="n"/>
      <c r="E1471" s="397" t="n"/>
      <c r="F1471" s="397" t="n"/>
      <c r="G1471" s="397" t="n"/>
      <c r="I1471" s="397" t="n"/>
      <c r="J1471" s="397" t="n"/>
      <c r="K1471" s="395">
        <f>DATE(VALUE(LEFT(A1471,4)),VALUE(MID(A1471,5,2)),VALUE(RIGHT(A1471,2)))</f>
        <v/>
      </c>
      <c r="L1471" s="395">
        <f>DATEVALUE(LEFT(F1471,10))</f>
        <v/>
      </c>
      <c r="M1471" s="396">
        <f>TIMEVALUE(MID(F1471,12,8))</f>
        <v/>
      </c>
      <c r="N1471" s="395">
        <f>DATEVALUE(LEFT(G1471,10))</f>
        <v/>
      </c>
      <c r="O1471" s="396">
        <f>TIMEVALUE(MID(G1471,12,8))</f>
        <v/>
      </c>
      <c r="P1471" s="396">
        <f>IFERROR(_xlfn.MINIFS($M:$M,$E:$E,$E1471,$K:$K,$K1471,$M:$M,"&gt;"&amp;$O1471),"")</f>
        <v/>
      </c>
      <c r="Q1471" s="396">
        <f>IF($P1471="","",$P1471-$O1471)</f>
        <v/>
      </c>
    </row>
    <row r="1472" ht="15" customHeight="1" s="231">
      <c r="A1472" s="397" t="n"/>
      <c r="B1472" s="397" t="n"/>
      <c r="C1472" s="397" t="n"/>
      <c r="D1472" s="397" t="n"/>
      <c r="E1472" s="397" t="n"/>
      <c r="F1472" s="397" t="n"/>
      <c r="G1472" s="397" t="n"/>
      <c r="I1472" s="397" t="n"/>
      <c r="J1472" s="397" t="n"/>
      <c r="K1472" s="395">
        <f>DATE(VALUE(LEFT(A1472,4)),VALUE(MID(A1472,5,2)),VALUE(RIGHT(A1472,2)))</f>
        <v/>
      </c>
      <c r="L1472" s="395">
        <f>DATEVALUE(LEFT(F1472,10))</f>
        <v/>
      </c>
      <c r="M1472" s="396">
        <f>TIMEVALUE(MID(F1472,12,8))</f>
        <v/>
      </c>
      <c r="N1472" s="395">
        <f>DATEVALUE(LEFT(G1472,10))</f>
        <v/>
      </c>
      <c r="O1472" s="396">
        <f>TIMEVALUE(MID(G1472,12,8))</f>
        <v/>
      </c>
      <c r="P1472" s="396">
        <f>IFERROR(_xlfn.MINIFS($M:$M,$E:$E,$E1472,$K:$K,$K1472,$M:$M,"&gt;"&amp;$O1472),"")</f>
        <v/>
      </c>
      <c r="Q1472" s="396">
        <f>IF($P1472="","",$P1472-$O1472)</f>
        <v/>
      </c>
    </row>
    <row r="1473" ht="15" customHeight="1" s="231">
      <c r="A1473" s="397" t="n"/>
      <c r="B1473" s="397" t="n"/>
      <c r="C1473" s="397" t="n"/>
      <c r="D1473" s="397" t="n"/>
      <c r="E1473" s="397" t="n"/>
      <c r="F1473" s="397" t="n"/>
      <c r="G1473" s="397" t="n"/>
      <c r="I1473" s="397" t="n"/>
      <c r="J1473" s="397" t="n"/>
      <c r="K1473" s="395">
        <f>DATE(VALUE(LEFT(A1473,4)),VALUE(MID(A1473,5,2)),VALUE(RIGHT(A1473,2)))</f>
        <v/>
      </c>
      <c r="L1473" s="395">
        <f>DATEVALUE(LEFT(F1473,10))</f>
        <v/>
      </c>
      <c r="M1473" s="396">
        <f>TIMEVALUE(MID(F1473,12,8))</f>
        <v/>
      </c>
      <c r="N1473" s="395">
        <f>DATEVALUE(LEFT(G1473,10))</f>
        <v/>
      </c>
      <c r="O1473" s="396">
        <f>TIMEVALUE(MID(G1473,12,8))</f>
        <v/>
      </c>
      <c r="P1473" s="396">
        <f>IFERROR(_xlfn.MINIFS($M:$M,$E:$E,$E1473,$K:$K,$K1473,$M:$M,"&gt;"&amp;$O1473),"")</f>
        <v/>
      </c>
      <c r="Q1473" s="396">
        <f>IF($P1473="","",$P1473-$O1473)</f>
        <v/>
      </c>
    </row>
    <row r="1474" ht="15" customHeight="1" s="231">
      <c r="A1474" s="397" t="n"/>
      <c r="B1474" s="397" t="n"/>
      <c r="C1474" s="397" t="n"/>
      <c r="D1474" s="397" t="n"/>
      <c r="E1474" s="397" t="n"/>
      <c r="F1474" s="397" t="n"/>
      <c r="G1474" s="397" t="n"/>
      <c r="I1474" s="397" t="n"/>
      <c r="J1474" s="397" t="n"/>
      <c r="K1474" s="395">
        <f>DATE(VALUE(LEFT(A1474,4)),VALUE(MID(A1474,5,2)),VALUE(RIGHT(A1474,2)))</f>
        <v/>
      </c>
      <c r="L1474" s="395">
        <f>DATEVALUE(LEFT(F1474,10))</f>
        <v/>
      </c>
      <c r="M1474" s="396">
        <f>TIMEVALUE(MID(F1474,12,8))</f>
        <v/>
      </c>
      <c r="N1474" s="395">
        <f>DATEVALUE(LEFT(G1474,10))</f>
        <v/>
      </c>
      <c r="O1474" s="396">
        <f>TIMEVALUE(MID(G1474,12,8))</f>
        <v/>
      </c>
      <c r="P1474" s="396">
        <f>IFERROR(_xlfn.MINIFS($M:$M,$E:$E,$E1474,$K:$K,$K1474,$M:$M,"&gt;"&amp;$O1474),"")</f>
        <v/>
      </c>
      <c r="Q1474" s="396">
        <f>IF($P1474="","",$P1474-$O1474)</f>
        <v/>
      </c>
    </row>
    <row r="1475" ht="15" customHeight="1" s="231">
      <c r="A1475" s="397" t="n"/>
      <c r="B1475" s="397" t="n"/>
      <c r="C1475" s="397" t="n"/>
      <c r="D1475" s="397" t="n"/>
      <c r="E1475" s="397" t="n"/>
      <c r="F1475" s="397" t="n"/>
      <c r="G1475" s="397" t="n"/>
      <c r="I1475" s="397" t="n"/>
      <c r="J1475" s="397" t="n"/>
      <c r="K1475" s="395">
        <f>DATE(VALUE(LEFT(A1475,4)),VALUE(MID(A1475,5,2)),VALUE(RIGHT(A1475,2)))</f>
        <v/>
      </c>
      <c r="L1475" s="395">
        <f>DATEVALUE(LEFT(F1475,10))</f>
        <v/>
      </c>
      <c r="M1475" s="396">
        <f>TIMEVALUE(MID(F1475,12,8))</f>
        <v/>
      </c>
      <c r="N1475" s="395">
        <f>DATEVALUE(LEFT(G1475,10))</f>
        <v/>
      </c>
      <c r="O1475" s="396">
        <f>TIMEVALUE(MID(G1475,12,8))</f>
        <v/>
      </c>
      <c r="P1475" s="396">
        <f>IFERROR(_xlfn.MINIFS($M:$M,$E:$E,$E1475,$K:$K,$K1475,$M:$M,"&gt;"&amp;$O1475),"")</f>
        <v/>
      </c>
      <c r="Q1475" s="396">
        <f>IF($P1475="","",$P1475-$O1475)</f>
        <v/>
      </c>
    </row>
    <row r="1476" ht="15" customHeight="1" s="231">
      <c r="A1476" s="397" t="n"/>
      <c r="B1476" s="397" t="n"/>
      <c r="C1476" s="397" t="n"/>
      <c r="D1476" s="397" t="n"/>
      <c r="E1476" s="397" t="n"/>
      <c r="F1476" s="397" t="n"/>
      <c r="G1476" s="397" t="n"/>
      <c r="I1476" s="397" t="n"/>
      <c r="J1476" s="397" t="n"/>
      <c r="K1476" s="395">
        <f>DATE(VALUE(LEFT(A1476,4)),VALUE(MID(A1476,5,2)),VALUE(RIGHT(A1476,2)))</f>
        <v/>
      </c>
      <c r="L1476" s="395">
        <f>DATEVALUE(LEFT(F1476,10))</f>
        <v/>
      </c>
      <c r="M1476" s="396">
        <f>TIMEVALUE(MID(F1476,12,8))</f>
        <v/>
      </c>
      <c r="N1476" s="395">
        <f>DATEVALUE(LEFT(G1476,10))</f>
        <v/>
      </c>
      <c r="O1476" s="396">
        <f>TIMEVALUE(MID(G1476,12,8))</f>
        <v/>
      </c>
      <c r="P1476" s="396">
        <f>IFERROR(_xlfn.MINIFS($M:$M,$E:$E,$E1476,$K:$K,$K1476,$M:$M,"&gt;"&amp;$O1476),"")</f>
        <v/>
      </c>
      <c r="Q1476" s="396">
        <f>IF($P1476="","",$P1476-$O1476)</f>
        <v/>
      </c>
    </row>
    <row r="1477" ht="15" customHeight="1" s="231">
      <c r="A1477" s="397" t="n"/>
      <c r="B1477" s="397" t="n"/>
      <c r="C1477" s="397" t="n"/>
      <c r="D1477" s="397" t="n"/>
      <c r="E1477" s="397" t="n"/>
      <c r="F1477" s="397" t="n"/>
      <c r="G1477" s="397" t="n"/>
      <c r="I1477" s="397" t="n"/>
      <c r="J1477" s="397" t="n"/>
      <c r="K1477" s="395">
        <f>DATE(VALUE(LEFT(A1477,4)),VALUE(MID(A1477,5,2)),VALUE(RIGHT(A1477,2)))</f>
        <v/>
      </c>
      <c r="L1477" s="395">
        <f>DATEVALUE(LEFT(F1477,10))</f>
        <v/>
      </c>
      <c r="M1477" s="396">
        <f>TIMEVALUE(MID(F1477,12,8))</f>
        <v/>
      </c>
      <c r="N1477" s="395">
        <f>DATEVALUE(LEFT(G1477,10))</f>
        <v/>
      </c>
      <c r="O1477" s="396">
        <f>TIMEVALUE(MID(G1477,12,8))</f>
        <v/>
      </c>
      <c r="P1477" s="396">
        <f>IFERROR(_xlfn.MINIFS($M:$M,$E:$E,$E1477,$K:$K,$K1477,$M:$M,"&gt;"&amp;$O1477),"")</f>
        <v/>
      </c>
      <c r="Q1477" s="396">
        <f>IF($P1477="","",$P1477-$O1477)</f>
        <v/>
      </c>
    </row>
    <row r="1478" ht="15" customHeight="1" s="231">
      <c r="A1478" s="397" t="n"/>
      <c r="B1478" s="397" t="n"/>
      <c r="C1478" s="397" t="n"/>
      <c r="D1478" s="397" t="n"/>
      <c r="E1478" s="397" t="n"/>
      <c r="F1478" s="397" t="n"/>
      <c r="G1478" s="397" t="n"/>
      <c r="I1478" s="397" t="n"/>
      <c r="J1478" s="397" t="n"/>
      <c r="K1478" s="395">
        <f>DATE(VALUE(LEFT(A1478,4)),VALUE(MID(A1478,5,2)),VALUE(RIGHT(A1478,2)))</f>
        <v/>
      </c>
      <c r="L1478" s="395">
        <f>DATEVALUE(LEFT(F1478,10))</f>
        <v/>
      </c>
      <c r="M1478" s="396">
        <f>TIMEVALUE(MID(F1478,12,8))</f>
        <v/>
      </c>
      <c r="N1478" s="395">
        <f>DATEVALUE(LEFT(G1478,10))</f>
        <v/>
      </c>
      <c r="O1478" s="396">
        <f>TIMEVALUE(MID(G1478,12,8))</f>
        <v/>
      </c>
      <c r="P1478" s="396">
        <f>IFERROR(_xlfn.MINIFS($M:$M,$E:$E,$E1478,$K:$K,$K1478,$M:$M,"&gt;"&amp;$O1478),"")</f>
        <v/>
      </c>
      <c r="Q1478" s="396">
        <f>IF($P1478="","",$P1478-$O1478)</f>
        <v/>
      </c>
    </row>
    <row r="1479" ht="15" customHeight="1" s="231">
      <c r="A1479" s="397" t="n"/>
      <c r="B1479" s="397" t="n"/>
      <c r="C1479" s="397" t="n"/>
      <c r="D1479" s="397" t="n"/>
      <c r="E1479" s="397" t="n"/>
      <c r="F1479" s="397" t="n"/>
      <c r="G1479" s="397" t="n"/>
      <c r="I1479" s="397" t="n"/>
      <c r="J1479" s="397" t="n"/>
      <c r="K1479" s="395">
        <f>DATE(VALUE(LEFT(A1479,4)),VALUE(MID(A1479,5,2)),VALUE(RIGHT(A1479,2)))</f>
        <v/>
      </c>
      <c r="L1479" s="395">
        <f>DATEVALUE(LEFT(F1479,10))</f>
        <v/>
      </c>
      <c r="M1479" s="396">
        <f>TIMEVALUE(MID(F1479,12,8))</f>
        <v/>
      </c>
      <c r="N1479" s="395">
        <f>DATEVALUE(LEFT(G1479,10))</f>
        <v/>
      </c>
      <c r="O1479" s="396">
        <f>TIMEVALUE(MID(G1479,12,8))</f>
        <v/>
      </c>
      <c r="P1479" s="396">
        <f>IFERROR(_xlfn.MINIFS($M:$M,$E:$E,$E1479,$K:$K,$K1479,$M:$M,"&gt;"&amp;$O1479),"")</f>
        <v/>
      </c>
      <c r="Q1479" s="396">
        <f>IF($P1479="","",$P1479-$O1479)</f>
        <v/>
      </c>
    </row>
    <row r="1480" ht="15" customHeight="1" s="231">
      <c r="A1480" s="397" t="n"/>
      <c r="B1480" s="397" t="n"/>
      <c r="C1480" s="397" t="n"/>
      <c r="D1480" s="397" t="n"/>
      <c r="E1480" s="397" t="n"/>
      <c r="F1480" s="397" t="n"/>
      <c r="G1480" s="397" t="n"/>
      <c r="I1480" s="397" t="n"/>
      <c r="J1480" s="397" t="n"/>
      <c r="K1480" s="395">
        <f>DATE(VALUE(LEFT(A1480,4)),VALUE(MID(A1480,5,2)),VALUE(RIGHT(A1480,2)))</f>
        <v/>
      </c>
      <c r="L1480" s="395">
        <f>DATEVALUE(LEFT(F1480,10))</f>
        <v/>
      </c>
      <c r="M1480" s="396">
        <f>TIMEVALUE(MID(F1480,12,8))</f>
        <v/>
      </c>
      <c r="N1480" s="395">
        <f>DATEVALUE(LEFT(G1480,10))</f>
        <v/>
      </c>
      <c r="O1480" s="396">
        <f>TIMEVALUE(MID(G1480,12,8))</f>
        <v/>
      </c>
      <c r="P1480" s="396">
        <f>IFERROR(_xlfn.MINIFS($M:$M,$E:$E,$E1480,$K:$K,$K1480,$M:$M,"&gt;"&amp;$O1480),"")</f>
        <v/>
      </c>
      <c r="Q1480" s="396">
        <f>IF($P1480="","",$P1480-$O1480)</f>
        <v/>
      </c>
    </row>
    <row r="1481" ht="15" customHeight="1" s="231">
      <c r="A1481" s="397" t="n"/>
      <c r="B1481" s="397" t="n"/>
      <c r="C1481" s="397" t="n"/>
      <c r="D1481" s="397" t="n"/>
      <c r="E1481" s="397" t="n"/>
      <c r="F1481" s="397" t="n"/>
      <c r="G1481" s="397" t="n"/>
      <c r="I1481" s="397" t="n"/>
      <c r="J1481" s="397" t="n"/>
      <c r="K1481" s="395">
        <f>DATE(VALUE(LEFT(A1481,4)),VALUE(MID(A1481,5,2)),VALUE(RIGHT(A1481,2)))</f>
        <v/>
      </c>
      <c r="L1481" s="395">
        <f>DATEVALUE(LEFT(F1481,10))</f>
        <v/>
      </c>
      <c r="M1481" s="396">
        <f>TIMEVALUE(MID(F1481,12,8))</f>
        <v/>
      </c>
      <c r="N1481" s="395">
        <f>DATEVALUE(LEFT(G1481,10))</f>
        <v/>
      </c>
      <c r="O1481" s="396">
        <f>TIMEVALUE(MID(G1481,12,8))</f>
        <v/>
      </c>
      <c r="P1481" s="396">
        <f>IFERROR(_xlfn.MINIFS($M:$M,$E:$E,$E1481,$K:$K,$K1481,$M:$M,"&gt;"&amp;$O1481),"")</f>
        <v/>
      </c>
      <c r="Q1481" s="396">
        <f>IF($P1481="","",$P1481-$O1481)</f>
        <v/>
      </c>
    </row>
    <row r="1482" ht="15" customHeight="1" s="231">
      <c r="A1482" s="397" t="n"/>
      <c r="B1482" s="397" t="n"/>
      <c r="C1482" s="397" t="n"/>
      <c r="D1482" s="397" t="n"/>
      <c r="E1482" s="397" t="n"/>
      <c r="F1482" s="397" t="n"/>
      <c r="G1482" s="397" t="n"/>
      <c r="I1482" s="397" t="n"/>
      <c r="J1482" s="397" t="n"/>
      <c r="K1482" s="395">
        <f>DATE(VALUE(LEFT(A1482,4)),VALUE(MID(A1482,5,2)),VALUE(RIGHT(A1482,2)))</f>
        <v/>
      </c>
      <c r="L1482" s="395">
        <f>DATEVALUE(LEFT(F1482,10))</f>
        <v/>
      </c>
      <c r="M1482" s="396">
        <f>TIMEVALUE(MID(F1482,12,8))</f>
        <v/>
      </c>
      <c r="N1482" s="395">
        <f>DATEVALUE(LEFT(G1482,10))</f>
        <v/>
      </c>
      <c r="O1482" s="396">
        <f>TIMEVALUE(MID(G1482,12,8))</f>
        <v/>
      </c>
      <c r="P1482" s="396">
        <f>IFERROR(_xlfn.MINIFS($M:$M,$E:$E,$E1482,$K:$K,$K1482,$M:$M,"&gt;"&amp;$O1482),"")</f>
        <v/>
      </c>
      <c r="Q1482" s="396">
        <f>IF($P1482="","",$P1482-$O1482)</f>
        <v/>
      </c>
    </row>
    <row r="1483" ht="15" customHeight="1" s="231">
      <c r="A1483" s="397" t="n"/>
      <c r="B1483" s="397" t="n"/>
      <c r="C1483" s="397" t="n"/>
      <c r="D1483" s="397" t="n"/>
      <c r="E1483" s="397" t="n"/>
      <c r="F1483" s="397" t="n"/>
      <c r="G1483" s="397" t="n"/>
      <c r="I1483" s="397" t="n"/>
      <c r="J1483" s="397" t="n"/>
      <c r="K1483" s="395">
        <f>DATE(VALUE(LEFT(A1483,4)),VALUE(MID(A1483,5,2)),VALUE(RIGHT(A1483,2)))</f>
        <v/>
      </c>
      <c r="L1483" s="395">
        <f>DATEVALUE(LEFT(F1483,10))</f>
        <v/>
      </c>
      <c r="M1483" s="396">
        <f>TIMEVALUE(MID(F1483,12,8))</f>
        <v/>
      </c>
      <c r="N1483" s="395">
        <f>DATEVALUE(LEFT(G1483,10))</f>
        <v/>
      </c>
      <c r="O1483" s="396">
        <f>TIMEVALUE(MID(G1483,12,8))</f>
        <v/>
      </c>
      <c r="P1483" s="396">
        <f>IFERROR(_xlfn.MINIFS($M:$M,$E:$E,$E1483,$K:$K,$K1483,$M:$M,"&gt;"&amp;$O1483),"")</f>
        <v/>
      </c>
      <c r="Q1483" s="396">
        <f>IF($P1483="","",$P1483-$O1483)</f>
        <v/>
      </c>
    </row>
    <row r="1484" ht="15" customHeight="1" s="231">
      <c r="A1484" s="397" t="n"/>
      <c r="B1484" s="397" t="n"/>
      <c r="C1484" s="397" t="n"/>
      <c r="D1484" s="397" t="n"/>
      <c r="E1484" s="397" t="n"/>
      <c r="F1484" s="397" t="n"/>
      <c r="G1484" s="397" t="n"/>
      <c r="I1484" s="397" t="n"/>
      <c r="J1484" s="397" t="n"/>
      <c r="K1484" s="395">
        <f>DATE(VALUE(LEFT(A1484,4)),VALUE(MID(A1484,5,2)),VALUE(RIGHT(A1484,2)))</f>
        <v/>
      </c>
      <c r="L1484" s="395">
        <f>DATEVALUE(LEFT(F1484,10))</f>
        <v/>
      </c>
      <c r="M1484" s="396">
        <f>TIMEVALUE(MID(F1484,12,8))</f>
        <v/>
      </c>
      <c r="N1484" s="395">
        <f>DATEVALUE(LEFT(G1484,10))</f>
        <v/>
      </c>
      <c r="O1484" s="396">
        <f>TIMEVALUE(MID(G1484,12,8))</f>
        <v/>
      </c>
      <c r="P1484" s="396">
        <f>IFERROR(_xlfn.MINIFS($M:$M,$E:$E,$E1484,$K:$K,$K1484,$M:$M,"&gt;"&amp;$O1484),"")</f>
        <v/>
      </c>
      <c r="Q1484" s="396">
        <f>IF($P1484="","",$P1484-$O1484)</f>
        <v/>
      </c>
    </row>
    <row r="1485" ht="15" customHeight="1" s="231">
      <c r="A1485" s="397" t="n"/>
      <c r="B1485" s="397" t="n"/>
      <c r="C1485" s="397" t="n"/>
      <c r="D1485" s="397" t="n"/>
      <c r="E1485" s="397" t="n"/>
      <c r="F1485" s="397" t="n"/>
      <c r="G1485" s="397" t="n"/>
      <c r="I1485" s="397" t="n"/>
      <c r="J1485" s="397" t="n"/>
      <c r="K1485" s="395">
        <f>DATE(VALUE(LEFT(A1485,4)),VALUE(MID(A1485,5,2)),VALUE(RIGHT(A1485,2)))</f>
        <v/>
      </c>
      <c r="L1485" s="395">
        <f>DATEVALUE(LEFT(F1485,10))</f>
        <v/>
      </c>
      <c r="M1485" s="396">
        <f>TIMEVALUE(MID(F1485,12,8))</f>
        <v/>
      </c>
      <c r="N1485" s="395">
        <f>DATEVALUE(LEFT(G1485,10))</f>
        <v/>
      </c>
      <c r="O1485" s="396">
        <f>TIMEVALUE(MID(G1485,12,8))</f>
        <v/>
      </c>
      <c r="P1485" s="396">
        <f>IFERROR(_xlfn.MINIFS($M:$M,$E:$E,$E1485,$K:$K,$K1485,$M:$M,"&gt;"&amp;$O1485),"")</f>
        <v/>
      </c>
      <c r="Q1485" s="396">
        <f>IF($P1485="","",$P1485-$O1485)</f>
        <v/>
      </c>
    </row>
    <row r="1486" ht="15" customHeight="1" s="231">
      <c r="A1486" s="397" t="n"/>
      <c r="B1486" s="397" t="n"/>
      <c r="C1486" s="397" t="n"/>
      <c r="D1486" s="397" t="n"/>
      <c r="E1486" s="397" t="n"/>
      <c r="F1486" s="397" t="n"/>
      <c r="G1486" s="397" t="n"/>
      <c r="I1486" s="397" t="n"/>
      <c r="J1486" s="397" t="n"/>
      <c r="K1486" s="395">
        <f>DATE(VALUE(LEFT(A1486,4)),VALUE(MID(A1486,5,2)),VALUE(RIGHT(A1486,2)))</f>
        <v/>
      </c>
      <c r="L1486" s="395">
        <f>DATEVALUE(LEFT(F1486,10))</f>
        <v/>
      </c>
      <c r="M1486" s="396">
        <f>TIMEVALUE(MID(F1486,12,8))</f>
        <v/>
      </c>
      <c r="N1486" s="395">
        <f>DATEVALUE(LEFT(G1486,10))</f>
        <v/>
      </c>
      <c r="O1486" s="396">
        <f>TIMEVALUE(MID(G1486,12,8))</f>
        <v/>
      </c>
      <c r="P1486" s="396">
        <f>IFERROR(_xlfn.MINIFS($M:$M,$E:$E,$E1486,$K:$K,$K1486,$M:$M,"&gt;"&amp;$O1486),"")</f>
        <v/>
      </c>
      <c r="Q1486" s="396">
        <f>IF($P1486="","",$P1486-$O1486)</f>
        <v/>
      </c>
    </row>
    <row r="1487" ht="15" customHeight="1" s="231">
      <c r="A1487" s="397" t="n"/>
      <c r="B1487" s="397" t="n"/>
      <c r="C1487" s="397" t="n"/>
      <c r="D1487" s="397" t="n"/>
      <c r="E1487" s="397" t="n"/>
      <c r="F1487" s="397" t="n"/>
      <c r="G1487" s="397" t="n"/>
      <c r="I1487" s="397" t="n"/>
      <c r="J1487" s="397" t="n"/>
      <c r="K1487" s="395">
        <f>DATE(VALUE(LEFT(A1487,4)),VALUE(MID(A1487,5,2)),VALUE(RIGHT(A1487,2)))</f>
        <v/>
      </c>
      <c r="L1487" s="395">
        <f>DATEVALUE(LEFT(F1487,10))</f>
        <v/>
      </c>
      <c r="M1487" s="396">
        <f>TIMEVALUE(MID(F1487,12,8))</f>
        <v/>
      </c>
      <c r="N1487" s="395">
        <f>DATEVALUE(LEFT(G1487,10))</f>
        <v/>
      </c>
      <c r="O1487" s="396">
        <f>TIMEVALUE(MID(G1487,12,8))</f>
        <v/>
      </c>
      <c r="P1487" s="396">
        <f>IFERROR(_xlfn.MINIFS($M:$M,$E:$E,$E1487,$K:$K,$K1487,$M:$M,"&gt;"&amp;$O1487),"")</f>
        <v/>
      </c>
      <c r="Q1487" s="396">
        <f>IF($P1487="","",$P1487-$O1487)</f>
        <v/>
      </c>
    </row>
    <row r="1488" ht="15" customHeight="1" s="231">
      <c r="A1488" s="397" t="n"/>
      <c r="B1488" s="397" t="n"/>
      <c r="C1488" s="397" t="n"/>
      <c r="D1488" s="397" t="n"/>
      <c r="E1488" s="397" t="n"/>
      <c r="F1488" s="397" t="n"/>
      <c r="G1488" s="397" t="n"/>
      <c r="I1488" s="397" t="n"/>
      <c r="J1488" s="397" t="n"/>
      <c r="K1488" s="395">
        <f>DATE(VALUE(LEFT(A1488,4)),VALUE(MID(A1488,5,2)),VALUE(RIGHT(A1488,2)))</f>
        <v/>
      </c>
      <c r="L1488" s="395">
        <f>DATEVALUE(LEFT(F1488,10))</f>
        <v/>
      </c>
      <c r="M1488" s="396">
        <f>TIMEVALUE(MID(F1488,12,8))</f>
        <v/>
      </c>
      <c r="N1488" s="395">
        <f>DATEVALUE(LEFT(G1488,10))</f>
        <v/>
      </c>
      <c r="O1488" s="396">
        <f>TIMEVALUE(MID(G1488,12,8))</f>
        <v/>
      </c>
      <c r="P1488" s="396">
        <f>IFERROR(_xlfn.MINIFS($M:$M,$E:$E,$E1488,$K:$K,$K1488,$M:$M,"&gt;"&amp;$O1488),"")</f>
        <v/>
      </c>
      <c r="Q1488" s="396">
        <f>IF($P1488="","",$P1488-$O1488)</f>
        <v/>
      </c>
    </row>
    <row r="1489" ht="15" customHeight="1" s="231">
      <c r="A1489" s="397" t="n"/>
      <c r="B1489" s="397" t="n"/>
      <c r="C1489" s="397" t="n"/>
      <c r="D1489" s="397" t="n"/>
      <c r="E1489" s="397" t="n"/>
      <c r="F1489" s="397" t="n"/>
      <c r="G1489" s="397" t="n"/>
      <c r="I1489" s="397" t="n"/>
      <c r="J1489" s="397" t="n"/>
      <c r="K1489" s="395">
        <f>DATE(VALUE(LEFT(A1489,4)),VALUE(MID(A1489,5,2)),VALUE(RIGHT(A1489,2)))</f>
        <v/>
      </c>
      <c r="L1489" s="395">
        <f>DATEVALUE(LEFT(F1489,10))</f>
        <v/>
      </c>
      <c r="M1489" s="396">
        <f>TIMEVALUE(MID(F1489,12,8))</f>
        <v/>
      </c>
      <c r="N1489" s="395">
        <f>DATEVALUE(LEFT(G1489,10))</f>
        <v/>
      </c>
      <c r="O1489" s="396">
        <f>TIMEVALUE(MID(G1489,12,8))</f>
        <v/>
      </c>
      <c r="P1489" s="396">
        <f>IFERROR(_xlfn.MINIFS($M:$M,$E:$E,$E1489,$K:$K,$K1489,$M:$M,"&gt;"&amp;$O1489),"")</f>
        <v/>
      </c>
      <c r="Q1489" s="396">
        <f>IF($P1489="","",$P1489-$O1489)</f>
        <v/>
      </c>
    </row>
    <row r="1490" ht="15" customHeight="1" s="231">
      <c r="A1490" s="397" t="n"/>
      <c r="B1490" s="397" t="n"/>
      <c r="C1490" s="397" t="n"/>
      <c r="D1490" s="397" t="n"/>
      <c r="E1490" s="397" t="n"/>
      <c r="F1490" s="397" t="n"/>
      <c r="G1490" s="397" t="n"/>
      <c r="I1490" s="397" t="n"/>
      <c r="J1490" s="397" t="n"/>
      <c r="K1490" s="395">
        <f>DATE(VALUE(LEFT(A1490,4)),VALUE(MID(A1490,5,2)),VALUE(RIGHT(A1490,2)))</f>
        <v/>
      </c>
      <c r="L1490" s="395">
        <f>DATEVALUE(LEFT(F1490,10))</f>
        <v/>
      </c>
      <c r="M1490" s="396">
        <f>TIMEVALUE(MID(F1490,12,8))</f>
        <v/>
      </c>
      <c r="N1490" s="395">
        <f>DATEVALUE(LEFT(G1490,10))</f>
        <v/>
      </c>
      <c r="O1490" s="396">
        <f>TIMEVALUE(MID(G1490,12,8))</f>
        <v/>
      </c>
      <c r="P1490" s="396">
        <f>IFERROR(_xlfn.MINIFS($M:$M,$E:$E,$E1490,$K:$K,$K1490,$M:$M,"&gt;"&amp;$O1490),"")</f>
        <v/>
      </c>
      <c r="Q1490" s="396">
        <f>IF($P1490="","",$P1490-$O1490)</f>
        <v/>
      </c>
    </row>
    <row r="1491" ht="15" customHeight="1" s="231">
      <c r="A1491" s="397" t="n"/>
      <c r="B1491" s="397" t="n"/>
      <c r="C1491" s="397" t="n"/>
      <c r="D1491" s="397" t="n"/>
      <c r="E1491" s="397" t="n"/>
      <c r="F1491" s="397" t="n"/>
      <c r="G1491" s="397" t="n"/>
      <c r="I1491" s="397" t="n"/>
      <c r="J1491" s="397" t="n"/>
      <c r="K1491" s="395">
        <f>DATE(VALUE(LEFT(A1491,4)),VALUE(MID(A1491,5,2)),VALUE(RIGHT(A1491,2)))</f>
        <v/>
      </c>
      <c r="L1491" s="395">
        <f>DATEVALUE(LEFT(F1491,10))</f>
        <v/>
      </c>
      <c r="M1491" s="396">
        <f>TIMEVALUE(MID(F1491,12,8))</f>
        <v/>
      </c>
      <c r="N1491" s="395">
        <f>DATEVALUE(LEFT(G1491,10))</f>
        <v/>
      </c>
      <c r="O1491" s="396">
        <f>TIMEVALUE(MID(G1491,12,8))</f>
        <v/>
      </c>
      <c r="P1491" s="396">
        <f>IFERROR(_xlfn.MINIFS($M:$M,$E:$E,$E1491,$K:$K,$K1491,$M:$M,"&gt;"&amp;$O1491),"")</f>
        <v/>
      </c>
      <c r="Q1491" s="396">
        <f>IF($P1491="","",$P1491-$O1491)</f>
        <v/>
      </c>
    </row>
    <row r="1492" ht="15" customHeight="1" s="231">
      <c r="A1492" s="397" t="n"/>
      <c r="B1492" s="397" t="n"/>
      <c r="C1492" s="397" t="n"/>
      <c r="D1492" s="397" t="n"/>
      <c r="E1492" s="397" t="n"/>
      <c r="F1492" s="397" t="n"/>
      <c r="G1492" s="397" t="n"/>
      <c r="I1492" s="397" t="n"/>
      <c r="J1492" s="397" t="n"/>
      <c r="K1492" s="395">
        <f>DATE(VALUE(LEFT(A1492,4)),VALUE(MID(A1492,5,2)),VALUE(RIGHT(A1492,2)))</f>
        <v/>
      </c>
      <c r="L1492" s="395">
        <f>DATEVALUE(LEFT(F1492,10))</f>
        <v/>
      </c>
      <c r="M1492" s="396">
        <f>TIMEVALUE(MID(F1492,12,8))</f>
        <v/>
      </c>
      <c r="N1492" s="395">
        <f>DATEVALUE(LEFT(G1492,10))</f>
        <v/>
      </c>
      <c r="O1492" s="396">
        <f>TIMEVALUE(MID(G1492,12,8))</f>
        <v/>
      </c>
      <c r="P1492" s="396">
        <f>IFERROR(_xlfn.MINIFS($M:$M,$E:$E,$E1492,$K:$K,$K1492,$M:$M,"&gt;"&amp;$O1492),"")</f>
        <v/>
      </c>
      <c r="Q1492" s="396">
        <f>IF($P1492="","",$P1492-$O1492)</f>
        <v/>
      </c>
    </row>
    <row r="1493" ht="15" customHeight="1" s="231">
      <c r="A1493" s="397" t="n"/>
      <c r="B1493" s="397" t="n"/>
      <c r="C1493" s="397" t="n"/>
      <c r="D1493" s="397" t="n"/>
      <c r="E1493" s="397" t="n"/>
      <c r="F1493" s="397" t="n"/>
      <c r="G1493" s="397" t="n"/>
      <c r="I1493" s="397" t="n"/>
      <c r="J1493" s="397" t="n"/>
      <c r="K1493" s="395">
        <f>DATE(VALUE(LEFT(A1493,4)),VALUE(MID(A1493,5,2)),VALUE(RIGHT(A1493,2)))</f>
        <v/>
      </c>
      <c r="L1493" s="395">
        <f>DATEVALUE(LEFT(F1493,10))</f>
        <v/>
      </c>
      <c r="M1493" s="396">
        <f>TIMEVALUE(MID(F1493,12,8))</f>
        <v/>
      </c>
      <c r="N1493" s="395">
        <f>DATEVALUE(LEFT(G1493,10))</f>
        <v/>
      </c>
      <c r="O1493" s="396">
        <f>TIMEVALUE(MID(G1493,12,8))</f>
        <v/>
      </c>
      <c r="P1493" s="396">
        <f>IFERROR(_xlfn.MINIFS($M:$M,$E:$E,$E1493,$K:$K,$K1493,$M:$M,"&gt;"&amp;$O1493),"")</f>
        <v/>
      </c>
      <c r="Q1493" s="396">
        <f>IF($P1493="","",$P1493-$O1493)</f>
        <v/>
      </c>
    </row>
    <row r="1494" ht="15" customHeight="1" s="231">
      <c r="A1494" s="397" t="n"/>
      <c r="B1494" s="397" t="n"/>
      <c r="C1494" s="397" t="n"/>
      <c r="D1494" s="397" t="n"/>
      <c r="E1494" s="397" t="n"/>
      <c r="F1494" s="397" t="n"/>
      <c r="G1494" s="397" t="n"/>
      <c r="I1494" s="397" t="n"/>
      <c r="J1494" s="397" t="n"/>
      <c r="K1494" s="395">
        <f>DATE(VALUE(LEFT(A1494,4)),VALUE(MID(A1494,5,2)),VALUE(RIGHT(A1494,2)))</f>
        <v/>
      </c>
      <c r="L1494" s="395">
        <f>DATEVALUE(LEFT(F1494,10))</f>
        <v/>
      </c>
      <c r="M1494" s="396">
        <f>TIMEVALUE(MID(F1494,12,8))</f>
        <v/>
      </c>
      <c r="N1494" s="395">
        <f>DATEVALUE(LEFT(G1494,10))</f>
        <v/>
      </c>
      <c r="O1494" s="396">
        <f>TIMEVALUE(MID(G1494,12,8))</f>
        <v/>
      </c>
      <c r="P1494" s="396">
        <f>IFERROR(_xlfn.MINIFS($M:$M,$E:$E,$E1494,$K:$K,$K1494,$M:$M,"&gt;"&amp;$O1494),"")</f>
        <v/>
      </c>
      <c r="Q1494" s="396">
        <f>IF($P1494="","",$P1494-$O1494)</f>
        <v/>
      </c>
    </row>
    <row r="1495" ht="15" customHeight="1" s="231">
      <c r="A1495" s="397" t="n"/>
      <c r="B1495" s="397" t="n"/>
      <c r="C1495" s="397" t="n"/>
      <c r="D1495" s="397" t="n"/>
      <c r="E1495" s="397" t="n"/>
      <c r="F1495" s="397" t="n"/>
      <c r="G1495" s="397" t="n"/>
      <c r="I1495" s="397" t="n"/>
      <c r="J1495" s="397" t="n"/>
      <c r="K1495" s="395">
        <f>DATE(VALUE(LEFT(A1495,4)),VALUE(MID(A1495,5,2)),VALUE(RIGHT(A1495,2)))</f>
        <v/>
      </c>
      <c r="L1495" s="395">
        <f>DATEVALUE(LEFT(F1495,10))</f>
        <v/>
      </c>
      <c r="M1495" s="396">
        <f>TIMEVALUE(MID(F1495,12,8))</f>
        <v/>
      </c>
      <c r="N1495" s="395">
        <f>DATEVALUE(LEFT(G1495,10))</f>
        <v/>
      </c>
      <c r="O1495" s="396">
        <f>TIMEVALUE(MID(G1495,12,8))</f>
        <v/>
      </c>
      <c r="P1495" s="396">
        <f>IFERROR(_xlfn.MINIFS($M:$M,$E:$E,$E1495,$K:$K,$K1495,$M:$M,"&gt;"&amp;$O1495),"")</f>
        <v/>
      </c>
      <c r="Q1495" s="396">
        <f>IF($P1495="","",$P1495-$O1495)</f>
        <v/>
      </c>
    </row>
    <row r="1496" ht="15" customHeight="1" s="231">
      <c r="A1496" s="397" t="n"/>
      <c r="B1496" s="397" t="n"/>
      <c r="C1496" s="397" t="n"/>
      <c r="D1496" s="397" t="n"/>
      <c r="E1496" s="397" t="n"/>
      <c r="F1496" s="397" t="n"/>
      <c r="G1496" s="397" t="n"/>
      <c r="I1496" s="397" t="n"/>
      <c r="J1496" s="397" t="n"/>
      <c r="K1496" s="395">
        <f>DATE(VALUE(LEFT(A1496,4)),VALUE(MID(A1496,5,2)),VALUE(RIGHT(A1496,2)))</f>
        <v/>
      </c>
      <c r="L1496" s="395">
        <f>DATEVALUE(LEFT(F1496,10))</f>
        <v/>
      </c>
      <c r="M1496" s="396">
        <f>TIMEVALUE(MID(F1496,12,8))</f>
        <v/>
      </c>
      <c r="N1496" s="395">
        <f>DATEVALUE(LEFT(G1496,10))</f>
        <v/>
      </c>
      <c r="O1496" s="396">
        <f>TIMEVALUE(MID(G1496,12,8))</f>
        <v/>
      </c>
      <c r="P1496" s="396">
        <f>IFERROR(_xlfn.MINIFS($M:$M,$E:$E,$E1496,$K:$K,$K1496,$M:$M,"&gt;"&amp;$O1496),"")</f>
        <v/>
      </c>
      <c r="Q1496" s="396">
        <f>IF($P1496="","",$P1496-$O1496)</f>
        <v/>
      </c>
    </row>
    <row r="1497" ht="15" customHeight="1" s="231">
      <c r="A1497" s="397" t="n"/>
      <c r="B1497" s="397" t="n"/>
      <c r="C1497" s="397" t="n"/>
      <c r="D1497" s="397" t="n"/>
      <c r="E1497" s="397" t="n"/>
      <c r="F1497" s="397" t="n"/>
      <c r="G1497" s="397" t="n"/>
      <c r="I1497" s="397" t="n"/>
      <c r="J1497" s="397" t="n"/>
      <c r="K1497" s="395">
        <f>DATE(VALUE(LEFT(A1497,4)),VALUE(MID(A1497,5,2)),VALUE(RIGHT(A1497,2)))</f>
        <v/>
      </c>
      <c r="L1497" s="395">
        <f>DATEVALUE(LEFT(F1497,10))</f>
        <v/>
      </c>
      <c r="M1497" s="396">
        <f>TIMEVALUE(MID(F1497,12,8))</f>
        <v/>
      </c>
      <c r="N1497" s="395">
        <f>DATEVALUE(LEFT(G1497,10))</f>
        <v/>
      </c>
      <c r="O1497" s="396">
        <f>TIMEVALUE(MID(G1497,12,8))</f>
        <v/>
      </c>
      <c r="P1497" s="396">
        <f>IFERROR(_xlfn.MINIFS($M:$M,$E:$E,$E1497,$K:$K,$K1497,$M:$M,"&gt;"&amp;$O1497),"")</f>
        <v/>
      </c>
      <c r="Q1497" s="396">
        <f>IF($P1497="","",$P1497-$O1497)</f>
        <v/>
      </c>
    </row>
    <row r="1498" ht="15" customHeight="1" s="231">
      <c r="A1498" s="397" t="n"/>
      <c r="B1498" s="397" t="n"/>
      <c r="C1498" s="397" t="n"/>
      <c r="D1498" s="397" t="n"/>
      <c r="E1498" s="397" t="n"/>
      <c r="F1498" s="397" t="n"/>
      <c r="G1498" s="397" t="n"/>
      <c r="I1498" s="397" t="n"/>
      <c r="J1498" s="397" t="n"/>
      <c r="K1498" s="395">
        <f>DATE(VALUE(LEFT(A1498,4)),VALUE(MID(A1498,5,2)),VALUE(RIGHT(A1498,2)))</f>
        <v/>
      </c>
      <c r="L1498" s="395">
        <f>DATEVALUE(LEFT(F1498,10))</f>
        <v/>
      </c>
      <c r="M1498" s="396">
        <f>TIMEVALUE(MID(F1498,12,8))</f>
        <v/>
      </c>
      <c r="N1498" s="395">
        <f>DATEVALUE(LEFT(G1498,10))</f>
        <v/>
      </c>
      <c r="O1498" s="396">
        <f>TIMEVALUE(MID(G1498,12,8))</f>
        <v/>
      </c>
      <c r="P1498" s="396">
        <f>IFERROR(_xlfn.MINIFS($M:$M,$E:$E,$E1498,$K:$K,$K1498,$M:$M,"&gt;"&amp;$O1498),"")</f>
        <v/>
      </c>
      <c r="Q1498" s="396">
        <f>IF($P1498="","",$P1498-$O1498)</f>
        <v/>
      </c>
    </row>
    <row r="1499" ht="15" customHeight="1" s="231">
      <c r="A1499" s="397" t="n"/>
      <c r="B1499" s="397" t="n"/>
      <c r="C1499" s="397" t="n"/>
      <c r="D1499" s="397" t="n"/>
      <c r="E1499" s="397" t="n"/>
      <c r="F1499" s="397" t="n"/>
      <c r="G1499" s="397" t="n"/>
      <c r="I1499" s="397" t="n"/>
      <c r="J1499" s="397" t="n"/>
      <c r="K1499" s="395">
        <f>DATE(VALUE(LEFT(A1499,4)),VALUE(MID(A1499,5,2)),VALUE(RIGHT(A1499,2)))</f>
        <v/>
      </c>
      <c r="L1499" s="395">
        <f>DATEVALUE(LEFT(F1499,10))</f>
        <v/>
      </c>
      <c r="M1499" s="396">
        <f>TIMEVALUE(MID(F1499,12,8))</f>
        <v/>
      </c>
      <c r="N1499" s="395">
        <f>DATEVALUE(LEFT(G1499,10))</f>
        <v/>
      </c>
      <c r="O1499" s="396">
        <f>TIMEVALUE(MID(G1499,12,8))</f>
        <v/>
      </c>
      <c r="P1499" s="396">
        <f>IFERROR(_xlfn.MINIFS($M:$M,$E:$E,$E1499,$K:$K,$K1499,$M:$M,"&gt;"&amp;$O1499),"")</f>
        <v/>
      </c>
      <c r="Q1499" s="396">
        <f>IF($P1499="","",$P1499-$O1499)</f>
        <v/>
      </c>
    </row>
    <row r="1500" ht="15" customHeight="1" s="231">
      <c r="A1500" s="397" t="n"/>
      <c r="B1500" s="397" t="n"/>
      <c r="C1500" s="397" t="n"/>
      <c r="D1500" s="397" t="n"/>
      <c r="E1500" s="397" t="n"/>
      <c r="F1500" s="397" t="n"/>
      <c r="G1500" s="397" t="n"/>
      <c r="I1500" s="397" t="n"/>
      <c r="J1500" s="397" t="n"/>
      <c r="K1500" s="395">
        <f>DATE(VALUE(LEFT(A1500,4)),VALUE(MID(A1500,5,2)),VALUE(RIGHT(A1500,2)))</f>
        <v/>
      </c>
      <c r="L1500" s="395">
        <f>DATEVALUE(LEFT(F1500,10))</f>
        <v/>
      </c>
      <c r="M1500" s="396">
        <f>TIMEVALUE(MID(F1500,12,8))</f>
        <v/>
      </c>
      <c r="N1500" s="395">
        <f>DATEVALUE(LEFT(G1500,10))</f>
        <v/>
      </c>
      <c r="O1500" s="396">
        <f>TIMEVALUE(MID(G1500,12,8))</f>
        <v/>
      </c>
      <c r="P1500" s="396">
        <f>IFERROR(_xlfn.MINIFS($M:$M,$E:$E,$E1500,$K:$K,$K1500,$M:$M,"&gt;"&amp;$O1500),"")</f>
        <v/>
      </c>
      <c r="Q1500" s="396">
        <f>IF($P1500="","",$P1500-$O1500)</f>
        <v/>
      </c>
    </row>
    <row r="1501" ht="15" customHeight="1" s="231">
      <c r="A1501" s="397" t="n"/>
      <c r="B1501" s="397" t="n"/>
      <c r="C1501" s="397" t="n"/>
      <c r="D1501" s="397" t="n"/>
      <c r="E1501" s="397" t="n"/>
      <c r="F1501" s="397" t="n"/>
      <c r="G1501" s="397" t="n"/>
      <c r="I1501" s="397" t="n"/>
      <c r="J1501" s="397" t="n"/>
      <c r="K1501" s="395">
        <f>DATE(VALUE(LEFT(A1501,4)),VALUE(MID(A1501,5,2)),VALUE(RIGHT(A1501,2)))</f>
        <v/>
      </c>
      <c r="L1501" s="395">
        <f>DATEVALUE(LEFT(F1501,10))</f>
        <v/>
      </c>
      <c r="M1501" s="396">
        <f>TIMEVALUE(MID(F1501,12,8))</f>
        <v/>
      </c>
      <c r="N1501" s="395">
        <f>DATEVALUE(LEFT(G1501,10))</f>
        <v/>
      </c>
      <c r="O1501" s="396">
        <f>TIMEVALUE(MID(G1501,12,8))</f>
        <v/>
      </c>
      <c r="P1501" s="396">
        <f>IFERROR(_xlfn.MINIFS($M:$M,$E:$E,$E1501,$K:$K,$K1501,$M:$M,"&gt;"&amp;$O1501),"")</f>
        <v/>
      </c>
      <c r="Q1501" s="396">
        <f>IF($P1501="","",$P1501-$O1501)</f>
        <v/>
      </c>
    </row>
    <row r="1502" ht="15" customHeight="1" s="231">
      <c r="A1502" s="397" t="n"/>
      <c r="B1502" s="397" t="n"/>
      <c r="C1502" s="397" t="n"/>
      <c r="D1502" s="397" t="n"/>
      <c r="E1502" s="397" t="n"/>
      <c r="F1502" s="397" t="n"/>
      <c r="G1502" s="397" t="n"/>
      <c r="I1502" s="397" t="n"/>
      <c r="J1502" s="397" t="n"/>
      <c r="K1502" s="395">
        <f>DATE(VALUE(LEFT(A1502,4)),VALUE(MID(A1502,5,2)),VALUE(RIGHT(A1502,2)))</f>
        <v/>
      </c>
      <c r="L1502" s="395">
        <f>DATEVALUE(LEFT(F1502,10))</f>
        <v/>
      </c>
      <c r="M1502" s="396">
        <f>TIMEVALUE(MID(F1502,12,8))</f>
        <v/>
      </c>
      <c r="N1502" s="395">
        <f>DATEVALUE(LEFT(G1502,10))</f>
        <v/>
      </c>
      <c r="O1502" s="396">
        <f>TIMEVALUE(MID(G1502,12,8))</f>
        <v/>
      </c>
      <c r="P1502" s="396">
        <f>IFERROR(_xlfn.MINIFS($M:$M,$E:$E,$E1502,$K:$K,$K1502,$M:$M,"&gt;"&amp;$O1502),"")</f>
        <v/>
      </c>
      <c r="Q1502" s="396">
        <f>IF($P1502="","",$P1502-$O1502)</f>
        <v/>
      </c>
    </row>
    <row r="1503" ht="15" customHeight="1" s="231">
      <c r="A1503" s="397" t="n"/>
      <c r="B1503" s="397" t="n"/>
      <c r="C1503" s="397" t="n"/>
      <c r="D1503" s="397" t="n"/>
      <c r="E1503" s="397" t="n"/>
      <c r="F1503" s="397" t="n"/>
      <c r="G1503" s="397" t="n"/>
      <c r="I1503" s="397" t="n"/>
      <c r="J1503" s="397" t="n"/>
      <c r="K1503" s="395">
        <f>DATE(VALUE(LEFT(A1503,4)),VALUE(MID(A1503,5,2)),VALUE(RIGHT(A1503,2)))</f>
        <v/>
      </c>
      <c r="L1503" s="395">
        <f>DATEVALUE(LEFT(F1503,10))</f>
        <v/>
      </c>
      <c r="M1503" s="396">
        <f>TIMEVALUE(MID(F1503,12,8))</f>
        <v/>
      </c>
      <c r="N1503" s="395">
        <f>DATEVALUE(LEFT(G1503,10))</f>
        <v/>
      </c>
      <c r="O1503" s="396">
        <f>TIMEVALUE(MID(G1503,12,8))</f>
        <v/>
      </c>
      <c r="P1503" s="396">
        <f>IFERROR(_xlfn.MINIFS($M:$M,$E:$E,$E1503,$K:$K,$K1503,$M:$M,"&gt;"&amp;$O1503),"")</f>
        <v/>
      </c>
      <c r="Q1503" s="396">
        <f>IF($P1503="","",$P1503-$O1503)</f>
        <v/>
      </c>
    </row>
    <row r="1504" ht="15" customHeight="1" s="231">
      <c r="A1504" s="397" t="n"/>
      <c r="B1504" s="397" t="n"/>
      <c r="C1504" s="397" t="n"/>
      <c r="D1504" s="397" t="n"/>
      <c r="E1504" s="397" t="n"/>
      <c r="F1504" s="397" t="n"/>
      <c r="G1504" s="397" t="n"/>
      <c r="I1504" s="397" t="n"/>
      <c r="J1504" s="397" t="n"/>
      <c r="K1504" s="395">
        <f>DATE(VALUE(LEFT(A1504,4)),VALUE(MID(A1504,5,2)),VALUE(RIGHT(A1504,2)))</f>
        <v/>
      </c>
      <c r="L1504" s="395">
        <f>DATEVALUE(LEFT(F1504,10))</f>
        <v/>
      </c>
      <c r="M1504" s="396">
        <f>TIMEVALUE(MID(F1504,12,8))</f>
        <v/>
      </c>
      <c r="N1504" s="395">
        <f>DATEVALUE(LEFT(G1504,10))</f>
        <v/>
      </c>
      <c r="O1504" s="396">
        <f>TIMEVALUE(MID(G1504,12,8))</f>
        <v/>
      </c>
      <c r="P1504" s="396">
        <f>IFERROR(_xlfn.MINIFS($M:$M,$E:$E,$E1504,$K:$K,$K1504,$M:$M,"&gt;"&amp;$O1504),"")</f>
        <v/>
      </c>
      <c r="Q1504" s="396">
        <f>IF($P1504="","",$P1504-$O1504)</f>
        <v/>
      </c>
    </row>
    <row r="1505" ht="15" customHeight="1" s="231">
      <c r="A1505" s="397" t="n"/>
      <c r="B1505" s="397" t="n"/>
      <c r="C1505" s="397" t="n"/>
      <c r="D1505" s="397" t="n"/>
      <c r="E1505" s="397" t="n"/>
      <c r="F1505" s="397" t="n"/>
      <c r="G1505" s="397" t="n"/>
      <c r="I1505" s="397" t="n"/>
      <c r="J1505" s="397" t="n"/>
      <c r="K1505" s="395">
        <f>DATE(VALUE(LEFT(A1505,4)),VALUE(MID(A1505,5,2)),VALUE(RIGHT(A1505,2)))</f>
        <v/>
      </c>
      <c r="L1505" s="395">
        <f>DATEVALUE(LEFT(F1505,10))</f>
        <v/>
      </c>
      <c r="M1505" s="396">
        <f>TIMEVALUE(MID(F1505,12,8))</f>
        <v/>
      </c>
      <c r="N1505" s="395">
        <f>DATEVALUE(LEFT(G1505,10))</f>
        <v/>
      </c>
      <c r="O1505" s="396">
        <f>TIMEVALUE(MID(G1505,12,8))</f>
        <v/>
      </c>
      <c r="P1505" s="396">
        <f>IFERROR(_xlfn.MINIFS($M:$M,$E:$E,$E1505,$K:$K,$K1505,$M:$M,"&gt;"&amp;$O1505),"")</f>
        <v/>
      </c>
      <c r="Q1505" s="396">
        <f>IF($P1505="","",$P1505-$O1505)</f>
        <v/>
      </c>
    </row>
    <row r="1506" ht="15" customHeight="1" s="231">
      <c r="A1506" s="397" t="n"/>
      <c r="B1506" s="397" t="n"/>
      <c r="C1506" s="397" t="n"/>
      <c r="D1506" s="397" t="n"/>
      <c r="E1506" s="397" t="n"/>
      <c r="F1506" s="397" t="n"/>
      <c r="G1506" s="397" t="n"/>
      <c r="I1506" s="397" t="n"/>
      <c r="J1506" s="397" t="n"/>
      <c r="K1506" s="395">
        <f>DATE(VALUE(LEFT(A1506,4)),VALUE(MID(A1506,5,2)),VALUE(RIGHT(A1506,2)))</f>
        <v/>
      </c>
      <c r="L1506" s="395">
        <f>DATEVALUE(LEFT(F1506,10))</f>
        <v/>
      </c>
      <c r="M1506" s="396">
        <f>TIMEVALUE(MID(F1506,12,8))</f>
        <v/>
      </c>
      <c r="N1506" s="395">
        <f>DATEVALUE(LEFT(G1506,10))</f>
        <v/>
      </c>
      <c r="O1506" s="396">
        <f>TIMEVALUE(MID(G1506,12,8))</f>
        <v/>
      </c>
      <c r="P1506" s="396">
        <f>IFERROR(_xlfn.MINIFS($M:$M,$E:$E,$E1506,$K:$K,$K1506,$M:$M,"&gt;"&amp;$O1506),"")</f>
        <v/>
      </c>
      <c r="Q1506" s="396">
        <f>IF($P1506="","",$P1506-$O1506)</f>
        <v/>
      </c>
    </row>
    <row r="1507" ht="15" customHeight="1" s="231">
      <c r="A1507" s="397" t="n"/>
      <c r="B1507" s="397" t="n"/>
      <c r="C1507" s="397" t="n"/>
      <c r="D1507" s="397" t="n"/>
      <c r="E1507" s="397" t="n"/>
      <c r="F1507" s="397" t="n"/>
      <c r="G1507" s="397" t="n"/>
      <c r="I1507" s="397" t="n"/>
      <c r="J1507" s="397" t="n"/>
      <c r="K1507" s="395">
        <f>DATE(VALUE(LEFT(A1507,4)),VALUE(MID(A1507,5,2)),VALUE(RIGHT(A1507,2)))</f>
        <v/>
      </c>
      <c r="L1507" s="395">
        <f>DATEVALUE(LEFT(F1507,10))</f>
        <v/>
      </c>
      <c r="M1507" s="396">
        <f>TIMEVALUE(MID(F1507,12,8))</f>
        <v/>
      </c>
      <c r="N1507" s="395">
        <f>DATEVALUE(LEFT(G1507,10))</f>
        <v/>
      </c>
      <c r="O1507" s="396">
        <f>TIMEVALUE(MID(G1507,12,8))</f>
        <v/>
      </c>
      <c r="P1507" s="396">
        <f>IFERROR(_xlfn.MINIFS($M:$M,$E:$E,$E1507,$K:$K,$K1507,$M:$M,"&gt;"&amp;$O1507),"")</f>
        <v/>
      </c>
      <c r="Q1507" s="396">
        <f>IF($P1507="","",$P1507-$O1507)</f>
        <v/>
      </c>
    </row>
    <row r="1508" ht="15" customHeight="1" s="231">
      <c r="A1508" s="397" t="n"/>
      <c r="B1508" s="397" t="n"/>
      <c r="C1508" s="397" t="n"/>
      <c r="D1508" s="397" t="n"/>
      <c r="E1508" s="397" t="n"/>
      <c r="F1508" s="397" t="n"/>
      <c r="G1508" s="397" t="n"/>
      <c r="I1508" s="397" t="n"/>
      <c r="J1508" s="397" t="n"/>
      <c r="K1508" s="395">
        <f>DATE(VALUE(LEFT(A1508,4)),VALUE(MID(A1508,5,2)),VALUE(RIGHT(A1508,2)))</f>
        <v/>
      </c>
      <c r="L1508" s="395">
        <f>DATEVALUE(LEFT(F1508,10))</f>
        <v/>
      </c>
      <c r="M1508" s="396">
        <f>TIMEVALUE(MID(F1508,12,8))</f>
        <v/>
      </c>
      <c r="N1508" s="395">
        <f>DATEVALUE(LEFT(G1508,10))</f>
        <v/>
      </c>
      <c r="O1508" s="396">
        <f>TIMEVALUE(MID(G1508,12,8))</f>
        <v/>
      </c>
      <c r="P1508" s="396">
        <f>IFERROR(_xlfn.MINIFS($M:$M,$E:$E,$E1508,$K:$K,$K1508,$M:$M,"&gt;"&amp;$O1508),"")</f>
        <v/>
      </c>
      <c r="Q1508" s="396">
        <f>IF($P1508="","",$P1508-$O1508)</f>
        <v/>
      </c>
    </row>
    <row r="1509" ht="15" customHeight="1" s="231">
      <c r="A1509" s="397" t="n"/>
      <c r="B1509" s="397" t="n"/>
      <c r="C1509" s="397" t="n"/>
      <c r="D1509" s="397" t="n"/>
      <c r="E1509" s="397" t="n"/>
      <c r="F1509" s="397" t="n"/>
      <c r="G1509" s="397" t="n"/>
      <c r="I1509" s="397" t="n"/>
      <c r="J1509" s="397" t="n"/>
      <c r="K1509" s="395">
        <f>DATE(VALUE(LEFT(A1509,4)),VALUE(MID(A1509,5,2)),VALUE(RIGHT(A1509,2)))</f>
        <v/>
      </c>
      <c r="L1509" s="395">
        <f>DATEVALUE(LEFT(F1509,10))</f>
        <v/>
      </c>
      <c r="M1509" s="396">
        <f>TIMEVALUE(MID(F1509,12,8))</f>
        <v/>
      </c>
      <c r="N1509" s="395">
        <f>DATEVALUE(LEFT(G1509,10))</f>
        <v/>
      </c>
      <c r="O1509" s="396">
        <f>TIMEVALUE(MID(G1509,12,8))</f>
        <v/>
      </c>
      <c r="P1509" s="396">
        <f>IFERROR(_xlfn.MINIFS($M:$M,$E:$E,$E1509,$K:$K,$K1509,$M:$M,"&gt;"&amp;$O1509),"")</f>
        <v/>
      </c>
      <c r="Q1509" s="396">
        <f>IF($P1509="","",$P1509-$O1509)</f>
        <v/>
      </c>
    </row>
    <row r="1510" ht="15" customHeight="1" s="231">
      <c r="A1510" s="397" t="n"/>
      <c r="B1510" s="397" t="n"/>
      <c r="C1510" s="397" t="n"/>
      <c r="D1510" s="397" t="n"/>
      <c r="E1510" s="397" t="n"/>
      <c r="F1510" s="397" t="n"/>
      <c r="G1510" s="397" t="n"/>
      <c r="I1510" s="397" t="n"/>
      <c r="J1510" s="397" t="n"/>
      <c r="K1510" s="395">
        <f>DATE(VALUE(LEFT(A1510,4)),VALUE(MID(A1510,5,2)),VALUE(RIGHT(A1510,2)))</f>
        <v/>
      </c>
      <c r="L1510" s="395">
        <f>DATEVALUE(LEFT(F1510,10))</f>
        <v/>
      </c>
      <c r="M1510" s="396">
        <f>TIMEVALUE(MID(F1510,12,8))</f>
        <v/>
      </c>
      <c r="N1510" s="395">
        <f>DATEVALUE(LEFT(G1510,10))</f>
        <v/>
      </c>
      <c r="O1510" s="396">
        <f>TIMEVALUE(MID(G1510,12,8))</f>
        <v/>
      </c>
      <c r="P1510" s="396">
        <f>IFERROR(_xlfn.MINIFS($M:$M,$E:$E,$E1510,$K:$K,$K1510,$M:$M,"&gt;"&amp;$O1510),"")</f>
        <v/>
      </c>
      <c r="Q1510" s="396">
        <f>IF($P1510="","",$P1510-$O1510)</f>
        <v/>
      </c>
    </row>
    <row r="1511" ht="15" customHeight="1" s="231">
      <c r="A1511" s="397" t="n"/>
      <c r="B1511" s="397" t="n"/>
      <c r="C1511" s="397" t="n"/>
      <c r="D1511" s="397" t="n"/>
      <c r="E1511" s="397" t="n"/>
      <c r="F1511" s="397" t="n"/>
      <c r="G1511" s="397" t="n"/>
      <c r="I1511" s="397" t="n"/>
      <c r="J1511" s="397" t="n"/>
      <c r="K1511" s="395">
        <f>DATE(VALUE(LEFT(A1511,4)),VALUE(MID(A1511,5,2)),VALUE(RIGHT(A1511,2)))</f>
        <v/>
      </c>
      <c r="L1511" s="395">
        <f>DATEVALUE(LEFT(F1511,10))</f>
        <v/>
      </c>
      <c r="M1511" s="396">
        <f>TIMEVALUE(MID(F1511,12,8))</f>
        <v/>
      </c>
      <c r="N1511" s="395">
        <f>DATEVALUE(LEFT(G1511,10))</f>
        <v/>
      </c>
      <c r="O1511" s="396">
        <f>TIMEVALUE(MID(G1511,12,8))</f>
        <v/>
      </c>
      <c r="P1511" s="396">
        <f>IFERROR(_xlfn.MINIFS($M:$M,$E:$E,$E1511,$K:$K,$K1511,$M:$M,"&gt;"&amp;$O1511),"")</f>
        <v/>
      </c>
      <c r="Q1511" s="396">
        <f>IF($P1511="","",$P1511-$O1511)</f>
        <v/>
      </c>
    </row>
    <row r="1512" ht="15" customHeight="1" s="231">
      <c r="A1512" s="397" t="n"/>
      <c r="B1512" s="397" t="n"/>
      <c r="C1512" s="397" t="n"/>
      <c r="D1512" s="397" t="n"/>
      <c r="E1512" s="397" t="n"/>
      <c r="F1512" s="397" t="n"/>
      <c r="G1512" s="397" t="n"/>
      <c r="I1512" s="397" t="n"/>
      <c r="J1512" s="397" t="n"/>
      <c r="K1512" s="395">
        <f>DATE(VALUE(LEFT(A1512,4)),VALUE(MID(A1512,5,2)),VALUE(RIGHT(A1512,2)))</f>
        <v/>
      </c>
      <c r="L1512" s="395">
        <f>DATEVALUE(LEFT(F1512,10))</f>
        <v/>
      </c>
      <c r="M1512" s="396">
        <f>TIMEVALUE(MID(F1512,12,8))</f>
        <v/>
      </c>
      <c r="N1512" s="395">
        <f>DATEVALUE(LEFT(G1512,10))</f>
        <v/>
      </c>
      <c r="O1512" s="396">
        <f>TIMEVALUE(MID(G1512,12,8))</f>
        <v/>
      </c>
      <c r="P1512" s="396">
        <f>IFERROR(_xlfn.MINIFS($M:$M,$E:$E,$E1512,$K:$K,$K1512,$M:$M,"&gt;"&amp;$O1512),"")</f>
        <v/>
      </c>
      <c r="Q1512" s="396">
        <f>IF($P1512="","",$P1512-$O1512)</f>
        <v/>
      </c>
    </row>
    <row r="1513" ht="15" customHeight="1" s="231">
      <c r="A1513" s="397" t="n"/>
      <c r="B1513" s="397" t="n"/>
      <c r="C1513" s="397" t="n"/>
      <c r="D1513" s="397" t="n"/>
      <c r="E1513" s="397" t="n"/>
      <c r="F1513" s="397" t="n"/>
      <c r="G1513" s="397" t="n"/>
      <c r="I1513" s="397" t="n"/>
      <c r="J1513" s="397" t="n"/>
      <c r="K1513" s="395">
        <f>DATE(VALUE(LEFT(A1513,4)),VALUE(MID(A1513,5,2)),VALUE(RIGHT(A1513,2)))</f>
        <v/>
      </c>
      <c r="L1513" s="395">
        <f>DATEVALUE(LEFT(F1513,10))</f>
        <v/>
      </c>
      <c r="M1513" s="396">
        <f>TIMEVALUE(MID(F1513,12,8))</f>
        <v/>
      </c>
      <c r="N1513" s="395">
        <f>DATEVALUE(LEFT(G1513,10))</f>
        <v/>
      </c>
      <c r="O1513" s="396">
        <f>TIMEVALUE(MID(G1513,12,8))</f>
        <v/>
      </c>
      <c r="P1513" s="396">
        <f>IFERROR(_xlfn.MINIFS($M:$M,$E:$E,$E1513,$K:$K,$K1513,$M:$M,"&gt;"&amp;$O1513),"")</f>
        <v/>
      </c>
      <c r="Q1513" s="396">
        <f>IF($P1513="","",$P1513-$O1513)</f>
        <v/>
      </c>
    </row>
    <row r="1514" ht="15" customHeight="1" s="231">
      <c r="A1514" s="397" t="n"/>
      <c r="B1514" s="397" t="n"/>
      <c r="C1514" s="397" t="n"/>
      <c r="D1514" s="397" t="n"/>
      <c r="E1514" s="397" t="n"/>
      <c r="F1514" s="397" t="n"/>
      <c r="G1514" s="397" t="n"/>
      <c r="I1514" s="397" t="n"/>
      <c r="J1514" s="397" t="n"/>
      <c r="K1514" s="395">
        <f>DATE(VALUE(LEFT(A1514,4)),VALUE(MID(A1514,5,2)),VALUE(RIGHT(A1514,2)))</f>
        <v/>
      </c>
      <c r="L1514" s="395">
        <f>DATEVALUE(LEFT(F1514,10))</f>
        <v/>
      </c>
      <c r="M1514" s="396">
        <f>TIMEVALUE(MID(F1514,12,8))</f>
        <v/>
      </c>
      <c r="N1514" s="395">
        <f>DATEVALUE(LEFT(G1514,10))</f>
        <v/>
      </c>
      <c r="O1514" s="396">
        <f>TIMEVALUE(MID(G1514,12,8))</f>
        <v/>
      </c>
      <c r="P1514" s="396">
        <f>IFERROR(_xlfn.MINIFS($M:$M,$E:$E,$E1514,$K:$K,$K1514,$M:$M,"&gt;"&amp;$O1514),"")</f>
        <v/>
      </c>
      <c r="Q1514" s="396">
        <f>IF($P1514="","",$P1514-$O1514)</f>
        <v/>
      </c>
    </row>
    <row r="1515" ht="15" customHeight="1" s="231">
      <c r="A1515" s="397" t="n"/>
      <c r="B1515" s="397" t="n"/>
      <c r="C1515" s="397" t="n"/>
      <c r="D1515" s="397" t="n"/>
      <c r="E1515" s="397" t="n"/>
      <c r="F1515" s="397" t="n"/>
      <c r="G1515" s="397" t="n"/>
      <c r="I1515" s="397" t="n"/>
      <c r="J1515" s="397" t="n"/>
      <c r="K1515" s="395">
        <f>DATE(VALUE(LEFT(A1515,4)),VALUE(MID(A1515,5,2)),VALUE(RIGHT(A1515,2)))</f>
        <v/>
      </c>
      <c r="L1515" s="395">
        <f>DATEVALUE(LEFT(F1515,10))</f>
        <v/>
      </c>
      <c r="M1515" s="396">
        <f>TIMEVALUE(MID(F1515,12,8))</f>
        <v/>
      </c>
      <c r="N1515" s="395">
        <f>DATEVALUE(LEFT(G1515,10))</f>
        <v/>
      </c>
      <c r="O1515" s="396">
        <f>TIMEVALUE(MID(G1515,12,8))</f>
        <v/>
      </c>
      <c r="P1515" s="396">
        <f>IFERROR(_xlfn.MINIFS($M:$M,$E:$E,$E1515,$K:$K,$K1515,$M:$M,"&gt;"&amp;$O1515),"")</f>
        <v/>
      </c>
      <c r="Q1515" s="396">
        <f>IF($P1515="","",$P1515-$O1515)</f>
        <v/>
      </c>
    </row>
    <row r="1516" ht="15" customHeight="1" s="231">
      <c r="A1516" s="397" t="n"/>
      <c r="B1516" s="397" t="n"/>
      <c r="C1516" s="397" t="n"/>
      <c r="D1516" s="397" t="n"/>
      <c r="E1516" s="397" t="n"/>
      <c r="F1516" s="397" t="n"/>
      <c r="G1516" s="397" t="n"/>
      <c r="I1516" s="397" t="n"/>
      <c r="J1516" s="397" t="n"/>
      <c r="K1516" s="395">
        <f>DATE(VALUE(LEFT(A1516,4)),VALUE(MID(A1516,5,2)),VALUE(RIGHT(A1516,2)))</f>
        <v/>
      </c>
      <c r="L1516" s="395">
        <f>DATEVALUE(LEFT(F1516,10))</f>
        <v/>
      </c>
      <c r="M1516" s="396">
        <f>TIMEVALUE(MID(F1516,12,8))</f>
        <v/>
      </c>
      <c r="N1516" s="395">
        <f>DATEVALUE(LEFT(G1516,10))</f>
        <v/>
      </c>
      <c r="O1516" s="396">
        <f>TIMEVALUE(MID(G1516,12,8))</f>
        <v/>
      </c>
      <c r="P1516" s="396">
        <f>IFERROR(_xlfn.MINIFS($M:$M,$E:$E,$E1516,$K:$K,$K1516,$M:$M,"&gt;"&amp;$O1516),"")</f>
        <v/>
      </c>
      <c r="Q1516" s="396">
        <f>IF($P1516="","",$P1516-$O1516)</f>
        <v/>
      </c>
    </row>
    <row r="1517" ht="15" customHeight="1" s="231">
      <c r="A1517" s="397" t="n"/>
      <c r="B1517" s="397" t="n"/>
      <c r="C1517" s="397" t="n"/>
      <c r="D1517" s="397" t="n"/>
      <c r="E1517" s="397" t="n"/>
      <c r="F1517" s="397" t="n"/>
      <c r="G1517" s="397" t="n"/>
      <c r="I1517" s="397" t="n"/>
      <c r="J1517" s="397" t="n"/>
      <c r="K1517" s="395">
        <f>DATE(VALUE(LEFT(A1517,4)),VALUE(MID(A1517,5,2)),VALUE(RIGHT(A1517,2)))</f>
        <v/>
      </c>
      <c r="L1517" s="395">
        <f>DATEVALUE(LEFT(F1517,10))</f>
        <v/>
      </c>
      <c r="M1517" s="396">
        <f>TIMEVALUE(MID(F1517,12,8))</f>
        <v/>
      </c>
      <c r="N1517" s="395">
        <f>DATEVALUE(LEFT(G1517,10))</f>
        <v/>
      </c>
      <c r="O1517" s="396">
        <f>TIMEVALUE(MID(G1517,12,8))</f>
        <v/>
      </c>
      <c r="P1517" s="396">
        <f>IFERROR(_xlfn.MINIFS($M:$M,$E:$E,$E1517,$K:$K,$K1517,$M:$M,"&gt;"&amp;$O1517),"")</f>
        <v/>
      </c>
      <c r="Q1517" s="396">
        <f>IF($P1517="","",$P1517-$O1517)</f>
        <v/>
      </c>
    </row>
    <row r="1518" ht="15" customHeight="1" s="231">
      <c r="A1518" s="397" t="n"/>
      <c r="B1518" s="397" t="n"/>
      <c r="C1518" s="397" t="n"/>
      <c r="D1518" s="397" t="n"/>
      <c r="E1518" s="397" t="n"/>
      <c r="F1518" s="397" t="n"/>
      <c r="G1518" s="397" t="n"/>
      <c r="I1518" s="397" t="n"/>
      <c r="J1518" s="397" t="n"/>
      <c r="K1518" s="395">
        <f>DATE(VALUE(LEFT(A1518,4)),VALUE(MID(A1518,5,2)),VALUE(RIGHT(A1518,2)))</f>
        <v/>
      </c>
      <c r="L1518" s="395">
        <f>DATEVALUE(LEFT(F1518,10))</f>
        <v/>
      </c>
      <c r="M1518" s="396">
        <f>TIMEVALUE(MID(F1518,12,8))</f>
        <v/>
      </c>
      <c r="N1518" s="395">
        <f>DATEVALUE(LEFT(G1518,10))</f>
        <v/>
      </c>
      <c r="O1518" s="396">
        <f>TIMEVALUE(MID(G1518,12,8))</f>
        <v/>
      </c>
      <c r="P1518" s="396">
        <f>IFERROR(_xlfn.MINIFS($M:$M,$E:$E,$E1518,$K:$K,$K1518,$M:$M,"&gt;"&amp;$O1518),"")</f>
        <v/>
      </c>
      <c r="Q1518" s="396">
        <f>IF($P1518="","",$P1518-$O1518)</f>
        <v/>
      </c>
    </row>
    <row r="1519" ht="15" customHeight="1" s="231">
      <c r="A1519" s="397" t="n"/>
      <c r="B1519" s="397" t="n"/>
      <c r="C1519" s="397" t="n"/>
      <c r="D1519" s="397" t="n"/>
      <c r="E1519" s="397" t="n"/>
      <c r="F1519" s="397" t="n"/>
      <c r="G1519" s="397" t="n"/>
      <c r="I1519" s="397" t="n"/>
      <c r="J1519" s="397" t="n"/>
      <c r="K1519" s="395">
        <f>DATE(VALUE(LEFT(A1519,4)),VALUE(MID(A1519,5,2)),VALUE(RIGHT(A1519,2)))</f>
        <v/>
      </c>
      <c r="L1519" s="395">
        <f>DATEVALUE(LEFT(F1519,10))</f>
        <v/>
      </c>
      <c r="M1519" s="396">
        <f>TIMEVALUE(MID(F1519,12,8))</f>
        <v/>
      </c>
      <c r="N1519" s="395">
        <f>DATEVALUE(LEFT(G1519,10))</f>
        <v/>
      </c>
      <c r="O1519" s="396">
        <f>TIMEVALUE(MID(G1519,12,8))</f>
        <v/>
      </c>
      <c r="P1519" s="396">
        <f>IFERROR(_xlfn.MINIFS($M:$M,$E:$E,$E1519,$K:$K,$K1519,$M:$M,"&gt;"&amp;$O1519),"")</f>
        <v/>
      </c>
      <c r="Q1519" s="396">
        <f>IF($P1519="","",$P1519-$O1519)</f>
        <v/>
      </c>
    </row>
    <row r="1520" ht="15" customHeight="1" s="231">
      <c r="A1520" s="397" t="n"/>
      <c r="B1520" s="397" t="n"/>
      <c r="C1520" s="397" t="n"/>
      <c r="D1520" s="397" t="n"/>
      <c r="E1520" s="397" t="n"/>
      <c r="F1520" s="397" t="n"/>
      <c r="G1520" s="397" t="n"/>
      <c r="I1520" s="397" t="n"/>
      <c r="J1520" s="397" t="n"/>
      <c r="K1520" s="395">
        <f>DATE(VALUE(LEFT(A1520,4)),VALUE(MID(A1520,5,2)),VALUE(RIGHT(A1520,2)))</f>
        <v/>
      </c>
      <c r="L1520" s="395">
        <f>DATEVALUE(LEFT(F1520,10))</f>
        <v/>
      </c>
      <c r="M1520" s="396">
        <f>TIMEVALUE(MID(F1520,12,8))</f>
        <v/>
      </c>
      <c r="N1520" s="395">
        <f>DATEVALUE(LEFT(G1520,10))</f>
        <v/>
      </c>
      <c r="O1520" s="396">
        <f>TIMEVALUE(MID(G1520,12,8))</f>
        <v/>
      </c>
      <c r="P1520" s="396">
        <f>IFERROR(_xlfn.MINIFS($M:$M,$E:$E,$E1520,$K:$K,$K1520,$M:$M,"&gt;"&amp;$O1520),"")</f>
        <v/>
      </c>
      <c r="Q1520" s="396">
        <f>IF($P1520="","",$P1520-$O1520)</f>
        <v/>
      </c>
    </row>
    <row r="1521" ht="15" customHeight="1" s="231">
      <c r="A1521" s="397" t="n"/>
      <c r="B1521" s="397" t="n"/>
      <c r="C1521" s="397" t="n"/>
      <c r="D1521" s="397" t="n"/>
      <c r="E1521" s="397" t="n"/>
      <c r="F1521" s="397" t="n"/>
      <c r="G1521" s="397" t="n"/>
      <c r="I1521" s="397" t="n"/>
      <c r="J1521" s="397" t="n"/>
      <c r="K1521" s="395">
        <f>DATE(VALUE(LEFT(A1521,4)),VALUE(MID(A1521,5,2)),VALUE(RIGHT(A1521,2)))</f>
        <v/>
      </c>
      <c r="L1521" s="395">
        <f>DATEVALUE(LEFT(F1521,10))</f>
        <v/>
      </c>
      <c r="M1521" s="396">
        <f>TIMEVALUE(MID(F1521,12,8))</f>
        <v/>
      </c>
      <c r="N1521" s="395">
        <f>DATEVALUE(LEFT(G1521,10))</f>
        <v/>
      </c>
      <c r="O1521" s="396">
        <f>TIMEVALUE(MID(G1521,12,8))</f>
        <v/>
      </c>
      <c r="P1521" s="396">
        <f>IFERROR(_xlfn.MINIFS($M:$M,$E:$E,$E1521,$K:$K,$K1521,$M:$M,"&gt;"&amp;$O1521),"")</f>
        <v/>
      </c>
      <c r="Q1521" s="396">
        <f>IF($P1521="","",$P1521-$O1521)</f>
        <v/>
      </c>
    </row>
    <row r="1522" ht="15" customHeight="1" s="231">
      <c r="A1522" s="397" t="n"/>
      <c r="B1522" s="397" t="n"/>
      <c r="C1522" s="397" t="n"/>
      <c r="D1522" s="397" t="n"/>
      <c r="E1522" s="397" t="n"/>
      <c r="F1522" s="397" t="n"/>
      <c r="G1522" s="397" t="n"/>
      <c r="I1522" s="397" t="n"/>
      <c r="J1522" s="397" t="n"/>
      <c r="K1522" s="395">
        <f>DATE(VALUE(LEFT(A1522,4)),VALUE(MID(A1522,5,2)),VALUE(RIGHT(A1522,2)))</f>
        <v/>
      </c>
      <c r="L1522" s="395">
        <f>DATEVALUE(LEFT(F1522,10))</f>
        <v/>
      </c>
      <c r="M1522" s="396">
        <f>TIMEVALUE(MID(F1522,12,8))</f>
        <v/>
      </c>
      <c r="N1522" s="395">
        <f>DATEVALUE(LEFT(G1522,10))</f>
        <v/>
      </c>
      <c r="O1522" s="396">
        <f>TIMEVALUE(MID(G1522,12,8))</f>
        <v/>
      </c>
      <c r="P1522" s="396">
        <f>IFERROR(_xlfn.MINIFS($M:$M,$E:$E,$E1522,$K:$K,$K1522,$M:$M,"&gt;"&amp;$O1522),"")</f>
        <v/>
      </c>
      <c r="Q1522" s="396">
        <f>IF($P1522="","",$P1522-$O1522)</f>
        <v/>
      </c>
    </row>
    <row r="1523" ht="15" customHeight="1" s="231">
      <c r="A1523" s="397" t="n"/>
      <c r="B1523" s="397" t="n"/>
      <c r="C1523" s="397" t="n"/>
      <c r="D1523" s="397" t="n"/>
      <c r="E1523" s="397" t="n"/>
      <c r="F1523" s="397" t="n"/>
      <c r="G1523" s="397" t="n"/>
      <c r="I1523" s="397" t="n"/>
      <c r="J1523" s="397" t="n"/>
      <c r="K1523" s="395">
        <f>DATE(VALUE(LEFT(A1523,4)),VALUE(MID(A1523,5,2)),VALUE(RIGHT(A1523,2)))</f>
        <v/>
      </c>
      <c r="L1523" s="395">
        <f>DATEVALUE(LEFT(F1523,10))</f>
        <v/>
      </c>
      <c r="M1523" s="396">
        <f>TIMEVALUE(MID(F1523,12,8))</f>
        <v/>
      </c>
      <c r="N1523" s="395">
        <f>DATEVALUE(LEFT(G1523,10))</f>
        <v/>
      </c>
      <c r="O1523" s="396">
        <f>TIMEVALUE(MID(G1523,12,8))</f>
        <v/>
      </c>
      <c r="P1523" s="396">
        <f>IFERROR(_xlfn.MINIFS($M:$M,$E:$E,$E1523,$K:$K,$K1523,$M:$M,"&gt;"&amp;$O1523),"")</f>
        <v/>
      </c>
      <c r="Q1523" s="396">
        <f>IF($P1523="","",$P1523-$O1523)</f>
        <v/>
      </c>
    </row>
    <row r="1524" ht="15" customHeight="1" s="231">
      <c r="A1524" s="397" t="n"/>
      <c r="B1524" s="397" t="n"/>
      <c r="C1524" s="397" t="n"/>
      <c r="D1524" s="397" t="n"/>
      <c r="E1524" s="397" t="n"/>
      <c r="F1524" s="397" t="n"/>
      <c r="G1524" s="397" t="n"/>
      <c r="I1524" s="397" t="n"/>
      <c r="J1524" s="397" t="n"/>
      <c r="K1524" s="395">
        <f>DATE(VALUE(LEFT(A1524,4)),VALUE(MID(A1524,5,2)),VALUE(RIGHT(A1524,2)))</f>
        <v/>
      </c>
      <c r="L1524" s="395">
        <f>DATEVALUE(LEFT(F1524,10))</f>
        <v/>
      </c>
      <c r="M1524" s="396">
        <f>TIMEVALUE(MID(F1524,12,8))</f>
        <v/>
      </c>
      <c r="N1524" s="395">
        <f>DATEVALUE(LEFT(G1524,10))</f>
        <v/>
      </c>
      <c r="O1524" s="396">
        <f>TIMEVALUE(MID(G1524,12,8))</f>
        <v/>
      </c>
      <c r="P1524" s="396">
        <f>IFERROR(_xlfn.MINIFS($M:$M,$E:$E,$E1524,$K:$K,$K1524,$M:$M,"&gt;"&amp;$O1524),"")</f>
        <v/>
      </c>
      <c r="Q1524" s="396">
        <f>IF($P1524="","",$P1524-$O1524)</f>
        <v/>
      </c>
    </row>
    <row r="1525" ht="15" customHeight="1" s="231">
      <c r="A1525" s="397" t="n"/>
      <c r="B1525" s="397" t="n"/>
      <c r="C1525" s="397" t="n"/>
      <c r="D1525" s="397" t="n"/>
      <c r="E1525" s="397" t="n"/>
      <c r="F1525" s="397" t="n"/>
      <c r="G1525" s="397" t="n"/>
      <c r="I1525" s="397" t="n"/>
      <c r="J1525" s="397" t="n"/>
      <c r="K1525" s="395">
        <f>DATE(VALUE(LEFT(A1525,4)),VALUE(MID(A1525,5,2)),VALUE(RIGHT(A1525,2)))</f>
        <v/>
      </c>
      <c r="L1525" s="395">
        <f>DATEVALUE(LEFT(F1525,10))</f>
        <v/>
      </c>
      <c r="M1525" s="396">
        <f>TIMEVALUE(MID(F1525,12,8))</f>
        <v/>
      </c>
      <c r="N1525" s="395">
        <f>DATEVALUE(LEFT(G1525,10))</f>
        <v/>
      </c>
      <c r="O1525" s="396">
        <f>TIMEVALUE(MID(G1525,12,8))</f>
        <v/>
      </c>
      <c r="P1525" s="396">
        <f>IFERROR(_xlfn.MINIFS($M:$M,$E:$E,$E1525,$K:$K,$K1525,$M:$M,"&gt;"&amp;$O1525),"")</f>
        <v/>
      </c>
      <c r="Q1525" s="396">
        <f>IF($P1525="","",$P1525-$O1525)</f>
        <v/>
      </c>
    </row>
    <row r="1526" ht="15" customHeight="1" s="231">
      <c r="A1526" s="397" t="n"/>
      <c r="B1526" s="397" t="n"/>
      <c r="C1526" s="397" t="n"/>
      <c r="D1526" s="397" t="n"/>
      <c r="E1526" s="397" t="n"/>
      <c r="F1526" s="397" t="n"/>
      <c r="G1526" s="397" t="n"/>
      <c r="I1526" s="397" t="n"/>
      <c r="J1526" s="397" t="n"/>
      <c r="K1526" s="395">
        <f>DATE(VALUE(LEFT(A1526,4)),VALUE(MID(A1526,5,2)),VALUE(RIGHT(A1526,2)))</f>
        <v/>
      </c>
      <c r="L1526" s="395">
        <f>DATEVALUE(LEFT(F1526,10))</f>
        <v/>
      </c>
      <c r="M1526" s="396">
        <f>TIMEVALUE(MID(F1526,12,8))</f>
        <v/>
      </c>
      <c r="N1526" s="395">
        <f>DATEVALUE(LEFT(G1526,10))</f>
        <v/>
      </c>
      <c r="O1526" s="396">
        <f>TIMEVALUE(MID(G1526,12,8))</f>
        <v/>
      </c>
      <c r="P1526" s="396">
        <f>IFERROR(_xlfn.MINIFS($M:$M,$E:$E,$E1526,$K:$K,$K1526,$M:$M,"&gt;"&amp;$O1526),"")</f>
        <v/>
      </c>
      <c r="Q1526" s="396">
        <f>IF($P1526="","",$P1526-$O1526)</f>
        <v/>
      </c>
    </row>
    <row r="1527" ht="15" customHeight="1" s="231">
      <c r="A1527" s="397" t="n"/>
      <c r="B1527" s="397" t="n"/>
      <c r="C1527" s="397" t="n"/>
      <c r="D1527" s="397" t="n"/>
      <c r="E1527" s="397" t="n"/>
      <c r="F1527" s="397" t="n"/>
      <c r="G1527" s="397" t="n"/>
      <c r="I1527" s="397" t="n"/>
      <c r="J1527" s="397" t="n"/>
      <c r="K1527" s="395">
        <f>DATE(VALUE(LEFT(A1527,4)),VALUE(MID(A1527,5,2)),VALUE(RIGHT(A1527,2)))</f>
        <v/>
      </c>
      <c r="L1527" s="395">
        <f>DATEVALUE(LEFT(F1527,10))</f>
        <v/>
      </c>
      <c r="M1527" s="396">
        <f>TIMEVALUE(MID(F1527,12,8))</f>
        <v/>
      </c>
      <c r="N1527" s="395">
        <f>DATEVALUE(LEFT(G1527,10))</f>
        <v/>
      </c>
      <c r="O1527" s="396">
        <f>TIMEVALUE(MID(G1527,12,8))</f>
        <v/>
      </c>
      <c r="P1527" s="396">
        <f>IFERROR(_xlfn.MINIFS($M:$M,$E:$E,$E1527,$K:$K,$K1527,$M:$M,"&gt;"&amp;$O1527),"")</f>
        <v/>
      </c>
      <c r="Q1527" s="396">
        <f>IF($P1527="","",$P1527-$O1527)</f>
        <v/>
      </c>
    </row>
    <row r="1528" ht="15" customHeight="1" s="231">
      <c r="A1528" s="397" t="n"/>
      <c r="B1528" s="397" t="n"/>
      <c r="C1528" s="397" t="n"/>
      <c r="D1528" s="397" t="n"/>
      <c r="E1528" s="397" t="n"/>
      <c r="F1528" s="397" t="n"/>
      <c r="G1528" s="397" t="n"/>
      <c r="I1528" s="397" t="n"/>
      <c r="J1528" s="397" t="n"/>
      <c r="K1528" s="395">
        <f>DATE(VALUE(LEFT(A1528,4)),VALUE(MID(A1528,5,2)),VALUE(RIGHT(A1528,2)))</f>
        <v/>
      </c>
      <c r="L1528" s="395">
        <f>DATEVALUE(LEFT(F1528,10))</f>
        <v/>
      </c>
      <c r="M1528" s="396">
        <f>TIMEVALUE(MID(F1528,12,8))</f>
        <v/>
      </c>
      <c r="N1528" s="395">
        <f>DATEVALUE(LEFT(G1528,10))</f>
        <v/>
      </c>
      <c r="O1528" s="396">
        <f>TIMEVALUE(MID(G1528,12,8))</f>
        <v/>
      </c>
      <c r="P1528" s="396">
        <f>IFERROR(_xlfn.MINIFS($M:$M,$E:$E,$E1528,$K:$K,$K1528,$M:$M,"&gt;"&amp;$O1528),"")</f>
        <v/>
      </c>
      <c r="Q1528" s="396">
        <f>IF($P1528="","",$P1528-$O1528)</f>
        <v/>
      </c>
    </row>
    <row r="1529" ht="15" customHeight="1" s="231">
      <c r="A1529" s="397" t="n"/>
      <c r="B1529" s="397" t="n"/>
      <c r="C1529" s="397" t="n"/>
      <c r="D1529" s="397" t="n"/>
      <c r="E1529" s="397" t="n"/>
      <c r="F1529" s="397" t="n"/>
      <c r="G1529" s="397" t="n"/>
      <c r="I1529" s="397" t="n"/>
      <c r="J1529" s="397" t="n"/>
      <c r="K1529" s="395">
        <f>DATE(VALUE(LEFT(A1529,4)),VALUE(MID(A1529,5,2)),VALUE(RIGHT(A1529,2)))</f>
        <v/>
      </c>
      <c r="L1529" s="395">
        <f>DATEVALUE(LEFT(F1529,10))</f>
        <v/>
      </c>
      <c r="M1529" s="396">
        <f>TIMEVALUE(MID(F1529,12,8))</f>
        <v/>
      </c>
      <c r="N1529" s="395">
        <f>DATEVALUE(LEFT(G1529,10))</f>
        <v/>
      </c>
      <c r="O1529" s="396">
        <f>TIMEVALUE(MID(G1529,12,8))</f>
        <v/>
      </c>
      <c r="P1529" s="396">
        <f>IFERROR(_xlfn.MINIFS($M:$M,$E:$E,$E1529,$K:$K,$K1529,$M:$M,"&gt;"&amp;$O1529),"")</f>
        <v/>
      </c>
      <c r="Q1529" s="396">
        <f>IF($P1529="","",$P1529-$O1529)</f>
        <v/>
      </c>
    </row>
    <row r="1530" ht="15" customHeight="1" s="231">
      <c r="A1530" s="397" t="n"/>
      <c r="B1530" s="397" t="n"/>
      <c r="C1530" s="397" t="n"/>
      <c r="D1530" s="397" t="n"/>
      <c r="E1530" s="397" t="n"/>
      <c r="F1530" s="397" t="n"/>
      <c r="G1530" s="397" t="n"/>
      <c r="I1530" s="397" t="n"/>
      <c r="J1530" s="397" t="n"/>
      <c r="K1530" s="395">
        <f>DATE(VALUE(LEFT(A1530,4)),VALUE(MID(A1530,5,2)),VALUE(RIGHT(A1530,2)))</f>
        <v/>
      </c>
      <c r="L1530" s="395">
        <f>DATEVALUE(LEFT(F1530,10))</f>
        <v/>
      </c>
      <c r="M1530" s="396">
        <f>TIMEVALUE(MID(F1530,12,8))</f>
        <v/>
      </c>
      <c r="N1530" s="395">
        <f>DATEVALUE(LEFT(G1530,10))</f>
        <v/>
      </c>
      <c r="O1530" s="396">
        <f>TIMEVALUE(MID(G1530,12,8))</f>
        <v/>
      </c>
      <c r="P1530" s="396">
        <f>IFERROR(_xlfn.MINIFS($M:$M,$E:$E,$E1530,$K:$K,$K1530,$M:$M,"&gt;"&amp;$O1530),"")</f>
        <v/>
      </c>
      <c r="Q1530" s="396">
        <f>IF($P1530="","",$P1530-$O1530)</f>
        <v/>
      </c>
    </row>
    <row r="1531" ht="15" customHeight="1" s="231">
      <c r="A1531" s="397" t="n"/>
      <c r="B1531" s="397" t="n"/>
      <c r="C1531" s="397" t="n"/>
      <c r="D1531" s="397" t="n"/>
      <c r="E1531" s="397" t="n"/>
      <c r="F1531" s="397" t="n"/>
      <c r="G1531" s="397" t="n"/>
      <c r="I1531" s="397" t="n"/>
      <c r="J1531" s="397" t="n"/>
      <c r="K1531" s="395">
        <f>DATE(VALUE(LEFT(A1531,4)),VALUE(MID(A1531,5,2)),VALUE(RIGHT(A1531,2)))</f>
        <v/>
      </c>
      <c r="L1531" s="395">
        <f>DATEVALUE(LEFT(F1531,10))</f>
        <v/>
      </c>
      <c r="M1531" s="396">
        <f>TIMEVALUE(MID(F1531,12,8))</f>
        <v/>
      </c>
      <c r="N1531" s="395">
        <f>DATEVALUE(LEFT(G1531,10))</f>
        <v/>
      </c>
      <c r="O1531" s="396">
        <f>TIMEVALUE(MID(G1531,12,8))</f>
        <v/>
      </c>
      <c r="P1531" s="396">
        <f>IFERROR(_xlfn.MINIFS($M:$M,$E:$E,$E1531,$K:$K,$K1531,$M:$M,"&gt;"&amp;$O1531),"")</f>
        <v/>
      </c>
      <c r="Q1531" s="396">
        <f>IF($P1531="","",$P1531-$O1531)</f>
        <v/>
      </c>
    </row>
    <row r="1532" ht="15" customHeight="1" s="231">
      <c r="A1532" s="397" t="n"/>
      <c r="B1532" s="397" t="n"/>
      <c r="C1532" s="397" t="n"/>
      <c r="D1532" s="397" t="n"/>
      <c r="E1532" s="397" t="n"/>
      <c r="F1532" s="397" t="n"/>
      <c r="G1532" s="397" t="n"/>
      <c r="I1532" s="397" t="n"/>
      <c r="J1532" s="397" t="n"/>
      <c r="K1532" s="395">
        <f>DATE(VALUE(LEFT(A1532,4)),VALUE(MID(A1532,5,2)),VALUE(RIGHT(A1532,2)))</f>
        <v/>
      </c>
      <c r="L1532" s="395">
        <f>DATEVALUE(LEFT(F1532,10))</f>
        <v/>
      </c>
      <c r="M1532" s="396">
        <f>TIMEVALUE(MID(F1532,12,8))</f>
        <v/>
      </c>
      <c r="N1532" s="395">
        <f>DATEVALUE(LEFT(G1532,10))</f>
        <v/>
      </c>
      <c r="O1532" s="396">
        <f>TIMEVALUE(MID(G1532,12,8))</f>
        <v/>
      </c>
      <c r="P1532" s="396">
        <f>IFERROR(_xlfn.MINIFS($M:$M,$E:$E,$E1532,$K:$K,$K1532,$M:$M,"&gt;"&amp;$O1532),"")</f>
        <v/>
      </c>
      <c r="Q1532" s="396">
        <f>IF($P1532="","",$P1532-$O1532)</f>
        <v/>
      </c>
    </row>
    <row r="1533" ht="15" customHeight="1" s="231">
      <c r="A1533" s="397" t="n"/>
      <c r="B1533" s="397" t="n"/>
      <c r="C1533" s="397" t="n"/>
      <c r="D1533" s="397" t="n"/>
      <c r="E1533" s="397" t="n"/>
      <c r="F1533" s="397" t="n"/>
      <c r="G1533" s="397" t="n"/>
      <c r="I1533" s="397" t="n"/>
      <c r="J1533" s="397" t="n"/>
      <c r="K1533" s="395">
        <f>DATE(VALUE(LEFT(A1533,4)),VALUE(MID(A1533,5,2)),VALUE(RIGHT(A1533,2)))</f>
        <v/>
      </c>
      <c r="L1533" s="395">
        <f>DATEVALUE(LEFT(F1533,10))</f>
        <v/>
      </c>
      <c r="M1533" s="396">
        <f>TIMEVALUE(MID(F1533,12,8))</f>
        <v/>
      </c>
      <c r="N1533" s="395">
        <f>DATEVALUE(LEFT(G1533,10))</f>
        <v/>
      </c>
      <c r="O1533" s="396">
        <f>TIMEVALUE(MID(G1533,12,8))</f>
        <v/>
      </c>
      <c r="P1533" s="396">
        <f>IFERROR(_xlfn.MINIFS($M:$M,$E:$E,$E1533,$K:$K,$K1533,$M:$M,"&gt;"&amp;$O1533),"")</f>
        <v/>
      </c>
      <c r="Q1533" s="396">
        <f>IF($P1533="","",$P1533-$O1533)</f>
        <v/>
      </c>
    </row>
    <row r="1534" ht="15" customHeight="1" s="231">
      <c r="A1534" s="397" t="n"/>
      <c r="B1534" s="397" t="n"/>
      <c r="C1534" s="397" t="n"/>
      <c r="D1534" s="397" t="n"/>
      <c r="E1534" s="397" t="n"/>
      <c r="F1534" s="397" t="n"/>
      <c r="G1534" s="397" t="n"/>
      <c r="I1534" s="397" t="n"/>
      <c r="J1534" s="397" t="n"/>
      <c r="K1534" s="395">
        <f>DATE(VALUE(LEFT(A1534,4)),VALUE(MID(A1534,5,2)),VALUE(RIGHT(A1534,2)))</f>
        <v/>
      </c>
      <c r="L1534" s="395">
        <f>DATEVALUE(LEFT(F1534,10))</f>
        <v/>
      </c>
      <c r="M1534" s="396">
        <f>TIMEVALUE(MID(F1534,12,8))</f>
        <v/>
      </c>
      <c r="N1534" s="395">
        <f>DATEVALUE(LEFT(G1534,10))</f>
        <v/>
      </c>
      <c r="O1534" s="396">
        <f>TIMEVALUE(MID(G1534,12,8))</f>
        <v/>
      </c>
      <c r="P1534" s="396">
        <f>IFERROR(_xlfn.MINIFS($M:$M,$E:$E,$E1534,$K:$K,$K1534,$M:$M,"&gt;"&amp;$O1534),"")</f>
        <v/>
      </c>
      <c r="Q1534" s="396">
        <f>IF($P1534="","",$P1534-$O1534)</f>
        <v/>
      </c>
    </row>
    <row r="1535" ht="15" customHeight="1" s="231">
      <c r="A1535" s="397" t="n"/>
      <c r="B1535" s="397" t="n"/>
      <c r="C1535" s="397" t="n"/>
      <c r="D1535" s="397" t="n"/>
      <c r="E1535" s="397" t="n"/>
      <c r="F1535" s="397" t="n"/>
      <c r="G1535" s="397" t="n"/>
      <c r="I1535" s="397" t="n"/>
      <c r="J1535" s="397" t="n"/>
      <c r="K1535" s="395">
        <f>DATE(VALUE(LEFT(A1535,4)),VALUE(MID(A1535,5,2)),VALUE(RIGHT(A1535,2)))</f>
        <v/>
      </c>
      <c r="L1535" s="395">
        <f>DATEVALUE(LEFT(F1535,10))</f>
        <v/>
      </c>
      <c r="M1535" s="396">
        <f>TIMEVALUE(MID(F1535,12,8))</f>
        <v/>
      </c>
      <c r="N1535" s="395">
        <f>DATEVALUE(LEFT(G1535,10))</f>
        <v/>
      </c>
      <c r="O1535" s="396">
        <f>TIMEVALUE(MID(G1535,12,8))</f>
        <v/>
      </c>
      <c r="P1535" s="396">
        <f>IFERROR(_xlfn.MINIFS($M:$M,$E:$E,$E1535,$K:$K,$K1535,$M:$M,"&gt;"&amp;$O1535),"")</f>
        <v/>
      </c>
      <c r="Q1535" s="396">
        <f>IF($P1535="","",$P1535-$O1535)</f>
        <v/>
      </c>
    </row>
    <row r="1536" ht="15" customHeight="1" s="231">
      <c r="A1536" s="397" t="n"/>
      <c r="B1536" s="397" t="n"/>
      <c r="C1536" s="397" t="n"/>
      <c r="D1536" s="397" t="n"/>
      <c r="E1536" s="397" t="n"/>
      <c r="F1536" s="397" t="n"/>
      <c r="G1536" s="397" t="n"/>
      <c r="I1536" s="397" t="n"/>
      <c r="J1536" s="397" t="n"/>
      <c r="K1536" s="395">
        <f>DATE(VALUE(LEFT(A1536,4)),VALUE(MID(A1536,5,2)),VALUE(RIGHT(A1536,2)))</f>
        <v/>
      </c>
      <c r="L1536" s="395">
        <f>DATEVALUE(LEFT(F1536,10))</f>
        <v/>
      </c>
      <c r="M1536" s="396">
        <f>TIMEVALUE(MID(F1536,12,8))</f>
        <v/>
      </c>
      <c r="N1536" s="395">
        <f>DATEVALUE(LEFT(G1536,10))</f>
        <v/>
      </c>
      <c r="O1536" s="396">
        <f>TIMEVALUE(MID(G1536,12,8))</f>
        <v/>
      </c>
      <c r="P1536" s="396">
        <f>IFERROR(_xlfn.MINIFS($M:$M,$E:$E,$E1536,$K:$K,$K1536,$M:$M,"&gt;"&amp;$O1536),"")</f>
        <v/>
      </c>
      <c r="Q1536" s="396">
        <f>IF($P1536="","",$P1536-$O1536)</f>
        <v/>
      </c>
    </row>
    <row r="1537" ht="15" customHeight="1" s="231">
      <c r="A1537" s="397" t="n"/>
      <c r="B1537" s="397" t="n"/>
      <c r="C1537" s="397" t="n"/>
      <c r="D1537" s="397" t="n"/>
      <c r="E1537" s="397" t="n"/>
      <c r="F1537" s="397" t="n"/>
      <c r="G1537" s="397" t="n"/>
      <c r="I1537" s="397" t="n"/>
      <c r="J1537" s="397" t="n"/>
      <c r="K1537" s="395">
        <f>DATE(VALUE(LEFT(A1537,4)),VALUE(MID(A1537,5,2)),VALUE(RIGHT(A1537,2)))</f>
        <v/>
      </c>
      <c r="L1537" s="395">
        <f>DATEVALUE(LEFT(F1537,10))</f>
        <v/>
      </c>
      <c r="M1537" s="396">
        <f>TIMEVALUE(MID(F1537,12,8))</f>
        <v/>
      </c>
      <c r="N1537" s="395">
        <f>DATEVALUE(LEFT(G1537,10))</f>
        <v/>
      </c>
      <c r="O1537" s="396">
        <f>TIMEVALUE(MID(G1537,12,8))</f>
        <v/>
      </c>
      <c r="P1537" s="396">
        <f>IFERROR(_xlfn.MINIFS($M:$M,$E:$E,$E1537,$K:$K,$K1537,$M:$M,"&gt;"&amp;$O1537),"")</f>
        <v/>
      </c>
      <c r="Q1537" s="396">
        <f>IF($P1537="","",$P1537-$O1537)</f>
        <v/>
      </c>
    </row>
    <row r="1538" ht="15" customHeight="1" s="231">
      <c r="A1538" s="397" t="n"/>
      <c r="B1538" s="397" t="n"/>
      <c r="C1538" s="397" t="n"/>
      <c r="D1538" s="397" t="n"/>
      <c r="E1538" s="397" t="n"/>
      <c r="F1538" s="397" t="n"/>
      <c r="G1538" s="397" t="n"/>
      <c r="I1538" s="397" t="n"/>
      <c r="J1538" s="397" t="n"/>
      <c r="K1538" s="395">
        <f>DATE(VALUE(LEFT(A1538,4)),VALUE(MID(A1538,5,2)),VALUE(RIGHT(A1538,2)))</f>
        <v/>
      </c>
      <c r="L1538" s="395">
        <f>DATEVALUE(LEFT(F1538,10))</f>
        <v/>
      </c>
      <c r="M1538" s="396">
        <f>TIMEVALUE(MID(F1538,12,8))</f>
        <v/>
      </c>
      <c r="N1538" s="395">
        <f>DATEVALUE(LEFT(G1538,10))</f>
        <v/>
      </c>
      <c r="O1538" s="396">
        <f>TIMEVALUE(MID(G1538,12,8))</f>
        <v/>
      </c>
      <c r="P1538" s="396">
        <f>IFERROR(_xlfn.MINIFS($M:$M,$E:$E,$E1538,$K:$K,$K1538,$M:$M,"&gt;"&amp;$O1538),"")</f>
        <v/>
      </c>
      <c r="Q1538" s="396">
        <f>IF($P1538="","",$P1538-$O1538)</f>
        <v/>
      </c>
    </row>
    <row r="1539" ht="15" customHeight="1" s="231">
      <c r="A1539" s="397" t="n"/>
      <c r="B1539" s="397" t="n"/>
      <c r="C1539" s="397" t="n"/>
      <c r="D1539" s="397" t="n"/>
      <c r="E1539" s="397" t="n"/>
      <c r="F1539" s="397" t="n"/>
      <c r="G1539" s="397" t="n"/>
      <c r="I1539" s="397" t="n"/>
      <c r="J1539" s="397" t="n"/>
      <c r="K1539" s="395">
        <f>DATE(VALUE(LEFT(A1539,4)),VALUE(MID(A1539,5,2)),VALUE(RIGHT(A1539,2)))</f>
        <v/>
      </c>
      <c r="L1539" s="395">
        <f>DATEVALUE(LEFT(F1539,10))</f>
        <v/>
      </c>
      <c r="M1539" s="396">
        <f>TIMEVALUE(MID(F1539,12,8))</f>
        <v/>
      </c>
      <c r="N1539" s="395">
        <f>DATEVALUE(LEFT(G1539,10))</f>
        <v/>
      </c>
      <c r="O1539" s="396">
        <f>TIMEVALUE(MID(G1539,12,8))</f>
        <v/>
      </c>
      <c r="P1539" s="396">
        <f>IFERROR(_xlfn.MINIFS($M:$M,$E:$E,$E1539,$K:$K,$K1539,$M:$M,"&gt;"&amp;$O1539),"")</f>
        <v/>
      </c>
      <c r="Q1539" s="396">
        <f>IF($P1539="","",$P1539-$O1539)</f>
        <v/>
      </c>
    </row>
    <row r="1540" ht="15" customHeight="1" s="231">
      <c r="A1540" s="397" t="n"/>
      <c r="B1540" s="397" t="n"/>
      <c r="C1540" s="397" t="n"/>
      <c r="D1540" s="397" t="n"/>
      <c r="E1540" s="397" t="n"/>
      <c r="F1540" s="397" t="n"/>
      <c r="G1540" s="397" t="n"/>
      <c r="I1540" s="397" t="n"/>
      <c r="J1540" s="397" t="n"/>
      <c r="K1540" s="395">
        <f>DATE(VALUE(LEFT(A1540,4)),VALUE(MID(A1540,5,2)),VALUE(RIGHT(A1540,2)))</f>
        <v/>
      </c>
      <c r="L1540" s="395">
        <f>DATEVALUE(LEFT(F1540,10))</f>
        <v/>
      </c>
      <c r="M1540" s="396">
        <f>TIMEVALUE(MID(F1540,12,8))</f>
        <v/>
      </c>
      <c r="N1540" s="395">
        <f>DATEVALUE(LEFT(G1540,10))</f>
        <v/>
      </c>
      <c r="O1540" s="396">
        <f>TIMEVALUE(MID(G1540,12,8))</f>
        <v/>
      </c>
      <c r="P1540" s="396">
        <f>IFERROR(_xlfn.MINIFS($M:$M,$E:$E,$E1540,$K:$K,$K1540,$M:$M,"&gt;"&amp;$O1540),"")</f>
        <v/>
      </c>
      <c r="Q1540" s="396">
        <f>IF($P1540="","",$P1540-$O1540)</f>
        <v/>
      </c>
    </row>
    <row r="1541" ht="15" customHeight="1" s="231">
      <c r="A1541" s="397" t="n"/>
      <c r="B1541" s="397" t="n"/>
      <c r="C1541" s="397" t="n"/>
      <c r="D1541" s="397" t="n"/>
      <c r="E1541" s="397" t="n"/>
      <c r="F1541" s="397" t="n"/>
      <c r="G1541" s="397" t="n"/>
      <c r="I1541" s="397" t="n"/>
      <c r="J1541" s="397" t="n"/>
      <c r="K1541" s="395">
        <f>DATE(VALUE(LEFT(A1541,4)),VALUE(MID(A1541,5,2)),VALUE(RIGHT(A1541,2)))</f>
        <v/>
      </c>
      <c r="L1541" s="395">
        <f>DATEVALUE(LEFT(F1541,10))</f>
        <v/>
      </c>
      <c r="M1541" s="396">
        <f>TIMEVALUE(MID(F1541,12,8))</f>
        <v/>
      </c>
      <c r="N1541" s="395">
        <f>DATEVALUE(LEFT(G1541,10))</f>
        <v/>
      </c>
      <c r="O1541" s="396">
        <f>TIMEVALUE(MID(G1541,12,8))</f>
        <v/>
      </c>
      <c r="P1541" s="396">
        <f>IFERROR(_xlfn.MINIFS($M:$M,$E:$E,$E1541,$K:$K,$K1541,$M:$M,"&gt;"&amp;$O1541),"")</f>
        <v/>
      </c>
      <c r="Q1541" s="396">
        <f>IF($P1541="","",$P1541-$O1541)</f>
        <v/>
      </c>
    </row>
    <row r="1542" ht="15" customHeight="1" s="231">
      <c r="A1542" s="397" t="n"/>
      <c r="B1542" s="397" t="n"/>
      <c r="C1542" s="397" t="n"/>
      <c r="D1542" s="397" t="n"/>
      <c r="E1542" s="397" t="n"/>
      <c r="F1542" s="397" t="n"/>
      <c r="G1542" s="397" t="n"/>
      <c r="I1542" s="397" t="n"/>
      <c r="J1542" s="397" t="n"/>
      <c r="K1542" s="395">
        <f>DATE(VALUE(LEFT(A1542,4)),VALUE(MID(A1542,5,2)),VALUE(RIGHT(A1542,2)))</f>
        <v/>
      </c>
      <c r="L1542" s="395">
        <f>DATEVALUE(LEFT(F1542,10))</f>
        <v/>
      </c>
      <c r="M1542" s="396">
        <f>TIMEVALUE(MID(F1542,12,8))</f>
        <v/>
      </c>
      <c r="N1542" s="395">
        <f>DATEVALUE(LEFT(G1542,10))</f>
        <v/>
      </c>
      <c r="O1542" s="396">
        <f>TIMEVALUE(MID(G1542,12,8))</f>
        <v/>
      </c>
      <c r="P1542" s="396">
        <f>IFERROR(_xlfn.MINIFS($M:$M,$E:$E,$E1542,$K:$K,$K1542,$M:$M,"&gt;"&amp;$O1542),"")</f>
        <v/>
      </c>
      <c r="Q1542" s="396">
        <f>IF($P1542="","",$P1542-$O1542)</f>
        <v/>
      </c>
    </row>
    <row r="1543" ht="15" customHeight="1" s="231">
      <c r="A1543" s="397" t="n"/>
      <c r="B1543" s="397" t="n"/>
      <c r="C1543" s="397" t="n"/>
      <c r="D1543" s="397" t="n"/>
      <c r="E1543" s="397" t="n"/>
      <c r="F1543" s="397" t="n"/>
      <c r="G1543" s="397" t="n"/>
      <c r="I1543" s="397" t="n"/>
      <c r="J1543" s="397" t="n"/>
      <c r="K1543" s="395">
        <f>DATE(VALUE(LEFT(A1543,4)),VALUE(MID(A1543,5,2)),VALUE(RIGHT(A1543,2)))</f>
        <v/>
      </c>
      <c r="L1543" s="395">
        <f>DATEVALUE(LEFT(F1543,10))</f>
        <v/>
      </c>
      <c r="M1543" s="396">
        <f>TIMEVALUE(MID(F1543,12,8))</f>
        <v/>
      </c>
      <c r="N1543" s="395">
        <f>DATEVALUE(LEFT(G1543,10))</f>
        <v/>
      </c>
      <c r="O1543" s="396">
        <f>TIMEVALUE(MID(G1543,12,8))</f>
        <v/>
      </c>
      <c r="P1543" s="396">
        <f>IFERROR(_xlfn.MINIFS($M:$M,$E:$E,$E1543,$K:$K,$K1543,$M:$M,"&gt;"&amp;$O1543),"")</f>
        <v/>
      </c>
      <c r="Q1543" s="396">
        <f>IF($P1543="","",$P1543-$O1543)</f>
        <v/>
      </c>
    </row>
    <row r="1544" ht="15" customHeight="1" s="231">
      <c r="A1544" s="397" t="n"/>
      <c r="B1544" s="397" t="n"/>
      <c r="C1544" s="397" t="n"/>
      <c r="D1544" s="397" t="n"/>
      <c r="E1544" s="397" t="n"/>
      <c r="F1544" s="397" t="n"/>
      <c r="G1544" s="397" t="n"/>
      <c r="I1544" s="397" t="n"/>
      <c r="J1544" s="397" t="n"/>
      <c r="K1544" s="395">
        <f>DATE(VALUE(LEFT(A1544,4)),VALUE(MID(A1544,5,2)),VALUE(RIGHT(A1544,2)))</f>
        <v/>
      </c>
      <c r="L1544" s="395">
        <f>DATEVALUE(LEFT(F1544,10))</f>
        <v/>
      </c>
      <c r="M1544" s="396">
        <f>TIMEVALUE(MID(F1544,12,8))</f>
        <v/>
      </c>
      <c r="N1544" s="395">
        <f>DATEVALUE(LEFT(G1544,10))</f>
        <v/>
      </c>
      <c r="O1544" s="396">
        <f>TIMEVALUE(MID(G1544,12,8))</f>
        <v/>
      </c>
      <c r="P1544" s="396">
        <f>IFERROR(_xlfn.MINIFS($M:$M,$E:$E,$E1544,$K:$K,$K1544,$M:$M,"&gt;"&amp;$O1544),"")</f>
        <v/>
      </c>
      <c r="Q1544" s="396">
        <f>IF($P1544="","",$P1544-$O1544)</f>
        <v/>
      </c>
    </row>
    <row r="1545" ht="15" customHeight="1" s="231">
      <c r="A1545" s="397" t="n"/>
      <c r="B1545" s="397" t="n"/>
      <c r="C1545" s="397" t="n"/>
      <c r="D1545" s="397" t="n"/>
      <c r="E1545" s="397" t="n"/>
      <c r="F1545" s="397" t="n"/>
      <c r="G1545" s="397" t="n"/>
      <c r="I1545" s="397" t="n"/>
      <c r="J1545" s="397" t="n"/>
      <c r="K1545" s="395">
        <f>DATE(VALUE(LEFT(A1545,4)),VALUE(MID(A1545,5,2)),VALUE(RIGHT(A1545,2)))</f>
        <v/>
      </c>
      <c r="L1545" s="395">
        <f>DATEVALUE(LEFT(F1545,10))</f>
        <v/>
      </c>
      <c r="M1545" s="396">
        <f>TIMEVALUE(MID(F1545,12,8))</f>
        <v/>
      </c>
      <c r="N1545" s="395">
        <f>DATEVALUE(LEFT(G1545,10))</f>
        <v/>
      </c>
      <c r="O1545" s="396">
        <f>TIMEVALUE(MID(G1545,12,8))</f>
        <v/>
      </c>
      <c r="P1545" s="396">
        <f>IFERROR(_xlfn.MINIFS($M:$M,$E:$E,$E1545,$K:$K,$K1545,$M:$M,"&gt;"&amp;$O1545),"")</f>
        <v/>
      </c>
      <c r="Q1545" s="396">
        <f>IF($P1545="","",$P1545-$O1545)</f>
        <v/>
      </c>
    </row>
    <row r="1546" ht="15" customHeight="1" s="231">
      <c r="A1546" s="397" t="n"/>
      <c r="B1546" s="397" t="n"/>
      <c r="C1546" s="397" t="n"/>
      <c r="D1546" s="397" t="n"/>
      <c r="E1546" s="397" t="n"/>
      <c r="F1546" s="397" t="n"/>
      <c r="G1546" s="397" t="n"/>
      <c r="I1546" s="397" t="n"/>
      <c r="J1546" s="397" t="n"/>
      <c r="K1546" s="395">
        <f>DATE(VALUE(LEFT(A1546,4)),VALUE(MID(A1546,5,2)),VALUE(RIGHT(A1546,2)))</f>
        <v/>
      </c>
      <c r="L1546" s="395">
        <f>DATEVALUE(LEFT(F1546,10))</f>
        <v/>
      </c>
      <c r="M1546" s="396">
        <f>TIMEVALUE(MID(F1546,12,8))</f>
        <v/>
      </c>
      <c r="N1546" s="395">
        <f>DATEVALUE(LEFT(G1546,10))</f>
        <v/>
      </c>
      <c r="O1546" s="396">
        <f>TIMEVALUE(MID(G1546,12,8))</f>
        <v/>
      </c>
      <c r="P1546" s="396">
        <f>IFERROR(_xlfn.MINIFS($M:$M,$E:$E,$E1546,$K:$K,$K1546,$M:$M,"&gt;"&amp;$O1546),"")</f>
        <v/>
      </c>
      <c r="Q1546" s="396">
        <f>IF($P1546="","",$P1546-$O1546)</f>
        <v/>
      </c>
    </row>
    <row r="1547" ht="15" customHeight="1" s="231">
      <c r="A1547" s="397" t="n"/>
      <c r="B1547" s="397" t="n"/>
      <c r="C1547" s="397" t="n"/>
      <c r="D1547" s="397" t="n"/>
      <c r="E1547" s="397" t="n"/>
      <c r="F1547" s="397" t="n"/>
      <c r="G1547" s="397" t="n"/>
      <c r="I1547" s="397" t="n"/>
      <c r="J1547" s="397" t="n"/>
      <c r="K1547" s="395">
        <f>DATE(VALUE(LEFT(A1547,4)),VALUE(MID(A1547,5,2)),VALUE(RIGHT(A1547,2)))</f>
        <v/>
      </c>
      <c r="L1547" s="395">
        <f>DATEVALUE(LEFT(F1547,10))</f>
        <v/>
      </c>
      <c r="M1547" s="396">
        <f>TIMEVALUE(MID(F1547,12,8))</f>
        <v/>
      </c>
      <c r="N1547" s="395">
        <f>DATEVALUE(LEFT(G1547,10))</f>
        <v/>
      </c>
      <c r="O1547" s="396">
        <f>TIMEVALUE(MID(G1547,12,8))</f>
        <v/>
      </c>
      <c r="P1547" s="396">
        <f>IFERROR(_xlfn.MINIFS($M:$M,$E:$E,$E1547,$K:$K,$K1547,$M:$M,"&gt;"&amp;$O1547),"")</f>
        <v/>
      </c>
      <c r="Q1547" s="396">
        <f>IF($P1547="","",$P1547-$O1547)</f>
        <v/>
      </c>
    </row>
    <row r="1548" ht="15" customHeight="1" s="231">
      <c r="A1548" s="397" t="n"/>
      <c r="B1548" s="397" t="n"/>
      <c r="C1548" s="397" t="n"/>
      <c r="D1548" s="397" t="n"/>
      <c r="E1548" s="397" t="n"/>
      <c r="F1548" s="397" t="n"/>
      <c r="G1548" s="397" t="n"/>
      <c r="I1548" s="397" t="n"/>
      <c r="J1548" s="397" t="n"/>
      <c r="K1548" s="395">
        <f>DATE(VALUE(LEFT(A1548,4)),VALUE(MID(A1548,5,2)),VALUE(RIGHT(A1548,2)))</f>
        <v/>
      </c>
      <c r="L1548" s="395">
        <f>DATEVALUE(LEFT(F1548,10))</f>
        <v/>
      </c>
      <c r="M1548" s="396">
        <f>TIMEVALUE(MID(F1548,12,8))</f>
        <v/>
      </c>
      <c r="N1548" s="395">
        <f>DATEVALUE(LEFT(G1548,10))</f>
        <v/>
      </c>
      <c r="O1548" s="396">
        <f>TIMEVALUE(MID(G1548,12,8))</f>
        <v/>
      </c>
      <c r="P1548" s="396">
        <f>IFERROR(_xlfn.MINIFS($M:$M,$E:$E,$E1548,$K:$K,$K1548,$M:$M,"&gt;"&amp;$O1548),"")</f>
        <v/>
      </c>
      <c r="Q1548" s="396">
        <f>IF($P1548="","",$P1548-$O1548)</f>
        <v/>
      </c>
    </row>
    <row r="1549" ht="15" customHeight="1" s="231">
      <c r="A1549" s="397" t="n"/>
      <c r="B1549" s="397" t="n"/>
      <c r="C1549" s="397" t="n"/>
      <c r="D1549" s="397" t="n"/>
      <c r="E1549" s="397" t="n"/>
      <c r="F1549" s="397" t="n"/>
      <c r="G1549" s="397" t="n"/>
      <c r="I1549" s="397" t="n"/>
      <c r="J1549" s="397" t="n"/>
      <c r="K1549" s="395">
        <f>DATE(VALUE(LEFT(A1549,4)),VALUE(MID(A1549,5,2)),VALUE(RIGHT(A1549,2)))</f>
        <v/>
      </c>
      <c r="L1549" s="395">
        <f>DATEVALUE(LEFT(F1549,10))</f>
        <v/>
      </c>
      <c r="M1549" s="396">
        <f>TIMEVALUE(MID(F1549,12,8))</f>
        <v/>
      </c>
      <c r="N1549" s="395">
        <f>DATEVALUE(LEFT(G1549,10))</f>
        <v/>
      </c>
      <c r="O1549" s="396">
        <f>TIMEVALUE(MID(G1549,12,8))</f>
        <v/>
      </c>
      <c r="P1549" s="396">
        <f>IFERROR(_xlfn.MINIFS($M:$M,$E:$E,$E1549,$K:$K,$K1549,$M:$M,"&gt;"&amp;$O1549),"")</f>
        <v/>
      </c>
      <c r="Q1549" s="396">
        <f>IF($P1549="","",$P1549-$O1549)</f>
        <v/>
      </c>
    </row>
    <row r="1550" ht="15" customHeight="1" s="231">
      <c r="A1550" s="397" t="n"/>
      <c r="B1550" s="397" t="n"/>
      <c r="C1550" s="397" t="n"/>
      <c r="D1550" s="397" t="n"/>
      <c r="E1550" s="397" t="n"/>
      <c r="F1550" s="397" t="n"/>
      <c r="G1550" s="397" t="n"/>
      <c r="I1550" s="397" t="n"/>
      <c r="J1550" s="397" t="n"/>
      <c r="K1550" s="395">
        <f>DATE(VALUE(LEFT(A1550,4)),VALUE(MID(A1550,5,2)),VALUE(RIGHT(A1550,2)))</f>
        <v/>
      </c>
      <c r="L1550" s="395">
        <f>DATEVALUE(LEFT(F1550,10))</f>
        <v/>
      </c>
      <c r="M1550" s="396">
        <f>TIMEVALUE(MID(F1550,12,8))</f>
        <v/>
      </c>
      <c r="N1550" s="395">
        <f>DATEVALUE(LEFT(G1550,10))</f>
        <v/>
      </c>
      <c r="O1550" s="396">
        <f>TIMEVALUE(MID(G1550,12,8))</f>
        <v/>
      </c>
      <c r="P1550" s="396">
        <f>IFERROR(_xlfn.MINIFS($M:$M,$E:$E,$E1550,$K:$K,$K1550,$M:$M,"&gt;"&amp;$O1550),"")</f>
        <v/>
      </c>
      <c r="Q1550" s="396">
        <f>IF($P1550="","",$P1550-$O1550)</f>
        <v/>
      </c>
    </row>
    <row r="1551" ht="15" customHeight="1" s="231">
      <c r="A1551" s="397" t="n"/>
      <c r="B1551" s="397" t="n"/>
      <c r="C1551" s="397" t="n"/>
      <c r="D1551" s="397" t="n"/>
      <c r="E1551" s="397" t="n"/>
      <c r="F1551" s="397" t="n"/>
      <c r="G1551" s="397" t="n"/>
      <c r="I1551" s="397" t="n"/>
      <c r="J1551" s="397" t="n"/>
      <c r="K1551" s="395">
        <f>DATE(VALUE(LEFT(A1551,4)),VALUE(MID(A1551,5,2)),VALUE(RIGHT(A1551,2)))</f>
        <v/>
      </c>
      <c r="L1551" s="395">
        <f>DATEVALUE(LEFT(F1551,10))</f>
        <v/>
      </c>
      <c r="M1551" s="396">
        <f>TIMEVALUE(MID(F1551,12,8))</f>
        <v/>
      </c>
      <c r="N1551" s="395">
        <f>DATEVALUE(LEFT(G1551,10))</f>
        <v/>
      </c>
      <c r="O1551" s="396">
        <f>TIMEVALUE(MID(G1551,12,8))</f>
        <v/>
      </c>
      <c r="P1551" s="396">
        <f>IFERROR(_xlfn.MINIFS($M:$M,$E:$E,$E1551,$K:$K,$K1551,$M:$M,"&gt;"&amp;$O1551),"")</f>
        <v/>
      </c>
      <c r="Q1551" s="396">
        <f>IF($P1551="","",$P1551-$O1551)</f>
        <v/>
      </c>
    </row>
    <row r="1552" ht="15" customHeight="1" s="231">
      <c r="A1552" s="397" t="n"/>
      <c r="B1552" s="397" t="n"/>
      <c r="C1552" s="397" t="n"/>
      <c r="D1552" s="397" t="n"/>
      <c r="E1552" s="397" t="n"/>
      <c r="F1552" s="397" t="n"/>
      <c r="G1552" s="397" t="n"/>
      <c r="I1552" s="397" t="n"/>
      <c r="J1552" s="397" t="n"/>
      <c r="K1552" s="395">
        <f>DATE(VALUE(LEFT(A1552,4)),VALUE(MID(A1552,5,2)),VALUE(RIGHT(A1552,2)))</f>
        <v/>
      </c>
      <c r="L1552" s="395">
        <f>DATEVALUE(LEFT(F1552,10))</f>
        <v/>
      </c>
      <c r="M1552" s="396">
        <f>TIMEVALUE(MID(F1552,12,8))</f>
        <v/>
      </c>
      <c r="N1552" s="395">
        <f>DATEVALUE(LEFT(G1552,10))</f>
        <v/>
      </c>
      <c r="O1552" s="396">
        <f>TIMEVALUE(MID(G1552,12,8))</f>
        <v/>
      </c>
      <c r="P1552" s="396">
        <f>IFERROR(_xlfn.MINIFS($M:$M,$E:$E,$E1552,$K:$K,$K1552,$M:$M,"&gt;"&amp;$O1552),"")</f>
        <v/>
      </c>
      <c r="Q1552" s="396">
        <f>IF($P1552="","",$P1552-$O1552)</f>
        <v/>
      </c>
    </row>
    <row r="1553" ht="15" customHeight="1" s="231">
      <c r="A1553" s="397" t="n"/>
      <c r="B1553" s="397" t="n"/>
      <c r="C1553" s="397" t="n"/>
      <c r="D1553" s="397" t="n"/>
      <c r="E1553" s="397" t="n"/>
      <c r="F1553" s="397" t="n"/>
      <c r="G1553" s="397" t="n"/>
      <c r="I1553" s="397" t="n"/>
      <c r="J1553" s="397" t="n"/>
      <c r="K1553" s="395">
        <f>DATE(VALUE(LEFT(A1553,4)),VALUE(MID(A1553,5,2)),VALUE(RIGHT(A1553,2)))</f>
        <v/>
      </c>
      <c r="L1553" s="395">
        <f>DATEVALUE(LEFT(F1553,10))</f>
        <v/>
      </c>
      <c r="M1553" s="396">
        <f>TIMEVALUE(MID(F1553,12,8))</f>
        <v/>
      </c>
      <c r="N1553" s="395">
        <f>DATEVALUE(LEFT(G1553,10))</f>
        <v/>
      </c>
      <c r="O1553" s="396">
        <f>TIMEVALUE(MID(G1553,12,8))</f>
        <v/>
      </c>
      <c r="P1553" s="396">
        <f>IFERROR(_xlfn.MINIFS($M:$M,$E:$E,$E1553,$K:$K,$K1553,$M:$M,"&gt;"&amp;$O1553),"")</f>
        <v/>
      </c>
      <c r="Q1553" s="396">
        <f>IF($P1553="","",$P1553-$O1553)</f>
        <v/>
      </c>
    </row>
    <row r="1554" ht="15" customHeight="1" s="231">
      <c r="A1554" s="397" t="n"/>
      <c r="B1554" s="397" t="n"/>
      <c r="C1554" s="397" t="n"/>
      <c r="D1554" s="397" t="n"/>
      <c r="E1554" s="397" t="n"/>
      <c r="F1554" s="397" t="n"/>
      <c r="G1554" s="397" t="n"/>
      <c r="I1554" s="397" t="n"/>
      <c r="J1554" s="397" t="n"/>
      <c r="K1554" s="395">
        <f>DATE(VALUE(LEFT(A1554,4)),VALUE(MID(A1554,5,2)),VALUE(RIGHT(A1554,2)))</f>
        <v/>
      </c>
      <c r="L1554" s="395">
        <f>DATEVALUE(LEFT(F1554,10))</f>
        <v/>
      </c>
      <c r="M1554" s="396">
        <f>TIMEVALUE(MID(F1554,12,8))</f>
        <v/>
      </c>
      <c r="N1554" s="395">
        <f>DATEVALUE(LEFT(G1554,10))</f>
        <v/>
      </c>
      <c r="O1554" s="396">
        <f>TIMEVALUE(MID(G1554,12,8))</f>
        <v/>
      </c>
      <c r="P1554" s="396">
        <f>IFERROR(_xlfn.MINIFS($M:$M,$E:$E,$E1554,$K:$K,$K1554,$M:$M,"&gt;"&amp;$O1554),"")</f>
        <v/>
      </c>
      <c r="Q1554" s="396">
        <f>IF($P1554="","",$P1554-$O1554)</f>
        <v/>
      </c>
    </row>
    <row r="1555" ht="15" customHeight="1" s="231">
      <c r="A1555" s="397" t="n"/>
      <c r="B1555" s="397" t="n"/>
      <c r="C1555" s="397" t="n"/>
      <c r="D1555" s="397" t="n"/>
      <c r="E1555" s="397" t="n"/>
      <c r="F1555" s="397" t="n"/>
      <c r="G1555" s="397" t="n"/>
      <c r="I1555" s="397" t="n"/>
      <c r="J1555" s="397" t="n"/>
      <c r="K1555" s="395">
        <f>DATE(VALUE(LEFT(A1555,4)),VALUE(MID(A1555,5,2)),VALUE(RIGHT(A1555,2)))</f>
        <v/>
      </c>
      <c r="L1555" s="395">
        <f>DATEVALUE(LEFT(F1555,10))</f>
        <v/>
      </c>
      <c r="M1555" s="396">
        <f>TIMEVALUE(MID(F1555,12,8))</f>
        <v/>
      </c>
      <c r="N1555" s="395">
        <f>DATEVALUE(LEFT(G1555,10))</f>
        <v/>
      </c>
      <c r="O1555" s="396">
        <f>TIMEVALUE(MID(G1555,12,8))</f>
        <v/>
      </c>
      <c r="P1555" s="396">
        <f>IFERROR(_xlfn.MINIFS($M:$M,$E:$E,$E1555,$K:$K,$K1555,$M:$M,"&gt;"&amp;$O1555),"")</f>
        <v/>
      </c>
      <c r="Q1555" s="396">
        <f>IF($P1555="","",$P1555-$O1555)</f>
        <v/>
      </c>
    </row>
    <row r="1556" ht="15" customHeight="1" s="231">
      <c r="A1556" s="397" t="n"/>
      <c r="B1556" s="397" t="n"/>
      <c r="C1556" s="397" t="n"/>
      <c r="D1556" s="397" t="n"/>
      <c r="E1556" s="397" t="n"/>
      <c r="F1556" s="397" t="n"/>
      <c r="G1556" s="397" t="n"/>
      <c r="I1556" s="397" t="n"/>
      <c r="J1556" s="397" t="n"/>
      <c r="K1556" s="395">
        <f>DATE(VALUE(LEFT(A1556,4)),VALUE(MID(A1556,5,2)),VALUE(RIGHT(A1556,2)))</f>
        <v/>
      </c>
      <c r="L1556" s="395">
        <f>DATEVALUE(LEFT(F1556,10))</f>
        <v/>
      </c>
      <c r="M1556" s="396">
        <f>TIMEVALUE(MID(F1556,12,8))</f>
        <v/>
      </c>
      <c r="N1556" s="395">
        <f>DATEVALUE(LEFT(G1556,10))</f>
        <v/>
      </c>
      <c r="O1556" s="396">
        <f>TIMEVALUE(MID(G1556,12,8))</f>
        <v/>
      </c>
      <c r="P1556" s="396">
        <f>IFERROR(_xlfn.MINIFS($M:$M,$E:$E,$E1556,$K:$K,$K1556,$M:$M,"&gt;"&amp;$O1556),"")</f>
        <v/>
      </c>
      <c r="Q1556" s="396">
        <f>IF($P1556="","",$P1556-$O1556)</f>
        <v/>
      </c>
    </row>
    <row r="1557" ht="15" customHeight="1" s="231">
      <c r="A1557" s="397" t="n"/>
      <c r="B1557" s="397" t="n"/>
      <c r="C1557" s="397" t="n"/>
      <c r="D1557" s="397" t="n"/>
      <c r="E1557" s="397" t="n"/>
      <c r="F1557" s="397" t="n"/>
      <c r="G1557" s="397" t="n"/>
      <c r="I1557" s="397" t="n"/>
      <c r="J1557" s="397" t="n"/>
      <c r="K1557" s="395">
        <f>DATE(VALUE(LEFT(A1557,4)),VALUE(MID(A1557,5,2)),VALUE(RIGHT(A1557,2)))</f>
        <v/>
      </c>
      <c r="L1557" s="395">
        <f>DATEVALUE(LEFT(F1557,10))</f>
        <v/>
      </c>
      <c r="M1557" s="396">
        <f>TIMEVALUE(MID(F1557,12,8))</f>
        <v/>
      </c>
      <c r="N1557" s="395">
        <f>DATEVALUE(LEFT(G1557,10))</f>
        <v/>
      </c>
      <c r="O1557" s="396">
        <f>TIMEVALUE(MID(G1557,12,8))</f>
        <v/>
      </c>
      <c r="P1557" s="396">
        <f>IFERROR(_xlfn.MINIFS($M:$M,$E:$E,$E1557,$K:$K,$K1557,$M:$M,"&gt;"&amp;$O1557),"")</f>
        <v/>
      </c>
      <c r="Q1557" s="396">
        <f>IF($P1557="","",$P1557-$O1557)</f>
        <v/>
      </c>
    </row>
    <row r="1558" ht="15" customHeight="1" s="231">
      <c r="A1558" s="397" t="n"/>
      <c r="B1558" s="397" t="n"/>
      <c r="C1558" s="397" t="n"/>
      <c r="D1558" s="397" t="n"/>
      <c r="E1558" s="397" t="n"/>
      <c r="F1558" s="397" t="n"/>
      <c r="G1558" s="397" t="n"/>
      <c r="I1558" s="397" t="n"/>
      <c r="J1558" s="397" t="n"/>
      <c r="K1558" s="395">
        <f>DATE(VALUE(LEFT(A1558,4)),VALUE(MID(A1558,5,2)),VALUE(RIGHT(A1558,2)))</f>
        <v/>
      </c>
      <c r="L1558" s="395">
        <f>DATEVALUE(LEFT(F1558,10))</f>
        <v/>
      </c>
      <c r="M1558" s="396">
        <f>TIMEVALUE(MID(F1558,12,8))</f>
        <v/>
      </c>
      <c r="N1558" s="395">
        <f>DATEVALUE(LEFT(G1558,10))</f>
        <v/>
      </c>
      <c r="O1558" s="396">
        <f>TIMEVALUE(MID(G1558,12,8))</f>
        <v/>
      </c>
      <c r="P1558" s="396">
        <f>IFERROR(_xlfn.MINIFS($M:$M,$E:$E,$E1558,$K:$K,$K1558,$M:$M,"&gt;"&amp;$O1558),"")</f>
        <v/>
      </c>
      <c r="Q1558" s="396">
        <f>IF($P1558="","",$P1558-$O1558)</f>
        <v/>
      </c>
    </row>
    <row r="1559" ht="15" customHeight="1" s="231">
      <c r="A1559" s="397" t="n"/>
      <c r="B1559" s="397" t="n"/>
      <c r="C1559" s="397" t="n"/>
      <c r="D1559" s="397" t="n"/>
      <c r="E1559" s="397" t="n"/>
      <c r="F1559" s="397" t="n"/>
      <c r="G1559" s="397" t="n"/>
      <c r="I1559" s="397" t="n"/>
      <c r="J1559" s="397" t="n"/>
      <c r="K1559" s="395">
        <f>DATE(VALUE(LEFT(A1559,4)),VALUE(MID(A1559,5,2)),VALUE(RIGHT(A1559,2)))</f>
        <v/>
      </c>
      <c r="L1559" s="395">
        <f>DATEVALUE(LEFT(F1559,10))</f>
        <v/>
      </c>
      <c r="M1559" s="396">
        <f>TIMEVALUE(MID(F1559,12,8))</f>
        <v/>
      </c>
      <c r="N1559" s="395">
        <f>DATEVALUE(LEFT(G1559,10))</f>
        <v/>
      </c>
      <c r="O1559" s="396">
        <f>TIMEVALUE(MID(G1559,12,8))</f>
        <v/>
      </c>
      <c r="P1559" s="396">
        <f>IFERROR(_xlfn.MINIFS($M:$M,$E:$E,$E1559,$K:$K,$K1559,$M:$M,"&gt;"&amp;$O1559),"")</f>
        <v/>
      </c>
      <c r="Q1559" s="396">
        <f>IF($P1559="","",$P1559-$O1559)</f>
        <v/>
      </c>
    </row>
    <row r="1560" ht="15" customHeight="1" s="231">
      <c r="A1560" s="397" t="n"/>
      <c r="B1560" s="397" t="n"/>
      <c r="C1560" s="397" t="n"/>
      <c r="D1560" s="397" t="n"/>
      <c r="E1560" s="397" t="n"/>
      <c r="F1560" s="397" t="n"/>
      <c r="G1560" s="397" t="n"/>
      <c r="I1560" s="397" t="n"/>
      <c r="J1560" s="397" t="n"/>
      <c r="K1560" s="395">
        <f>DATE(VALUE(LEFT(A1560,4)),VALUE(MID(A1560,5,2)),VALUE(RIGHT(A1560,2)))</f>
        <v/>
      </c>
      <c r="L1560" s="395">
        <f>DATEVALUE(LEFT(F1560,10))</f>
        <v/>
      </c>
      <c r="M1560" s="396">
        <f>TIMEVALUE(MID(F1560,12,8))</f>
        <v/>
      </c>
      <c r="N1560" s="395">
        <f>DATEVALUE(LEFT(G1560,10))</f>
        <v/>
      </c>
      <c r="O1560" s="396">
        <f>TIMEVALUE(MID(G1560,12,8))</f>
        <v/>
      </c>
      <c r="P1560" s="396">
        <f>IFERROR(_xlfn.MINIFS($M:$M,$E:$E,$E1560,$K:$K,$K1560,$M:$M,"&gt;"&amp;$O1560),"")</f>
        <v/>
      </c>
      <c r="Q1560" s="396">
        <f>IF($P1560="","",$P1560-$O1560)</f>
        <v/>
      </c>
    </row>
    <row r="1561" ht="15" customHeight="1" s="231">
      <c r="A1561" s="397" t="n"/>
      <c r="B1561" s="397" t="n"/>
      <c r="C1561" s="397" t="n"/>
      <c r="D1561" s="397" t="n"/>
      <c r="E1561" s="397" t="n"/>
      <c r="F1561" s="397" t="n"/>
      <c r="G1561" s="397" t="n"/>
      <c r="I1561" s="397" t="n"/>
      <c r="J1561" s="397" t="n"/>
      <c r="K1561" s="395">
        <f>DATE(VALUE(LEFT(A1561,4)),VALUE(MID(A1561,5,2)),VALUE(RIGHT(A1561,2)))</f>
        <v/>
      </c>
      <c r="L1561" s="395">
        <f>DATEVALUE(LEFT(F1561,10))</f>
        <v/>
      </c>
      <c r="M1561" s="396">
        <f>TIMEVALUE(MID(F1561,12,8))</f>
        <v/>
      </c>
      <c r="N1561" s="395">
        <f>DATEVALUE(LEFT(G1561,10))</f>
        <v/>
      </c>
      <c r="O1561" s="396">
        <f>TIMEVALUE(MID(G1561,12,8))</f>
        <v/>
      </c>
      <c r="P1561" s="396">
        <f>IFERROR(_xlfn.MINIFS($M:$M,$E:$E,$E1561,$K:$K,$K1561,$M:$M,"&gt;"&amp;$O1561),"")</f>
        <v/>
      </c>
      <c r="Q1561" s="396">
        <f>IF($P1561="","",$P1561-$O1561)</f>
        <v/>
      </c>
    </row>
    <row r="1562" ht="15" customHeight="1" s="231">
      <c r="A1562" s="397" t="n"/>
      <c r="B1562" s="397" t="n"/>
      <c r="C1562" s="397" t="n"/>
      <c r="D1562" s="397" t="n"/>
      <c r="E1562" s="397" t="n"/>
      <c r="F1562" s="397" t="n"/>
      <c r="G1562" s="397" t="n"/>
      <c r="I1562" s="397" t="n"/>
      <c r="J1562" s="397" t="n"/>
      <c r="K1562" s="395">
        <f>DATE(VALUE(LEFT(A1562,4)),VALUE(MID(A1562,5,2)),VALUE(RIGHT(A1562,2)))</f>
        <v/>
      </c>
      <c r="L1562" s="395">
        <f>DATEVALUE(LEFT(F1562,10))</f>
        <v/>
      </c>
      <c r="M1562" s="396">
        <f>TIMEVALUE(MID(F1562,12,8))</f>
        <v/>
      </c>
      <c r="N1562" s="395">
        <f>DATEVALUE(LEFT(G1562,10))</f>
        <v/>
      </c>
      <c r="O1562" s="396">
        <f>TIMEVALUE(MID(G1562,12,8))</f>
        <v/>
      </c>
      <c r="P1562" s="396">
        <f>IFERROR(_xlfn.MINIFS($M:$M,$E:$E,$E1562,$K:$K,$K1562,$M:$M,"&gt;"&amp;$O1562),"")</f>
        <v/>
      </c>
      <c r="Q1562" s="396">
        <f>IF($P1562="","",$P1562-$O1562)</f>
        <v/>
      </c>
    </row>
    <row r="1563" ht="15" customHeight="1" s="231">
      <c r="A1563" s="397" t="n"/>
      <c r="B1563" s="397" t="n"/>
      <c r="C1563" s="397" t="n"/>
      <c r="D1563" s="397" t="n"/>
      <c r="E1563" s="397" t="n"/>
      <c r="F1563" s="397" t="n"/>
      <c r="G1563" s="397" t="n"/>
      <c r="I1563" s="397" t="n"/>
      <c r="J1563" s="397" t="n"/>
      <c r="K1563" s="395">
        <f>DATE(VALUE(LEFT(A1563,4)),VALUE(MID(A1563,5,2)),VALUE(RIGHT(A1563,2)))</f>
        <v/>
      </c>
      <c r="L1563" s="395">
        <f>DATEVALUE(LEFT(F1563,10))</f>
        <v/>
      </c>
      <c r="M1563" s="396">
        <f>TIMEVALUE(MID(F1563,12,8))</f>
        <v/>
      </c>
      <c r="N1563" s="395">
        <f>DATEVALUE(LEFT(G1563,10))</f>
        <v/>
      </c>
      <c r="O1563" s="396">
        <f>TIMEVALUE(MID(G1563,12,8))</f>
        <v/>
      </c>
      <c r="P1563" s="396">
        <f>IFERROR(_xlfn.MINIFS($M:$M,$E:$E,$E1563,$K:$K,$K1563,$M:$M,"&gt;"&amp;$O1563),"")</f>
        <v/>
      </c>
      <c r="Q1563" s="396">
        <f>IF($P1563="","",$P1563-$O1563)</f>
        <v/>
      </c>
    </row>
    <row r="1564" ht="15" customHeight="1" s="231">
      <c r="A1564" s="397" t="n"/>
      <c r="B1564" s="397" t="n"/>
      <c r="C1564" s="397" t="n"/>
      <c r="D1564" s="397" t="n"/>
      <c r="E1564" s="397" t="n"/>
      <c r="F1564" s="397" t="n"/>
      <c r="G1564" s="397" t="n"/>
      <c r="I1564" s="397" t="n"/>
      <c r="J1564" s="397" t="n"/>
      <c r="K1564" s="395">
        <f>DATE(VALUE(LEFT(A1564,4)),VALUE(MID(A1564,5,2)),VALUE(RIGHT(A1564,2)))</f>
        <v/>
      </c>
      <c r="L1564" s="395">
        <f>DATEVALUE(LEFT(F1564,10))</f>
        <v/>
      </c>
      <c r="M1564" s="396">
        <f>TIMEVALUE(MID(F1564,12,8))</f>
        <v/>
      </c>
      <c r="N1564" s="395">
        <f>DATEVALUE(LEFT(G1564,10))</f>
        <v/>
      </c>
      <c r="O1564" s="396">
        <f>TIMEVALUE(MID(G1564,12,8))</f>
        <v/>
      </c>
      <c r="P1564" s="396">
        <f>IFERROR(_xlfn.MINIFS($M:$M,$E:$E,$E1564,$K:$K,$K1564,$M:$M,"&gt;"&amp;$O1564),"")</f>
        <v/>
      </c>
      <c r="Q1564" s="396">
        <f>IF($P1564="","",$P1564-$O1564)</f>
        <v/>
      </c>
    </row>
    <row r="1565" ht="15" customHeight="1" s="231">
      <c r="A1565" s="397" t="n"/>
      <c r="B1565" s="397" t="n"/>
      <c r="C1565" s="397" t="n"/>
      <c r="D1565" s="397" t="n"/>
      <c r="E1565" s="397" t="n"/>
      <c r="F1565" s="397" t="n"/>
      <c r="G1565" s="397" t="n"/>
      <c r="I1565" s="397" t="n"/>
      <c r="J1565" s="397" t="n"/>
      <c r="K1565" s="395">
        <f>DATE(VALUE(LEFT(A1565,4)),VALUE(MID(A1565,5,2)),VALUE(RIGHT(A1565,2)))</f>
        <v/>
      </c>
      <c r="L1565" s="395">
        <f>DATEVALUE(LEFT(F1565,10))</f>
        <v/>
      </c>
      <c r="M1565" s="396">
        <f>TIMEVALUE(MID(F1565,12,8))</f>
        <v/>
      </c>
      <c r="N1565" s="395">
        <f>DATEVALUE(LEFT(G1565,10))</f>
        <v/>
      </c>
      <c r="O1565" s="396">
        <f>TIMEVALUE(MID(G1565,12,8))</f>
        <v/>
      </c>
      <c r="P1565" s="396">
        <f>IFERROR(_xlfn.MINIFS($M:$M,$E:$E,$E1565,$K:$K,$K1565,$M:$M,"&gt;"&amp;$O1565),"")</f>
        <v/>
      </c>
      <c r="Q1565" s="396">
        <f>IF($P1565="","",$P1565-$O1565)</f>
        <v/>
      </c>
    </row>
    <row r="1566" ht="15" customHeight="1" s="231">
      <c r="A1566" s="397" t="n"/>
      <c r="B1566" s="397" t="n"/>
      <c r="C1566" s="397" t="n"/>
      <c r="D1566" s="397" t="n"/>
      <c r="E1566" s="397" t="n"/>
      <c r="F1566" s="397" t="n"/>
      <c r="G1566" s="397" t="n"/>
      <c r="I1566" s="397" t="n"/>
      <c r="J1566" s="397" t="n"/>
      <c r="K1566" s="395">
        <f>DATE(VALUE(LEFT(A1566,4)),VALUE(MID(A1566,5,2)),VALUE(RIGHT(A1566,2)))</f>
        <v/>
      </c>
      <c r="L1566" s="395">
        <f>DATEVALUE(LEFT(F1566,10))</f>
        <v/>
      </c>
      <c r="M1566" s="396">
        <f>TIMEVALUE(MID(F1566,12,8))</f>
        <v/>
      </c>
      <c r="N1566" s="395">
        <f>DATEVALUE(LEFT(G1566,10))</f>
        <v/>
      </c>
      <c r="O1566" s="396">
        <f>TIMEVALUE(MID(G1566,12,8))</f>
        <v/>
      </c>
      <c r="P1566" s="396">
        <f>IFERROR(_xlfn.MINIFS($M:$M,$E:$E,$E1566,$K:$K,$K1566,$M:$M,"&gt;"&amp;$O1566),"")</f>
        <v/>
      </c>
      <c r="Q1566" s="396">
        <f>IF($P1566="","",$P1566-$O1566)</f>
        <v/>
      </c>
    </row>
    <row r="1567" ht="15" customHeight="1" s="231">
      <c r="A1567" s="397" t="n"/>
      <c r="B1567" s="397" t="n"/>
      <c r="C1567" s="397" t="n"/>
      <c r="D1567" s="397" t="n"/>
      <c r="E1567" s="397" t="n"/>
      <c r="F1567" s="397" t="n"/>
      <c r="G1567" s="397" t="n"/>
      <c r="I1567" s="397" t="n"/>
      <c r="J1567" s="397" t="n"/>
      <c r="K1567" s="395">
        <f>DATE(VALUE(LEFT(A1567,4)),VALUE(MID(A1567,5,2)),VALUE(RIGHT(A1567,2)))</f>
        <v/>
      </c>
      <c r="L1567" s="395">
        <f>DATEVALUE(LEFT(F1567,10))</f>
        <v/>
      </c>
      <c r="M1567" s="396">
        <f>TIMEVALUE(MID(F1567,12,8))</f>
        <v/>
      </c>
      <c r="N1567" s="395">
        <f>DATEVALUE(LEFT(G1567,10))</f>
        <v/>
      </c>
      <c r="O1567" s="396">
        <f>TIMEVALUE(MID(G1567,12,8))</f>
        <v/>
      </c>
      <c r="P1567" s="396">
        <f>IFERROR(_xlfn.MINIFS($M:$M,$E:$E,$E1567,$K:$K,$K1567,$M:$M,"&gt;"&amp;$O1567),"")</f>
        <v/>
      </c>
      <c r="Q1567" s="396">
        <f>IF($P1567="","",$P1567-$O1567)</f>
        <v/>
      </c>
    </row>
    <row r="1568" ht="15" customHeight="1" s="231">
      <c r="A1568" s="397" t="n"/>
      <c r="B1568" s="397" t="n"/>
      <c r="C1568" s="397" t="n"/>
      <c r="D1568" s="397" t="n"/>
      <c r="E1568" s="397" t="n"/>
      <c r="F1568" s="397" t="n"/>
      <c r="G1568" s="397" t="n"/>
      <c r="I1568" s="397" t="n"/>
      <c r="J1568" s="397" t="n"/>
      <c r="K1568" s="395">
        <f>DATE(VALUE(LEFT(A1568,4)),VALUE(MID(A1568,5,2)),VALUE(RIGHT(A1568,2)))</f>
        <v/>
      </c>
      <c r="L1568" s="395">
        <f>DATEVALUE(LEFT(F1568,10))</f>
        <v/>
      </c>
      <c r="M1568" s="396">
        <f>TIMEVALUE(MID(F1568,12,8))</f>
        <v/>
      </c>
      <c r="N1568" s="395">
        <f>DATEVALUE(LEFT(G1568,10))</f>
        <v/>
      </c>
      <c r="O1568" s="396">
        <f>TIMEVALUE(MID(G1568,12,8))</f>
        <v/>
      </c>
      <c r="P1568" s="396">
        <f>IFERROR(_xlfn.MINIFS($M:$M,$E:$E,$E1568,$K:$K,$K1568,$M:$M,"&gt;"&amp;$O1568),"")</f>
        <v/>
      </c>
      <c r="Q1568" s="396">
        <f>IF($P1568="","",$P1568-$O1568)</f>
        <v/>
      </c>
    </row>
    <row r="1569" ht="15" customHeight="1" s="231">
      <c r="A1569" s="397" t="n"/>
      <c r="B1569" s="397" t="n"/>
      <c r="C1569" s="397" t="n"/>
      <c r="D1569" s="397" t="n"/>
      <c r="E1569" s="397" t="n"/>
      <c r="F1569" s="397" t="n"/>
      <c r="G1569" s="397" t="n"/>
      <c r="I1569" s="397" t="n"/>
      <c r="J1569" s="397" t="n"/>
      <c r="K1569" s="395">
        <f>DATE(VALUE(LEFT(A1569,4)),VALUE(MID(A1569,5,2)),VALUE(RIGHT(A1569,2)))</f>
        <v/>
      </c>
      <c r="L1569" s="395">
        <f>DATEVALUE(LEFT(F1569,10))</f>
        <v/>
      </c>
      <c r="M1569" s="396">
        <f>TIMEVALUE(MID(F1569,12,8))</f>
        <v/>
      </c>
      <c r="N1569" s="395">
        <f>DATEVALUE(LEFT(G1569,10))</f>
        <v/>
      </c>
      <c r="O1569" s="396">
        <f>TIMEVALUE(MID(G1569,12,8))</f>
        <v/>
      </c>
      <c r="P1569" s="396">
        <f>IFERROR(_xlfn.MINIFS($M:$M,$E:$E,$E1569,$K:$K,$K1569,$M:$M,"&gt;"&amp;$O1569),"")</f>
        <v/>
      </c>
      <c r="Q1569" s="396">
        <f>IF($P1569="","",$P1569-$O1569)</f>
        <v/>
      </c>
    </row>
    <row r="1570" ht="15" customHeight="1" s="231">
      <c r="A1570" s="397" t="n"/>
      <c r="B1570" s="397" t="n"/>
      <c r="C1570" s="397" t="n"/>
      <c r="D1570" s="397" t="n"/>
      <c r="E1570" s="397" t="n"/>
      <c r="F1570" s="397" t="n"/>
      <c r="G1570" s="397" t="n"/>
      <c r="I1570" s="397" t="n"/>
      <c r="J1570" s="397" t="n"/>
      <c r="K1570" s="395">
        <f>DATE(VALUE(LEFT(A1570,4)),VALUE(MID(A1570,5,2)),VALUE(RIGHT(A1570,2)))</f>
        <v/>
      </c>
      <c r="L1570" s="395">
        <f>DATEVALUE(LEFT(F1570,10))</f>
        <v/>
      </c>
      <c r="M1570" s="396">
        <f>TIMEVALUE(MID(F1570,12,8))</f>
        <v/>
      </c>
      <c r="N1570" s="395">
        <f>DATEVALUE(LEFT(G1570,10))</f>
        <v/>
      </c>
      <c r="O1570" s="396">
        <f>TIMEVALUE(MID(G1570,12,8))</f>
        <v/>
      </c>
      <c r="P1570" s="396">
        <f>IFERROR(_xlfn.MINIFS($M:$M,$E:$E,$E1570,$K:$K,$K1570,$M:$M,"&gt;"&amp;$O1570),"")</f>
        <v/>
      </c>
      <c r="Q1570" s="396">
        <f>IF($P1570="","",$P1570-$O1570)</f>
        <v/>
      </c>
    </row>
    <row r="1571" ht="15" customHeight="1" s="231">
      <c r="A1571" s="397" t="n"/>
      <c r="B1571" s="397" t="n"/>
      <c r="C1571" s="397" t="n"/>
      <c r="D1571" s="397" t="n"/>
      <c r="E1571" s="397" t="n"/>
      <c r="F1571" s="397" t="n"/>
      <c r="G1571" s="397" t="n"/>
      <c r="I1571" s="397" t="n"/>
      <c r="J1571" s="397" t="n"/>
      <c r="K1571" s="395">
        <f>DATE(VALUE(LEFT(A1571,4)),VALUE(MID(A1571,5,2)),VALUE(RIGHT(A1571,2)))</f>
        <v/>
      </c>
      <c r="L1571" s="395">
        <f>DATEVALUE(LEFT(F1571,10))</f>
        <v/>
      </c>
      <c r="M1571" s="396">
        <f>TIMEVALUE(MID(F1571,12,8))</f>
        <v/>
      </c>
      <c r="N1571" s="395">
        <f>DATEVALUE(LEFT(G1571,10))</f>
        <v/>
      </c>
      <c r="O1571" s="396">
        <f>TIMEVALUE(MID(G1571,12,8))</f>
        <v/>
      </c>
      <c r="P1571" s="396">
        <f>IFERROR(_xlfn.MINIFS($M:$M,$E:$E,$E1571,$K:$K,$K1571,$M:$M,"&gt;"&amp;$O1571),"")</f>
        <v/>
      </c>
      <c r="Q1571" s="396">
        <f>IF($P1571="","",$P1571-$O1571)</f>
        <v/>
      </c>
    </row>
    <row r="1572" ht="15" customHeight="1" s="231">
      <c r="A1572" s="397" t="n"/>
      <c r="B1572" s="397" t="n"/>
      <c r="C1572" s="397" t="n"/>
      <c r="D1572" s="397" t="n"/>
      <c r="E1572" s="397" t="n"/>
      <c r="F1572" s="397" t="n"/>
      <c r="G1572" s="397" t="n"/>
      <c r="I1572" s="397" t="n"/>
      <c r="J1572" s="397" t="n"/>
      <c r="K1572" s="395">
        <f>DATE(VALUE(LEFT(A1572,4)),VALUE(MID(A1572,5,2)),VALUE(RIGHT(A1572,2)))</f>
        <v/>
      </c>
      <c r="L1572" s="395">
        <f>DATEVALUE(LEFT(F1572,10))</f>
        <v/>
      </c>
      <c r="M1572" s="396">
        <f>TIMEVALUE(MID(F1572,12,8))</f>
        <v/>
      </c>
      <c r="N1572" s="395">
        <f>DATEVALUE(LEFT(G1572,10))</f>
        <v/>
      </c>
      <c r="O1572" s="396">
        <f>TIMEVALUE(MID(G1572,12,8))</f>
        <v/>
      </c>
      <c r="P1572" s="396">
        <f>IFERROR(_xlfn.MINIFS($M:$M,$E:$E,$E1572,$K:$K,$K1572,$M:$M,"&gt;"&amp;$O1572),"")</f>
        <v/>
      </c>
      <c r="Q1572" s="396">
        <f>IF($P1572="","",$P1572-$O1572)</f>
        <v/>
      </c>
    </row>
    <row r="1573" ht="15" customHeight="1" s="231">
      <c r="A1573" s="397" t="n"/>
      <c r="B1573" s="397" t="n"/>
      <c r="C1573" s="397" t="n"/>
      <c r="D1573" s="397" t="n"/>
      <c r="E1573" s="397" t="n"/>
      <c r="F1573" s="397" t="n"/>
      <c r="G1573" s="397" t="n"/>
      <c r="I1573" s="397" t="n"/>
      <c r="J1573" s="397" t="n"/>
      <c r="K1573" s="395">
        <f>DATE(VALUE(LEFT(A1573,4)),VALUE(MID(A1573,5,2)),VALUE(RIGHT(A1573,2)))</f>
        <v/>
      </c>
      <c r="L1573" s="395">
        <f>DATEVALUE(LEFT(F1573,10))</f>
        <v/>
      </c>
      <c r="M1573" s="396">
        <f>TIMEVALUE(MID(F1573,12,8))</f>
        <v/>
      </c>
      <c r="N1573" s="395">
        <f>DATEVALUE(LEFT(G1573,10))</f>
        <v/>
      </c>
      <c r="O1573" s="396">
        <f>TIMEVALUE(MID(G1573,12,8))</f>
        <v/>
      </c>
      <c r="P1573" s="396">
        <f>IFERROR(_xlfn.MINIFS($M:$M,$E:$E,$E1573,$K:$K,$K1573,$M:$M,"&gt;"&amp;$O1573),"")</f>
        <v/>
      </c>
      <c r="Q1573" s="396">
        <f>IF($P1573="","",$P1573-$O1573)</f>
        <v/>
      </c>
    </row>
    <row r="1574" ht="15" customHeight="1" s="231">
      <c r="A1574" s="397" t="n"/>
      <c r="B1574" s="397" t="n"/>
      <c r="C1574" s="397" t="n"/>
      <c r="D1574" s="397" t="n"/>
      <c r="E1574" s="397" t="n"/>
      <c r="F1574" s="397" t="n"/>
      <c r="G1574" s="397" t="n"/>
      <c r="I1574" s="397" t="n"/>
      <c r="J1574" s="397" t="n"/>
      <c r="K1574" s="395">
        <f>DATE(VALUE(LEFT(A1574,4)),VALUE(MID(A1574,5,2)),VALUE(RIGHT(A1574,2)))</f>
        <v/>
      </c>
      <c r="L1574" s="395">
        <f>DATEVALUE(LEFT(F1574,10))</f>
        <v/>
      </c>
      <c r="M1574" s="396">
        <f>TIMEVALUE(MID(F1574,12,8))</f>
        <v/>
      </c>
      <c r="N1574" s="395">
        <f>DATEVALUE(LEFT(G1574,10))</f>
        <v/>
      </c>
      <c r="O1574" s="396">
        <f>TIMEVALUE(MID(G1574,12,8))</f>
        <v/>
      </c>
      <c r="P1574" s="396">
        <f>IFERROR(_xlfn.MINIFS($M:$M,$E:$E,$E1574,$K:$K,$K1574,$M:$M,"&gt;"&amp;$O1574),"")</f>
        <v/>
      </c>
      <c r="Q1574" s="396">
        <f>IF($P1574="","",$P1574-$O1574)</f>
        <v/>
      </c>
    </row>
    <row r="1575" ht="15" customHeight="1" s="231">
      <c r="A1575" s="397" t="n"/>
      <c r="B1575" s="397" t="n"/>
      <c r="C1575" s="397" t="n"/>
      <c r="D1575" s="397" t="n"/>
      <c r="E1575" s="397" t="n"/>
      <c r="F1575" s="397" t="n"/>
      <c r="G1575" s="397" t="n"/>
      <c r="I1575" s="397" t="n"/>
      <c r="J1575" s="397" t="n"/>
      <c r="K1575" s="395">
        <f>DATE(VALUE(LEFT(A1575,4)),VALUE(MID(A1575,5,2)),VALUE(RIGHT(A1575,2)))</f>
        <v/>
      </c>
      <c r="L1575" s="395">
        <f>DATEVALUE(LEFT(F1575,10))</f>
        <v/>
      </c>
      <c r="M1575" s="396">
        <f>TIMEVALUE(MID(F1575,12,8))</f>
        <v/>
      </c>
      <c r="N1575" s="395">
        <f>DATEVALUE(LEFT(G1575,10))</f>
        <v/>
      </c>
      <c r="O1575" s="396">
        <f>TIMEVALUE(MID(G1575,12,8))</f>
        <v/>
      </c>
      <c r="P1575" s="396">
        <f>IFERROR(_xlfn.MINIFS($M:$M,$E:$E,$E1575,$K:$K,$K1575,$M:$M,"&gt;"&amp;$O1575),"")</f>
        <v/>
      </c>
      <c r="Q1575" s="396">
        <f>IF($P1575="","",$P1575-$O1575)</f>
        <v/>
      </c>
    </row>
    <row r="1576" ht="15" customHeight="1" s="231">
      <c r="A1576" s="397" t="n"/>
      <c r="B1576" s="397" t="n"/>
      <c r="C1576" s="397" t="n"/>
      <c r="D1576" s="397" t="n"/>
      <c r="E1576" s="397" t="n"/>
      <c r="F1576" s="397" t="n"/>
      <c r="G1576" s="397" t="n"/>
      <c r="I1576" s="397" t="n"/>
      <c r="J1576" s="397" t="n"/>
      <c r="K1576" s="395">
        <f>DATE(VALUE(LEFT(A1576,4)),VALUE(MID(A1576,5,2)),VALUE(RIGHT(A1576,2)))</f>
        <v/>
      </c>
      <c r="L1576" s="395">
        <f>DATEVALUE(LEFT(F1576,10))</f>
        <v/>
      </c>
      <c r="M1576" s="396">
        <f>TIMEVALUE(MID(F1576,12,8))</f>
        <v/>
      </c>
      <c r="N1576" s="395">
        <f>DATEVALUE(LEFT(G1576,10))</f>
        <v/>
      </c>
      <c r="O1576" s="396">
        <f>TIMEVALUE(MID(G1576,12,8))</f>
        <v/>
      </c>
      <c r="P1576" s="396">
        <f>IFERROR(_xlfn.MINIFS($M:$M,$E:$E,$E1576,$K:$K,$K1576,$M:$M,"&gt;"&amp;$O1576),"")</f>
        <v/>
      </c>
      <c r="Q1576" s="396">
        <f>IF($P1576="","",$P1576-$O1576)</f>
        <v/>
      </c>
    </row>
    <row r="1577" ht="15" customHeight="1" s="231">
      <c r="A1577" s="397" t="n"/>
      <c r="B1577" s="397" t="n"/>
      <c r="C1577" s="397" t="n"/>
      <c r="D1577" s="397" t="n"/>
      <c r="E1577" s="397" t="n"/>
      <c r="F1577" s="397" t="n"/>
      <c r="G1577" s="397" t="n"/>
      <c r="I1577" s="397" t="n"/>
      <c r="J1577" s="397" t="n"/>
      <c r="K1577" s="395">
        <f>DATE(VALUE(LEFT(A1577,4)),VALUE(MID(A1577,5,2)),VALUE(RIGHT(A1577,2)))</f>
        <v/>
      </c>
      <c r="L1577" s="395">
        <f>DATEVALUE(LEFT(F1577,10))</f>
        <v/>
      </c>
      <c r="M1577" s="396">
        <f>TIMEVALUE(MID(F1577,12,8))</f>
        <v/>
      </c>
      <c r="N1577" s="395">
        <f>DATEVALUE(LEFT(G1577,10))</f>
        <v/>
      </c>
      <c r="O1577" s="396">
        <f>TIMEVALUE(MID(G1577,12,8))</f>
        <v/>
      </c>
      <c r="P1577" s="396">
        <f>IFERROR(_xlfn.MINIFS($M:$M,$E:$E,$E1577,$K:$K,$K1577,$M:$M,"&gt;"&amp;$O1577),"")</f>
        <v/>
      </c>
      <c r="Q1577" s="396">
        <f>IF($P1577="","",$P1577-$O1577)</f>
        <v/>
      </c>
    </row>
    <row r="1578" ht="15" customHeight="1" s="231">
      <c r="A1578" s="397" t="n"/>
      <c r="B1578" s="397" t="n"/>
      <c r="C1578" s="397" t="n"/>
      <c r="D1578" s="397" t="n"/>
      <c r="E1578" s="397" t="n"/>
      <c r="F1578" s="397" t="n"/>
      <c r="G1578" s="397" t="n"/>
      <c r="I1578" s="397" t="n"/>
      <c r="J1578" s="397" t="n"/>
      <c r="K1578" s="395">
        <f>DATE(VALUE(LEFT(A1578,4)),VALUE(MID(A1578,5,2)),VALUE(RIGHT(A1578,2)))</f>
        <v/>
      </c>
      <c r="L1578" s="395">
        <f>DATEVALUE(LEFT(F1578,10))</f>
        <v/>
      </c>
      <c r="M1578" s="396">
        <f>TIMEVALUE(MID(F1578,12,8))</f>
        <v/>
      </c>
      <c r="N1578" s="395">
        <f>DATEVALUE(LEFT(G1578,10))</f>
        <v/>
      </c>
      <c r="O1578" s="396">
        <f>TIMEVALUE(MID(G1578,12,8))</f>
        <v/>
      </c>
      <c r="P1578" s="396">
        <f>IFERROR(_xlfn.MINIFS($M:$M,$E:$E,$E1578,$K:$K,$K1578,$M:$M,"&gt;"&amp;$O1578),"")</f>
        <v/>
      </c>
      <c r="Q1578" s="396">
        <f>IF($P1578="","",$P1578-$O1578)</f>
        <v/>
      </c>
    </row>
    <row r="1579" ht="15" customHeight="1" s="231">
      <c r="A1579" s="397" t="n"/>
      <c r="B1579" s="397" t="n"/>
      <c r="C1579" s="397" t="n"/>
      <c r="D1579" s="397" t="n"/>
      <c r="E1579" s="397" t="n"/>
      <c r="F1579" s="397" t="n"/>
      <c r="G1579" s="397" t="n"/>
      <c r="I1579" s="397" t="n"/>
      <c r="J1579" s="397" t="n"/>
      <c r="K1579" s="395">
        <f>DATE(VALUE(LEFT(A1579,4)),VALUE(MID(A1579,5,2)),VALUE(RIGHT(A1579,2)))</f>
        <v/>
      </c>
      <c r="L1579" s="395">
        <f>DATEVALUE(LEFT(F1579,10))</f>
        <v/>
      </c>
      <c r="M1579" s="396">
        <f>TIMEVALUE(MID(F1579,12,8))</f>
        <v/>
      </c>
      <c r="N1579" s="395">
        <f>DATEVALUE(LEFT(G1579,10))</f>
        <v/>
      </c>
      <c r="O1579" s="396">
        <f>TIMEVALUE(MID(G1579,12,8))</f>
        <v/>
      </c>
      <c r="P1579" s="396">
        <f>IFERROR(_xlfn.MINIFS($M:$M,$E:$E,$E1579,$K:$K,$K1579,$M:$M,"&gt;"&amp;$O1579),"")</f>
        <v/>
      </c>
      <c r="Q1579" s="396">
        <f>IF($P1579="","",$P1579-$O1579)</f>
        <v/>
      </c>
    </row>
    <row r="1580" ht="15" customHeight="1" s="231">
      <c r="A1580" s="397" t="n"/>
      <c r="B1580" s="397" t="n"/>
      <c r="C1580" s="397" t="n"/>
      <c r="D1580" s="397" t="n"/>
      <c r="E1580" s="397" t="n"/>
      <c r="F1580" s="397" t="n"/>
      <c r="G1580" s="397" t="n"/>
      <c r="I1580" s="397" t="n"/>
      <c r="J1580" s="397" t="n"/>
      <c r="K1580" s="395">
        <f>DATE(VALUE(LEFT(A1580,4)),VALUE(MID(A1580,5,2)),VALUE(RIGHT(A1580,2)))</f>
        <v/>
      </c>
      <c r="L1580" s="395">
        <f>DATEVALUE(LEFT(F1580,10))</f>
        <v/>
      </c>
      <c r="M1580" s="396">
        <f>TIMEVALUE(MID(F1580,12,8))</f>
        <v/>
      </c>
      <c r="N1580" s="395">
        <f>DATEVALUE(LEFT(G1580,10))</f>
        <v/>
      </c>
      <c r="O1580" s="396">
        <f>TIMEVALUE(MID(G1580,12,8))</f>
        <v/>
      </c>
      <c r="P1580" s="396">
        <f>IFERROR(_xlfn.MINIFS($M:$M,$E:$E,$E1580,$K:$K,$K1580,$M:$M,"&gt;"&amp;$O1580),"")</f>
        <v/>
      </c>
      <c r="Q1580" s="396">
        <f>IF($P1580="","",$P1580-$O1580)</f>
        <v/>
      </c>
    </row>
    <row r="1581" ht="15" customHeight="1" s="231">
      <c r="A1581" s="397" t="n"/>
      <c r="B1581" s="397" t="n"/>
      <c r="C1581" s="397" t="n"/>
      <c r="D1581" s="397" t="n"/>
      <c r="E1581" s="397" t="n"/>
      <c r="F1581" s="397" t="n"/>
      <c r="G1581" s="397" t="n"/>
      <c r="I1581" s="397" t="n"/>
      <c r="J1581" s="397" t="n"/>
      <c r="K1581" s="395">
        <f>DATE(VALUE(LEFT(A1581,4)),VALUE(MID(A1581,5,2)),VALUE(RIGHT(A1581,2)))</f>
        <v/>
      </c>
      <c r="L1581" s="395">
        <f>DATEVALUE(LEFT(F1581,10))</f>
        <v/>
      </c>
      <c r="M1581" s="396">
        <f>TIMEVALUE(MID(F1581,12,8))</f>
        <v/>
      </c>
      <c r="N1581" s="395">
        <f>DATEVALUE(LEFT(G1581,10))</f>
        <v/>
      </c>
      <c r="O1581" s="396">
        <f>TIMEVALUE(MID(G1581,12,8))</f>
        <v/>
      </c>
      <c r="P1581" s="396">
        <f>IFERROR(_xlfn.MINIFS($M:$M,$E:$E,$E1581,$K:$K,$K1581,$M:$M,"&gt;"&amp;$O1581),"")</f>
        <v/>
      </c>
      <c r="Q1581" s="396">
        <f>IF($P1581="","",$P1581-$O1581)</f>
        <v/>
      </c>
    </row>
    <row r="1582" ht="15" customHeight="1" s="231">
      <c r="A1582" s="397" t="n"/>
      <c r="B1582" s="397" t="n"/>
      <c r="C1582" s="397" t="n"/>
      <c r="D1582" s="397" t="n"/>
      <c r="E1582" s="397" t="n"/>
      <c r="F1582" s="397" t="n"/>
      <c r="G1582" s="397" t="n"/>
      <c r="I1582" s="397" t="n"/>
      <c r="J1582" s="397" t="n"/>
      <c r="K1582" s="395">
        <f>DATE(VALUE(LEFT(A1582,4)),VALUE(MID(A1582,5,2)),VALUE(RIGHT(A1582,2)))</f>
        <v/>
      </c>
      <c r="L1582" s="395">
        <f>DATEVALUE(LEFT(F1582,10))</f>
        <v/>
      </c>
      <c r="M1582" s="396">
        <f>TIMEVALUE(MID(F1582,12,8))</f>
        <v/>
      </c>
      <c r="N1582" s="395">
        <f>DATEVALUE(LEFT(G1582,10))</f>
        <v/>
      </c>
      <c r="O1582" s="396">
        <f>TIMEVALUE(MID(G1582,12,8))</f>
        <v/>
      </c>
      <c r="P1582" s="396">
        <f>IFERROR(_xlfn.MINIFS($M:$M,$E:$E,$E1582,$K:$K,$K1582,$M:$M,"&gt;"&amp;$O1582),"")</f>
        <v/>
      </c>
      <c r="Q1582" s="396">
        <f>IF($P1582="","",$P1582-$O1582)</f>
        <v/>
      </c>
    </row>
    <row r="1583" ht="15" customHeight="1" s="231">
      <c r="A1583" s="397" t="n"/>
      <c r="B1583" s="397" t="n"/>
      <c r="C1583" s="397" t="n"/>
      <c r="D1583" s="397" t="n"/>
      <c r="E1583" s="397" t="n"/>
      <c r="F1583" s="397" t="n"/>
      <c r="G1583" s="397" t="n"/>
      <c r="I1583" s="397" t="n"/>
      <c r="J1583" s="397" t="n"/>
      <c r="K1583" s="395">
        <f>DATE(VALUE(LEFT(A1583,4)),VALUE(MID(A1583,5,2)),VALUE(RIGHT(A1583,2)))</f>
        <v/>
      </c>
      <c r="L1583" s="395">
        <f>DATEVALUE(LEFT(F1583,10))</f>
        <v/>
      </c>
      <c r="M1583" s="396">
        <f>TIMEVALUE(MID(F1583,12,8))</f>
        <v/>
      </c>
      <c r="N1583" s="395">
        <f>DATEVALUE(LEFT(G1583,10))</f>
        <v/>
      </c>
      <c r="O1583" s="396">
        <f>TIMEVALUE(MID(G1583,12,8))</f>
        <v/>
      </c>
      <c r="P1583" s="396">
        <f>IFERROR(_xlfn.MINIFS($M:$M,$E:$E,$E1583,$K:$K,$K1583,$M:$M,"&gt;"&amp;$O1583),"")</f>
        <v/>
      </c>
      <c r="Q1583" s="396">
        <f>IF($P1583="","",$P1583-$O1583)</f>
        <v/>
      </c>
    </row>
    <row r="1584" ht="15" customHeight="1" s="231">
      <c r="A1584" s="397" t="n"/>
      <c r="B1584" s="397" t="n"/>
      <c r="C1584" s="397" t="n"/>
      <c r="D1584" s="397" t="n"/>
      <c r="E1584" s="397" t="n"/>
      <c r="F1584" s="397" t="n"/>
      <c r="G1584" s="397" t="n"/>
      <c r="I1584" s="397" t="n"/>
      <c r="J1584" s="397" t="n"/>
      <c r="K1584" s="395">
        <f>DATE(VALUE(LEFT(A1584,4)),VALUE(MID(A1584,5,2)),VALUE(RIGHT(A1584,2)))</f>
        <v/>
      </c>
      <c r="L1584" s="395">
        <f>DATEVALUE(LEFT(F1584,10))</f>
        <v/>
      </c>
      <c r="M1584" s="396">
        <f>TIMEVALUE(MID(F1584,12,8))</f>
        <v/>
      </c>
      <c r="N1584" s="395">
        <f>DATEVALUE(LEFT(G1584,10))</f>
        <v/>
      </c>
      <c r="O1584" s="396">
        <f>TIMEVALUE(MID(G1584,12,8))</f>
        <v/>
      </c>
      <c r="P1584" s="396">
        <f>IFERROR(_xlfn.MINIFS($M:$M,$E:$E,$E1584,$K:$K,$K1584,$M:$M,"&gt;"&amp;$O1584),"")</f>
        <v/>
      </c>
      <c r="Q1584" s="396">
        <f>IF($P1584="","",$P1584-$O1584)</f>
        <v/>
      </c>
    </row>
    <row r="1585" ht="15" customHeight="1" s="231">
      <c r="A1585" s="397" t="n"/>
      <c r="B1585" s="397" t="n"/>
      <c r="C1585" s="397" t="n"/>
      <c r="D1585" s="397" t="n"/>
      <c r="E1585" s="397" t="n"/>
      <c r="F1585" s="397" t="n"/>
      <c r="G1585" s="397" t="n"/>
      <c r="I1585" s="397" t="n"/>
      <c r="J1585" s="397" t="n"/>
      <c r="K1585" s="395">
        <f>DATE(VALUE(LEFT(A1585,4)),VALUE(MID(A1585,5,2)),VALUE(RIGHT(A1585,2)))</f>
        <v/>
      </c>
      <c r="L1585" s="395">
        <f>DATEVALUE(LEFT(F1585,10))</f>
        <v/>
      </c>
      <c r="M1585" s="396">
        <f>TIMEVALUE(MID(F1585,12,8))</f>
        <v/>
      </c>
      <c r="N1585" s="395">
        <f>DATEVALUE(LEFT(G1585,10))</f>
        <v/>
      </c>
      <c r="O1585" s="396">
        <f>TIMEVALUE(MID(G1585,12,8))</f>
        <v/>
      </c>
      <c r="P1585" s="396">
        <f>IFERROR(_xlfn.MINIFS($M:$M,$E:$E,$E1585,$K:$K,$K1585,$M:$M,"&gt;"&amp;$O1585),"")</f>
        <v/>
      </c>
      <c r="Q1585" s="396">
        <f>IF($P1585="","",$P1585-$O1585)</f>
        <v/>
      </c>
    </row>
    <row r="1586" ht="15" customHeight="1" s="231">
      <c r="A1586" s="397" t="n"/>
      <c r="B1586" s="397" t="n"/>
      <c r="C1586" s="397" t="n"/>
      <c r="D1586" s="397" t="n"/>
      <c r="E1586" s="397" t="n"/>
      <c r="F1586" s="397" t="n"/>
      <c r="G1586" s="397" t="n"/>
      <c r="I1586" s="397" t="n"/>
      <c r="J1586" s="397" t="n"/>
      <c r="K1586" s="395">
        <f>DATE(VALUE(LEFT(A1586,4)),VALUE(MID(A1586,5,2)),VALUE(RIGHT(A1586,2)))</f>
        <v/>
      </c>
      <c r="L1586" s="395">
        <f>DATEVALUE(LEFT(F1586,10))</f>
        <v/>
      </c>
      <c r="M1586" s="396">
        <f>TIMEVALUE(MID(F1586,12,8))</f>
        <v/>
      </c>
      <c r="N1586" s="395">
        <f>DATEVALUE(LEFT(G1586,10))</f>
        <v/>
      </c>
      <c r="O1586" s="396">
        <f>TIMEVALUE(MID(G1586,12,8))</f>
        <v/>
      </c>
      <c r="P1586" s="396">
        <f>IFERROR(_xlfn.MINIFS($M:$M,$E:$E,$E1586,$K:$K,$K1586,$M:$M,"&gt;"&amp;$O1586),"")</f>
        <v/>
      </c>
      <c r="Q1586" s="396">
        <f>IF($P1586="","",$P1586-$O1586)</f>
        <v/>
      </c>
    </row>
    <row r="1587" ht="15" customHeight="1" s="231">
      <c r="A1587" s="397" t="n"/>
      <c r="B1587" s="397" t="n"/>
      <c r="C1587" s="397" t="n"/>
      <c r="D1587" s="397" t="n"/>
      <c r="E1587" s="397" t="n"/>
      <c r="F1587" s="397" t="n"/>
      <c r="G1587" s="397" t="n"/>
      <c r="I1587" s="397" t="n"/>
      <c r="J1587" s="397" t="n"/>
      <c r="K1587" s="395">
        <f>DATE(VALUE(LEFT(A1587,4)),VALUE(MID(A1587,5,2)),VALUE(RIGHT(A1587,2)))</f>
        <v/>
      </c>
      <c r="L1587" s="395">
        <f>DATEVALUE(LEFT(F1587,10))</f>
        <v/>
      </c>
      <c r="M1587" s="396">
        <f>TIMEVALUE(MID(F1587,12,8))</f>
        <v/>
      </c>
      <c r="N1587" s="395">
        <f>DATEVALUE(LEFT(G1587,10))</f>
        <v/>
      </c>
      <c r="O1587" s="396">
        <f>TIMEVALUE(MID(G1587,12,8))</f>
        <v/>
      </c>
      <c r="P1587" s="396">
        <f>IFERROR(_xlfn.MINIFS($M:$M,$E:$E,$E1587,$K:$K,$K1587,$M:$M,"&gt;"&amp;$O1587),"")</f>
        <v/>
      </c>
      <c r="Q1587" s="396">
        <f>IF($P1587="","",$P1587-$O1587)</f>
        <v/>
      </c>
    </row>
    <row r="1588" ht="15" customHeight="1" s="231">
      <c r="A1588" s="397" t="n"/>
      <c r="B1588" s="397" t="n"/>
      <c r="C1588" s="397" t="n"/>
      <c r="D1588" s="397" t="n"/>
      <c r="E1588" s="397" t="n"/>
      <c r="F1588" s="397" t="n"/>
      <c r="G1588" s="397" t="n"/>
      <c r="I1588" s="397" t="n"/>
      <c r="J1588" s="397" t="n"/>
      <c r="K1588" s="395">
        <f>DATE(VALUE(LEFT(A1588,4)),VALUE(MID(A1588,5,2)),VALUE(RIGHT(A1588,2)))</f>
        <v/>
      </c>
      <c r="L1588" s="395">
        <f>DATEVALUE(LEFT(F1588,10))</f>
        <v/>
      </c>
      <c r="M1588" s="396">
        <f>TIMEVALUE(MID(F1588,12,8))</f>
        <v/>
      </c>
      <c r="N1588" s="395">
        <f>DATEVALUE(LEFT(G1588,10))</f>
        <v/>
      </c>
      <c r="O1588" s="396">
        <f>TIMEVALUE(MID(G1588,12,8))</f>
        <v/>
      </c>
      <c r="P1588" s="396">
        <f>IFERROR(_xlfn.MINIFS($M:$M,$E:$E,$E1588,$K:$K,$K1588,$M:$M,"&gt;"&amp;$O1588),"")</f>
        <v/>
      </c>
      <c r="Q1588" s="396">
        <f>IF($P1588="","",$P1588-$O1588)</f>
        <v/>
      </c>
    </row>
    <row r="1589" ht="15" customHeight="1" s="231">
      <c r="A1589" s="397" t="n"/>
      <c r="B1589" s="397" t="n"/>
      <c r="C1589" s="397" t="n"/>
      <c r="D1589" s="397" t="n"/>
      <c r="E1589" s="397" t="n"/>
      <c r="F1589" s="397" t="n"/>
      <c r="G1589" s="397" t="n"/>
      <c r="I1589" s="397" t="n"/>
      <c r="J1589" s="397" t="n"/>
      <c r="K1589" s="395">
        <f>DATE(VALUE(LEFT(A1589,4)),VALUE(MID(A1589,5,2)),VALUE(RIGHT(A1589,2)))</f>
        <v/>
      </c>
      <c r="L1589" s="395">
        <f>DATEVALUE(LEFT(F1589,10))</f>
        <v/>
      </c>
      <c r="M1589" s="396">
        <f>TIMEVALUE(MID(F1589,12,8))</f>
        <v/>
      </c>
      <c r="N1589" s="395">
        <f>DATEVALUE(LEFT(G1589,10))</f>
        <v/>
      </c>
      <c r="O1589" s="396">
        <f>TIMEVALUE(MID(G1589,12,8))</f>
        <v/>
      </c>
      <c r="P1589" s="396">
        <f>IFERROR(_xlfn.MINIFS($M:$M,$E:$E,$E1589,$K:$K,$K1589,$M:$M,"&gt;"&amp;$O1589),"")</f>
        <v/>
      </c>
      <c r="Q1589" s="396">
        <f>IF($P1589="","",$P1589-$O1589)</f>
        <v/>
      </c>
    </row>
    <row r="1590" ht="15" customHeight="1" s="231">
      <c r="A1590" s="397" t="n"/>
      <c r="B1590" s="397" t="n"/>
      <c r="C1590" s="397" t="n"/>
      <c r="D1590" s="397" t="n"/>
      <c r="E1590" s="397" t="n"/>
      <c r="F1590" s="397" t="n"/>
      <c r="G1590" s="397" t="n"/>
      <c r="I1590" s="397" t="n"/>
      <c r="J1590" s="397" t="n"/>
      <c r="K1590" s="395">
        <f>DATE(VALUE(LEFT(A1590,4)),VALUE(MID(A1590,5,2)),VALUE(RIGHT(A1590,2)))</f>
        <v/>
      </c>
      <c r="L1590" s="395">
        <f>DATEVALUE(LEFT(F1590,10))</f>
        <v/>
      </c>
      <c r="M1590" s="396">
        <f>TIMEVALUE(MID(F1590,12,8))</f>
        <v/>
      </c>
      <c r="N1590" s="395">
        <f>DATEVALUE(LEFT(G1590,10))</f>
        <v/>
      </c>
      <c r="O1590" s="396">
        <f>TIMEVALUE(MID(G1590,12,8))</f>
        <v/>
      </c>
      <c r="P1590" s="396">
        <f>IFERROR(_xlfn.MINIFS($M:$M,$E:$E,$E1590,$K:$K,$K1590,$M:$M,"&gt;"&amp;$O1590),"")</f>
        <v/>
      </c>
      <c r="Q1590" s="396">
        <f>IF($P1590="","",$P1590-$O1590)</f>
        <v/>
      </c>
    </row>
    <row r="1591" ht="15" customHeight="1" s="231">
      <c r="A1591" s="397" t="n"/>
      <c r="B1591" s="397" t="n"/>
      <c r="C1591" s="397" t="n"/>
      <c r="D1591" s="397" t="n"/>
      <c r="E1591" s="397" t="n"/>
      <c r="F1591" s="397" t="n"/>
      <c r="G1591" s="397" t="n"/>
      <c r="I1591" s="397" t="n"/>
      <c r="J1591" s="397" t="n"/>
      <c r="K1591" s="395">
        <f>DATE(VALUE(LEFT(A1591,4)),VALUE(MID(A1591,5,2)),VALUE(RIGHT(A1591,2)))</f>
        <v/>
      </c>
      <c r="L1591" s="395">
        <f>DATEVALUE(LEFT(F1591,10))</f>
        <v/>
      </c>
      <c r="M1591" s="396">
        <f>TIMEVALUE(MID(F1591,12,8))</f>
        <v/>
      </c>
      <c r="N1591" s="395">
        <f>DATEVALUE(LEFT(G1591,10))</f>
        <v/>
      </c>
      <c r="O1591" s="396">
        <f>TIMEVALUE(MID(G1591,12,8))</f>
        <v/>
      </c>
      <c r="P1591" s="396">
        <f>IFERROR(_xlfn.MINIFS($M:$M,$E:$E,$E1591,$K:$K,$K1591,$M:$M,"&gt;"&amp;$O1591),"")</f>
        <v/>
      </c>
      <c r="Q1591" s="396">
        <f>IF($P1591="","",$P1591-$O1591)</f>
        <v/>
      </c>
    </row>
    <row r="1592" ht="15" customHeight="1" s="231">
      <c r="A1592" s="397" t="n"/>
      <c r="B1592" s="397" t="n"/>
      <c r="C1592" s="397" t="n"/>
      <c r="D1592" s="397" t="n"/>
      <c r="E1592" s="397" t="n"/>
      <c r="F1592" s="397" t="n"/>
      <c r="G1592" s="397" t="n"/>
      <c r="I1592" s="397" t="n"/>
      <c r="J1592" s="397" t="n"/>
      <c r="K1592" s="395">
        <f>DATE(VALUE(LEFT(A1592,4)),VALUE(MID(A1592,5,2)),VALUE(RIGHT(A1592,2)))</f>
        <v/>
      </c>
      <c r="L1592" s="395">
        <f>DATEVALUE(LEFT(F1592,10))</f>
        <v/>
      </c>
      <c r="M1592" s="396">
        <f>TIMEVALUE(MID(F1592,12,8))</f>
        <v/>
      </c>
      <c r="N1592" s="395">
        <f>DATEVALUE(LEFT(G1592,10))</f>
        <v/>
      </c>
      <c r="O1592" s="396">
        <f>TIMEVALUE(MID(G1592,12,8))</f>
        <v/>
      </c>
      <c r="P1592" s="396">
        <f>IFERROR(_xlfn.MINIFS($M:$M,$E:$E,$E1592,$K:$K,$K1592,$M:$M,"&gt;"&amp;$O1592),"")</f>
        <v/>
      </c>
      <c r="Q1592" s="396">
        <f>IF($P1592="","",$P1592-$O1592)</f>
        <v/>
      </c>
    </row>
    <row r="1593" ht="15" customHeight="1" s="231">
      <c r="A1593" s="397" t="n"/>
      <c r="B1593" s="397" t="n"/>
      <c r="C1593" s="397" t="n"/>
      <c r="D1593" s="397" t="n"/>
      <c r="E1593" s="397" t="n"/>
      <c r="F1593" s="397" t="n"/>
      <c r="G1593" s="397" t="n"/>
      <c r="I1593" s="397" t="n"/>
      <c r="J1593" s="397" t="n"/>
      <c r="K1593" s="395">
        <f>DATE(VALUE(LEFT(A1593,4)),VALUE(MID(A1593,5,2)),VALUE(RIGHT(A1593,2)))</f>
        <v/>
      </c>
      <c r="L1593" s="395">
        <f>DATEVALUE(LEFT(F1593,10))</f>
        <v/>
      </c>
      <c r="M1593" s="396">
        <f>TIMEVALUE(MID(F1593,12,8))</f>
        <v/>
      </c>
      <c r="N1593" s="395">
        <f>DATEVALUE(LEFT(G1593,10))</f>
        <v/>
      </c>
      <c r="O1593" s="396">
        <f>TIMEVALUE(MID(G1593,12,8))</f>
        <v/>
      </c>
      <c r="P1593" s="396">
        <f>IFERROR(_xlfn.MINIFS($M:$M,$E:$E,$E1593,$K:$K,$K1593,$M:$M,"&gt;"&amp;$O1593),"")</f>
        <v/>
      </c>
      <c r="Q1593" s="396">
        <f>IF($P1593="","",$P1593-$O1593)</f>
        <v/>
      </c>
    </row>
    <row r="1594" ht="15" customHeight="1" s="231">
      <c r="A1594" s="397" t="n"/>
      <c r="B1594" s="397" t="n"/>
      <c r="C1594" s="397" t="n"/>
      <c r="D1594" s="397" t="n"/>
      <c r="E1594" s="397" t="n"/>
      <c r="F1594" s="397" t="n"/>
      <c r="G1594" s="397" t="n"/>
      <c r="I1594" s="397" t="n"/>
      <c r="J1594" s="397" t="n"/>
      <c r="K1594" s="395">
        <f>DATE(VALUE(LEFT(A1594,4)),VALUE(MID(A1594,5,2)),VALUE(RIGHT(A1594,2)))</f>
        <v/>
      </c>
      <c r="L1594" s="395">
        <f>DATEVALUE(LEFT(F1594,10))</f>
        <v/>
      </c>
      <c r="M1594" s="396">
        <f>TIMEVALUE(MID(F1594,12,8))</f>
        <v/>
      </c>
      <c r="N1594" s="395">
        <f>DATEVALUE(LEFT(G1594,10))</f>
        <v/>
      </c>
      <c r="O1594" s="396">
        <f>TIMEVALUE(MID(G1594,12,8))</f>
        <v/>
      </c>
      <c r="P1594" s="396">
        <f>IFERROR(_xlfn.MINIFS($M:$M,$E:$E,$E1594,$K:$K,$K1594,$M:$M,"&gt;"&amp;$O1594),"")</f>
        <v/>
      </c>
      <c r="Q1594" s="396">
        <f>IF($P1594="","",$P1594-$O1594)</f>
        <v/>
      </c>
    </row>
    <row r="1595" ht="15" customHeight="1" s="231">
      <c r="A1595" s="397" t="n"/>
      <c r="B1595" s="397" t="n"/>
      <c r="C1595" s="397" t="n"/>
      <c r="D1595" s="397" t="n"/>
      <c r="E1595" s="397" t="n"/>
      <c r="F1595" s="397" t="n"/>
      <c r="G1595" s="397" t="n"/>
      <c r="I1595" s="397" t="n"/>
      <c r="J1595" s="397" t="n"/>
      <c r="K1595" s="395">
        <f>DATE(VALUE(LEFT(A1595,4)),VALUE(MID(A1595,5,2)),VALUE(RIGHT(A1595,2)))</f>
        <v/>
      </c>
      <c r="L1595" s="395">
        <f>DATEVALUE(LEFT(F1595,10))</f>
        <v/>
      </c>
      <c r="M1595" s="396">
        <f>TIMEVALUE(MID(F1595,12,8))</f>
        <v/>
      </c>
      <c r="N1595" s="395">
        <f>DATEVALUE(LEFT(G1595,10))</f>
        <v/>
      </c>
      <c r="O1595" s="396">
        <f>TIMEVALUE(MID(G1595,12,8))</f>
        <v/>
      </c>
      <c r="P1595" s="396">
        <f>IFERROR(_xlfn.MINIFS($M:$M,$E:$E,$E1595,$K:$K,$K1595,$M:$M,"&gt;"&amp;$O1595),"")</f>
        <v/>
      </c>
      <c r="Q1595" s="396">
        <f>IF($P1595="","",$P1595-$O1595)</f>
        <v/>
      </c>
    </row>
    <row r="1596" ht="15" customHeight="1" s="231">
      <c r="A1596" s="397" t="n"/>
      <c r="B1596" s="397" t="n"/>
      <c r="C1596" s="397" t="n"/>
      <c r="D1596" s="397" t="n"/>
      <c r="E1596" s="397" t="n"/>
      <c r="F1596" s="397" t="n"/>
      <c r="G1596" s="397" t="n"/>
      <c r="I1596" s="397" t="n"/>
      <c r="J1596" s="397" t="n"/>
      <c r="K1596" s="395">
        <f>DATE(VALUE(LEFT(A1596,4)),VALUE(MID(A1596,5,2)),VALUE(RIGHT(A1596,2)))</f>
        <v/>
      </c>
      <c r="L1596" s="395">
        <f>DATEVALUE(LEFT(F1596,10))</f>
        <v/>
      </c>
      <c r="M1596" s="396">
        <f>TIMEVALUE(MID(F1596,12,8))</f>
        <v/>
      </c>
      <c r="N1596" s="395">
        <f>DATEVALUE(LEFT(G1596,10))</f>
        <v/>
      </c>
      <c r="O1596" s="396">
        <f>TIMEVALUE(MID(G1596,12,8))</f>
        <v/>
      </c>
      <c r="P1596" s="396">
        <f>IFERROR(_xlfn.MINIFS($M:$M,$E:$E,$E1596,$K:$K,$K1596,$M:$M,"&gt;"&amp;$O1596),"")</f>
        <v/>
      </c>
      <c r="Q1596" s="396">
        <f>IF($P1596="","",$P1596-$O1596)</f>
        <v/>
      </c>
    </row>
    <row r="1597" ht="15" customHeight="1" s="231">
      <c r="A1597" s="397" t="n"/>
      <c r="B1597" s="397" t="n"/>
      <c r="C1597" s="397" t="n"/>
      <c r="D1597" s="397" t="n"/>
      <c r="E1597" s="397" t="n"/>
      <c r="F1597" s="397" t="n"/>
      <c r="G1597" s="397" t="n"/>
      <c r="I1597" s="397" t="n"/>
      <c r="J1597" s="397" t="n"/>
      <c r="K1597" s="395">
        <f>DATE(VALUE(LEFT(A1597,4)),VALUE(MID(A1597,5,2)),VALUE(RIGHT(A1597,2)))</f>
        <v/>
      </c>
      <c r="L1597" s="395">
        <f>DATEVALUE(LEFT(F1597,10))</f>
        <v/>
      </c>
      <c r="M1597" s="396">
        <f>TIMEVALUE(MID(F1597,12,8))</f>
        <v/>
      </c>
      <c r="N1597" s="395">
        <f>DATEVALUE(LEFT(G1597,10))</f>
        <v/>
      </c>
      <c r="O1597" s="396">
        <f>TIMEVALUE(MID(G1597,12,8))</f>
        <v/>
      </c>
      <c r="P1597" s="396">
        <f>IFERROR(_xlfn.MINIFS($M:$M,$E:$E,$E1597,$K:$K,$K1597,$M:$M,"&gt;"&amp;$O1597),"")</f>
        <v/>
      </c>
      <c r="Q1597" s="396">
        <f>IF($P1597="","",$P1597-$O1597)</f>
        <v/>
      </c>
    </row>
    <row r="1598" ht="15" customHeight="1" s="231">
      <c r="A1598" s="397" t="n"/>
      <c r="B1598" s="397" t="n"/>
      <c r="C1598" s="397" t="n"/>
      <c r="D1598" s="397" t="n"/>
      <c r="E1598" s="397" t="n"/>
      <c r="F1598" s="397" t="n"/>
      <c r="G1598" s="397" t="n"/>
      <c r="I1598" s="397" t="n"/>
      <c r="J1598" s="397" t="n"/>
      <c r="K1598" s="395">
        <f>DATE(VALUE(LEFT(A1598,4)),VALUE(MID(A1598,5,2)),VALUE(RIGHT(A1598,2)))</f>
        <v/>
      </c>
      <c r="L1598" s="395">
        <f>DATEVALUE(LEFT(F1598,10))</f>
        <v/>
      </c>
      <c r="M1598" s="396">
        <f>TIMEVALUE(MID(F1598,12,8))</f>
        <v/>
      </c>
      <c r="N1598" s="395">
        <f>DATEVALUE(LEFT(G1598,10))</f>
        <v/>
      </c>
      <c r="O1598" s="396">
        <f>TIMEVALUE(MID(G1598,12,8))</f>
        <v/>
      </c>
      <c r="P1598" s="396">
        <f>IFERROR(_xlfn.MINIFS($M:$M,$E:$E,$E1598,$K:$K,$K1598,$M:$M,"&gt;"&amp;$O1598),"")</f>
        <v/>
      </c>
      <c r="Q1598" s="396">
        <f>IF($P1598="","",$P1598-$O1598)</f>
        <v/>
      </c>
    </row>
    <row r="1599" ht="15" customHeight="1" s="231">
      <c r="A1599" s="397" t="n"/>
      <c r="B1599" s="397" t="n"/>
      <c r="C1599" s="397" t="n"/>
      <c r="D1599" s="397" t="n"/>
      <c r="E1599" s="397" t="n"/>
      <c r="F1599" s="397" t="n"/>
      <c r="G1599" s="397" t="n"/>
      <c r="I1599" s="397" t="n"/>
      <c r="J1599" s="397" t="n"/>
      <c r="K1599" s="395">
        <f>DATE(VALUE(LEFT(A1599,4)),VALUE(MID(A1599,5,2)),VALUE(RIGHT(A1599,2)))</f>
        <v/>
      </c>
      <c r="L1599" s="395">
        <f>DATEVALUE(LEFT(F1599,10))</f>
        <v/>
      </c>
      <c r="M1599" s="396">
        <f>TIMEVALUE(MID(F1599,12,8))</f>
        <v/>
      </c>
      <c r="N1599" s="395">
        <f>DATEVALUE(LEFT(G1599,10))</f>
        <v/>
      </c>
      <c r="O1599" s="396">
        <f>TIMEVALUE(MID(G1599,12,8))</f>
        <v/>
      </c>
      <c r="P1599" s="396">
        <f>IFERROR(_xlfn.MINIFS($M:$M,$E:$E,$E1599,$K:$K,$K1599,$M:$M,"&gt;"&amp;$O1599),"")</f>
        <v/>
      </c>
      <c r="Q1599" s="396">
        <f>IF($P1599="","",$P1599-$O1599)</f>
        <v/>
      </c>
    </row>
    <row r="1600" ht="15" customHeight="1" s="231">
      <c r="A1600" s="397" t="n"/>
      <c r="B1600" s="397" t="n"/>
      <c r="C1600" s="397" t="n"/>
      <c r="D1600" s="397" t="n"/>
      <c r="E1600" s="397" t="n"/>
      <c r="F1600" s="397" t="n"/>
      <c r="G1600" s="397" t="n"/>
      <c r="I1600" s="397" t="n"/>
      <c r="J1600" s="397" t="n"/>
      <c r="K1600" s="395">
        <f>DATE(VALUE(LEFT(A1600,4)),VALUE(MID(A1600,5,2)),VALUE(RIGHT(A1600,2)))</f>
        <v/>
      </c>
      <c r="L1600" s="395">
        <f>DATEVALUE(LEFT(F1600,10))</f>
        <v/>
      </c>
      <c r="M1600" s="396">
        <f>TIMEVALUE(MID(F1600,12,8))</f>
        <v/>
      </c>
      <c r="N1600" s="395">
        <f>DATEVALUE(LEFT(G1600,10))</f>
        <v/>
      </c>
      <c r="O1600" s="396">
        <f>TIMEVALUE(MID(G1600,12,8))</f>
        <v/>
      </c>
      <c r="P1600" s="396">
        <f>IFERROR(_xlfn.MINIFS($M:$M,$E:$E,$E1600,$K:$K,$K1600,$M:$M,"&gt;"&amp;$O1600),"")</f>
        <v/>
      </c>
      <c r="Q1600" s="396">
        <f>IF($P1600="","",$P1600-$O1600)</f>
        <v/>
      </c>
    </row>
    <row r="1601" ht="15" customHeight="1" s="231">
      <c r="A1601" s="397" t="n"/>
      <c r="B1601" s="397" t="n"/>
      <c r="C1601" s="397" t="n"/>
      <c r="D1601" s="397" t="n"/>
      <c r="E1601" s="397" t="n"/>
      <c r="F1601" s="397" t="n"/>
      <c r="G1601" s="397" t="n"/>
      <c r="I1601" s="397" t="n"/>
      <c r="J1601" s="397" t="n"/>
      <c r="K1601" s="395">
        <f>DATE(VALUE(LEFT(A1601,4)),VALUE(MID(A1601,5,2)),VALUE(RIGHT(A1601,2)))</f>
        <v/>
      </c>
      <c r="L1601" s="395">
        <f>DATEVALUE(LEFT(F1601,10))</f>
        <v/>
      </c>
      <c r="M1601" s="396">
        <f>TIMEVALUE(MID(F1601,12,8))</f>
        <v/>
      </c>
      <c r="N1601" s="395">
        <f>DATEVALUE(LEFT(G1601,10))</f>
        <v/>
      </c>
      <c r="O1601" s="396">
        <f>TIMEVALUE(MID(G1601,12,8))</f>
        <v/>
      </c>
      <c r="P1601" s="396">
        <f>IFERROR(_xlfn.MINIFS($M:$M,$E:$E,$E1601,$K:$K,$K1601,$M:$M,"&gt;"&amp;$O1601),"")</f>
        <v/>
      </c>
      <c r="Q1601" s="396">
        <f>IF($P1601="","",$P1601-$O1601)</f>
        <v/>
      </c>
    </row>
    <row r="1602" ht="15" customHeight="1" s="231">
      <c r="A1602" s="397" t="n"/>
      <c r="B1602" s="397" t="n"/>
      <c r="C1602" s="397" t="n"/>
      <c r="D1602" s="397" t="n"/>
      <c r="E1602" s="397" t="n"/>
      <c r="F1602" s="397" t="n"/>
      <c r="G1602" s="397" t="n"/>
      <c r="I1602" s="397" t="n"/>
      <c r="J1602" s="397" t="n"/>
      <c r="K1602" s="395">
        <f>DATE(VALUE(LEFT(A1602,4)),VALUE(MID(A1602,5,2)),VALUE(RIGHT(A1602,2)))</f>
        <v/>
      </c>
      <c r="L1602" s="395">
        <f>DATEVALUE(LEFT(F1602,10))</f>
        <v/>
      </c>
      <c r="M1602" s="396">
        <f>TIMEVALUE(MID(F1602,12,8))</f>
        <v/>
      </c>
      <c r="N1602" s="395">
        <f>DATEVALUE(LEFT(G1602,10))</f>
        <v/>
      </c>
      <c r="O1602" s="396">
        <f>TIMEVALUE(MID(G1602,12,8))</f>
        <v/>
      </c>
      <c r="P1602" s="396">
        <f>IFERROR(_xlfn.MINIFS($M:$M,$E:$E,$E1602,$K:$K,$K1602,$M:$M,"&gt;"&amp;$O1602),"")</f>
        <v/>
      </c>
      <c r="Q1602" s="396">
        <f>IF($P1602="","",$P1602-$O1602)</f>
        <v/>
      </c>
    </row>
    <row r="1603" ht="15" customHeight="1" s="231">
      <c r="A1603" s="397" t="n"/>
      <c r="B1603" s="397" t="n"/>
      <c r="C1603" s="397" t="n"/>
      <c r="D1603" s="397" t="n"/>
      <c r="E1603" s="397" t="n"/>
      <c r="F1603" s="397" t="n"/>
      <c r="G1603" s="397" t="n"/>
      <c r="I1603" s="397" t="n"/>
      <c r="J1603" s="397" t="n"/>
      <c r="K1603" s="395">
        <f>DATE(VALUE(LEFT(A1603,4)),VALUE(MID(A1603,5,2)),VALUE(RIGHT(A1603,2)))</f>
        <v/>
      </c>
      <c r="L1603" s="395">
        <f>DATEVALUE(LEFT(F1603,10))</f>
        <v/>
      </c>
      <c r="M1603" s="396">
        <f>TIMEVALUE(MID(F1603,12,8))</f>
        <v/>
      </c>
      <c r="N1603" s="395">
        <f>DATEVALUE(LEFT(G1603,10))</f>
        <v/>
      </c>
      <c r="O1603" s="396">
        <f>TIMEVALUE(MID(G1603,12,8))</f>
        <v/>
      </c>
      <c r="P1603" s="396">
        <f>IFERROR(_xlfn.MINIFS($M:$M,$E:$E,$E1603,$K:$K,$K1603,$M:$M,"&gt;"&amp;$O1603),"")</f>
        <v/>
      </c>
      <c r="Q1603" s="396">
        <f>IF($P1603="","",$P1603-$O1603)</f>
        <v/>
      </c>
    </row>
    <row r="1604" ht="15" customHeight="1" s="231">
      <c r="A1604" s="397" t="n"/>
      <c r="B1604" s="397" t="n"/>
      <c r="C1604" s="397" t="n"/>
      <c r="D1604" s="397" t="n"/>
      <c r="E1604" s="397" t="n"/>
      <c r="F1604" s="397" t="n"/>
      <c r="G1604" s="397" t="n"/>
      <c r="I1604" s="397" t="n"/>
      <c r="J1604" s="397" t="n"/>
      <c r="K1604" s="395">
        <f>DATE(VALUE(LEFT(A1604,4)),VALUE(MID(A1604,5,2)),VALUE(RIGHT(A1604,2)))</f>
        <v/>
      </c>
      <c r="L1604" s="395">
        <f>DATEVALUE(LEFT(F1604,10))</f>
        <v/>
      </c>
      <c r="M1604" s="396">
        <f>TIMEVALUE(MID(F1604,12,8))</f>
        <v/>
      </c>
      <c r="N1604" s="395">
        <f>DATEVALUE(LEFT(G1604,10))</f>
        <v/>
      </c>
      <c r="O1604" s="396">
        <f>TIMEVALUE(MID(G1604,12,8))</f>
        <v/>
      </c>
      <c r="P1604" s="396">
        <f>IFERROR(_xlfn.MINIFS($M:$M,$E:$E,$E1604,$K:$K,$K1604,$M:$M,"&gt;"&amp;$O1604),"")</f>
        <v/>
      </c>
      <c r="Q1604" s="396">
        <f>IF($P1604="","",$P1604-$O1604)</f>
        <v/>
      </c>
    </row>
    <row r="1605" ht="15" customHeight="1" s="231">
      <c r="A1605" s="397" t="n"/>
      <c r="B1605" s="397" t="n"/>
      <c r="C1605" s="397" t="n"/>
      <c r="D1605" s="397" t="n"/>
      <c r="E1605" s="397" t="n"/>
      <c r="F1605" s="397" t="n"/>
      <c r="G1605" s="397" t="n"/>
      <c r="I1605" s="397" t="n"/>
      <c r="J1605" s="397" t="n"/>
      <c r="K1605" s="395">
        <f>DATE(VALUE(LEFT(A1605,4)),VALUE(MID(A1605,5,2)),VALUE(RIGHT(A1605,2)))</f>
        <v/>
      </c>
      <c r="L1605" s="395">
        <f>DATEVALUE(LEFT(F1605,10))</f>
        <v/>
      </c>
      <c r="M1605" s="396">
        <f>TIMEVALUE(MID(F1605,12,8))</f>
        <v/>
      </c>
      <c r="N1605" s="395">
        <f>DATEVALUE(LEFT(G1605,10))</f>
        <v/>
      </c>
      <c r="O1605" s="396">
        <f>TIMEVALUE(MID(G1605,12,8))</f>
        <v/>
      </c>
      <c r="P1605" s="396">
        <f>IFERROR(_xlfn.MINIFS($M:$M,$E:$E,$E1605,$K:$K,$K1605,$M:$M,"&gt;"&amp;$O1605),"")</f>
        <v/>
      </c>
      <c r="Q1605" s="396">
        <f>IF($P1605="","",$P1605-$O1605)</f>
        <v/>
      </c>
    </row>
    <row r="1606" ht="15" customHeight="1" s="231">
      <c r="A1606" s="397" t="n"/>
      <c r="B1606" s="397" t="n"/>
      <c r="C1606" s="397" t="n"/>
      <c r="D1606" s="397" t="n"/>
      <c r="E1606" s="397" t="n"/>
      <c r="F1606" s="397" t="n"/>
      <c r="G1606" s="397" t="n"/>
      <c r="I1606" s="397" t="n"/>
      <c r="J1606" s="397" t="n"/>
      <c r="K1606" s="395">
        <f>DATE(VALUE(LEFT(A1606,4)),VALUE(MID(A1606,5,2)),VALUE(RIGHT(A1606,2)))</f>
        <v/>
      </c>
      <c r="L1606" s="395">
        <f>DATEVALUE(LEFT(F1606,10))</f>
        <v/>
      </c>
      <c r="M1606" s="396">
        <f>TIMEVALUE(MID(F1606,12,8))</f>
        <v/>
      </c>
      <c r="N1606" s="395">
        <f>DATEVALUE(LEFT(G1606,10))</f>
        <v/>
      </c>
      <c r="O1606" s="396">
        <f>TIMEVALUE(MID(G1606,12,8))</f>
        <v/>
      </c>
      <c r="P1606" s="396">
        <f>IFERROR(_xlfn.MINIFS($M:$M,$E:$E,$E1606,$K:$K,$K1606,$M:$M,"&gt;"&amp;$O1606),"")</f>
        <v/>
      </c>
      <c r="Q1606" s="396">
        <f>IF($P1606="","",$P1606-$O1606)</f>
        <v/>
      </c>
    </row>
    <row r="1607" ht="15" customHeight="1" s="231">
      <c r="A1607" s="397" t="n"/>
      <c r="B1607" s="397" t="n"/>
      <c r="C1607" s="397" t="n"/>
      <c r="D1607" s="397" t="n"/>
      <c r="E1607" s="397" t="n"/>
      <c r="F1607" s="397" t="n"/>
      <c r="G1607" s="397" t="n"/>
      <c r="I1607" s="397" t="n"/>
      <c r="J1607" s="397" t="n"/>
      <c r="K1607" s="395">
        <f>DATE(VALUE(LEFT(A1607,4)),VALUE(MID(A1607,5,2)),VALUE(RIGHT(A1607,2)))</f>
        <v/>
      </c>
      <c r="L1607" s="395">
        <f>DATEVALUE(LEFT(F1607,10))</f>
        <v/>
      </c>
      <c r="M1607" s="396">
        <f>TIMEVALUE(MID(F1607,12,8))</f>
        <v/>
      </c>
      <c r="N1607" s="395">
        <f>DATEVALUE(LEFT(G1607,10))</f>
        <v/>
      </c>
      <c r="O1607" s="396">
        <f>TIMEVALUE(MID(G1607,12,8))</f>
        <v/>
      </c>
      <c r="P1607" s="396">
        <f>IFERROR(_xlfn.MINIFS($M:$M,$E:$E,$E1607,$K:$K,$K1607,$M:$M,"&gt;"&amp;$O1607),"")</f>
        <v/>
      </c>
      <c r="Q1607" s="396">
        <f>IF($P1607="","",$P1607-$O1607)</f>
        <v/>
      </c>
    </row>
    <row r="1608" ht="15" customHeight="1" s="231">
      <c r="A1608" s="397" t="n"/>
      <c r="B1608" s="397" t="n"/>
      <c r="C1608" s="397" t="n"/>
      <c r="D1608" s="397" t="n"/>
      <c r="E1608" s="397" t="n"/>
      <c r="F1608" s="397" t="n"/>
      <c r="G1608" s="397" t="n"/>
      <c r="I1608" s="397" t="n"/>
      <c r="J1608" s="397" t="n"/>
      <c r="K1608" s="395">
        <f>DATE(VALUE(LEFT(A1608,4)),VALUE(MID(A1608,5,2)),VALUE(RIGHT(A1608,2)))</f>
        <v/>
      </c>
      <c r="L1608" s="395">
        <f>DATEVALUE(LEFT(F1608,10))</f>
        <v/>
      </c>
      <c r="M1608" s="396">
        <f>TIMEVALUE(MID(F1608,12,8))</f>
        <v/>
      </c>
      <c r="N1608" s="395">
        <f>DATEVALUE(LEFT(G1608,10))</f>
        <v/>
      </c>
      <c r="O1608" s="396">
        <f>TIMEVALUE(MID(G1608,12,8))</f>
        <v/>
      </c>
      <c r="P1608" s="396">
        <f>IFERROR(_xlfn.MINIFS($M:$M,$E:$E,$E1608,$K:$K,$K1608,$M:$M,"&gt;"&amp;$O1608),"")</f>
        <v/>
      </c>
      <c r="Q1608" s="396">
        <f>IF($P1608="","",$P1608-$O1608)</f>
        <v/>
      </c>
    </row>
    <row r="1609" ht="15" customHeight="1" s="231">
      <c r="A1609" s="397" t="n"/>
      <c r="B1609" s="397" t="n"/>
      <c r="C1609" s="397" t="n"/>
      <c r="D1609" s="397" t="n"/>
      <c r="E1609" s="397" t="n"/>
      <c r="F1609" s="397" t="n"/>
      <c r="G1609" s="397" t="n"/>
      <c r="I1609" s="397" t="n"/>
      <c r="J1609" s="397" t="n"/>
      <c r="K1609" s="395">
        <f>DATE(VALUE(LEFT(A1609,4)),VALUE(MID(A1609,5,2)),VALUE(RIGHT(A1609,2)))</f>
        <v/>
      </c>
      <c r="L1609" s="395">
        <f>DATEVALUE(LEFT(F1609,10))</f>
        <v/>
      </c>
      <c r="M1609" s="396">
        <f>TIMEVALUE(MID(F1609,12,8))</f>
        <v/>
      </c>
      <c r="N1609" s="395">
        <f>DATEVALUE(LEFT(G1609,10))</f>
        <v/>
      </c>
      <c r="O1609" s="396">
        <f>TIMEVALUE(MID(G1609,12,8))</f>
        <v/>
      </c>
      <c r="P1609" s="396">
        <f>IFERROR(_xlfn.MINIFS($M:$M,$E:$E,$E1609,$K:$K,$K1609,$M:$M,"&gt;"&amp;$O1609),"")</f>
        <v/>
      </c>
      <c r="Q1609" s="396">
        <f>IF($P1609="","",$P1609-$O1609)</f>
        <v/>
      </c>
    </row>
    <row r="1610" ht="15" customHeight="1" s="231">
      <c r="A1610" s="397" t="n"/>
      <c r="B1610" s="397" t="n"/>
      <c r="C1610" s="397" t="n"/>
      <c r="D1610" s="397" t="n"/>
      <c r="E1610" s="397" t="n"/>
      <c r="F1610" s="397" t="n"/>
      <c r="G1610" s="397" t="n"/>
      <c r="I1610" s="397" t="n"/>
      <c r="J1610" s="397" t="n"/>
      <c r="K1610" s="395">
        <f>DATE(VALUE(LEFT(A1610,4)),VALUE(MID(A1610,5,2)),VALUE(RIGHT(A1610,2)))</f>
        <v/>
      </c>
      <c r="L1610" s="395">
        <f>DATEVALUE(LEFT(F1610,10))</f>
        <v/>
      </c>
      <c r="M1610" s="396">
        <f>TIMEVALUE(MID(F1610,12,8))</f>
        <v/>
      </c>
      <c r="N1610" s="395">
        <f>DATEVALUE(LEFT(G1610,10))</f>
        <v/>
      </c>
      <c r="O1610" s="396">
        <f>TIMEVALUE(MID(G1610,12,8))</f>
        <v/>
      </c>
      <c r="P1610" s="396">
        <f>IFERROR(_xlfn.MINIFS($M:$M,$E:$E,$E1610,$K:$K,$K1610,$M:$M,"&gt;"&amp;$O1610),"")</f>
        <v/>
      </c>
      <c r="Q1610" s="396">
        <f>IF($P1610="","",$P1610-$O1610)</f>
        <v/>
      </c>
    </row>
    <row r="1611" ht="15" customHeight="1" s="231">
      <c r="A1611" s="397" t="n"/>
      <c r="B1611" s="397" t="n"/>
      <c r="C1611" s="397" t="n"/>
      <c r="D1611" s="397" t="n"/>
      <c r="E1611" s="397" t="n"/>
      <c r="F1611" s="397" t="n"/>
      <c r="G1611" s="397" t="n"/>
      <c r="I1611" s="397" t="n"/>
      <c r="J1611" s="397" t="n"/>
      <c r="K1611" s="395">
        <f>DATE(VALUE(LEFT(A1611,4)),VALUE(MID(A1611,5,2)),VALUE(RIGHT(A1611,2)))</f>
        <v/>
      </c>
      <c r="L1611" s="395">
        <f>DATEVALUE(LEFT(F1611,10))</f>
        <v/>
      </c>
      <c r="M1611" s="396">
        <f>TIMEVALUE(MID(F1611,12,8))</f>
        <v/>
      </c>
      <c r="N1611" s="395">
        <f>DATEVALUE(LEFT(G1611,10))</f>
        <v/>
      </c>
      <c r="O1611" s="396">
        <f>TIMEVALUE(MID(G1611,12,8))</f>
        <v/>
      </c>
      <c r="P1611" s="396">
        <f>IFERROR(_xlfn.MINIFS($M:$M,$E:$E,$E1611,$K:$K,$K1611,$M:$M,"&gt;"&amp;$O1611),"")</f>
        <v/>
      </c>
      <c r="Q1611" s="396">
        <f>IF($P1611="","",$P1611-$O1611)</f>
        <v/>
      </c>
    </row>
    <row r="1612" ht="15" customHeight="1" s="231">
      <c r="A1612" s="397" t="n"/>
      <c r="B1612" s="397" t="n"/>
      <c r="C1612" s="397" t="n"/>
      <c r="D1612" s="397" t="n"/>
      <c r="E1612" s="397" t="n"/>
      <c r="F1612" s="397" t="n"/>
      <c r="G1612" s="397" t="n"/>
      <c r="I1612" s="397" t="n"/>
      <c r="J1612" s="397" t="n"/>
      <c r="K1612" s="395">
        <f>DATE(VALUE(LEFT(A1612,4)),VALUE(MID(A1612,5,2)),VALUE(RIGHT(A1612,2)))</f>
        <v/>
      </c>
      <c r="L1612" s="395">
        <f>DATEVALUE(LEFT(F1612,10))</f>
        <v/>
      </c>
      <c r="M1612" s="396">
        <f>TIMEVALUE(MID(F1612,12,8))</f>
        <v/>
      </c>
      <c r="N1612" s="395">
        <f>DATEVALUE(LEFT(G1612,10))</f>
        <v/>
      </c>
      <c r="O1612" s="396">
        <f>TIMEVALUE(MID(G1612,12,8))</f>
        <v/>
      </c>
      <c r="P1612" s="396">
        <f>IFERROR(_xlfn.MINIFS($M:$M,$E:$E,$E1612,$K:$K,$K1612,$M:$M,"&gt;"&amp;$O1612),"")</f>
        <v/>
      </c>
      <c r="Q1612" s="396">
        <f>IF($P1612="","",$P1612-$O1612)</f>
        <v/>
      </c>
    </row>
    <row r="1613" ht="15" customHeight="1" s="231">
      <c r="A1613" s="397" t="n"/>
      <c r="B1613" s="397" t="n"/>
      <c r="C1613" s="397" t="n"/>
      <c r="D1613" s="397" t="n"/>
      <c r="E1613" s="397" t="n"/>
      <c r="F1613" s="397" t="n"/>
      <c r="G1613" s="397" t="n"/>
      <c r="I1613" s="397" t="n"/>
      <c r="J1613" s="397" t="n"/>
      <c r="K1613" s="395">
        <f>DATE(VALUE(LEFT(A1613,4)),VALUE(MID(A1613,5,2)),VALUE(RIGHT(A1613,2)))</f>
        <v/>
      </c>
      <c r="L1613" s="395">
        <f>DATEVALUE(LEFT(F1613,10))</f>
        <v/>
      </c>
      <c r="M1613" s="396">
        <f>TIMEVALUE(MID(F1613,12,8))</f>
        <v/>
      </c>
      <c r="N1613" s="395">
        <f>DATEVALUE(LEFT(G1613,10))</f>
        <v/>
      </c>
      <c r="O1613" s="396">
        <f>TIMEVALUE(MID(G1613,12,8))</f>
        <v/>
      </c>
      <c r="P1613" s="396">
        <f>IFERROR(_xlfn.MINIFS($M:$M,$E:$E,$E1613,$K:$K,$K1613,$M:$M,"&gt;"&amp;$O1613),"")</f>
        <v/>
      </c>
      <c r="Q1613" s="396">
        <f>IF($P1613="","",$P1613-$O1613)</f>
        <v/>
      </c>
    </row>
    <row r="1614" ht="15" customHeight="1" s="231">
      <c r="A1614" s="397" t="n"/>
      <c r="B1614" s="397" t="n"/>
      <c r="C1614" s="397" t="n"/>
      <c r="D1614" s="397" t="n"/>
      <c r="E1614" s="397" t="n"/>
      <c r="F1614" s="397" t="n"/>
      <c r="G1614" s="397" t="n"/>
      <c r="I1614" s="397" t="n"/>
      <c r="J1614" s="397" t="n"/>
      <c r="K1614" s="395">
        <f>DATE(VALUE(LEFT(A1614,4)),VALUE(MID(A1614,5,2)),VALUE(RIGHT(A1614,2)))</f>
        <v/>
      </c>
      <c r="L1614" s="395">
        <f>DATEVALUE(LEFT(F1614,10))</f>
        <v/>
      </c>
      <c r="M1614" s="396">
        <f>TIMEVALUE(MID(F1614,12,8))</f>
        <v/>
      </c>
      <c r="N1614" s="395">
        <f>DATEVALUE(LEFT(G1614,10))</f>
        <v/>
      </c>
      <c r="O1614" s="396">
        <f>TIMEVALUE(MID(G1614,12,8))</f>
        <v/>
      </c>
      <c r="P1614" s="396">
        <f>IFERROR(_xlfn.MINIFS($M:$M,$E:$E,$E1614,$K:$K,$K1614,$M:$M,"&gt;"&amp;$O1614),"")</f>
        <v/>
      </c>
      <c r="Q1614" s="396">
        <f>IF($P1614="","",$P1614-$O1614)</f>
        <v/>
      </c>
    </row>
    <row r="1615" ht="15" customHeight="1" s="231">
      <c r="A1615" s="397" t="n"/>
      <c r="B1615" s="397" t="n"/>
      <c r="C1615" s="397" t="n"/>
      <c r="D1615" s="397" t="n"/>
      <c r="E1615" s="397" t="n"/>
      <c r="F1615" s="397" t="n"/>
      <c r="G1615" s="397" t="n"/>
      <c r="I1615" s="397" t="n"/>
      <c r="J1615" s="397" t="n"/>
      <c r="K1615" s="395">
        <f>DATE(VALUE(LEFT(A1615,4)),VALUE(MID(A1615,5,2)),VALUE(RIGHT(A1615,2)))</f>
        <v/>
      </c>
      <c r="L1615" s="395">
        <f>DATEVALUE(LEFT(F1615,10))</f>
        <v/>
      </c>
      <c r="M1615" s="396">
        <f>TIMEVALUE(MID(F1615,12,8))</f>
        <v/>
      </c>
      <c r="N1615" s="395">
        <f>DATEVALUE(LEFT(G1615,10))</f>
        <v/>
      </c>
      <c r="O1615" s="396">
        <f>TIMEVALUE(MID(G1615,12,8))</f>
        <v/>
      </c>
      <c r="P1615" s="396">
        <f>IFERROR(_xlfn.MINIFS($M:$M,$E:$E,$E1615,$K:$K,$K1615,$M:$M,"&gt;"&amp;$O1615),"")</f>
        <v/>
      </c>
      <c r="Q1615" s="396">
        <f>IF($P1615="","",$P1615-$O1615)</f>
        <v/>
      </c>
    </row>
    <row r="1616" ht="15" customHeight="1" s="231">
      <c r="A1616" s="397" t="n"/>
      <c r="B1616" s="397" t="n"/>
      <c r="C1616" s="397" t="n"/>
      <c r="D1616" s="397" t="n"/>
      <c r="E1616" s="397" t="n"/>
      <c r="F1616" s="397" t="n"/>
      <c r="G1616" s="397" t="n"/>
      <c r="I1616" s="397" t="n"/>
      <c r="J1616" s="397" t="n"/>
      <c r="K1616" s="395">
        <f>DATE(VALUE(LEFT(A1616,4)),VALUE(MID(A1616,5,2)),VALUE(RIGHT(A1616,2)))</f>
        <v/>
      </c>
      <c r="L1616" s="395">
        <f>DATEVALUE(LEFT(F1616,10))</f>
        <v/>
      </c>
      <c r="M1616" s="396">
        <f>TIMEVALUE(MID(F1616,12,8))</f>
        <v/>
      </c>
      <c r="N1616" s="395">
        <f>DATEVALUE(LEFT(G1616,10))</f>
        <v/>
      </c>
      <c r="O1616" s="396">
        <f>TIMEVALUE(MID(G1616,12,8))</f>
        <v/>
      </c>
      <c r="P1616" s="396">
        <f>IFERROR(_xlfn.MINIFS($M:$M,$E:$E,$E1616,$K:$K,$K1616,$M:$M,"&gt;"&amp;$O1616),"")</f>
        <v/>
      </c>
      <c r="Q1616" s="396">
        <f>IF($P1616="","",$P1616-$O1616)</f>
        <v/>
      </c>
    </row>
    <row r="1617" ht="15" customHeight="1" s="231">
      <c r="A1617" s="397" t="n"/>
      <c r="B1617" s="397" t="n"/>
      <c r="C1617" s="397" t="n"/>
      <c r="D1617" s="397" t="n"/>
      <c r="E1617" s="397" t="n"/>
      <c r="F1617" s="397" t="n"/>
      <c r="G1617" s="397" t="n"/>
      <c r="I1617" s="397" t="n"/>
      <c r="J1617" s="397" t="n"/>
      <c r="K1617" s="395">
        <f>DATE(VALUE(LEFT(A1617,4)),VALUE(MID(A1617,5,2)),VALUE(RIGHT(A1617,2)))</f>
        <v/>
      </c>
      <c r="L1617" s="395">
        <f>DATEVALUE(LEFT(F1617,10))</f>
        <v/>
      </c>
      <c r="M1617" s="396">
        <f>TIMEVALUE(MID(F1617,12,8))</f>
        <v/>
      </c>
      <c r="N1617" s="395">
        <f>DATEVALUE(LEFT(G1617,10))</f>
        <v/>
      </c>
      <c r="O1617" s="396">
        <f>TIMEVALUE(MID(G1617,12,8))</f>
        <v/>
      </c>
      <c r="P1617" s="396">
        <f>IFERROR(_xlfn.MINIFS($M:$M,$E:$E,$E1617,$K:$K,$K1617,$M:$M,"&gt;"&amp;$O1617),"")</f>
        <v/>
      </c>
      <c r="Q1617" s="396">
        <f>IF($P1617="","",$P1617-$O1617)</f>
        <v/>
      </c>
    </row>
    <row r="1618" ht="15" customHeight="1" s="231">
      <c r="A1618" s="397" t="n"/>
      <c r="B1618" s="397" t="n"/>
      <c r="C1618" s="397" t="n"/>
      <c r="D1618" s="397" t="n"/>
      <c r="E1618" s="397" t="n"/>
      <c r="F1618" s="397" t="n"/>
      <c r="G1618" s="397" t="n"/>
      <c r="I1618" s="397" t="n"/>
      <c r="J1618" s="397" t="n"/>
      <c r="K1618" s="395">
        <f>DATE(VALUE(LEFT(A1618,4)),VALUE(MID(A1618,5,2)),VALUE(RIGHT(A1618,2)))</f>
        <v/>
      </c>
      <c r="L1618" s="395">
        <f>DATEVALUE(LEFT(F1618,10))</f>
        <v/>
      </c>
      <c r="M1618" s="396">
        <f>TIMEVALUE(MID(F1618,12,8))</f>
        <v/>
      </c>
      <c r="N1618" s="395">
        <f>DATEVALUE(LEFT(G1618,10))</f>
        <v/>
      </c>
      <c r="O1618" s="396">
        <f>TIMEVALUE(MID(G1618,12,8))</f>
        <v/>
      </c>
      <c r="P1618" s="396">
        <f>IFERROR(_xlfn.MINIFS($M:$M,$E:$E,$E1618,$K:$K,$K1618,$M:$M,"&gt;"&amp;$O1618),"")</f>
        <v/>
      </c>
      <c r="Q1618" s="396">
        <f>IF($P1618="","",$P1618-$O1618)</f>
        <v/>
      </c>
    </row>
    <row r="1619" ht="15" customHeight="1" s="231">
      <c r="A1619" s="397" t="n"/>
      <c r="B1619" s="397" t="n"/>
      <c r="C1619" s="397" t="n"/>
      <c r="D1619" s="397" t="n"/>
      <c r="E1619" s="397" t="n"/>
      <c r="F1619" s="397" t="n"/>
      <c r="G1619" s="397" t="n"/>
      <c r="I1619" s="397" t="n"/>
      <c r="J1619" s="397" t="n"/>
      <c r="K1619" s="395">
        <f>DATE(VALUE(LEFT(A1619,4)),VALUE(MID(A1619,5,2)),VALUE(RIGHT(A1619,2)))</f>
        <v/>
      </c>
      <c r="L1619" s="395">
        <f>DATEVALUE(LEFT(F1619,10))</f>
        <v/>
      </c>
      <c r="M1619" s="396">
        <f>TIMEVALUE(MID(F1619,12,8))</f>
        <v/>
      </c>
      <c r="N1619" s="395">
        <f>DATEVALUE(LEFT(G1619,10))</f>
        <v/>
      </c>
      <c r="O1619" s="396">
        <f>TIMEVALUE(MID(G1619,12,8))</f>
        <v/>
      </c>
      <c r="P1619" s="396">
        <f>IFERROR(_xlfn.MINIFS($M:$M,$E:$E,$E1619,$K:$K,$K1619,$M:$M,"&gt;"&amp;$O1619),"")</f>
        <v/>
      </c>
      <c r="Q1619" s="396">
        <f>IF($P1619="","",$P1619-$O1619)</f>
        <v/>
      </c>
    </row>
    <row r="1620" ht="15" customHeight="1" s="231">
      <c r="A1620" s="397" t="n"/>
      <c r="B1620" s="397" t="n"/>
      <c r="C1620" s="397" t="n"/>
      <c r="D1620" s="397" t="n"/>
      <c r="E1620" s="397" t="n"/>
      <c r="F1620" s="397" t="n"/>
      <c r="G1620" s="397" t="n"/>
      <c r="I1620" s="397" t="n"/>
      <c r="J1620" s="397" t="n"/>
      <c r="K1620" s="395">
        <f>DATE(VALUE(LEFT(A1620,4)),VALUE(MID(A1620,5,2)),VALUE(RIGHT(A1620,2)))</f>
        <v/>
      </c>
      <c r="L1620" s="395">
        <f>DATEVALUE(LEFT(F1620,10))</f>
        <v/>
      </c>
      <c r="M1620" s="396">
        <f>TIMEVALUE(MID(F1620,12,8))</f>
        <v/>
      </c>
      <c r="N1620" s="395">
        <f>DATEVALUE(LEFT(G1620,10))</f>
        <v/>
      </c>
      <c r="O1620" s="396">
        <f>TIMEVALUE(MID(G1620,12,8))</f>
        <v/>
      </c>
      <c r="P1620" s="396">
        <f>IFERROR(_xlfn.MINIFS($M:$M,$E:$E,$E1620,$K:$K,$K1620,$M:$M,"&gt;"&amp;$O1620),"")</f>
        <v/>
      </c>
      <c r="Q1620" s="396">
        <f>IF($P1620="","",$P1620-$O1620)</f>
        <v/>
      </c>
    </row>
    <row r="1621" ht="15" customHeight="1" s="231">
      <c r="A1621" s="397" t="n"/>
      <c r="B1621" s="397" t="n"/>
      <c r="C1621" s="397" t="n"/>
      <c r="D1621" s="397" t="n"/>
      <c r="E1621" s="397" t="n"/>
      <c r="F1621" s="397" t="n"/>
      <c r="G1621" s="397" t="n"/>
      <c r="I1621" s="397" t="n"/>
      <c r="J1621" s="397" t="n"/>
      <c r="K1621" s="395">
        <f>DATE(VALUE(LEFT(A1621,4)),VALUE(MID(A1621,5,2)),VALUE(RIGHT(A1621,2)))</f>
        <v/>
      </c>
      <c r="L1621" s="395">
        <f>DATEVALUE(LEFT(F1621,10))</f>
        <v/>
      </c>
      <c r="M1621" s="396">
        <f>TIMEVALUE(MID(F1621,12,8))</f>
        <v/>
      </c>
      <c r="N1621" s="395">
        <f>DATEVALUE(LEFT(G1621,10))</f>
        <v/>
      </c>
      <c r="O1621" s="396">
        <f>TIMEVALUE(MID(G1621,12,8))</f>
        <v/>
      </c>
      <c r="P1621" s="396">
        <f>IFERROR(_xlfn.MINIFS($M:$M,$E:$E,$E1621,$K:$K,$K1621,$M:$M,"&gt;"&amp;$O1621),"")</f>
        <v/>
      </c>
      <c r="Q1621" s="396">
        <f>IF($P1621="","",$P1621-$O1621)</f>
        <v/>
      </c>
    </row>
    <row r="1622" ht="15" customHeight="1" s="231">
      <c r="A1622" s="397" t="n"/>
      <c r="B1622" s="397" t="n"/>
      <c r="C1622" s="397" t="n"/>
      <c r="D1622" s="397" t="n"/>
      <c r="E1622" s="397" t="n"/>
      <c r="F1622" s="397" t="n"/>
      <c r="G1622" s="397" t="n"/>
      <c r="I1622" s="397" t="n"/>
      <c r="J1622" s="397" t="n"/>
      <c r="K1622" s="395">
        <f>DATE(VALUE(LEFT(A1622,4)),VALUE(MID(A1622,5,2)),VALUE(RIGHT(A1622,2)))</f>
        <v/>
      </c>
      <c r="L1622" s="395">
        <f>DATEVALUE(LEFT(F1622,10))</f>
        <v/>
      </c>
      <c r="M1622" s="396">
        <f>TIMEVALUE(MID(F1622,12,8))</f>
        <v/>
      </c>
      <c r="N1622" s="395">
        <f>DATEVALUE(LEFT(G1622,10))</f>
        <v/>
      </c>
      <c r="O1622" s="396">
        <f>TIMEVALUE(MID(G1622,12,8))</f>
        <v/>
      </c>
      <c r="P1622" s="396">
        <f>IFERROR(_xlfn.MINIFS($M:$M,$E:$E,$E1622,$K:$K,$K1622,$M:$M,"&gt;"&amp;$O1622),"")</f>
        <v/>
      </c>
      <c r="Q1622" s="396">
        <f>IF($P1622="","",$P1622-$O1622)</f>
        <v/>
      </c>
    </row>
    <row r="1623" ht="15" customHeight="1" s="231">
      <c r="A1623" s="397" t="n"/>
      <c r="B1623" s="397" t="n"/>
      <c r="C1623" s="397" t="n"/>
      <c r="D1623" s="397" t="n"/>
      <c r="E1623" s="397" t="n"/>
      <c r="F1623" s="397" t="n"/>
      <c r="G1623" s="397" t="n"/>
      <c r="I1623" s="397" t="n"/>
      <c r="J1623" s="397" t="n"/>
      <c r="K1623" s="395">
        <f>DATE(VALUE(LEFT(A1623,4)),VALUE(MID(A1623,5,2)),VALUE(RIGHT(A1623,2)))</f>
        <v/>
      </c>
      <c r="L1623" s="395">
        <f>DATEVALUE(LEFT(F1623,10))</f>
        <v/>
      </c>
      <c r="M1623" s="396">
        <f>TIMEVALUE(MID(F1623,12,8))</f>
        <v/>
      </c>
      <c r="N1623" s="395">
        <f>DATEVALUE(LEFT(G1623,10))</f>
        <v/>
      </c>
      <c r="O1623" s="396">
        <f>TIMEVALUE(MID(G1623,12,8))</f>
        <v/>
      </c>
      <c r="P1623" s="396">
        <f>IFERROR(_xlfn.MINIFS($M:$M,$E:$E,$E1623,$K:$K,$K1623,$M:$M,"&gt;"&amp;$O1623),"")</f>
        <v/>
      </c>
      <c r="Q1623" s="396">
        <f>IF($P1623="","",$P1623-$O1623)</f>
        <v/>
      </c>
    </row>
    <row r="1624" ht="15" customHeight="1" s="231">
      <c r="A1624" s="397" t="n"/>
      <c r="B1624" s="397" t="n"/>
      <c r="C1624" s="397" t="n"/>
      <c r="D1624" s="397" t="n"/>
      <c r="E1624" s="397" t="n"/>
      <c r="F1624" s="397" t="n"/>
      <c r="G1624" s="397" t="n"/>
      <c r="I1624" s="397" t="n"/>
      <c r="J1624" s="397" t="n"/>
      <c r="K1624" s="395">
        <f>DATE(VALUE(LEFT(A1624,4)),VALUE(MID(A1624,5,2)),VALUE(RIGHT(A1624,2)))</f>
        <v/>
      </c>
      <c r="L1624" s="395">
        <f>DATEVALUE(LEFT(F1624,10))</f>
        <v/>
      </c>
      <c r="M1624" s="396">
        <f>TIMEVALUE(MID(F1624,12,8))</f>
        <v/>
      </c>
      <c r="N1624" s="395">
        <f>DATEVALUE(LEFT(G1624,10))</f>
        <v/>
      </c>
      <c r="O1624" s="396">
        <f>TIMEVALUE(MID(G1624,12,8))</f>
        <v/>
      </c>
      <c r="P1624" s="396">
        <f>IFERROR(_xlfn.MINIFS($M:$M,$E:$E,$E1624,$K:$K,$K1624,$M:$M,"&gt;"&amp;$O1624),"")</f>
        <v/>
      </c>
      <c r="Q1624" s="396">
        <f>IF($P1624="","",$P1624-$O1624)</f>
        <v/>
      </c>
    </row>
    <row r="1625" ht="15" customHeight="1" s="231">
      <c r="A1625" s="397" t="n"/>
      <c r="B1625" s="397" t="n"/>
      <c r="C1625" s="397" t="n"/>
      <c r="D1625" s="397" t="n"/>
      <c r="E1625" s="397" t="n"/>
      <c r="F1625" s="397" t="n"/>
      <c r="G1625" s="397" t="n"/>
      <c r="I1625" s="397" t="n"/>
      <c r="J1625" s="397" t="n"/>
      <c r="K1625" s="395">
        <f>DATE(VALUE(LEFT(A1625,4)),VALUE(MID(A1625,5,2)),VALUE(RIGHT(A1625,2)))</f>
        <v/>
      </c>
      <c r="L1625" s="395">
        <f>DATEVALUE(LEFT(F1625,10))</f>
        <v/>
      </c>
      <c r="M1625" s="396">
        <f>TIMEVALUE(MID(F1625,12,8))</f>
        <v/>
      </c>
      <c r="N1625" s="395">
        <f>DATEVALUE(LEFT(G1625,10))</f>
        <v/>
      </c>
      <c r="O1625" s="396">
        <f>TIMEVALUE(MID(G1625,12,8))</f>
        <v/>
      </c>
      <c r="P1625" s="396">
        <f>IFERROR(_xlfn.MINIFS($M:$M,$E:$E,$E1625,$K:$K,$K1625,$M:$M,"&gt;"&amp;$O1625),"")</f>
        <v/>
      </c>
      <c r="Q1625" s="396">
        <f>IF($P1625="","",$P1625-$O1625)</f>
        <v/>
      </c>
    </row>
    <row r="1626" ht="15" customHeight="1" s="231">
      <c r="A1626" s="397" t="n"/>
      <c r="B1626" s="397" t="n"/>
      <c r="C1626" s="397" t="n"/>
      <c r="D1626" s="397" t="n"/>
      <c r="E1626" s="397" t="n"/>
      <c r="F1626" s="397" t="n"/>
      <c r="G1626" s="397" t="n"/>
      <c r="I1626" s="397" t="n"/>
      <c r="J1626" s="397" t="n"/>
      <c r="K1626" s="395">
        <f>DATE(VALUE(LEFT(A1626,4)),VALUE(MID(A1626,5,2)),VALUE(RIGHT(A1626,2)))</f>
        <v/>
      </c>
      <c r="L1626" s="395">
        <f>DATEVALUE(LEFT(F1626,10))</f>
        <v/>
      </c>
      <c r="M1626" s="396">
        <f>TIMEVALUE(MID(F1626,12,8))</f>
        <v/>
      </c>
      <c r="N1626" s="395">
        <f>DATEVALUE(LEFT(G1626,10))</f>
        <v/>
      </c>
      <c r="O1626" s="396">
        <f>TIMEVALUE(MID(G1626,12,8))</f>
        <v/>
      </c>
      <c r="P1626" s="396">
        <f>IFERROR(_xlfn.MINIFS($M:$M,$E:$E,$E1626,$K:$K,$K1626,$M:$M,"&gt;"&amp;$O1626),"")</f>
        <v/>
      </c>
      <c r="Q1626" s="396">
        <f>IF($P1626="","",$P1626-$O1626)</f>
        <v/>
      </c>
    </row>
    <row r="1627" ht="15" customHeight="1" s="231">
      <c r="A1627" s="397" t="n"/>
      <c r="B1627" s="397" t="n"/>
      <c r="C1627" s="397" t="n"/>
      <c r="D1627" s="397" t="n"/>
      <c r="E1627" s="397" t="n"/>
      <c r="F1627" s="397" t="n"/>
      <c r="G1627" s="397" t="n"/>
      <c r="I1627" s="397" t="n"/>
      <c r="J1627" s="397" t="n"/>
      <c r="K1627" s="395">
        <f>DATE(VALUE(LEFT(A1627,4)),VALUE(MID(A1627,5,2)),VALUE(RIGHT(A1627,2)))</f>
        <v/>
      </c>
      <c r="L1627" s="395">
        <f>DATEVALUE(LEFT(F1627,10))</f>
        <v/>
      </c>
      <c r="M1627" s="396">
        <f>TIMEVALUE(MID(F1627,12,8))</f>
        <v/>
      </c>
      <c r="N1627" s="395">
        <f>DATEVALUE(LEFT(G1627,10))</f>
        <v/>
      </c>
      <c r="O1627" s="396">
        <f>TIMEVALUE(MID(G1627,12,8))</f>
        <v/>
      </c>
      <c r="P1627" s="396">
        <f>IFERROR(_xlfn.MINIFS($M:$M,$E:$E,$E1627,$K:$K,$K1627,$M:$M,"&gt;"&amp;$O1627),"")</f>
        <v/>
      </c>
      <c r="Q1627" s="396">
        <f>IF($P1627="","",$P1627-$O1627)</f>
        <v/>
      </c>
    </row>
    <row r="1628" ht="15" customHeight="1" s="231">
      <c r="A1628" s="397" t="n"/>
      <c r="B1628" s="397" t="n"/>
      <c r="C1628" s="397" t="n"/>
      <c r="D1628" s="397" t="n"/>
      <c r="E1628" s="397" t="n"/>
      <c r="F1628" s="397" t="n"/>
      <c r="G1628" s="397" t="n"/>
      <c r="I1628" s="397" t="n"/>
      <c r="J1628" s="397" t="n"/>
      <c r="K1628" s="395">
        <f>DATE(VALUE(LEFT(A1628,4)),VALUE(MID(A1628,5,2)),VALUE(RIGHT(A1628,2)))</f>
        <v/>
      </c>
      <c r="L1628" s="395">
        <f>DATEVALUE(LEFT(F1628,10))</f>
        <v/>
      </c>
      <c r="M1628" s="396">
        <f>TIMEVALUE(MID(F1628,12,8))</f>
        <v/>
      </c>
      <c r="N1628" s="395">
        <f>DATEVALUE(LEFT(G1628,10))</f>
        <v/>
      </c>
      <c r="O1628" s="396">
        <f>TIMEVALUE(MID(G1628,12,8))</f>
        <v/>
      </c>
      <c r="P1628" s="396">
        <f>IFERROR(_xlfn.MINIFS($M:$M,$E:$E,$E1628,$K:$K,$K1628,$M:$M,"&gt;"&amp;$O1628),"")</f>
        <v/>
      </c>
      <c r="Q1628" s="396">
        <f>IF($P1628="","",$P1628-$O1628)</f>
        <v/>
      </c>
    </row>
    <row r="1629" ht="15" customHeight="1" s="231">
      <c r="A1629" s="397" t="n"/>
      <c r="B1629" s="397" t="n"/>
      <c r="C1629" s="397" t="n"/>
      <c r="D1629" s="397" t="n"/>
      <c r="E1629" s="397" t="n"/>
      <c r="F1629" s="397" t="n"/>
      <c r="G1629" s="397" t="n"/>
      <c r="I1629" s="397" t="n"/>
      <c r="J1629" s="397" t="n"/>
      <c r="K1629" s="395">
        <f>DATE(VALUE(LEFT(A1629,4)),VALUE(MID(A1629,5,2)),VALUE(RIGHT(A1629,2)))</f>
        <v/>
      </c>
      <c r="L1629" s="395">
        <f>DATEVALUE(LEFT(F1629,10))</f>
        <v/>
      </c>
      <c r="M1629" s="396">
        <f>TIMEVALUE(MID(F1629,12,8))</f>
        <v/>
      </c>
      <c r="N1629" s="395">
        <f>DATEVALUE(LEFT(G1629,10))</f>
        <v/>
      </c>
      <c r="O1629" s="396">
        <f>TIMEVALUE(MID(G1629,12,8))</f>
        <v/>
      </c>
      <c r="P1629" s="396">
        <f>IFERROR(_xlfn.MINIFS($M:$M,$E:$E,$E1629,$K:$K,$K1629,$M:$M,"&gt;"&amp;$O1629),"")</f>
        <v/>
      </c>
      <c r="Q1629" s="396">
        <f>IF($P1629="","",$P1629-$O1629)</f>
        <v/>
      </c>
    </row>
    <row r="1630" ht="15" customHeight="1" s="231">
      <c r="A1630" s="397" t="n"/>
      <c r="B1630" s="397" t="n"/>
      <c r="C1630" s="397" t="n"/>
      <c r="D1630" s="397" t="n"/>
      <c r="E1630" s="397" t="n"/>
      <c r="F1630" s="397" t="n"/>
      <c r="G1630" s="397" t="n"/>
      <c r="I1630" s="397" t="n"/>
      <c r="J1630" s="397" t="n"/>
      <c r="K1630" s="395">
        <f>DATE(VALUE(LEFT(A1630,4)),VALUE(MID(A1630,5,2)),VALUE(RIGHT(A1630,2)))</f>
        <v/>
      </c>
      <c r="L1630" s="395">
        <f>DATEVALUE(LEFT(F1630,10))</f>
        <v/>
      </c>
      <c r="M1630" s="396">
        <f>TIMEVALUE(MID(F1630,12,8))</f>
        <v/>
      </c>
      <c r="N1630" s="395">
        <f>DATEVALUE(LEFT(G1630,10))</f>
        <v/>
      </c>
      <c r="O1630" s="396">
        <f>TIMEVALUE(MID(G1630,12,8))</f>
        <v/>
      </c>
      <c r="P1630" s="396">
        <f>IFERROR(_xlfn.MINIFS($M:$M,$E:$E,$E1630,$K:$K,$K1630,$M:$M,"&gt;"&amp;$O1630),"")</f>
        <v/>
      </c>
      <c r="Q1630" s="396">
        <f>IF($P1630="","",$P1630-$O1630)</f>
        <v/>
      </c>
    </row>
    <row r="1631" ht="15" customHeight="1" s="231">
      <c r="A1631" s="397" t="n"/>
      <c r="B1631" s="397" t="n"/>
      <c r="C1631" s="397" t="n"/>
      <c r="D1631" s="397" t="n"/>
      <c r="E1631" s="397" t="n"/>
      <c r="F1631" s="397" t="n"/>
      <c r="G1631" s="397" t="n"/>
      <c r="I1631" s="397" t="n"/>
      <c r="J1631" s="397" t="n"/>
      <c r="K1631" s="395">
        <f>DATE(VALUE(LEFT(A1631,4)),VALUE(MID(A1631,5,2)),VALUE(RIGHT(A1631,2)))</f>
        <v/>
      </c>
      <c r="L1631" s="395">
        <f>DATEVALUE(LEFT(F1631,10))</f>
        <v/>
      </c>
      <c r="M1631" s="396">
        <f>TIMEVALUE(MID(F1631,12,8))</f>
        <v/>
      </c>
      <c r="N1631" s="395">
        <f>DATEVALUE(LEFT(G1631,10))</f>
        <v/>
      </c>
      <c r="O1631" s="396">
        <f>TIMEVALUE(MID(G1631,12,8))</f>
        <v/>
      </c>
      <c r="P1631" s="396">
        <f>IFERROR(_xlfn.MINIFS($M:$M,$E:$E,$E1631,$K:$K,$K1631,$M:$M,"&gt;"&amp;$O1631),"")</f>
        <v/>
      </c>
      <c r="Q1631" s="396">
        <f>IF($P1631="","",$P1631-$O1631)</f>
        <v/>
      </c>
    </row>
    <row r="1632" ht="15" customHeight="1" s="231">
      <c r="A1632" s="397" t="n"/>
      <c r="B1632" s="397" t="n"/>
      <c r="C1632" s="397" t="n"/>
      <c r="D1632" s="397" t="n"/>
      <c r="E1632" s="397" t="n"/>
      <c r="F1632" s="397" t="n"/>
      <c r="G1632" s="397" t="n"/>
      <c r="I1632" s="397" t="n"/>
      <c r="J1632" s="397" t="n"/>
      <c r="K1632" s="395">
        <f>DATE(VALUE(LEFT(A1632,4)),VALUE(MID(A1632,5,2)),VALUE(RIGHT(A1632,2)))</f>
        <v/>
      </c>
      <c r="L1632" s="395">
        <f>DATEVALUE(LEFT(F1632,10))</f>
        <v/>
      </c>
      <c r="M1632" s="396">
        <f>TIMEVALUE(MID(F1632,12,8))</f>
        <v/>
      </c>
      <c r="N1632" s="395">
        <f>DATEVALUE(LEFT(G1632,10))</f>
        <v/>
      </c>
      <c r="O1632" s="396">
        <f>TIMEVALUE(MID(G1632,12,8))</f>
        <v/>
      </c>
      <c r="P1632" s="396">
        <f>IFERROR(_xlfn.MINIFS($M:$M,$E:$E,$E1632,$K:$K,$K1632,$M:$M,"&gt;"&amp;$O1632),"")</f>
        <v/>
      </c>
      <c r="Q1632" s="396">
        <f>IF($P1632="","",$P1632-$O1632)</f>
        <v/>
      </c>
    </row>
    <row r="1633" ht="15" customHeight="1" s="231">
      <c r="A1633" s="397" t="n"/>
      <c r="B1633" s="397" t="n"/>
      <c r="C1633" s="397" t="n"/>
      <c r="D1633" s="397" t="n"/>
      <c r="E1633" s="397" t="n"/>
      <c r="F1633" s="397" t="n"/>
      <c r="G1633" s="397" t="n"/>
      <c r="I1633" s="397" t="n"/>
      <c r="J1633" s="397" t="n"/>
      <c r="K1633" s="395">
        <f>DATE(VALUE(LEFT(A1633,4)),VALUE(MID(A1633,5,2)),VALUE(RIGHT(A1633,2)))</f>
        <v/>
      </c>
      <c r="L1633" s="395">
        <f>DATEVALUE(LEFT(F1633,10))</f>
        <v/>
      </c>
      <c r="M1633" s="396">
        <f>TIMEVALUE(MID(F1633,12,8))</f>
        <v/>
      </c>
      <c r="N1633" s="395">
        <f>DATEVALUE(LEFT(G1633,10))</f>
        <v/>
      </c>
      <c r="O1633" s="396">
        <f>TIMEVALUE(MID(G1633,12,8))</f>
        <v/>
      </c>
      <c r="P1633" s="396">
        <f>IFERROR(_xlfn.MINIFS($M:$M,$E:$E,$E1633,$K:$K,$K1633,$M:$M,"&gt;"&amp;$O1633),"")</f>
        <v/>
      </c>
      <c r="Q1633" s="396">
        <f>IF($P1633="","",$P1633-$O1633)</f>
        <v/>
      </c>
    </row>
    <row r="1634" ht="15" customHeight="1" s="231">
      <c r="A1634" s="397" t="n"/>
      <c r="B1634" s="397" t="n"/>
      <c r="C1634" s="397" t="n"/>
      <c r="D1634" s="397" t="n"/>
      <c r="E1634" s="397" t="n"/>
      <c r="F1634" s="397" t="n"/>
      <c r="G1634" s="397" t="n"/>
      <c r="I1634" s="397" t="n"/>
      <c r="J1634" s="397" t="n"/>
      <c r="K1634" s="395">
        <f>DATE(VALUE(LEFT(A1634,4)),VALUE(MID(A1634,5,2)),VALUE(RIGHT(A1634,2)))</f>
        <v/>
      </c>
      <c r="L1634" s="395">
        <f>DATEVALUE(LEFT(F1634,10))</f>
        <v/>
      </c>
      <c r="M1634" s="396">
        <f>TIMEVALUE(MID(F1634,12,8))</f>
        <v/>
      </c>
      <c r="N1634" s="395">
        <f>DATEVALUE(LEFT(G1634,10))</f>
        <v/>
      </c>
      <c r="O1634" s="396">
        <f>TIMEVALUE(MID(G1634,12,8))</f>
        <v/>
      </c>
      <c r="P1634" s="396">
        <f>IFERROR(_xlfn.MINIFS($M:$M,$E:$E,$E1634,$K:$K,$K1634,$M:$M,"&gt;"&amp;$O1634),"")</f>
        <v/>
      </c>
      <c r="Q1634" s="396">
        <f>IF($P1634="","",$P1634-$O1634)</f>
        <v/>
      </c>
    </row>
    <row r="1635" ht="15" customHeight="1" s="231">
      <c r="A1635" s="397" t="n"/>
      <c r="B1635" s="397" t="n"/>
      <c r="C1635" s="397" t="n"/>
      <c r="D1635" s="397" t="n"/>
      <c r="E1635" s="397" t="n"/>
      <c r="F1635" s="397" t="n"/>
      <c r="G1635" s="397" t="n"/>
      <c r="I1635" s="397" t="n"/>
      <c r="J1635" s="397" t="n"/>
      <c r="K1635" s="395">
        <f>DATE(VALUE(LEFT(A1635,4)),VALUE(MID(A1635,5,2)),VALUE(RIGHT(A1635,2)))</f>
        <v/>
      </c>
      <c r="L1635" s="395">
        <f>DATEVALUE(LEFT(F1635,10))</f>
        <v/>
      </c>
      <c r="M1635" s="396">
        <f>TIMEVALUE(MID(F1635,12,8))</f>
        <v/>
      </c>
      <c r="N1635" s="395">
        <f>DATEVALUE(LEFT(G1635,10))</f>
        <v/>
      </c>
      <c r="O1635" s="396">
        <f>TIMEVALUE(MID(G1635,12,8))</f>
        <v/>
      </c>
      <c r="P1635" s="396">
        <f>IFERROR(_xlfn.MINIFS($M:$M,$E:$E,$E1635,$K:$K,$K1635,$M:$M,"&gt;"&amp;$O1635),"")</f>
        <v/>
      </c>
      <c r="Q1635" s="396">
        <f>IF($P1635="","",$P1635-$O1635)</f>
        <v/>
      </c>
    </row>
    <row r="1636" ht="15" customHeight="1" s="231">
      <c r="A1636" s="397" t="n"/>
      <c r="B1636" s="397" t="n"/>
      <c r="C1636" s="397" t="n"/>
      <c r="D1636" s="397" t="n"/>
      <c r="E1636" s="397" t="n"/>
      <c r="F1636" s="397" t="n"/>
      <c r="G1636" s="397" t="n"/>
      <c r="I1636" s="397" t="n"/>
      <c r="J1636" s="397" t="n"/>
      <c r="K1636" s="395">
        <f>DATE(VALUE(LEFT(A1636,4)),VALUE(MID(A1636,5,2)),VALUE(RIGHT(A1636,2)))</f>
        <v/>
      </c>
      <c r="L1636" s="395">
        <f>DATEVALUE(LEFT(F1636,10))</f>
        <v/>
      </c>
      <c r="M1636" s="396">
        <f>TIMEVALUE(MID(F1636,12,8))</f>
        <v/>
      </c>
      <c r="N1636" s="395">
        <f>DATEVALUE(LEFT(G1636,10))</f>
        <v/>
      </c>
      <c r="O1636" s="396">
        <f>TIMEVALUE(MID(G1636,12,8))</f>
        <v/>
      </c>
      <c r="P1636" s="396">
        <f>IFERROR(_xlfn.MINIFS($M:$M,$E:$E,$E1636,$K:$K,$K1636,$M:$M,"&gt;"&amp;$O1636),"")</f>
        <v/>
      </c>
      <c r="Q1636" s="396">
        <f>IF($P1636="","",$P1636-$O1636)</f>
        <v/>
      </c>
    </row>
    <row r="1637" ht="15" customHeight="1" s="231">
      <c r="A1637" s="397" t="n"/>
      <c r="B1637" s="397" t="n"/>
      <c r="C1637" s="397" t="n"/>
      <c r="D1637" s="397" t="n"/>
      <c r="E1637" s="397" t="n"/>
      <c r="F1637" s="397" t="n"/>
      <c r="G1637" s="397" t="n"/>
      <c r="I1637" s="397" t="n"/>
      <c r="J1637" s="397" t="n"/>
      <c r="K1637" s="395">
        <f>DATE(VALUE(LEFT(A1637,4)),VALUE(MID(A1637,5,2)),VALUE(RIGHT(A1637,2)))</f>
        <v/>
      </c>
      <c r="L1637" s="395">
        <f>DATEVALUE(LEFT(F1637,10))</f>
        <v/>
      </c>
      <c r="M1637" s="396">
        <f>TIMEVALUE(MID(F1637,12,8))</f>
        <v/>
      </c>
      <c r="N1637" s="395">
        <f>DATEVALUE(LEFT(G1637,10))</f>
        <v/>
      </c>
      <c r="O1637" s="396">
        <f>TIMEVALUE(MID(G1637,12,8))</f>
        <v/>
      </c>
      <c r="P1637" s="396">
        <f>IFERROR(_xlfn.MINIFS($M:$M,$E:$E,$E1637,$K:$K,$K1637,$M:$M,"&gt;"&amp;$O1637),"")</f>
        <v/>
      </c>
      <c r="Q1637" s="396">
        <f>IF($P1637="","",$P1637-$O1637)</f>
        <v/>
      </c>
    </row>
    <row r="1638" ht="15" customHeight="1" s="231">
      <c r="A1638" s="397" t="n"/>
      <c r="B1638" s="397" t="n"/>
      <c r="C1638" s="397" t="n"/>
      <c r="D1638" s="397" t="n"/>
      <c r="E1638" s="397" t="n"/>
      <c r="F1638" s="397" t="n"/>
      <c r="G1638" s="397" t="n"/>
      <c r="I1638" s="397" t="n"/>
      <c r="J1638" s="397" t="n"/>
      <c r="K1638" s="395">
        <f>DATE(VALUE(LEFT(A1638,4)),VALUE(MID(A1638,5,2)),VALUE(RIGHT(A1638,2)))</f>
        <v/>
      </c>
      <c r="L1638" s="395">
        <f>DATEVALUE(LEFT(F1638,10))</f>
        <v/>
      </c>
      <c r="M1638" s="396">
        <f>TIMEVALUE(MID(F1638,12,8))</f>
        <v/>
      </c>
      <c r="N1638" s="395">
        <f>DATEVALUE(LEFT(G1638,10))</f>
        <v/>
      </c>
      <c r="O1638" s="396">
        <f>TIMEVALUE(MID(G1638,12,8))</f>
        <v/>
      </c>
      <c r="P1638" s="396">
        <f>IFERROR(_xlfn.MINIFS($M:$M,$E:$E,$E1638,$K:$K,$K1638,$M:$M,"&gt;"&amp;$O1638),"")</f>
        <v/>
      </c>
      <c r="Q1638" s="396">
        <f>IF($P1638="","",$P1638-$O1638)</f>
        <v/>
      </c>
    </row>
    <row r="1639" ht="15" customHeight="1" s="231">
      <c r="A1639" s="397" t="n"/>
      <c r="B1639" s="397" t="n"/>
      <c r="C1639" s="397" t="n"/>
      <c r="D1639" s="397" t="n"/>
      <c r="E1639" s="397" t="n"/>
      <c r="F1639" s="397" t="n"/>
      <c r="G1639" s="397" t="n"/>
      <c r="I1639" s="397" t="n"/>
      <c r="J1639" s="397" t="n"/>
      <c r="K1639" s="395">
        <f>DATE(VALUE(LEFT(A1639,4)),VALUE(MID(A1639,5,2)),VALUE(RIGHT(A1639,2)))</f>
        <v/>
      </c>
      <c r="L1639" s="395">
        <f>DATEVALUE(LEFT(F1639,10))</f>
        <v/>
      </c>
      <c r="M1639" s="396">
        <f>TIMEVALUE(MID(F1639,12,8))</f>
        <v/>
      </c>
      <c r="N1639" s="395">
        <f>DATEVALUE(LEFT(G1639,10))</f>
        <v/>
      </c>
      <c r="O1639" s="396">
        <f>TIMEVALUE(MID(G1639,12,8))</f>
        <v/>
      </c>
      <c r="P1639" s="396">
        <f>IFERROR(_xlfn.MINIFS($M:$M,$E:$E,$E1639,$K:$K,$K1639,$M:$M,"&gt;"&amp;$O1639),"")</f>
        <v/>
      </c>
      <c r="Q1639" s="396">
        <f>IF($P1639="","",$P1639-$O1639)</f>
        <v/>
      </c>
    </row>
    <row r="1640" ht="15" customHeight="1" s="231">
      <c r="A1640" s="397" t="n"/>
      <c r="B1640" s="397" t="n"/>
      <c r="C1640" s="397" t="n"/>
      <c r="D1640" s="397" t="n"/>
      <c r="E1640" s="397" t="n"/>
      <c r="F1640" s="397" t="n"/>
      <c r="G1640" s="397" t="n"/>
      <c r="I1640" s="397" t="n"/>
      <c r="J1640" s="397" t="n"/>
      <c r="K1640" s="395">
        <f>DATE(VALUE(LEFT(A1640,4)),VALUE(MID(A1640,5,2)),VALUE(RIGHT(A1640,2)))</f>
        <v/>
      </c>
      <c r="L1640" s="395">
        <f>DATEVALUE(LEFT(F1640,10))</f>
        <v/>
      </c>
      <c r="M1640" s="396">
        <f>TIMEVALUE(MID(F1640,12,8))</f>
        <v/>
      </c>
      <c r="N1640" s="395">
        <f>DATEVALUE(LEFT(G1640,10))</f>
        <v/>
      </c>
      <c r="O1640" s="396">
        <f>TIMEVALUE(MID(G1640,12,8))</f>
        <v/>
      </c>
      <c r="P1640" s="396">
        <f>IFERROR(_xlfn.MINIFS($M:$M,$E:$E,$E1640,$K:$K,$K1640,$M:$M,"&gt;"&amp;$O1640),"")</f>
        <v/>
      </c>
      <c r="Q1640" s="396">
        <f>IF($P1640="","",$P1640-$O1640)</f>
        <v/>
      </c>
    </row>
    <row r="1641" ht="15" customHeight="1" s="231">
      <c r="A1641" s="397" t="n"/>
      <c r="B1641" s="397" t="n"/>
      <c r="C1641" s="397" t="n"/>
      <c r="D1641" s="397" t="n"/>
      <c r="E1641" s="397" t="n"/>
      <c r="F1641" s="397" t="n"/>
      <c r="G1641" s="397" t="n"/>
      <c r="I1641" s="397" t="n"/>
      <c r="J1641" s="397" t="n"/>
      <c r="K1641" s="395">
        <f>DATE(VALUE(LEFT(A1641,4)),VALUE(MID(A1641,5,2)),VALUE(RIGHT(A1641,2)))</f>
        <v/>
      </c>
      <c r="L1641" s="395">
        <f>DATEVALUE(LEFT(F1641,10))</f>
        <v/>
      </c>
      <c r="M1641" s="396">
        <f>TIMEVALUE(MID(F1641,12,8))</f>
        <v/>
      </c>
      <c r="N1641" s="395">
        <f>DATEVALUE(LEFT(G1641,10))</f>
        <v/>
      </c>
      <c r="O1641" s="396">
        <f>TIMEVALUE(MID(G1641,12,8))</f>
        <v/>
      </c>
      <c r="P1641" s="396">
        <f>IFERROR(_xlfn.MINIFS($M:$M,$E:$E,$E1641,$K:$K,$K1641,$M:$M,"&gt;"&amp;$O1641),"")</f>
        <v/>
      </c>
      <c r="Q1641" s="396">
        <f>IF($P1641="","",$P1641-$O1641)</f>
        <v/>
      </c>
    </row>
    <row r="1642" ht="15" customHeight="1" s="231">
      <c r="A1642" s="397" t="n"/>
      <c r="B1642" s="397" t="n"/>
      <c r="C1642" s="397" t="n"/>
      <c r="D1642" s="397" t="n"/>
      <c r="E1642" s="397" t="n"/>
      <c r="F1642" s="397" t="n"/>
      <c r="G1642" s="397" t="n"/>
      <c r="I1642" s="397" t="n"/>
      <c r="J1642" s="397" t="n"/>
      <c r="K1642" s="395">
        <f>DATE(VALUE(LEFT(A1642,4)),VALUE(MID(A1642,5,2)),VALUE(RIGHT(A1642,2)))</f>
        <v/>
      </c>
      <c r="L1642" s="395">
        <f>DATEVALUE(LEFT(F1642,10))</f>
        <v/>
      </c>
      <c r="M1642" s="396">
        <f>TIMEVALUE(MID(F1642,12,8))</f>
        <v/>
      </c>
      <c r="N1642" s="395">
        <f>DATEVALUE(LEFT(G1642,10))</f>
        <v/>
      </c>
      <c r="O1642" s="396">
        <f>TIMEVALUE(MID(G1642,12,8))</f>
        <v/>
      </c>
      <c r="P1642" s="396">
        <f>IFERROR(_xlfn.MINIFS($M:$M,$E:$E,$E1642,$K:$K,$K1642,$M:$M,"&gt;"&amp;$O1642),"")</f>
        <v/>
      </c>
      <c r="Q1642" s="396">
        <f>IF($P1642="","",$P1642-$O1642)</f>
        <v/>
      </c>
    </row>
    <row r="1643" ht="15" customHeight="1" s="231">
      <c r="A1643" s="397" t="n"/>
      <c r="B1643" s="397" t="n"/>
      <c r="C1643" s="397" t="n"/>
      <c r="D1643" s="397" t="n"/>
      <c r="E1643" s="397" t="n"/>
      <c r="F1643" s="397" t="n"/>
      <c r="G1643" s="397" t="n"/>
      <c r="I1643" s="397" t="n"/>
      <c r="J1643" s="397" t="n"/>
      <c r="K1643" s="395">
        <f>DATE(VALUE(LEFT(A1643,4)),VALUE(MID(A1643,5,2)),VALUE(RIGHT(A1643,2)))</f>
        <v/>
      </c>
      <c r="L1643" s="395">
        <f>DATEVALUE(LEFT(F1643,10))</f>
        <v/>
      </c>
      <c r="M1643" s="396">
        <f>TIMEVALUE(MID(F1643,12,8))</f>
        <v/>
      </c>
      <c r="N1643" s="395">
        <f>DATEVALUE(LEFT(G1643,10))</f>
        <v/>
      </c>
      <c r="O1643" s="396">
        <f>TIMEVALUE(MID(G1643,12,8))</f>
        <v/>
      </c>
      <c r="P1643" s="396">
        <f>IFERROR(_xlfn.MINIFS($M:$M,$E:$E,$E1643,$K:$K,$K1643,$M:$M,"&gt;"&amp;$O1643),"")</f>
        <v/>
      </c>
      <c r="Q1643" s="396">
        <f>IF($P1643="","",$P1643-$O1643)</f>
        <v/>
      </c>
    </row>
    <row r="1644" ht="15" customHeight="1" s="231">
      <c r="A1644" s="397" t="n"/>
      <c r="B1644" s="397" t="n"/>
      <c r="C1644" s="397" t="n"/>
      <c r="D1644" s="397" t="n"/>
      <c r="E1644" s="397" t="n"/>
      <c r="F1644" s="397" t="n"/>
      <c r="G1644" s="397" t="n"/>
      <c r="I1644" s="397" t="n"/>
      <c r="J1644" s="397" t="n"/>
      <c r="K1644" s="395">
        <f>DATE(VALUE(LEFT(A1644,4)),VALUE(MID(A1644,5,2)),VALUE(RIGHT(A1644,2)))</f>
        <v/>
      </c>
      <c r="L1644" s="395">
        <f>DATEVALUE(LEFT(F1644,10))</f>
        <v/>
      </c>
      <c r="M1644" s="396">
        <f>TIMEVALUE(MID(F1644,12,8))</f>
        <v/>
      </c>
      <c r="N1644" s="395">
        <f>DATEVALUE(LEFT(G1644,10))</f>
        <v/>
      </c>
      <c r="O1644" s="396">
        <f>TIMEVALUE(MID(G1644,12,8))</f>
        <v/>
      </c>
      <c r="P1644" s="396">
        <f>IFERROR(_xlfn.MINIFS($M:$M,$E:$E,$E1644,$K:$K,$K1644,$M:$M,"&gt;"&amp;$O1644),"")</f>
        <v/>
      </c>
      <c r="Q1644" s="396">
        <f>IF($P1644="","",$P1644-$O1644)</f>
        <v/>
      </c>
    </row>
    <row r="1645" ht="15" customHeight="1" s="231">
      <c r="A1645" s="397" t="n"/>
      <c r="B1645" s="397" t="n"/>
      <c r="C1645" s="397" t="n"/>
      <c r="D1645" s="397" t="n"/>
      <c r="E1645" s="397" t="n"/>
      <c r="F1645" s="397" t="n"/>
      <c r="G1645" s="397" t="n"/>
      <c r="I1645" s="397" t="n"/>
      <c r="J1645" s="397" t="n"/>
      <c r="K1645" s="395">
        <f>DATE(VALUE(LEFT(A1645,4)),VALUE(MID(A1645,5,2)),VALUE(RIGHT(A1645,2)))</f>
        <v/>
      </c>
      <c r="L1645" s="395">
        <f>DATEVALUE(LEFT(F1645,10))</f>
        <v/>
      </c>
      <c r="M1645" s="396">
        <f>TIMEVALUE(MID(F1645,12,8))</f>
        <v/>
      </c>
      <c r="N1645" s="395">
        <f>DATEVALUE(LEFT(G1645,10))</f>
        <v/>
      </c>
      <c r="O1645" s="396">
        <f>TIMEVALUE(MID(G1645,12,8))</f>
        <v/>
      </c>
      <c r="P1645" s="396">
        <f>IFERROR(_xlfn.MINIFS($M:$M,$E:$E,$E1645,$K:$K,$K1645,$M:$M,"&gt;"&amp;$O1645),"")</f>
        <v/>
      </c>
      <c r="Q1645" s="396">
        <f>IF($P1645="","",$P1645-$O1645)</f>
        <v/>
      </c>
    </row>
    <row r="1646" ht="15" customHeight="1" s="231">
      <c r="A1646" s="397" t="n"/>
      <c r="B1646" s="397" t="n"/>
      <c r="C1646" s="397" t="n"/>
      <c r="D1646" s="397" t="n"/>
      <c r="E1646" s="397" t="n"/>
      <c r="F1646" s="397" t="n"/>
      <c r="G1646" s="397" t="n"/>
      <c r="I1646" s="397" t="n"/>
      <c r="J1646" s="397" t="n"/>
      <c r="K1646" s="395">
        <f>DATE(VALUE(LEFT(A1646,4)),VALUE(MID(A1646,5,2)),VALUE(RIGHT(A1646,2)))</f>
        <v/>
      </c>
      <c r="L1646" s="395">
        <f>DATEVALUE(LEFT(F1646,10))</f>
        <v/>
      </c>
      <c r="M1646" s="396">
        <f>TIMEVALUE(MID(F1646,12,8))</f>
        <v/>
      </c>
      <c r="N1646" s="395">
        <f>DATEVALUE(LEFT(G1646,10))</f>
        <v/>
      </c>
      <c r="O1646" s="396">
        <f>TIMEVALUE(MID(G1646,12,8))</f>
        <v/>
      </c>
      <c r="P1646" s="396">
        <f>IFERROR(_xlfn.MINIFS($M:$M,$E:$E,$E1646,$K:$K,$K1646,$M:$M,"&gt;"&amp;$O1646),"")</f>
        <v/>
      </c>
      <c r="Q1646" s="396">
        <f>IF($P1646="","",$P1646-$O1646)</f>
        <v/>
      </c>
    </row>
    <row r="1647" ht="15" customHeight="1" s="231">
      <c r="A1647" s="397" t="n"/>
      <c r="B1647" s="397" t="n"/>
      <c r="C1647" s="397" t="n"/>
      <c r="D1647" s="397" t="n"/>
      <c r="E1647" s="397" t="n"/>
      <c r="F1647" s="397" t="n"/>
      <c r="G1647" s="397" t="n"/>
      <c r="I1647" s="397" t="n"/>
      <c r="J1647" s="397" t="n"/>
      <c r="K1647" s="395">
        <f>DATE(VALUE(LEFT(A1647,4)),VALUE(MID(A1647,5,2)),VALUE(RIGHT(A1647,2)))</f>
        <v/>
      </c>
      <c r="L1647" s="395">
        <f>DATEVALUE(LEFT(F1647,10))</f>
        <v/>
      </c>
      <c r="M1647" s="396">
        <f>TIMEVALUE(MID(F1647,12,8))</f>
        <v/>
      </c>
      <c r="N1647" s="395">
        <f>DATEVALUE(LEFT(G1647,10))</f>
        <v/>
      </c>
      <c r="O1647" s="396">
        <f>TIMEVALUE(MID(G1647,12,8))</f>
        <v/>
      </c>
      <c r="P1647" s="396">
        <f>IFERROR(_xlfn.MINIFS($M:$M,$E:$E,$E1647,$K:$K,$K1647,$M:$M,"&gt;"&amp;$O1647),"")</f>
        <v/>
      </c>
      <c r="Q1647" s="396">
        <f>IF($P1647="","",$P1647-$O1647)</f>
        <v/>
      </c>
    </row>
    <row r="1648" ht="15" customHeight="1" s="231">
      <c r="A1648" s="397" t="n"/>
      <c r="B1648" s="397" t="n"/>
      <c r="C1648" s="397" t="n"/>
      <c r="D1648" s="397" t="n"/>
      <c r="E1648" s="397" t="n"/>
      <c r="F1648" s="397" t="n"/>
      <c r="G1648" s="397" t="n"/>
      <c r="I1648" s="397" t="n"/>
      <c r="J1648" s="397" t="n"/>
      <c r="K1648" s="395">
        <f>DATE(VALUE(LEFT(A1648,4)),VALUE(MID(A1648,5,2)),VALUE(RIGHT(A1648,2)))</f>
        <v/>
      </c>
      <c r="L1648" s="395">
        <f>DATEVALUE(LEFT(F1648,10))</f>
        <v/>
      </c>
      <c r="M1648" s="396">
        <f>TIMEVALUE(MID(F1648,12,8))</f>
        <v/>
      </c>
      <c r="N1648" s="395">
        <f>DATEVALUE(LEFT(G1648,10))</f>
        <v/>
      </c>
      <c r="O1648" s="396">
        <f>TIMEVALUE(MID(G1648,12,8))</f>
        <v/>
      </c>
      <c r="P1648" s="396">
        <f>IFERROR(_xlfn.MINIFS($M:$M,$E:$E,$E1648,$K:$K,$K1648,$M:$M,"&gt;"&amp;$O1648),"")</f>
        <v/>
      </c>
      <c r="Q1648" s="396">
        <f>IF($P1648="","",$P1648-$O1648)</f>
        <v/>
      </c>
    </row>
    <row r="1649" ht="15" customHeight="1" s="231">
      <c r="A1649" s="397" t="n"/>
      <c r="B1649" s="397" t="n"/>
      <c r="C1649" s="397" t="n"/>
      <c r="D1649" s="397" t="n"/>
      <c r="E1649" s="397" t="n"/>
      <c r="F1649" s="397" t="n"/>
      <c r="G1649" s="397" t="n"/>
      <c r="I1649" s="397" t="n"/>
      <c r="J1649" s="397" t="n"/>
      <c r="K1649" s="395">
        <f>DATE(VALUE(LEFT(A1649,4)),VALUE(MID(A1649,5,2)),VALUE(RIGHT(A1649,2)))</f>
        <v/>
      </c>
      <c r="L1649" s="395">
        <f>DATEVALUE(LEFT(F1649,10))</f>
        <v/>
      </c>
      <c r="M1649" s="396">
        <f>TIMEVALUE(MID(F1649,12,8))</f>
        <v/>
      </c>
      <c r="N1649" s="395">
        <f>DATEVALUE(LEFT(G1649,10))</f>
        <v/>
      </c>
      <c r="O1649" s="396">
        <f>TIMEVALUE(MID(G1649,12,8))</f>
        <v/>
      </c>
      <c r="P1649" s="396">
        <f>IFERROR(_xlfn.MINIFS($M:$M,$E:$E,$E1649,$K:$K,$K1649,$M:$M,"&gt;"&amp;$O1649),"")</f>
        <v/>
      </c>
      <c r="Q1649" s="396">
        <f>IF($P1649="","",$P1649-$O1649)</f>
        <v/>
      </c>
    </row>
    <row r="1650" ht="15" customHeight="1" s="231">
      <c r="A1650" s="397" t="n"/>
      <c r="B1650" s="397" t="n"/>
      <c r="C1650" s="397" t="n"/>
      <c r="D1650" s="397" t="n"/>
      <c r="E1650" s="397" t="n"/>
      <c r="F1650" s="397" t="n"/>
      <c r="G1650" s="397" t="n"/>
      <c r="I1650" s="397" t="n"/>
      <c r="J1650" s="397" t="n"/>
      <c r="K1650" s="395">
        <f>DATE(VALUE(LEFT(A1650,4)),VALUE(MID(A1650,5,2)),VALUE(RIGHT(A1650,2)))</f>
        <v/>
      </c>
      <c r="L1650" s="395">
        <f>DATEVALUE(LEFT(F1650,10))</f>
        <v/>
      </c>
      <c r="M1650" s="396">
        <f>TIMEVALUE(MID(F1650,12,8))</f>
        <v/>
      </c>
      <c r="N1650" s="395">
        <f>DATEVALUE(LEFT(G1650,10))</f>
        <v/>
      </c>
      <c r="O1650" s="396">
        <f>TIMEVALUE(MID(G1650,12,8))</f>
        <v/>
      </c>
      <c r="P1650" s="396">
        <f>IFERROR(_xlfn.MINIFS($M:$M,$E:$E,$E1650,$K:$K,$K1650,$M:$M,"&gt;"&amp;$O1650),"")</f>
        <v/>
      </c>
      <c r="Q1650" s="396">
        <f>IF($P1650="","",$P1650-$O1650)</f>
        <v/>
      </c>
    </row>
    <row r="1651" ht="15" customHeight="1" s="231">
      <c r="A1651" s="397" t="n"/>
      <c r="B1651" s="397" t="n"/>
      <c r="C1651" s="397" t="n"/>
      <c r="D1651" s="397" t="n"/>
      <c r="E1651" s="397" t="n"/>
      <c r="F1651" s="397" t="n"/>
      <c r="G1651" s="397" t="n"/>
      <c r="I1651" s="397" t="n"/>
      <c r="J1651" s="397" t="n"/>
      <c r="K1651" s="395">
        <f>DATE(VALUE(LEFT(A1651,4)),VALUE(MID(A1651,5,2)),VALUE(RIGHT(A1651,2)))</f>
        <v/>
      </c>
      <c r="L1651" s="395">
        <f>DATEVALUE(LEFT(F1651,10))</f>
        <v/>
      </c>
      <c r="M1651" s="396">
        <f>TIMEVALUE(MID(F1651,12,8))</f>
        <v/>
      </c>
      <c r="N1651" s="395">
        <f>DATEVALUE(LEFT(G1651,10))</f>
        <v/>
      </c>
      <c r="O1651" s="396">
        <f>TIMEVALUE(MID(G1651,12,8))</f>
        <v/>
      </c>
      <c r="P1651" s="396">
        <f>IFERROR(_xlfn.MINIFS($M:$M,$E:$E,$E1651,$K:$K,$K1651,$M:$M,"&gt;"&amp;$O1651),"")</f>
        <v/>
      </c>
      <c r="Q1651" s="396">
        <f>IF($P1651="","",$P1651-$O1651)</f>
        <v/>
      </c>
    </row>
    <row r="1652" ht="15" customHeight="1" s="231">
      <c r="A1652" s="397" t="n"/>
      <c r="B1652" s="397" t="n"/>
      <c r="C1652" s="397" t="n"/>
      <c r="D1652" s="397" t="n"/>
      <c r="E1652" s="397" t="n"/>
      <c r="F1652" s="397" t="n"/>
      <c r="G1652" s="397" t="n"/>
      <c r="I1652" s="397" t="n"/>
      <c r="J1652" s="397" t="n"/>
      <c r="K1652" s="395">
        <f>DATE(VALUE(LEFT(A1652,4)),VALUE(MID(A1652,5,2)),VALUE(RIGHT(A1652,2)))</f>
        <v/>
      </c>
      <c r="L1652" s="395">
        <f>DATEVALUE(LEFT(F1652,10))</f>
        <v/>
      </c>
      <c r="M1652" s="396">
        <f>TIMEVALUE(MID(F1652,12,8))</f>
        <v/>
      </c>
      <c r="N1652" s="395">
        <f>DATEVALUE(LEFT(G1652,10))</f>
        <v/>
      </c>
      <c r="O1652" s="396">
        <f>TIMEVALUE(MID(G1652,12,8))</f>
        <v/>
      </c>
      <c r="P1652" s="396">
        <f>IFERROR(_xlfn.MINIFS($M:$M,$E:$E,$E1652,$K:$K,$K1652,$M:$M,"&gt;"&amp;$O1652),"")</f>
        <v/>
      </c>
      <c r="Q1652" s="396">
        <f>IF($P1652="","",$P1652-$O1652)</f>
        <v/>
      </c>
    </row>
    <row r="1653" ht="15" customHeight="1" s="231">
      <c r="A1653" s="397" t="n"/>
      <c r="B1653" s="397" t="n"/>
      <c r="C1653" s="397" t="n"/>
      <c r="D1653" s="397" t="n"/>
      <c r="E1653" s="397" t="n"/>
      <c r="F1653" s="397" t="n"/>
      <c r="G1653" s="397" t="n"/>
      <c r="I1653" s="397" t="n"/>
      <c r="J1653" s="397" t="n"/>
      <c r="K1653" s="395">
        <f>DATE(VALUE(LEFT(A1653,4)),VALUE(MID(A1653,5,2)),VALUE(RIGHT(A1653,2)))</f>
        <v/>
      </c>
      <c r="L1653" s="395">
        <f>DATEVALUE(LEFT(F1653,10))</f>
        <v/>
      </c>
      <c r="M1653" s="396">
        <f>TIMEVALUE(MID(F1653,12,8))</f>
        <v/>
      </c>
      <c r="N1653" s="395">
        <f>DATEVALUE(LEFT(G1653,10))</f>
        <v/>
      </c>
      <c r="O1653" s="396">
        <f>TIMEVALUE(MID(G1653,12,8))</f>
        <v/>
      </c>
      <c r="P1653" s="396">
        <f>IFERROR(_xlfn.MINIFS($M:$M,$E:$E,$E1653,$K:$K,$K1653,$M:$M,"&gt;"&amp;$O1653),"")</f>
        <v/>
      </c>
      <c r="Q1653" s="396">
        <f>IF($P1653="","",$P1653-$O1653)</f>
        <v/>
      </c>
    </row>
    <row r="1654" ht="15" customHeight="1" s="231">
      <c r="A1654" s="397" t="n"/>
      <c r="B1654" s="397" t="n"/>
      <c r="C1654" s="397" t="n"/>
      <c r="D1654" s="397" t="n"/>
      <c r="E1654" s="397" t="n"/>
      <c r="F1654" s="397" t="n"/>
      <c r="G1654" s="397" t="n"/>
      <c r="I1654" s="397" t="n"/>
      <c r="J1654" s="397" t="n"/>
      <c r="K1654" s="395">
        <f>DATE(VALUE(LEFT(A1654,4)),VALUE(MID(A1654,5,2)),VALUE(RIGHT(A1654,2)))</f>
        <v/>
      </c>
      <c r="L1654" s="395">
        <f>DATEVALUE(LEFT(F1654,10))</f>
        <v/>
      </c>
      <c r="M1654" s="396">
        <f>TIMEVALUE(MID(F1654,12,8))</f>
        <v/>
      </c>
      <c r="N1654" s="395">
        <f>DATEVALUE(LEFT(G1654,10))</f>
        <v/>
      </c>
      <c r="O1654" s="396">
        <f>TIMEVALUE(MID(G1654,12,8))</f>
        <v/>
      </c>
      <c r="P1654" s="396">
        <f>IFERROR(_xlfn.MINIFS($M:$M,$E:$E,$E1654,$K:$K,$K1654,$M:$M,"&gt;"&amp;$O1654),"")</f>
        <v/>
      </c>
      <c r="Q1654" s="396">
        <f>IF($P1654="","",$P1654-$O1654)</f>
        <v/>
      </c>
    </row>
    <row r="1655" ht="15" customHeight="1" s="231">
      <c r="A1655" s="397" t="n"/>
      <c r="B1655" s="397" t="n"/>
      <c r="C1655" s="397" t="n"/>
      <c r="D1655" s="397" t="n"/>
      <c r="E1655" s="397" t="n"/>
      <c r="F1655" s="397" t="n"/>
      <c r="G1655" s="397" t="n"/>
      <c r="I1655" s="397" t="n"/>
      <c r="J1655" s="397" t="n"/>
      <c r="K1655" s="395">
        <f>DATE(VALUE(LEFT(A1655,4)),VALUE(MID(A1655,5,2)),VALUE(RIGHT(A1655,2)))</f>
        <v/>
      </c>
      <c r="L1655" s="395">
        <f>DATEVALUE(LEFT(F1655,10))</f>
        <v/>
      </c>
      <c r="M1655" s="396">
        <f>TIMEVALUE(MID(F1655,12,8))</f>
        <v/>
      </c>
      <c r="N1655" s="395">
        <f>DATEVALUE(LEFT(G1655,10))</f>
        <v/>
      </c>
      <c r="O1655" s="396">
        <f>TIMEVALUE(MID(G1655,12,8))</f>
        <v/>
      </c>
      <c r="P1655" s="396">
        <f>IFERROR(_xlfn.MINIFS($M:$M,$E:$E,$E1655,$K:$K,$K1655,$M:$M,"&gt;"&amp;$O1655),"")</f>
        <v/>
      </c>
      <c r="Q1655" s="396">
        <f>IF($P1655="","",$P1655-$O1655)</f>
        <v/>
      </c>
    </row>
    <row r="1656" ht="15" customHeight="1" s="231">
      <c r="A1656" s="397" t="n"/>
      <c r="B1656" s="397" t="n"/>
      <c r="C1656" s="397" t="n"/>
      <c r="D1656" s="397" t="n"/>
      <c r="E1656" s="397" t="n"/>
      <c r="F1656" s="397" t="n"/>
      <c r="G1656" s="397" t="n"/>
      <c r="I1656" s="397" t="n"/>
      <c r="J1656" s="397" t="n"/>
      <c r="K1656" s="395">
        <f>DATE(VALUE(LEFT(A1656,4)),VALUE(MID(A1656,5,2)),VALUE(RIGHT(A1656,2)))</f>
        <v/>
      </c>
      <c r="L1656" s="395">
        <f>DATEVALUE(LEFT(F1656,10))</f>
        <v/>
      </c>
      <c r="M1656" s="396">
        <f>TIMEVALUE(MID(F1656,12,8))</f>
        <v/>
      </c>
      <c r="N1656" s="395">
        <f>DATEVALUE(LEFT(G1656,10))</f>
        <v/>
      </c>
      <c r="O1656" s="396">
        <f>TIMEVALUE(MID(G1656,12,8))</f>
        <v/>
      </c>
      <c r="P1656" s="396">
        <f>IFERROR(_xlfn.MINIFS($M:$M,$E:$E,$E1656,$K:$K,$K1656,$M:$M,"&gt;"&amp;$O1656),"")</f>
        <v/>
      </c>
      <c r="Q1656" s="396">
        <f>IF($P1656="","",$P1656-$O1656)</f>
        <v/>
      </c>
    </row>
    <row r="1657" ht="15" customHeight="1" s="231">
      <c r="A1657" s="397" t="n"/>
      <c r="B1657" s="397" t="n"/>
      <c r="C1657" s="397" t="n"/>
      <c r="D1657" s="397" t="n"/>
      <c r="E1657" s="397" t="n"/>
      <c r="F1657" s="397" t="n"/>
      <c r="G1657" s="397" t="n"/>
      <c r="I1657" s="397" t="n"/>
      <c r="J1657" s="397" t="n"/>
      <c r="K1657" s="395">
        <f>DATE(VALUE(LEFT(A1657,4)),VALUE(MID(A1657,5,2)),VALUE(RIGHT(A1657,2)))</f>
        <v/>
      </c>
      <c r="L1657" s="395">
        <f>DATEVALUE(LEFT(F1657,10))</f>
        <v/>
      </c>
      <c r="M1657" s="396">
        <f>TIMEVALUE(MID(F1657,12,8))</f>
        <v/>
      </c>
      <c r="N1657" s="395">
        <f>DATEVALUE(LEFT(G1657,10))</f>
        <v/>
      </c>
      <c r="O1657" s="396">
        <f>TIMEVALUE(MID(G1657,12,8))</f>
        <v/>
      </c>
      <c r="P1657" s="396">
        <f>IFERROR(_xlfn.MINIFS($M:$M,$E:$E,$E1657,$K:$K,$K1657,$M:$M,"&gt;"&amp;$O1657),"")</f>
        <v/>
      </c>
      <c r="Q1657" s="396">
        <f>IF($P1657="","",$P1657-$O1657)</f>
        <v/>
      </c>
    </row>
    <row r="1658" ht="15" customHeight="1" s="231">
      <c r="A1658" s="397" t="n"/>
      <c r="B1658" s="397" t="n"/>
      <c r="C1658" s="397" t="n"/>
      <c r="D1658" s="397" t="n"/>
      <c r="E1658" s="397" t="n"/>
      <c r="F1658" s="397" t="n"/>
      <c r="G1658" s="397" t="n"/>
      <c r="I1658" s="397" t="n"/>
      <c r="J1658" s="397" t="n"/>
      <c r="K1658" s="395">
        <f>DATE(VALUE(LEFT(A1658,4)),VALUE(MID(A1658,5,2)),VALUE(RIGHT(A1658,2)))</f>
        <v/>
      </c>
      <c r="L1658" s="395">
        <f>DATEVALUE(LEFT(F1658,10))</f>
        <v/>
      </c>
      <c r="M1658" s="396">
        <f>TIMEVALUE(MID(F1658,12,8))</f>
        <v/>
      </c>
      <c r="N1658" s="395">
        <f>DATEVALUE(LEFT(G1658,10))</f>
        <v/>
      </c>
      <c r="O1658" s="396">
        <f>TIMEVALUE(MID(G1658,12,8))</f>
        <v/>
      </c>
      <c r="P1658" s="396">
        <f>IFERROR(_xlfn.MINIFS($M:$M,$E:$E,$E1658,$K:$K,$K1658,$M:$M,"&gt;"&amp;$O1658),"")</f>
        <v/>
      </c>
      <c r="Q1658" s="396">
        <f>IF($P1658="","",$P1658-$O1658)</f>
        <v/>
      </c>
    </row>
    <row r="1659" ht="15" customHeight="1" s="231">
      <c r="A1659" s="397" t="n"/>
      <c r="B1659" s="397" t="n"/>
      <c r="C1659" s="397" t="n"/>
      <c r="D1659" s="397" t="n"/>
      <c r="E1659" s="397" t="n"/>
      <c r="F1659" s="397" t="n"/>
      <c r="G1659" s="397" t="n"/>
      <c r="I1659" s="397" t="n"/>
      <c r="J1659" s="397" t="n"/>
      <c r="K1659" s="395">
        <f>DATE(VALUE(LEFT(A1659,4)),VALUE(MID(A1659,5,2)),VALUE(RIGHT(A1659,2)))</f>
        <v/>
      </c>
      <c r="L1659" s="395">
        <f>DATEVALUE(LEFT(F1659,10))</f>
        <v/>
      </c>
      <c r="M1659" s="396">
        <f>TIMEVALUE(MID(F1659,12,8))</f>
        <v/>
      </c>
      <c r="N1659" s="395">
        <f>DATEVALUE(LEFT(G1659,10))</f>
        <v/>
      </c>
      <c r="O1659" s="396">
        <f>TIMEVALUE(MID(G1659,12,8))</f>
        <v/>
      </c>
      <c r="P1659" s="396">
        <f>IFERROR(_xlfn.MINIFS($M:$M,$E:$E,$E1659,$K:$K,$K1659,$M:$M,"&gt;"&amp;$O1659),"")</f>
        <v/>
      </c>
      <c r="Q1659" s="396">
        <f>IF($P1659="","",$P1659-$O1659)</f>
        <v/>
      </c>
    </row>
    <row r="1660" ht="15" customHeight="1" s="231">
      <c r="A1660" s="397" t="n"/>
      <c r="B1660" s="397" t="n"/>
      <c r="C1660" s="397" t="n"/>
      <c r="D1660" s="397" t="n"/>
      <c r="E1660" s="397" t="n"/>
      <c r="F1660" s="397" t="n"/>
      <c r="G1660" s="397" t="n"/>
      <c r="I1660" s="397" t="n"/>
      <c r="J1660" s="397" t="n"/>
      <c r="K1660" s="395">
        <f>DATE(VALUE(LEFT(A1660,4)),VALUE(MID(A1660,5,2)),VALUE(RIGHT(A1660,2)))</f>
        <v/>
      </c>
      <c r="L1660" s="395">
        <f>DATEVALUE(LEFT(F1660,10))</f>
        <v/>
      </c>
      <c r="M1660" s="396">
        <f>TIMEVALUE(MID(F1660,12,8))</f>
        <v/>
      </c>
      <c r="N1660" s="395">
        <f>DATEVALUE(LEFT(G1660,10))</f>
        <v/>
      </c>
      <c r="O1660" s="396">
        <f>TIMEVALUE(MID(G1660,12,8))</f>
        <v/>
      </c>
      <c r="P1660" s="396">
        <f>IFERROR(_xlfn.MINIFS($M:$M,$E:$E,$E1660,$K:$K,$K1660,$M:$M,"&gt;"&amp;$O1660),"")</f>
        <v/>
      </c>
      <c r="Q1660" s="396">
        <f>IF($P1660="","",$P1660-$O1660)</f>
        <v/>
      </c>
    </row>
    <row r="1661" ht="15" customHeight="1" s="231">
      <c r="A1661" s="397" t="n"/>
      <c r="B1661" s="397" t="n"/>
      <c r="C1661" s="397" t="n"/>
      <c r="D1661" s="397" t="n"/>
      <c r="E1661" s="397" t="n"/>
      <c r="F1661" s="397" t="n"/>
      <c r="G1661" s="397" t="n"/>
      <c r="I1661" s="397" t="n"/>
      <c r="J1661" s="397" t="n"/>
      <c r="K1661" s="395">
        <f>DATE(VALUE(LEFT(A1661,4)),VALUE(MID(A1661,5,2)),VALUE(RIGHT(A1661,2)))</f>
        <v/>
      </c>
      <c r="L1661" s="395">
        <f>DATEVALUE(LEFT(F1661,10))</f>
        <v/>
      </c>
      <c r="M1661" s="396">
        <f>TIMEVALUE(MID(F1661,12,8))</f>
        <v/>
      </c>
      <c r="N1661" s="395">
        <f>DATEVALUE(LEFT(G1661,10))</f>
        <v/>
      </c>
      <c r="O1661" s="396">
        <f>TIMEVALUE(MID(G1661,12,8))</f>
        <v/>
      </c>
      <c r="P1661" s="396">
        <f>IFERROR(_xlfn.MINIFS($M:$M,$E:$E,$E1661,$K:$K,$K1661,$M:$M,"&gt;"&amp;$O1661),"")</f>
        <v/>
      </c>
      <c r="Q1661" s="396">
        <f>IF($P1661="","",$P1661-$O1661)</f>
        <v/>
      </c>
    </row>
    <row r="1662" ht="15" customHeight="1" s="231">
      <c r="A1662" s="397" t="n"/>
      <c r="B1662" s="397" t="n"/>
      <c r="C1662" s="397" t="n"/>
      <c r="D1662" s="397" t="n"/>
      <c r="E1662" s="397" t="n"/>
      <c r="F1662" s="397" t="n"/>
      <c r="G1662" s="397" t="n"/>
      <c r="I1662" s="397" t="n"/>
      <c r="J1662" s="397" t="n"/>
      <c r="K1662" s="395">
        <f>DATE(VALUE(LEFT(A1662,4)),VALUE(MID(A1662,5,2)),VALUE(RIGHT(A1662,2)))</f>
        <v/>
      </c>
      <c r="L1662" s="395">
        <f>DATEVALUE(LEFT(F1662,10))</f>
        <v/>
      </c>
      <c r="M1662" s="396">
        <f>TIMEVALUE(MID(F1662,12,8))</f>
        <v/>
      </c>
      <c r="N1662" s="395">
        <f>DATEVALUE(LEFT(G1662,10))</f>
        <v/>
      </c>
      <c r="O1662" s="396">
        <f>TIMEVALUE(MID(G1662,12,8))</f>
        <v/>
      </c>
      <c r="P1662" s="396">
        <f>IFERROR(_xlfn.MINIFS($M:$M,$E:$E,$E1662,$K:$K,$K1662,$M:$M,"&gt;"&amp;$O1662),"")</f>
        <v/>
      </c>
      <c r="Q1662" s="396">
        <f>IF($P1662="","",$P1662-$O1662)</f>
        <v/>
      </c>
    </row>
    <row r="1663" ht="15" customHeight="1" s="231">
      <c r="A1663" s="397" t="n"/>
      <c r="B1663" s="397" t="n"/>
      <c r="C1663" s="397" t="n"/>
      <c r="D1663" s="397" t="n"/>
      <c r="E1663" s="397" t="n"/>
      <c r="F1663" s="397" t="n"/>
      <c r="G1663" s="397" t="n"/>
      <c r="I1663" s="397" t="n"/>
      <c r="J1663" s="397" t="n"/>
      <c r="K1663" s="395">
        <f>DATE(VALUE(LEFT(A1663,4)),VALUE(MID(A1663,5,2)),VALUE(RIGHT(A1663,2)))</f>
        <v/>
      </c>
      <c r="L1663" s="395">
        <f>DATEVALUE(LEFT(F1663,10))</f>
        <v/>
      </c>
      <c r="M1663" s="396">
        <f>TIMEVALUE(MID(F1663,12,8))</f>
        <v/>
      </c>
      <c r="N1663" s="395">
        <f>DATEVALUE(LEFT(G1663,10))</f>
        <v/>
      </c>
      <c r="O1663" s="396">
        <f>TIMEVALUE(MID(G1663,12,8))</f>
        <v/>
      </c>
      <c r="P1663" s="396">
        <f>IFERROR(_xlfn.MINIFS($M:$M,$E:$E,$E1663,$K:$K,$K1663,$M:$M,"&gt;"&amp;$O1663),"")</f>
        <v/>
      </c>
      <c r="Q1663" s="396">
        <f>IF($P1663="","",$P1663-$O1663)</f>
        <v/>
      </c>
    </row>
    <row r="1664" ht="15" customHeight="1" s="231">
      <c r="A1664" s="397" t="n"/>
      <c r="B1664" s="397" t="n"/>
      <c r="C1664" s="397" t="n"/>
      <c r="D1664" s="397" t="n"/>
      <c r="E1664" s="397" t="n"/>
      <c r="F1664" s="397" t="n"/>
      <c r="G1664" s="397" t="n"/>
      <c r="I1664" s="397" t="n"/>
      <c r="J1664" s="397" t="n"/>
      <c r="K1664" s="395">
        <f>DATE(VALUE(LEFT(A1664,4)),VALUE(MID(A1664,5,2)),VALUE(RIGHT(A1664,2)))</f>
        <v/>
      </c>
      <c r="L1664" s="395">
        <f>DATEVALUE(LEFT(F1664,10))</f>
        <v/>
      </c>
      <c r="M1664" s="396">
        <f>TIMEVALUE(MID(F1664,12,8))</f>
        <v/>
      </c>
      <c r="N1664" s="395">
        <f>DATEVALUE(LEFT(G1664,10))</f>
        <v/>
      </c>
      <c r="O1664" s="396">
        <f>TIMEVALUE(MID(G1664,12,8))</f>
        <v/>
      </c>
      <c r="P1664" s="396">
        <f>IFERROR(_xlfn.MINIFS($M:$M,$E:$E,$E1664,$K:$K,$K1664,$M:$M,"&gt;"&amp;$O1664),"")</f>
        <v/>
      </c>
      <c r="Q1664" s="396">
        <f>IF($P1664="","",$P1664-$O1664)</f>
        <v/>
      </c>
    </row>
    <row r="1665" ht="15" customHeight="1" s="231">
      <c r="A1665" s="397" t="n"/>
      <c r="B1665" s="397" t="n"/>
      <c r="C1665" s="397" t="n"/>
      <c r="D1665" s="397" t="n"/>
      <c r="E1665" s="397" t="n"/>
      <c r="F1665" s="397" t="n"/>
      <c r="G1665" s="397" t="n"/>
      <c r="I1665" s="397" t="n"/>
      <c r="J1665" s="397" t="n"/>
      <c r="K1665" s="395">
        <f>DATE(VALUE(LEFT(A1665,4)),VALUE(MID(A1665,5,2)),VALUE(RIGHT(A1665,2)))</f>
        <v/>
      </c>
      <c r="L1665" s="395">
        <f>DATEVALUE(LEFT(F1665,10))</f>
        <v/>
      </c>
      <c r="M1665" s="396">
        <f>TIMEVALUE(MID(F1665,12,8))</f>
        <v/>
      </c>
      <c r="N1665" s="395">
        <f>DATEVALUE(LEFT(G1665,10))</f>
        <v/>
      </c>
      <c r="O1665" s="396">
        <f>TIMEVALUE(MID(G1665,12,8))</f>
        <v/>
      </c>
      <c r="P1665" s="396">
        <f>IFERROR(_xlfn.MINIFS($M:$M,$E:$E,$E1665,$K:$K,$K1665,$M:$M,"&gt;"&amp;$O1665),"")</f>
        <v/>
      </c>
      <c r="Q1665" s="396">
        <f>IF($P1665="","",$P1665-$O1665)</f>
        <v/>
      </c>
    </row>
    <row r="1666" ht="15" customHeight="1" s="231">
      <c r="A1666" s="397" t="n"/>
      <c r="B1666" s="397" t="n"/>
      <c r="C1666" s="397" t="n"/>
      <c r="D1666" s="397" t="n"/>
      <c r="E1666" s="397" t="n"/>
      <c r="F1666" s="397" t="n"/>
      <c r="G1666" s="397" t="n"/>
      <c r="I1666" s="397" t="n"/>
      <c r="J1666" s="397" t="n"/>
      <c r="K1666" s="395">
        <f>DATE(VALUE(LEFT(A1666,4)),VALUE(MID(A1666,5,2)),VALUE(RIGHT(A1666,2)))</f>
        <v/>
      </c>
      <c r="L1666" s="395">
        <f>DATEVALUE(LEFT(F1666,10))</f>
        <v/>
      </c>
      <c r="M1666" s="396">
        <f>TIMEVALUE(MID(F1666,12,8))</f>
        <v/>
      </c>
      <c r="N1666" s="395">
        <f>DATEVALUE(LEFT(G1666,10))</f>
        <v/>
      </c>
      <c r="O1666" s="396">
        <f>TIMEVALUE(MID(G1666,12,8))</f>
        <v/>
      </c>
      <c r="P1666" s="396">
        <f>IFERROR(_xlfn.MINIFS($M:$M,$E:$E,$E1666,$K:$K,$K1666,$M:$M,"&gt;"&amp;$O1666),"")</f>
        <v/>
      </c>
      <c r="Q1666" s="396">
        <f>IF($P1666="","",$P1666-$O1666)</f>
        <v/>
      </c>
    </row>
    <row r="1667" ht="15" customHeight="1" s="231">
      <c r="A1667" s="397" t="n"/>
      <c r="B1667" s="397" t="n"/>
      <c r="C1667" s="397" t="n"/>
      <c r="D1667" s="397" t="n"/>
      <c r="E1667" s="397" t="n"/>
      <c r="F1667" s="397" t="n"/>
      <c r="G1667" s="397" t="n"/>
      <c r="I1667" s="397" t="n"/>
      <c r="J1667" s="397" t="n"/>
      <c r="K1667" s="395">
        <f>DATE(VALUE(LEFT(A1667,4)),VALUE(MID(A1667,5,2)),VALUE(RIGHT(A1667,2)))</f>
        <v/>
      </c>
      <c r="L1667" s="395">
        <f>DATEVALUE(LEFT(F1667,10))</f>
        <v/>
      </c>
      <c r="M1667" s="396">
        <f>TIMEVALUE(MID(F1667,12,8))</f>
        <v/>
      </c>
      <c r="N1667" s="395">
        <f>DATEVALUE(LEFT(G1667,10))</f>
        <v/>
      </c>
      <c r="O1667" s="396">
        <f>TIMEVALUE(MID(G1667,12,8))</f>
        <v/>
      </c>
      <c r="P1667" s="396">
        <f>IFERROR(_xlfn.MINIFS($M:$M,$E:$E,$E1667,$K:$K,$K1667,$M:$M,"&gt;"&amp;$O1667),"")</f>
        <v/>
      </c>
      <c r="Q1667" s="396">
        <f>IF($P1667="","",$P1667-$O1667)</f>
        <v/>
      </c>
    </row>
    <row r="1668" ht="15" customHeight="1" s="231">
      <c r="A1668" s="397" t="n"/>
      <c r="B1668" s="397" t="n"/>
      <c r="C1668" s="397" t="n"/>
      <c r="D1668" s="397" t="n"/>
      <c r="E1668" s="397" t="n"/>
      <c r="F1668" s="397" t="n"/>
      <c r="G1668" s="397" t="n"/>
      <c r="I1668" s="397" t="n"/>
      <c r="J1668" s="397" t="n"/>
      <c r="K1668" s="395">
        <f>DATE(VALUE(LEFT(A1668,4)),VALUE(MID(A1668,5,2)),VALUE(RIGHT(A1668,2)))</f>
        <v/>
      </c>
      <c r="L1668" s="395">
        <f>DATEVALUE(LEFT(F1668,10))</f>
        <v/>
      </c>
      <c r="M1668" s="396">
        <f>TIMEVALUE(MID(F1668,12,8))</f>
        <v/>
      </c>
      <c r="N1668" s="395">
        <f>DATEVALUE(LEFT(G1668,10))</f>
        <v/>
      </c>
      <c r="O1668" s="396">
        <f>TIMEVALUE(MID(G1668,12,8))</f>
        <v/>
      </c>
      <c r="P1668" s="396">
        <f>IFERROR(_xlfn.MINIFS($M:$M,$E:$E,$E1668,$K:$K,$K1668,$M:$M,"&gt;"&amp;$O1668),"")</f>
        <v/>
      </c>
      <c r="Q1668" s="396">
        <f>IF($P1668="","",$P1668-$O1668)</f>
        <v/>
      </c>
    </row>
    <row r="1669" ht="15" customHeight="1" s="231">
      <c r="A1669" s="397" t="n"/>
      <c r="B1669" s="397" t="n"/>
      <c r="C1669" s="397" t="n"/>
      <c r="D1669" s="397" t="n"/>
      <c r="E1669" s="397" t="n"/>
      <c r="F1669" s="397" t="n"/>
      <c r="G1669" s="397" t="n"/>
      <c r="I1669" s="397" t="n"/>
      <c r="J1669" s="397" t="n"/>
      <c r="K1669" s="395">
        <f>DATE(VALUE(LEFT(A1669,4)),VALUE(MID(A1669,5,2)),VALUE(RIGHT(A1669,2)))</f>
        <v/>
      </c>
      <c r="L1669" s="395">
        <f>DATEVALUE(LEFT(F1669,10))</f>
        <v/>
      </c>
      <c r="M1669" s="396">
        <f>TIMEVALUE(MID(F1669,12,8))</f>
        <v/>
      </c>
      <c r="N1669" s="395">
        <f>DATEVALUE(LEFT(G1669,10))</f>
        <v/>
      </c>
      <c r="O1669" s="396">
        <f>TIMEVALUE(MID(G1669,12,8))</f>
        <v/>
      </c>
      <c r="P1669" s="396">
        <f>IFERROR(_xlfn.MINIFS($M:$M,$E:$E,$E1669,$K:$K,$K1669,$M:$M,"&gt;"&amp;$O1669),"")</f>
        <v/>
      </c>
      <c r="Q1669" s="396">
        <f>IF($P1669="","",$P1669-$O1669)</f>
        <v/>
      </c>
    </row>
    <row r="1670" ht="15" customHeight="1" s="231">
      <c r="A1670" s="397" t="n"/>
      <c r="B1670" s="397" t="n"/>
      <c r="C1670" s="397" t="n"/>
      <c r="D1670" s="397" t="n"/>
      <c r="E1670" s="397" t="n"/>
      <c r="F1670" s="397" t="n"/>
      <c r="G1670" s="397" t="n"/>
      <c r="I1670" s="397" t="n"/>
      <c r="J1670" s="397" t="n"/>
      <c r="K1670" s="395">
        <f>DATE(VALUE(LEFT(A1670,4)),VALUE(MID(A1670,5,2)),VALUE(RIGHT(A1670,2)))</f>
        <v/>
      </c>
      <c r="L1670" s="395">
        <f>DATEVALUE(LEFT(F1670,10))</f>
        <v/>
      </c>
      <c r="M1670" s="396">
        <f>TIMEVALUE(MID(F1670,12,8))</f>
        <v/>
      </c>
      <c r="N1670" s="395">
        <f>DATEVALUE(LEFT(G1670,10))</f>
        <v/>
      </c>
      <c r="O1670" s="396">
        <f>TIMEVALUE(MID(G1670,12,8))</f>
        <v/>
      </c>
      <c r="P1670" s="396">
        <f>IFERROR(_xlfn.MINIFS($M:$M,$E:$E,$E1670,$K:$K,$K1670,$M:$M,"&gt;"&amp;$O1670),"")</f>
        <v/>
      </c>
      <c r="Q1670" s="396">
        <f>IF($P1670="","",$P1670-$O1670)</f>
        <v/>
      </c>
    </row>
    <row r="1671" ht="15" customHeight="1" s="231">
      <c r="A1671" s="397" t="n"/>
      <c r="B1671" s="397" t="n"/>
      <c r="C1671" s="397" t="n"/>
      <c r="D1671" s="397" t="n"/>
      <c r="E1671" s="397" t="n"/>
      <c r="F1671" s="397" t="n"/>
      <c r="G1671" s="397" t="n"/>
      <c r="I1671" s="397" t="n"/>
      <c r="J1671" s="397" t="n"/>
      <c r="K1671" s="395">
        <f>DATE(VALUE(LEFT(A1671,4)),VALUE(MID(A1671,5,2)),VALUE(RIGHT(A1671,2)))</f>
        <v/>
      </c>
      <c r="L1671" s="395">
        <f>DATEVALUE(LEFT(F1671,10))</f>
        <v/>
      </c>
      <c r="M1671" s="396">
        <f>TIMEVALUE(MID(F1671,12,8))</f>
        <v/>
      </c>
      <c r="N1671" s="395">
        <f>DATEVALUE(LEFT(G1671,10))</f>
        <v/>
      </c>
      <c r="O1671" s="396">
        <f>TIMEVALUE(MID(G1671,12,8))</f>
        <v/>
      </c>
      <c r="P1671" s="396">
        <f>IFERROR(_xlfn.MINIFS($M:$M,$E:$E,$E1671,$K:$K,$K1671,$M:$M,"&gt;"&amp;$O1671),"")</f>
        <v/>
      </c>
      <c r="Q1671" s="396">
        <f>IF($P1671="","",$P1671-$O1671)</f>
        <v/>
      </c>
    </row>
    <row r="1672" ht="15" customHeight="1" s="231">
      <c r="A1672" s="397" t="n"/>
      <c r="B1672" s="397" t="n"/>
      <c r="C1672" s="397" t="n"/>
      <c r="D1672" s="397" t="n"/>
      <c r="E1672" s="397" t="n"/>
      <c r="F1672" s="397" t="n"/>
      <c r="G1672" s="397" t="n"/>
      <c r="I1672" s="397" t="n"/>
      <c r="J1672" s="397" t="n"/>
      <c r="K1672" s="395">
        <f>DATE(VALUE(LEFT(A1672,4)),VALUE(MID(A1672,5,2)),VALUE(RIGHT(A1672,2)))</f>
        <v/>
      </c>
      <c r="L1672" s="395">
        <f>DATEVALUE(LEFT(F1672,10))</f>
        <v/>
      </c>
      <c r="M1672" s="396">
        <f>TIMEVALUE(MID(F1672,12,8))</f>
        <v/>
      </c>
      <c r="N1672" s="395">
        <f>DATEVALUE(LEFT(G1672,10))</f>
        <v/>
      </c>
      <c r="O1672" s="396">
        <f>TIMEVALUE(MID(G1672,12,8))</f>
        <v/>
      </c>
      <c r="P1672" s="396">
        <f>IFERROR(_xlfn.MINIFS($M:$M,$E:$E,$E1672,$K:$K,$K1672,$M:$M,"&gt;"&amp;$O1672),"")</f>
        <v/>
      </c>
      <c r="Q1672" s="396">
        <f>IF($P1672="","",$P1672-$O1672)</f>
        <v/>
      </c>
    </row>
    <row r="1673" ht="15" customHeight="1" s="231">
      <c r="A1673" s="397" t="n"/>
      <c r="B1673" s="397" t="n"/>
      <c r="C1673" s="397" t="n"/>
      <c r="D1673" s="397" t="n"/>
      <c r="E1673" s="397" t="n"/>
      <c r="F1673" s="397" t="n"/>
      <c r="G1673" s="397" t="n"/>
      <c r="I1673" s="397" t="n"/>
      <c r="J1673" s="397" t="n"/>
      <c r="K1673" s="395">
        <f>DATE(VALUE(LEFT(A1673,4)),VALUE(MID(A1673,5,2)),VALUE(RIGHT(A1673,2)))</f>
        <v/>
      </c>
      <c r="L1673" s="395">
        <f>DATEVALUE(LEFT(F1673,10))</f>
        <v/>
      </c>
      <c r="M1673" s="396">
        <f>TIMEVALUE(MID(F1673,12,8))</f>
        <v/>
      </c>
      <c r="N1673" s="395">
        <f>DATEVALUE(LEFT(G1673,10))</f>
        <v/>
      </c>
      <c r="O1673" s="396">
        <f>TIMEVALUE(MID(G1673,12,8))</f>
        <v/>
      </c>
      <c r="P1673" s="396">
        <f>IFERROR(_xlfn.MINIFS($M:$M,$E:$E,$E1673,$K:$K,$K1673,$M:$M,"&gt;"&amp;$O1673),"")</f>
        <v/>
      </c>
      <c r="Q1673" s="396">
        <f>IF($P1673="","",$P1673-$O1673)</f>
        <v/>
      </c>
    </row>
    <row r="1674" ht="15" customHeight="1" s="231">
      <c r="A1674" s="397" t="n"/>
      <c r="B1674" s="397" t="n"/>
      <c r="C1674" s="397" t="n"/>
      <c r="D1674" s="397" t="n"/>
      <c r="E1674" s="397" t="n"/>
      <c r="F1674" s="397" t="n"/>
      <c r="G1674" s="397" t="n"/>
      <c r="I1674" s="397" t="n"/>
      <c r="J1674" s="397" t="n"/>
      <c r="K1674" s="395">
        <f>DATE(VALUE(LEFT(A1674,4)),VALUE(MID(A1674,5,2)),VALUE(RIGHT(A1674,2)))</f>
        <v/>
      </c>
      <c r="L1674" s="395">
        <f>DATEVALUE(LEFT(F1674,10))</f>
        <v/>
      </c>
      <c r="M1674" s="396">
        <f>TIMEVALUE(MID(F1674,12,8))</f>
        <v/>
      </c>
      <c r="N1674" s="395">
        <f>DATEVALUE(LEFT(G1674,10))</f>
        <v/>
      </c>
      <c r="O1674" s="396">
        <f>TIMEVALUE(MID(G1674,12,8))</f>
        <v/>
      </c>
      <c r="P1674" s="396">
        <f>IFERROR(_xlfn.MINIFS($M:$M,$E:$E,$E1674,$K:$K,$K1674,$M:$M,"&gt;"&amp;$O1674),"")</f>
        <v/>
      </c>
      <c r="Q1674" s="396">
        <f>IF($P1674="","",$P1674-$O1674)</f>
        <v/>
      </c>
    </row>
    <row r="1675" ht="15" customHeight="1" s="231">
      <c r="A1675" s="397" t="n"/>
      <c r="B1675" s="397" t="n"/>
      <c r="C1675" s="397" t="n"/>
      <c r="D1675" s="397" t="n"/>
      <c r="E1675" s="397" t="n"/>
      <c r="F1675" s="397" t="n"/>
      <c r="G1675" s="397" t="n"/>
      <c r="I1675" s="397" t="n"/>
      <c r="J1675" s="397" t="n"/>
      <c r="K1675" s="395">
        <f>DATE(VALUE(LEFT(A1675,4)),VALUE(MID(A1675,5,2)),VALUE(RIGHT(A1675,2)))</f>
        <v/>
      </c>
      <c r="L1675" s="395">
        <f>DATEVALUE(LEFT(F1675,10))</f>
        <v/>
      </c>
      <c r="M1675" s="396">
        <f>TIMEVALUE(MID(F1675,12,8))</f>
        <v/>
      </c>
      <c r="N1675" s="395">
        <f>DATEVALUE(LEFT(G1675,10))</f>
        <v/>
      </c>
      <c r="O1675" s="396">
        <f>TIMEVALUE(MID(G1675,12,8))</f>
        <v/>
      </c>
      <c r="P1675" s="396">
        <f>IFERROR(_xlfn.MINIFS($M:$M,$E:$E,$E1675,$K:$K,$K1675,$M:$M,"&gt;"&amp;$O1675),"")</f>
        <v/>
      </c>
      <c r="Q1675" s="396">
        <f>IF($P1675="","",$P1675-$O1675)</f>
        <v/>
      </c>
    </row>
    <row r="1676" ht="15" customHeight="1" s="231">
      <c r="A1676" s="397" t="n"/>
      <c r="B1676" s="397" t="n"/>
      <c r="C1676" s="397" t="n"/>
      <c r="D1676" s="397" t="n"/>
      <c r="E1676" s="397" t="n"/>
      <c r="F1676" s="397" t="n"/>
      <c r="G1676" s="397" t="n"/>
      <c r="I1676" s="397" t="n"/>
      <c r="J1676" s="397" t="n"/>
      <c r="K1676" s="395">
        <f>DATE(VALUE(LEFT(A1676,4)),VALUE(MID(A1676,5,2)),VALUE(RIGHT(A1676,2)))</f>
        <v/>
      </c>
      <c r="L1676" s="395">
        <f>DATEVALUE(LEFT(F1676,10))</f>
        <v/>
      </c>
      <c r="M1676" s="396">
        <f>TIMEVALUE(MID(F1676,12,8))</f>
        <v/>
      </c>
      <c r="N1676" s="395">
        <f>DATEVALUE(LEFT(G1676,10))</f>
        <v/>
      </c>
      <c r="O1676" s="396">
        <f>TIMEVALUE(MID(G1676,12,8))</f>
        <v/>
      </c>
      <c r="P1676" s="396">
        <f>IFERROR(_xlfn.MINIFS($M:$M,$E:$E,$E1676,$K:$K,$K1676,$M:$M,"&gt;"&amp;$O1676),"")</f>
        <v/>
      </c>
      <c r="Q1676" s="396">
        <f>IF($P1676="","",$P1676-$O1676)</f>
        <v/>
      </c>
    </row>
    <row r="1677" ht="15" customHeight="1" s="231">
      <c r="A1677" s="397" t="n"/>
      <c r="B1677" s="397" t="n"/>
      <c r="C1677" s="397" t="n"/>
      <c r="D1677" s="397" t="n"/>
      <c r="E1677" s="397" t="n"/>
      <c r="F1677" s="397" t="n"/>
      <c r="G1677" s="397" t="n"/>
      <c r="I1677" s="397" t="n"/>
      <c r="J1677" s="397" t="n"/>
      <c r="K1677" s="395">
        <f>DATE(VALUE(LEFT(A1677,4)),VALUE(MID(A1677,5,2)),VALUE(RIGHT(A1677,2)))</f>
        <v/>
      </c>
      <c r="L1677" s="395">
        <f>DATEVALUE(LEFT(F1677,10))</f>
        <v/>
      </c>
      <c r="M1677" s="396">
        <f>TIMEVALUE(MID(F1677,12,8))</f>
        <v/>
      </c>
      <c r="N1677" s="395">
        <f>DATEVALUE(LEFT(G1677,10))</f>
        <v/>
      </c>
      <c r="O1677" s="396">
        <f>TIMEVALUE(MID(G1677,12,8))</f>
        <v/>
      </c>
      <c r="P1677" s="396">
        <f>IFERROR(_xlfn.MINIFS($M:$M,$E:$E,$E1677,$K:$K,$K1677,$M:$M,"&gt;"&amp;$O1677),"")</f>
        <v/>
      </c>
      <c r="Q1677" s="396">
        <f>IF($P1677="","",$P1677-$O1677)</f>
        <v/>
      </c>
    </row>
    <row r="1678" ht="15" customHeight="1" s="231">
      <c r="A1678" s="397" t="n"/>
      <c r="B1678" s="397" t="n"/>
      <c r="C1678" s="397" t="n"/>
      <c r="D1678" s="397" t="n"/>
      <c r="E1678" s="397" t="n"/>
      <c r="F1678" s="397" t="n"/>
      <c r="G1678" s="397" t="n"/>
      <c r="I1678" s="397" t="n"/>
      <c r="J1678" s="397" t="n"/>
      <c r="K1678" s="395">
        <f>DATE(VALUE(LEFT(A1678,4)),VALUE(MID(A1678,5,2)),VALUE(RIGHT(A1678,2)))</f>
        <v/>
      </c>
      <c r="L1678" s="395">
        <f>DATEVALUE(LEFT(F1678,10))</f>
        <v/>
      </c>
      <c r="M1678" s="396">
        <f>TIMEVALUE(MID(F1678,12,8))</f>
        <v/>
      </c>
      <c r="N1678" s="395">
        <f>DATEVALUE(LEFT(G1678,10))</f>
        <v/>
      </c>
      <c r="O1678" s="396">
        <f>TIMEVALUE(MID(G1678,12,8))</f>
        <v/>
      </c>
      <c r="P1678" s="396">
        <f>IFERROR(_xlfn.MINIFS($M:$M,$E:$E,$E1678,$K:$K,$K1678,$M:$M,"&gt;"&amp;$O1678),"")</f>
        <v/>
      </c>
      <c r="Q1678" s="396">
        <f>IF($P1678="","",$P1678-$O1678)</f>
        <v/>
      </c>
    </row>
    <row r="1679" ht="15" customHeight="1" s="231">
      <c r="A1679" s="397" t="n"/>
      <c r="B1679" s="397" t="n"/>
      <c r="C1679" s="397" t="n"/>
      <c r="D1679" s="397" t="n"/>
      <c r="E1679" s="397" t="n"/>
      <c r="F1679" s="397" t="n"/>
      <c r="G1679" s="397" t="n"/>
      <c r="I1679" s="397" t="n"/>
      <c r="J1679" s="397" t="n"/>
      <c r="K1679" s="395">
        <f>DATE(VALUE(LEFT(A1679,4)),VALUE(MID(A1679,5,2)),VALUE(RIGHT(A1679,2)))</f>
        <v/>
      </c>
      <c r="L1679" s="395">
        <f>DATEVALUE(LEFT(F1679,10))</f>
        <v/>
      </c>
      <c r="M1679" s="396">
        <f>TIMEVALUE(MID(F1679,12,8))</f>
        <v/>
      </c>
      <c r="N1679" s="395">
        <f>DATEVALUE(LEFT(G1679,10))</f>
        <v/>
      </c>
      <c r="O1679" s="396">
        <f>TIMEVALUE(MID(G1679,12,8))</f>
        <v/>
      </c>
      <c r="P1679" s="396">
        <f>IFERROR(_xlfn.MINIFS($M:$M,$E:$E,$E1679,$K:$K,$K1679,$M:$M,"&gt;"&amp;$O1679),"")</f>
        <v/>
      </c>
      <c r="Q1679" s="396">
        <f>IF($P1679="","",$P1679-$O1679)</f>
        <v/>
      </c>
    </row>
    <row r="1680" ht="15" customHeight="1" s="231">
      <c r="A1680" s="397" t="n"/>
      <c r="B1680" s="397" t="n"/>
      <c r="C1680" s="397" t="n"/>
      <c r="D1680" s="397" t="n"/>
      <c r="E1680" s="397" t="n"/>
      <c r="F1680" s="397" t="n"/>
      <c r="G1680" s="397" t="n"/>
      <c r="I1680" s="397" t="n"/>
      <c r="J1680" s="397" t="n"/>
      <c r="K1680" s="395">
        <f>DATE(VALUE(LEFT(A1680,4)),VALUE(MID(A1680,5,2)),VALUE(RIGHT(A1680,2)))</f>
        <v/>
      </c>
      <c r="L1680" s="395">
        <f>DATEVALUE(LEFT(F1680,10))</f>
        <v/>
      </c>
      <c r="M1680" s="396">
        <f>TIMEVALUE(MID(F1680,12,8))</f>
        <v/>
      </c>
      <c r="N1680" s="395">
        <f>DATEVALUE(LEFT(G1680,10))</f>
        <v/>
      </c>
      <c r="O1680" s="396">
        <f>TIMEVALUE(MID(G1680,12,8))</f>
        <v/>
      </c>
      <c r="P1680" s="396">
        <f>IFERROR(_xlfn.MINIFS($M:$M,$E:$E,$E1680,$K:$K,$K1680,$M:$M,"&gt;"&amp;$O1680),"")</f>
        <v/>
      </c>
      <c r="Q1680" s="396">
        <f>IF($P1680="","",$P1680-$O1680)</f>
        <v/>
      </c>
    </row>
    <row r="1681" ht="15" customHeight="1" s="231">
      <c r="A1681" s="397" t="n"/>
      <c r="B1681" s="397" t="n"/>
      <c r="C1681" s="397" t="n"/>
      <c r="D1681" s="397" t="n"/>
      <c r="E1681" s="397" t="n"/>
      <c r="F1681" s="397" t="n"/>
      <c r="G1681" s="397" t="n"/>
      <c r="I1681" s="397" t="n"/>
      <c r="J1681" s="397" t="n"/>
      <c r="K1681" s="395">
        <f>DATE(VALUE(LEFT(A1681,4)),VALUE(MID(A1681,5,2)),VALUE(RIGHT(A1681,2)))</f>
        <v/>
      </c>
      <c r="L1681" s="395">
        <f>DATEVALUE(LEFT(F1681,10))</f>
        <v/>
      </c>
      <c r="M1681" s="396">
        <f>TIMEVALUE(MID(F1681,12,8))</f>
        <v/>
      </c>
      <c r="N1681" s="395">
        <f>DATEVALUE(LEFT(G1681,10))</f>
        <v/>
      </c>
      <c r="O1681" s="396">
        <f>TIMEVALUE(MID(G1681,12,8))</f>
        <v/>
      </c>
      <c r="P1681" s="396">
        <f>IFERROR(_xlfn.MINIFS($M:$M,$E:$E,$E1681,$K:$K,$K1681,$M:$M,"&gt;"&amp;$O1681),"")</f>
        <v/>
      </c>
      <c r="Q1681" s="396">
        <f>IF($P1681="","",$P1681-$O1681)</f>
        <v/>
      </c>
    </row>
    <row r="1682" ht="15" customHeight="1" s="231">
      <c r="A1682" s="397" t="n"/>
      <c r="B1682" s="397" t="n"/>
      <c r="C1682" s="397" t="n"/>
      <c r="D1682" s="397" t="n"/>
      <c r="E1682" s="397" t="n"/>
      <c r="F1682" s="397" t="n"/>
      <c r="G1682" s="397" t="n"/>
      <c r="I1682" s="397" t="n"/>
      <c r="J1682" s="397" t="n"/>
      <c r="K1682" s="395">
        <f>DATE(VALUE(LEFT(A1682,4)),VALUE(MID(A1682,5,2)),VALUE(RIGHT(A1682,2)))</f>
        <v/>
      </c>
      <c r="L1682" s="395">
        <f>DATEVALUE(LEFT(F1682,10))</f>
        <v/>
      </c>
      <c r="M1682" s="396">
        <f>TIMEVALUE(MID(F1682,12,8))</f>
        <v/>
      </c>
      <c r="N1682" s="395">
        <f>DATEVALUE(LEFT(G1682,10))</f>
        <v/>
      </c>
      <c r="O1682" s="396">
        <f>TIMEVALUE(MID(G1682,12,8))</f>
        <v/>
      </c>
      <c r="P1682" s="396">
        <f>IFERROR(_xlfn.MINIFS($M:$M,$E:$E,$E1682,$K:$K,$K1682,$M:$M,"&gt;"&amp;$O1682),"")</f>
        <v/>
      </c>
      <c r="Q1682" s="396">
        <f>IF($P1682="","",$P1682-$O1682)</f>
        <v/>
      </c>
    </row>
    <row r="1683" ht="15" customHeight="1" s="231">
      <c r="A1683" s="397" t="n"/>
      <c r="B1683" s="397" t="n"/>
      <c r="C1683" s="397" t="n"/>
      <c r="D1683" s="397" t="n"/>
      <c r="E1683" s="397" t="n"/>
      <c r="F1683" s="397" t="n"/>
      <c r="G1683" s="397" t="n"/>
      <c r="I1683" s="397" t="n"/>
      <c r="J1683" s="397" t="n"/>
      <c r="K1683" s="395">
        <f>DATE(VALUE(LEFT(A1683,4)),VALUE(MID(A1683,5,2)),VALUE(RIGHT(A1683,2)))</f>
        <v/>
      </c>
      <c r="L1683" s="395">
        <f>DATEVALUE(LEFT(F1683,10))</f>
        <v/>
      </c>
      <c r="M1683" s="396">
        <f>TIMEVALUE(MID(F1683,12,8))</f>
        <v/>
      </c>
      <c r="N1683" s="395">
        <f>DATEVALUE(LEFT(G1683,10))</f>
        <v/>
      </c>
      <c r="O1683" s="396">
        <f>TIMEVALUE(MID(G1683,12,8))</f>
        <v/>
      </c>
      <c r="P1683" s="396">
        <f>IFERROR(_xlfn.MINIFS($M:$M,$E:$E,$E1683,$K:$K,$K1683,$M:$M,"&gt;"&amp;$O1683),"")</f>
        <v/>
      </c>
      <c r="Q1683" s="396">
        <f>IF($P1683="","",$P1683-$O1683)</f>
        <v/>
      </c>
    </row>
    <row r="1684" ht="15" customHeight="1" s="231">
      <c r="A1684" s="397" t="n"/>
      <c r="B1684" s="397" t="n"/>
      <c r="C1684" s="397" t="n"/>
      <c r="D1684" s="397" t="n"/>
      <c r="E1684" s="397" t="n"/>
      <c r="F1684" s="397" t="n"/>
      <c r="G1684" s="397" t="n"/>
      <c r="I1684" s="397" t="n"/>
      <c r="J1684" s="397" t="n"/>
      <c r="K1684" s="395">
        <f>DATE(VALUE(LEFT(A1684,4)),VALUE(MID(A1684,5,2)),VALUE(RIGHT(A1684,2)))</f>
        <v/>
      </c>
      <c r="L1684" s="395">
        <f>DATEVALUE(LEFT(F1684,10))</f>
        <v/>
      </c>
      <c r="M1684" s="396">
        <f>TIMEVALUE(MID(F1684,12,8))</f>
        <v/>
      </c>
      <c r="N1684" s="395">
        <f>DATEVALUE(LEFT(G1684,10))</f>
        <v/>
      </c>
      <c r="O1684" s="396">
        <f>TIMEVALUE(MID(G1684,12,8))</f>
        <v/>
      </c>
      <c r="P1684" s="396">
        <f>IFERROR(_xlfn.MINIFS($M:$M,$E:$E,$E1684,$K:$K,$K1684,$M:$M,"&gt;"&amp;$O1684),"")</f>
        <v/>
      </c>
      <c r="Q1684" s="396">
        <f>IF($P1684="","",$P1684-$O1684)</f>
        <v/>
      </c>
    </row>
    <row r="1685" ht="15" customHeight="1" s="231">
      <c r="A1685" s="397" t="n"/>
      <c r="B1685" s="397" t="n"/>
      <c r="C1685" s="397" t="n"/>
      <c r="D1685" s="397" t="n"/>
      <c r="E1685" s="397" t="n"/>
      <c r="F1685" s="397" t="n"/>
      <c r="G1685" s="397" t="n"/>
      <c r="I1685" s="397" t="n"/>
      <c r="J1685" s="397" t="n"/>
      <c r="K1685" s="395">
        <f>DATE(VALUE(LEFT(A1685,4)),VALUE(MID(A1685,5,2)),VALUE(RIGHT(A1685,2)))</f>
        <v/>
      </c>
      <c r="L1685" s="395">
        <f>DATEVALUE(LEFT(F1685,10))</f>
        <v/>
      </c>
      <c r="M1685" s="396">
        <f>TIMEVALUE(MID(F1685,12,8))</f>
        <v/>
      </c>
      <c r="N1685" s="395">
        <f>DATEVALUE(LEFT(G1685,10))</f>
        <v/>
      </c>
      <c r="O1685" s="396">
        <f>TIMEVALUE(MID(G1685,12,8))</f>
        <v/>
      </c>
      <c r="P1685" s="396">
        <f>IFERROR(_xlfn.MINIFS($M:$M,$E:$E,$E1685,$K:$K,$K1685,$M:$M,"&gt;"&amp;$O1685),"")</f>
        <v/>
      </c>
      <c r="Q1685" s="396">
        <f>IF($P1685="","",$P1685-$O1685)</f>
        <v/>
      </c>
    </row>
    <row r="1686" ht="15" customHeight="1" s="231">
      <c r="A1686" s="397" t="n"/>
      <c r="B1686" s="397" t="n"/>
      <c r="C1686" s="397" t="n"/>
      <c r="D1686" s="397" t="n"/>
      <c r="E1686" s="397" t="n"/>
      <c r="F1686" s="397" t="n"/>
      <c r="G1686" s="397" t="n"/>
      <c r="I1686" s="397" t="n"/>
      <c r="J1686" s="397" t="n"/>
      <c r="K1686" s="395">
        <f>DATE(VALUE(LEFT(A1686,4)),VALUE(MID(A1686,5,2)),VALUE(RIGHT(A1686,2)))</f>
        <v/>
      </c>
      <c r="L1686" s="395">
        <f>DATEVALUE(LEFT(F1686,10))</f>
        <v/>
      </c>
      <c r="M1686" s="396">
        <f>TIMEVALUE(MID(F1686,12,8))</f>
        <v/>
      </c>
      <c r="N1686" s="395">
        <f>DATEVALUE(LEFT(G1686,10))</f>
        <v/>
      </c>
      <c r="O1686" s="396">
        <f>TIMEVALUE(MID(G1686,12,8))</f>
        <v/>
      </c>
      <c r="P1686" s="396">
        <f>IFERROR(_xlfn.MINIFS($M:$M,$E:$E,$E1686,$K:$K,$K1686,$M:$M,"&gt;"&amp;$O1686),"")</f>
        <v/>
      </c>
      <c r="Q1686" s="396">
        <f>IF($P1686="","",$P1686-$O1686)</f>
        <v/>
      </c>
    </row>
    <row r="1687" ht="15" customHeight="1" s="231">
      <c r="A1687" s="397" t="n"/>
      <c r="B1687" s="397" t="n"/>
      <c r="C1687" s="397" t="n"/>
      <c r="D1687" s="397" t="n"/>
      <c r="E1687" s="397" t="n"/>
      <c r="F1687" s="397" t="n"/>
      <c r="G1687" s="397" t="n"/>
      <c r="I1687" s="397" t="n"/>
      <c r="J1687" s="397" t="n"/>
      <c r="K1687" s="395">
        <f>DATE(VALUE(LEFT(A1687,4)),VALUE(MID(A1687,5,2)),VALUE(RIGHT(A1687,2)))</f>
        <v/>
      </c>
      <c r="L1687" s="395">
        <f>DATEVALUE(LEFT(F1687,10))</f>
        <v/>
      </c>
      <c r="M1687" s="396">
        <f>TIMEVALUE(MID(F1687,12,8))</f>
        <v/>
      </c>
      <c r="N1687" s="395">
        <f>DATEVALUE(LEFT(G1687,10))</f>
        <v/>
      </c>
      <c r="O1687" s="396">
        <f>TIMEVALUE(MID(G1687,12,8))</f>
        <v/>
      </c>
      <c r="P1687" s="396">
        <f>IFERROR(_xlfn.MINIFS($M:$M,$E:$E,$E1687,$K:$K,$K1687,$M:$M,"&gt;"&amp;$O1687),"")</f>
        <v/>
      </c>
      <c r="Q1687" s="396">
        <f>IF($P1687="","",$P1687-$O1687)</f>
        <v/>
      </c>
    </row>
    <row r="1688" ht="15" customHeight="1" s="231">
      <c r="A1688" s="397" t="n"/>
      <c r="B1688" s="397" t="n"/>
      <c r="C1688" s="397" t="n"/>
      <c r="D1688" s="397" t="n"/>
      <c r="E1688" s="397" t="n"/>
      <c r="F1688" s="397" t="n"/>
      <c r="G1688" s="397" t="n"/>
      <c r="I1688" s="397" t="n"/>
      <c r="J1688" s="397" t="n"/>
      <c r="K1688" s="395">
        <f>DATE(VALUE(LEFT(A1688,4)),VALUE(MID(A1688,5,2)),VALUE(RIGHT(A1688,2)))</f>
        <v/>
      </c>
      <c r="L1688" s="395">
        <f>DATEVALUE(LEFT(F1688,10))</f>
        <v/>
      </c>
      <c r="M1688" s="396">
        <f>TIMEVALUE(MID(F1688,12,8))</f>
        <v/>
      </c>
      <c r="N1688" s="395">
        <f>DATEVALUE(LEFT(G1688,10))</f>
        <v/>
      </c>
      <c r="O1688" s="396">
        <f>TIMEVALUE(MID(G1688,12,8))</f>
        <v/>
      </c>
      <c r="P1688" s="396">
        <f>IFERROR(_xlfn.MINIFS($M:$M,$E:$E,$E1688,$K:$K,$K1688,$M:$M,"&gt;"&amp;$O1688),"")</f>
        <v/>
      </c>
      <c r="Q1688" s="396">
        <f>IF($P1688="","",$P1688-$O1688)</f>
        <v/>
      </c>
    </row>
    <row r="1689" ht="15" customHeight="1" s="231">
      <c r="A1689" s="397" t="n"/>
      <c r="B1689" s="397" t="n"/>
      <c r="C1689" s="397" t="n"/>
      <c r="D1689" s="397" t="n"/>
      <c r="E1689" s="397" t="n"/>
      <c r="F1689" s="397" t="n"/>
      <c r="G1689" s="397" t="n"/>
      <c r="I1689" s="397" t="n"/>
      <c r="J1689" s="397" t="n"/>
      <c r="K1689" s="395">
        <f>DATE(VALUE(LEFT(A1689,4)),VALUE(MID(A1689,5,2)),VALUE(RIGHT(A1689,2)))</f>
        <v/>
      </c>
      <c r="L1689" s="395">
        <f>DATEVALUE(LEFT(F1689,10))</f>
        <v/>
      </c>
      <c r="M1689" s="396">
        <f>TIMEVALUE(MID(F1689,12,8))</f>
        <v/>
      </c>
      <c r="N1689" s="395">
        <f>DATEVALUE(LEFT(G1689,10))</f>
        <v/>
      </c>
      <c r="O1689" s="396">
        <f>TIMEVALUE(MID(G1689,12,8))</f>
        <v/>
      </c>
      <c r="P1689" s="396">
        <f>IFERROR(_xlfn.MINIFS($M:$M,$E:$E,$E1689,$K:$K,$K1689,$M:$M,"&gt;"&amp;$O1689),"")</f>
        <v/>
      </c>
      <c r="Q1689" s="396">
        <f>IF($P1689="","",$P1689-$O1689)</f>
        <v/>
      </c>
    </row>
    <row r="1690" ht="15" customHeight="1" s="231">
      <c r="A1690" s="397" t="n"/>
      <c r="B1690" s="397" t="n"/>
      <c r="C1690" s="397" t="n"/>
      <c r="D1690" s="397" t="n"/>
      <c r="E1690" s="397" t="n"/>
      <c r="F1690" s="397" t="n"/>
      <c r="G1690" s="397" t="n"/>
      <c r="I1690" s="397" t="n"/>
      <c r="J1690" s="397" t="n"/>
      <c r="K1690" s="395">
        <f>DATE(VALUE(LEFT(A1690,4)),VALUE(MID(A1690,5,2)),VALUE(RIGHT(A1690,2)))</f>
        <v/>
      </c>
      <c r="L1690" s="395">
        <f>DATEVALUE(LEFT(F1690,10))</f>
        <v/>
      </c>
      <c r="M1690" s="396">
        <f>TIMEVALUE(MID(F1690,12,8))</f>
        <v/>
      </c>
      <c r="N1690" s="395">
        <f>DATEVALUE(LEFT(G1690,10))</f>
        <v/>
      </c>
      <c r="O1690" s="396">
        <f>TIMEVALUE(MID(G1690,12,8))</f>
        <v/>
      </c>
      <c r="P1690" s="396">
        <f>IFERROR(_xlfn.MINIFS($M:$M,$E:$E,$E1690,$K:$K,$K1690,$M:$M,"&gt;"&amp;$O1690),"")</f>
        <v/>
      </c>
      <c r="Q1690" s="396">
        <f>IF($P1690="","",$P1690-$O1690)</f>
        <v/>
      </c>
    </row>
    <row r="1691" ht="15" customHeight="1" s="231">
      <c r="A1691" s="397" t="n"/>
      <c r="B1691" s="397" t="n"/>
      <c r="C1691" s="397" t="n"/>
      <c r="D1691" s="397" t="n"/>
      <c r="E1691" s="397" t="n"/>
      <c r="F1691" s="397" t="n"/>
      <c r="G1691" s="397" t="n"/>
      <c r="I1691" s="397" t="n"/>
      <c r="J1691" s="397" t="n"/>
      <c r="K1691" s="395">
        <f>DATE(VALUE(LEFT(A1691,4)),VALUE(MID(A1691,5,2)),VALUE(RIGHT(A1691,2)))</f>
        <v/>
      </c>
      <c r="L1691" s="395">
        <f>DATEVALUE(LEFT(F1691,10))</f>
        <v/>
      </c>
      <c r="M1691" s="396">
        <f>TIMEVALUE(MID(F1691,12,8))</f>
        <v/>
      </c>
      <c r="N1691" s="395">
        <f>DATEVALUE(LEFT(G1691,10))</f>
        <v/>
      </c>
      <c r="O1691" s="396">
        <f>TIMEVALUE(MID(G1691,12,8))</f>
        <v/>
      </c>
      <c r="P1691" s="396">
        <f>IFERROR(_xlfn.MINIFS($M:$M,$E:$E,$E1691,$K:$K,$K1691,$M:$M,"&gt;"&amp;$O1691),"")</f>
        <v/>
      </c>
      <c r="Q1691" s="396">
        <f>IF($P1691="","",$P1691-$O1691)</f>
        <v/>
      </c>
    </row>
    <row r="1692" ht="15" customHeight="1" s="231">
      <c r="A1692" s="397" t="n"/>
      <c r="B1692" s="397" t="n"/>
      <c r="C1692" s="397" t="n"/>
      <c r="D1692" s="397" t="n"/>
      <c r="E1692" s="397" t="n"/>
      <c r="F1692" s="397" t="n"/>
      <c r="G1692" s="397" t="n"/>
      <c r="I1692" s="397" t="n"/>
      <c r="J1692" s="397" t="n"/>
      <c r="K1692" s="395">
        <f>DATE(VALUE(LEFT(A1692,4)),VALUE(MID(A1692,5,2)),VALUE(RIGHT(A1692,2)))</f>
        <v/>
      </c>
      <c r="L1692" s="395">
        <f>DATEVALUE(LEFT(F1692,10))</f>
        <v/>
      </c>
      <c r="M1692" s="396">
        <f>TIMEVALUE(MID(F1692,12,8))</f>
        <v/>
      </c>
      <c r="N1692" s="395">
        <f>DATEVALUE(LEFT(G1692,10))</f>
        <v/>
      </c>
      <c r="O1692" s="396">
        <f>TIMEVALUE(MID(G1692,12,8))</f>
        <v/>
      </c>
      <c r="P1692" s="396">
        <f>IFERROR(_xlfn.MINIFS($M:$M,$E:$E,$E1692,$K:$K,$K1692,$M:$M,"&gt;"&amp;$O1692),"")</f>
        <v/>
      </c>
      <c r="Q1692" s="396">
        <f>IF($P1692="","",$P1692-$O1692)</f>
        <v/>
      </c>
    </row>
    <row r="1693" ht="15" customHeight="1" s="231">
      <c r="A1693" s="397" t="n"/>
      <c r="B1693" s="397" t="n"/>
      <c r="C1693" s="397" t="n"/>
      <c r="D1693" s="397" t="n"/>
      <c r="E1693" s="397" t="n"/>
      <c r="F1693" s="397" t="n"/>
      <c r="G1693" s="397" t="n"/>
      <c r="I1693" s="397" t="n"/>
      <c r="J1693" s="397" t="n"/>
      <c r="K1693" s="395">
        <f>DATE(VALUE(LEFT(A1693,4)),VALUE(MID(A1693,5,2)),VALUE(RIGHT(A1693,2)))</f>
        <v/>
      </c>
      <c r="L1693" s="395">
        <f>DATEVALUE(LEFT(F1693,10))</f>
        <v/>
      </c>
      <c r="M1693" s="396">
        <f>TIMEVALUE(MID(F1693,12,8))</f>
        <v/>
      </c>
      <c r="N1693" s="395">
        <f>DATEVALUE(LEFT(G1693,10))</f>
        <v/>
      </c>
      <c r="O1693" s="396">
        <f>TIMEVALUE(MID(G1693,12,8))</f>
        <v/>
      </c>
      <c r="P1693" s="396">
        <f>IFERROR(_xlfn.MINIFS($M:$M,$E:$E,$E1693,$K:$K,$K1693,$M:$M,"&gt;"&amp;$O1693),"")</f>
        <v/>
      </c>
      <c r="Q1693" s="396">
        <f>IF($P1693="","",$P1693-$O1693)</f>
        <v/>
      </c>
    </row>
    <row r="1694" ht="15" customHeight="1" s="231">
      <c r="A1694" s="397" t="n"/>
      <c r="B1694" s="397" t="n"/>
      <c r="C1694" s="397" t="n"/>
      <c r="D1694" s="397" t="n"/>
      <c r="E1694" s="397" t="n"/>
      <c r="F1694" s="397" t="n"/>
      <c r="G1694" s="397" t="n"/>
      <c r="I1694" s="397" t="n"/>
      <c r="J1694" s="397" t="n"/>
      <c r="K1694" s="395">
        <f>DATE(VALUE(LEFT(A1694,4)),VALUE(MID(A1694,5,2)),VALUE(RIGHT(A1694,2)))</f>
        <v/>
      </c>
      <c r="L1694" s="395">
        <f>DATEVALUE(LEFT(F1694,10))</f>
        <v/>
      </c>
      <c r="M1694" s="396">
        <f>TIMEVALUE(MID(F1694,12,8))</f>
        <v/>
      </c>
      <c r="N1694" s="395">
        <f>DATEVALUE(LEFT(G1694,10))</f>
        <v/>
      </c>
      <c r="O1694" s="396">
        <f>TIMEVALUE(MID(G1694,12,8))</f>
        <v/>
      </c>
      <c r="P1694" s="396">
        <f>IFERROR(_xlfn.MINIFS($M:$M,$E:$E,$E1694,$K:$K,$K1694,$M:$M,"&gt;"&amp;$O1694),"")</f>
        <v/>
      </c>
      <c r="Q1694" s="396">
        <f>IF($P1694="","",$P1694-$O1694)</f>
        <v/>
      </c>
    </row>
    <row r="1695" ht="15" customHeight="1" s="231">
      <c r="A1695" s="397" t="n"/>
      <c r="B1695" s="397" t="n"/>
      <c r="C1695" s="397" t="n"/>
      <c r="D1695" s="397" t="n"/>
      <c r="E1695" s="397" t="n"/>
      <c r="F1695" s="397" t="n"/>
      <c r="G1695" s="397" t="n"/>
      <c r="I1695" s="397" t="n"/>
      <c r="J1695" s="397" t="n"/>
      <c r="K1695" s="395">
        <f>DATE(VALUE(LEFT(A1695,4)),VALUE(MID(A1695,5,2)),VALUE(RIGHT(A1695,2)))</f>
        <v/>
      </c>
      <c r="L1695" s="395">
        <f>DATEVALUE(LEFT(F1695,10))</f>
        <v/>
      </c>
      <c r="M1695" s="396">
        <f>TIMEVALUE(MID(F1695,12,8))</f>
        <v/>
      </c>
      <c r="N1695" s="395">
        <f>DATEVALUE(LEFT(G1695,10))</f>
        <v/>
      </c>
      <c r="O1695" s="396">
        <f>TIMEVALUE(MID(G1695,12,8))</f>
        <v/>
      </c>
      <c r="P1695" s="396">
        <f>IFERROR(_xlfn.MINIFS($M:$M,$E:$E,$E1695,$K:$K,$K1695,$M:$M,"&gt;"&amp;$O1695),"")</f>
        <v/>
      </c>
      <c r="Q1695" s="396">
        <f>IF($P1695="","",$P1695-$O1695)</f>
        <v/>
      </c>
    </row>
    <row r="1696" ht="15" customHeight="1" s="231">
      <c r="A1696" s="397" t="n"/>
      <c r="B1696" s="397" t="n"/>
      <c r="C1696" s="397" t="n"/>
      <c r="D1696" s="397" t="n"/>
      <c r="E1696" s="397" t="n"/>
      <c r="F1696" s="397" t="n"/>
      <c r="G1696" s="397" t="n"/>
      <c r="I1696" s="397" t="n"/>
      <c r="J1696" s="397" t="n"/>
      <c r="K1696" s="395">
        <f>DATE(VALUE(LEFT(A1696,4)),VALUE(MID(A1696,5,2)),VALUE(RIGHT(A1696,2)))</f>
        <v/>
      </c>
      <c r="L1696" s="395">
        <f>DATEVALUE(LEFT(F1696,10))</f>
        <v/>
      </c>
      <c r="M1696" s="396">
        <f>TIMEVALUE(MID(F1696,12,8))</f>
        <v/>
      </c>
      <c r="N1696" s="395">
        <f>DATEVALUE(LEFT(G1696,10))</f>
        <v/>
      </c>
      <c r="O1696" s="396">
        <f>TIMEVALUE(MID(G1696,12,8))</f>
        <v/>
      </c>
      <c r="P1696" s="396">
        <f>IFERROR(_xlfn.MINIFS($M:$M,$E:$E,$E1696,$K:$K,$K1696,$M:$M,"&gt;"&amp;$O1696),"")</f>
        <v/>
      </c>
      <c r="Q1696" s="396">
        <f>IF($P1696="","",$P1696-$O1696)</f>
        <v/>
      </c>
    </row>
    <row r="1697" ht="15" customHeight="1" s="231">
      <c r="A1697" s="397" t="n"/>
      <c r="B1697" s="397" t="n"/>
      <c r="C1697" s="397" t="n"/>
      <c r="D1697" s="397" t="n"/>
      <c r="E1697" s="397" t="n"/>
      <c r="F1697" s="397" t="n"/>
      <c r="G1697" s="397" t="n"/>
      <c r="I1697" s="397" t="n"/>
      <c r="J1697" s="397" t="n"/>
      <c r="K1697" s="395">
        <f>DATE(VALUE(LEFT(A1697,4)),VALUE(MID(A1697,5,2)),VALUE(RIGHT(A1697,2)))</f>
        <v/>
      </c>
      <c r="L1697" s="395">
        <f>DATEVALUE(LEFT(F1697,10))</f>
        <v/>
      </c>
      <c r="M1697" s="396">
        <f>TIMEVALUE(MID(F1697,12,8))</f>
        <v/>
      </c>
      <c r="N1697" s="395">
        <f>DATEVALUE(LEFT(G1697,10))</f>
        <v/>
      </c>
      <c r="O1697" s="396">
        <f>TIMEVALUE(MID(G1697,12,8))</f>
        <v/>
      </c>
      <c r="P1697" s="396">
        <f>IFERROR(_xlfn.MINIFS($M:$M,$E:$E,$E1697,$K:$K,$K1697,$M:$M,"&gt;"&amp;$O1697),"")</f>
        <v/>
      </c>
      <c r="Q1697" s="396">
        <f>IF($P1697="","",$P1697-$O1697)</f>
        <v/>
      </c>
    </row>
    <row r="1698" ht="15" customHeight="1" s="231">
      <c r="A1698" s="397" t="n"/>
      <c r="B1698" s="397" t="n"/>
      <c r="C1698" s="397" t="n"/>
      <c r="D1698" s="397" t="n"/>
      <c r="E1698" s="397" t="n"/>
      <c r="F1698" s="397" t="n"/>
      <c r="G1698" s="397" t="n"/>
      <c r="I1698" s="397" t="n"/>
      <c r="J1698" s="397" t="n"/>
      <c r="K1698" s="395">
        <f>DATE(VALUE(LEFT(A1698,4)),VALUE(MID(A1698,5,2)),VALUE(RIGHT(A1698,2)))</f>
        <v/>
      </c>
      <c r="L1698" s="395">
        <f>DATEVALUE(LEFT(F1698,10))</f>
        <v/>
      </c>
      <c r="M1698" s="396">
        <f>TIMEVALUE(MID(F1698,12,8))</f>
        <v/>
      </c>
      <c r="N1698" s="395">
        <f>DATEVALUE(LEFT(G1698,10))</f>
        <v/>
      </c>
      <c r="O1698" s="396">
        <f>TIMEVALUE(MID(G1698,12,8))</f>
        <v/>
      </c>
      <c r="P1698" s="396">
        <f>IFERROR(_xlfn.MINIFS($M:$M,$E:$E,$E1698,$K:$K,$K1698,$M:$M,"&gt;"&amp;$O1698),"")</f>
        <v/>
      </c>
      <c r="Q1698" s="396">
        <f>IF($P1698="","",$P1698-$O1698)</f>
        <v/>
      </c>
    </row>
    <row r="1699" ht="15" customHeight="1" s="231">
      <c r="A1699" s="397" t="n"/>
      <c r="B1699" s="397" t="n"/>
      <c r="C1699" s="397" t="n"/>
      <c r="D1699" s="397" t="n"/>
      <c r="E1699" s="397" t="n"/>
      <c r="F1699" s="397" t="n"/>
      <c r="G1699" s="397" t="n"/>
      <c r="I1699" s="397" t="n"/>
      <c r="J1699" s="397" t="n"/>
      <c r="K1699" s="395">
        <f>DATE(VALUE(LEFT(A1699,4)),VALUE(MID(A1699,5,2)),VALUE(RIGHT(A1699,2)))</f>
        <v/>
      </c>
      <c r="L1699" s="395">
        <f>DATEVALUE(LEFT(F1699,10))</f>
        <v/>
      </c>
      <c r="M1699" s="396">
        <f>TIMEVALUE(MID(F1699,12,8))</f>
        <v/>
      </c>
      <c r="N1699" s="395">
        <f>DATEVALUE(LEFT(G1699,10))</f>
        <v/>
      </c>
      <c r="O1699" s="396">
        <f>TIMEVALUE(MID(G1699,12,8))</f>
        <v/>
      </c>
      <c r="P1699" s="396">
        <f>IFERROR(_xlfn.MINIFS($M:$M,$E:$E,$E1699,$K:$K,$K1699,$M:$M,"&gt;"&amp;$O1699),"")</f>
        <v/>
      </c>
      <c r="Q1699" s="396">
        <f>IF($P1699="","",$P1699-$O1699)</f>
        <v/>
      </c>
    </row>
    <row r="1700" ht="15" customHeight="1" s="231">
      <c r="A1700" s="397" t="n"/>
      <c r="B1700" s="397" t="n"/>
      <c r="C1700" s="397" t="n"/>
      <c r="D1700" s="397" t="n"/>
      <c r="E1700" s="397" t="n"/>
      <c r="F1700" s="397" t="n"/>
      <c r="G1700" s="397" t="n"/>
      <c r="I1700" s="397" t="n"/>
      <c r="J1700" s="397" t="n"/>
      <c r="K1700" s="395">
        <f>DATE(VALUE(LEFT(A1700,4)),VALUE(MID(A1700,5,2)),VALUE(RIGHT(A1700,2)))</f>
        <v/>
      </c>
      <c r="L1700" s="395">
        <f>DATEVALUE(LEFT(F1700,10))</f>
        <v/>
      </c>
      <c r="M1700" s="396">
        <f>TIMEVALUE(MID(F1700,12,8))</f>
        <v/>
      </c>
      <c r="N1700" s="395">
        <f>DATEVALUE(LEFT(G1700,10))</f>
        <v/>
      </c>
      <c r="O1700" s="396">
        <f>TIMEVALUE(MID(G1700,12,8))</f>
        <v/>
      </c>
      <c r="P1700" s="396">
        <f>IFERROR(_xlfn.MINIFS($M:$M,$E:$E,$E1700,$K:$K,$K1700,$M:$M,"&gt;"&amp;$O1700),"")</f>
        <v/>
      </c>
      <c r="Q1700" s="396">
        <f>IF($P1700="","",$P1700-$O1700)</f>
        <v/>
      </c>
    </row>
    <row r="1701" ht="15" customHeight="1" s="231">
      <c r="A1701" s="397" t="n"/>
      <c r="B1701" s="397" t="n"/>
      <c r="C1701" s="397" t="n"/>
      <c r="D1701" s="397" t="n"/>
      <c r="E1701" s="397" t="n"/>
      <c r="F1701" s="397" t="n"/>
      <c r="G1701" s="397" t="n"/>
      <c r="I1701" s="397" t="n"/>
      <c r="J1701" s="397" t="n"/>
      <c r="K1701" s="395">
        <f>DATE(VALUE(LEFT(A1701,4)),VALUE(MID(A1701,5,2)),VALUE(RIGHT(A1701,2)))</f>
        <v/>
      </c>
      <c r="L1701" s="395">
        <f>DATEVALUE(LEFT(F1701,10))</f>
        <v/>
      </c>
      <c r="M1701" s="396">
        <f>TIMEVALUE(MID(F1701,12,8))</f>
        <v/>
      </c>
      <c r="N1701" s="395">
        <f>DATEVALUE(LEFT(G1701,10))</f>
        <v/>
      </c>
      <c r="O1701" s="396">
        <f>TIMEVALUE(MID(G1701,12,8))</f>
        <v/>
      </c>
      <c r="P1701" s="396">
        <f>IFERROR(_xlfn.MINIFS($M:$M,$E:$E,$E1701,$K:$K,$K1701,$M:$M,"&gt;"&amp;$O1701),"")</f>
        <v/>
      </c>
      <c r="Q1701" s="396">
        <f>IF($P1701="","",$P1701-$O1701)</f>
        <v/>
      </c>
    </row>
    <row r="1702" ht="15" customHeight="1" s="231">
      <c r="A1702" s="397" t="n"/>
      <c r="B1702" s="397" t="n"/>
      <c r="C1702" s="397" t="n"/>
      <c r="D1702" s="397" t="n"/>
      <c r="E1702" s="397" t="n"/>
      <c r="F1702" s="397" t="n"/>
      <c r="G1702" s="397" t="n"/>
      <c r="I1702" s="397" t="n"/>
      <c r="J1702" s="397" t="n"/>
      <c r="K1702" s="395">
        <f>DATE(VALUE(LEFT(A1702,4)),VALUE(MID(A1702,5,2)),VALUE(RIGHT(A1702,2)))</f>
        <v/>
      </c>
      <c r="L1702" s="395">
        <f>DATEVALUE(LEFT(F1702,10))</f>
        <v/>
      </c>
      <c r="M1702" s="396">
        <f>TIMEVALUE(MID(F1702,12,8))</f>
        <v/>
      </c>
      <c r="N1702" s="395">
        <f>DATEVALUE(LEFT(G1702,10))</f>
        <v/>
      </c>
      <c r="O1702" s="396">
        <f>TIMEVALUE(MID(G1702,12,8))</f>
        <v/>
      </c>
      <c r="P1702" s="396">
        <f>IFERROR(_xlfn.MINIFS($M:$M,$E:$E,$E1702,$K:$K,$K1702,$M:$M,"&gt;"&amp;$O1702),"")</f>
        <v/>
      </c>
      <c r="Q1702" s="396">
        <f>IF($P1702="","",$P1702-$O1702)</f>
        <v/>
      </c>
    </row>
    <row r="1703" ht="15" customHeight="1" s="231">
      <c r="A1703" s="397" t="n"/>
      <c r="B1703" s="397" t="n"/>
      <c r="C1703" s="397" t="n"/>
      <c r="D1703" s="397" t="n"/>
      <c r="E1703" s="397" t="n"/>
      <c r="F1703" s="397" t="n"/>
      <c r="G1703" s="397" t="n"/>
      <c r="I1703" s="397" t="n"/>
      <c r="J1703" s="397" t="n"/>
      <c r="K1703" s="395">
        <f>DATE(VALUE(LEFT(A1703,4)),VALUE(MID(A1703,5,2)),VALUE(RIGHT(A1703,2)))</f>
        <v/>
      </c>
      <c r="L1703" s="395">
        <f>DATEVALUE(LEFT(F1703,10))</f>
        <v/>
      </c>
      <c r="M1703" s="396">
        <f>TIMEVALUE(MID(F1703,12,8))</f>
        <v/>
      </c>
      <c r="N1703" s="395">
        <f>DATEVALUE(LEFT(G1703,10))</f>
        <v/>
      </c>
      <c r="O1703" s="396">
        <f>TIMEVALUE(MID(G1703,12,8))</f>
        <v/>
      </c>
      <c r="P1703" s="396">
        <f>IFERROR(_xlfn.MINIFS($M:$M,$E:$E,$E1703,$K:$K,$K1703,$M:$M,"&gt;"&amp;$O1703),"")</f>
        <v/>
      </c>
      <c r="Q1703" s="396">
        <f>IF($P1703="","",$P1703-$O1703)</f>
        <v/>
      </c>
    </row>
    <row r="1704" ht="15" customHeight="1" s="231">
      <c r="A1704" s="397" t="n"/>
      <c r="B1704" s="397" t="n"/>
      <c r="C1704" s="397" t="n"/>
      <c r="D1704" s="397" t="n"/>
      <c r="E1704" s="397" t="n"/>
      <c r="F1704" s="397" t="n"/>
      <c r="G1704" s="397" t="n"/>
      <c r="I1704" s="397" t="n"/>
      <c r="J1704" s="397" t="n"/>
      <c r="K1704" s="395">
        <f>DATE(VALUE(LEFT(A1704,4)),VALUE(MID(A1704,5,2)),VALUE(RIGHT(A1704,2)))</f>
        <v/>
      </c>
      <c r="L1704" s="395">
        <f>DATEVALUE(LEFT(F1704,10))</f>
        <v/>
      </c>
      <c r="M1704" s="396">
        <f>TIMEVALUE(MID(F1704,12,8))</f>
        <v/>
      </c>
      <c r="N1704" s="395">
        <f>DATEVALUE(LEFT(G1704,10))</f>
        <v/>
      </c>
      <c r="O1704" s="396">
        <f>TIMEVALUE(MID(G1704,12,8))</f>
        <v/>
      </c>
      <c r="P1704" s="396">
        <f>IFERROR(_xlfn.MINIFS($M:$M,$E:$E,$E1704,$K:$K,$K1704,$M:$M,"&gt;"&amp;$O1704),"")</f>
        <v/>
      </c>
      <c r="Q1704" s="396">
        <f>IF($P1704="","",$P1704-$O1704)</f>
        <v/>
      </c>
    </row>
    <row r="1705" ht="15" customHeight="1" s="231">
      <c r="A1705" s="397" t="n"/>
      <c r="B1705" s="397" t="n"/>
      <c r="C1705" s="397" t="n"/>
      <c r="D1705" s="397" t="n"/>
      <c r="E1705" s="397" t="n"/>
      <c r="F1705" s="397" t="n"/>
      <c r="G1705" s="397" t="n"/>
      <c r="I1705" s="397" t="n"/>
      <c r="J1705" s="397" t="n"/>
      <c r="K1705" s="395">
        <f>DATE(VALUE(LEFT(A1705,4)),VALUE(MID(A1705,5,2)),VALUE(RIGHT(A1705,2)))</f>
        <v/>
      </c>
      <c r="L1705" s="395">
        <f>DATEVALUE(LEFT(F1705,10))</f>
        <v/>
      </c>
      <c r="M1705" s="396">
        <f>TIMEVALUE(MID(F1705,12,8))</f>
        <v/>
      </c>
      <c r="N1705" s="395">
        <f>DATEVALUE(LEFT(G1705,10))</f>
        <v/>
      </c>
      <c r="O1705" s="396">
        <f>TIMEVALUE(MID(G1705,12,8))</f>
        <v/>
      </c>
      <c r="P1705" s="396">
        <f>IFERROR(_xlfn.MINIFS($M:$M,$E:$E,$E1705,$K:$K,$K1705,$M:$M,"&gt;"&amp;$O1705),"")</f>
        <v/>
      </c>
      <c r="Q1705" s="396">
        <f>IF($P1705="","",$P1705-$O1705)</f>
        <v/>
      </c>
    </row>
    <row r="1706" ht="15" customHeight="1" s="231">
      <c r="A1706" s="397" t="n"/>
      <c r="B1706" s="397" t="n"/>
      <c r="C1706" s="397" t="n"/>
      <c r="D1706" s="397" t="n"/>
      <c r="E1706" s="397" t="n"/>
      <c r="F1706" s="397" t="n"/>
      <c r="G1706" s="397" t="n"/>
      <c r="I1706" s="397" t="n"/>
      <c r="J1706" s="397" t="n"/>
      <c r="K1706" s="395">
        <f>DATE(VALUE(LEFT(A1706,4)),VALUE(MID(A1706,5,2)),VALUE(RIGHT(A1706,2)))</f>
        <v/>
      </c>
      <c r="L1706" s="395">
        <f>DATEVALUE(LEFT(F1706,10))</f>
        <v/>
      </c>
      <c r="M1706" s="396">
        <f>TIMEVALUE(MID(F1706,12,8))</f>
        <v/>
      </c>
      <c r="N1706" s="395">
        <f>DATEVALUE(LEFT(G1706,10))</f>
        <v/>
      </c>
      <c r="O1706" s="396">
        <f>TIMEVALUE(MID(G1706,12,8))</f>
        <v/>
      </c>
      <c r="P1706" s="396">
        <f>IFERROR(_xlfn.MINIFS($M:$M,$E:$E,$E1706,$K:$K,$K1706,$M:$M,"&gt;"&amp;$O1706),"")</f>
        <v/>
      </c>
      <c r="Q1706" s="396">
        <f>IF($P1706="","",$P1706-$O1706)</f>
        <v/>
      </c>
    </row>
    <row r="1707" ht="15" customHeight="1" s="231">
      <c r="A1707" s="397" t="n"/>
      <c r="B1707" s="397" t="n"/>
      <c r="C1707" s="397" t="n"/>
      <c r="D1707" s="397" t="n"/>
      <c r="E1707" s="397" t="n"/>
      <c r="F1707" s="397" t="n"/>
      <c r="G1707" s="397" t="n"/>
      <c r="I1707" s="397" t="n"/>
      <c r="J1707" s="397" t="n"/>
      <c r="K1707" s="395">
        <f>DATE(VALUE(LEFT(A1707,4)),VALUE(MID(A1707,5,2)),VALUE(RIGHT(A1707,2)))</f>
        <v/>
      </c>
      <c r="L1707" s="395">
        <f>DATEVALUE(LEFT(F1707,10))</f>
        <v/>
      </c>
      <c r="M1707" s="396">
        <f>TIMEVALUE(MID(F1707,12,8))</f>
        <v/>
      </c>
      <c r="N1707" s="395">
        <f>DATEVALUE(LEFT(G1707,10))</f>
        <v/>
      </c>
      <c r="O1707" s="396">
        <f>TIMEVALUE(MID(G1707,12,8))</f>
        <v/>
      </c>
      <c r="P1707" s="396">
        <f>IFERROR(_xlfn.MINIFS($M:$M,$E:$E,$E1707,$K:$K,$K1707,$M:$M,"&gt;"&amp;$O1707),"")</f>
        <v/>
      </c>
      <c r="Q1707" s="396">
        <f>IF($P1707="","",$P1707-$O1707)</f>
        <v/>
      </c>
    </row>
    <row r="1708" ht="15" customHeight="1" s="231">
      <c r="A1708" s="397" t="n"/>
      <c r="B1708" s="397" t="n"/>
      <c r="C1708" s="397" t="n"/>
      <c r="D1708" s="397" t="n"/>
      <c r="E1708" s="397" t="n"/>
      <c r="F1708" s="397" t="n"/>
      <c r="G1708" s="397" t="n"/>
      <c r="I1708" s="397" t="n"/>
      <c r="J1708" s="397" t="n"/>
      <c r="K1708" s="395">
        <f>DATE(VALUE(LEFT(A1708,4)),VALUE(MID(A1708,5,2)),VALUE(RIGHT(A1708,2)))</f>
        <v/>
      </c>
      <c r="L1708" s="395">
        <f>DATEVALUE(LEFT(F1708,10))</f>
        <v/>
      </c>
      <c r="M1708" s="396">
        <f>TIMEVALUE(MID(F1708,12,8))</f>
        <v/>
      </c>
      <c r="N1708" s="395">
        <f>DATEVALUE(LEFT(G1708,10))</f>
        <v/>
      </c>
      <c r="O1708" s="396">
        <f>TIMEVALUE(MID(G1708,12,8))</f>
        <v/>
      </c>
      <c r="P1708" s="396">
        <f>IFERROR(_xlfn.MINIFS($M:$M,$E:$E,$E1708,$K:$K,$K1708,$M:$M,"&gt;"&amp;$O1708),"")</f>
        <v/>
      </c>
      <c r="Q1708" s="396">
        <f>IF($P1708="","",$P1708-$O1708)</f>
        <v/>
      </c>
    </row>
    <row r="1709" ht="15" customHeight="1" s="231">
      <c r="A1709" s="397" t="n"/>
      <c r="B1709" s="397" t="n"/>
      <c r="C1709" s="397" t="n"/>
      <c r="D1709" s="397" t="n"/>
      <c r="E1709" s="397" t="n"/>
      <c r="F1709" s="397" t="n"/>
      <c r="G1709" s="397" t="n"/>
      <c r="I1709" s="397" t="n"/>
      <c r="J1709" s="397" t="n"/>
      <c r="K1709" s="395">
        <f>DATE(VALUE(LEFT(A1709,4)),VALUE(MID(A1709,5,2)),VALUE(RIGHT(A1709,2)))</f>
        <v/>
      </c>
      <c r="L1709" s="395">
        <f>DATEVALUE(LEFT(F1709,10))</f>
        <v/>
      </c>
      <c r="M1709" s="396">
        <f>TIMEVALUE(MID(F1709,12,8))</f>
        <v/>
      </c>
      <c r="N1709" s="395">
        <f>DATEVALUE(LEFT(G1709,10))</f>
        <v/>
      </c>
      <c r="O1709" s="396">
        <f>TIMEVALUE(MID(G1709,12,8))</f>
        <v/>
      </c>
      <c r="P1709" s="396">
        <f>IFERROR(_xlfn.MINIFS($M:$M,$E:$E,$E1709,$K:$K,$K1709,$M:$M,"&gt;"&amp;$O1709),"")</f>
        <v/>
      </c>
      <c r="Q1709" s="396">
        <f>IF($P1709="","",$P1709-$O1709)</f>
        <v/>
      </c>
    </row>
    <row r="1710" ht="15" customHeight="1" s="231">
      <c r="A1710" s="397" t="n"/>
      <c r="B1710" s="397" t="n"/>
      <c r="C1710" s="397" t="n"/>
      <c r="D1710" s="397" t="n"/>
      <c r="E1710" s="397" t="n"/>
      <c r="F1710" s="397" t="n"/>
      <c r="G1710" s="397" t="n"/>
      <c r="I1710" s="397" t="n"/>
      <c r="J1710" s="397" t="n"/>
      <c r="K1710" s="395">
        <f>DATE(VALUE(LEFT(A1710,4)),VALUE(MID(A1710,5,2)),VALUE(RIGHT(A1710,2)))</f>
        <v/>
      </c>
      <c r="L1710" s="395">
        <f>DATEVALUE(LEFT(F1710,10))</f>
        <v/>
      </c>
      <c r="M1710" s="396">
        <f>TIMEVALUE(MID(F1710,12,8))</f>
        <v/>
      </c>
      <c r="N1710" s="395">
        <f>DATEVALUE(LEFT(G1710,10))</f>
        <v/>
      </c>
      <c r="O1710" s="396">
        <f>TIMEVALUE(MID(G1710,12,8))</f>
        <v/>
      </c>
      <c r="P1710" s="396">
        <f>IFERROR(_xlfn.MINIFS($M:$M,$E:$E,$E1710,$K:$K,$K1710,$M:$M,"&gt;"&amp;$O1710),"")</f>
        <v/>
      </c>
      <c r="Q1710" s="396">
        <f>IF($P1710="","",$P1710-$O1710)</f>
        <v/>
      </c>
    </row>
    <row r="1711" ht="15" customHeight="1" s="231">
      <c r="A1711" s="397" t="n"/>
      <c r="B1711" s="397" t="n"/>
      <c r="C1711" s="397" t="n"/>
      <c r="D1711" s="397" t="n"/>
      <c r="E1711" s="397" t="n"/>
      <c r="F1711" s="397" t="n"/>
      <c r="G1711" s="397" t="n"/>
      <c r="I1711" s="397" t="n"/>
      <c r="J1711" s="397" t="n"/>
      <c r="K1711" s="395">
        <f>DATE(VALUE(LEFT(A1711,4)),VALUE(MID(A1711,5,2)),VALUE(RIGHT(A1711,2)))</f>
        <v/>
      </c>
      <c r="L1711" s="395">
        <f>DATEVALUE(LEFT(F1711,10))</f>
        <v/>
      </c>
      <c r="M1711" s="396">
        <f>TIMEVALUE(MID(F1711,12,8))</f>
        <v/>
      </c>
      <c r="N1711" s="395">
        <f>DATEVALUE(LEFT(G1711,10))</f>
        <v/>
      </c>
      <c r="O1711" s="396">
        <f>TIMEVALUE(MID(G1711,12,8))</f>
        <v/>
      </c>
      <c r="P1711" s="396">
        <f>IFERROR(_xlfn.MINIFS($M:$M,$E:$E,$E1711,$K:$K,$K1711,$M:$M,"&gt;"&amp;$O1711),"")</f>
        <v/>
      </c>
      <c r="Q1711" s="396">
        <f>IF($P1711="","",$P1711-$O1711)</f>
        <v/>
      </c>
    </row>
    <row r="1712" ht="15" customHeight="1" s="231">
      <c r="A1712" s="397" t="n"/>
      <c r="B1712" s="397" t="n"/>
      <c r="C1712" s="397" t="n"/>
      <c r="D1712" s="397" t="n"/>
      <c r="E1712" s="397" t="n"/>
      <c r="F1712" s="397" t="n"/>
      <c r="G1712" s="397" t="n"/>
      <c r="I1712" s="397" t="n"/>
      <c r="J1712" s="397" t="n"/>
      <c r="K1712" s="395">
        <f>DATE(VALUE(LEFT(A1712,4)),VALUE(MID(A1712,5,2)),VALUE(RIGHT(A1712,2)))</f>
        <v/>
      </c>
      <c r="L1712" s="395">
        <f>DATEVALUE(LEFT(F1712,10))</f>
        <v/>
      </c>
      <c r="M1712" s="396">
        <f>TIMEVALUE(MID(F1712,12,8))</f>
        <v/>
      </c>
      <c r="N1712" s="395">
        <f>DATEVALUE(LEFT(G1712,10))</f>
        <v/>
      </c>
      <c r="O1712" s="396">
        <f>TIMEVALUE(MID(G1712,12,8))</f>
        <v/>
      </c>
      <c r="P1712" s="396">
        <f>IFERROR(_xlfn.MINIFS($M:$M,$E:$E,$E1712,$K:$K,$K1712,$M:$M,"&gt;"&amp;$O1712),"")</f>
        <v/>
      </c>
      <c r="Q1712" s="396">
        <f>IF($P1712="","",$P1712-$O1712)</f>
        <v/>
      </c>
    </row>
    <row r="1713" ht="15" customHeight="1" s="231">
      <c r="A1713" s="397" t="n"/>
      <c r="B1713" s="397" t="n"/>
      <c r="C1713" s="397" t="n"/>
      <c r="D1713" s="397" t="n"/>
      <c r="E1713" s="397" t="n"/>
      <c r="F1713" s="397" t="n"/>
      <c r="G1713" s="397" t="n"/>
      <c r="I1713" s="397" t="n"/>
      <c r="J1713" s="397" t="n"/>
      <c r="K1713" s="395">
        <f>DATE(VALUE(LEFT(A1713,4)),VALUE(MID(A1713,5,2)),VALUE(RIGHT(A1713,2)))</f>
        <v/>
      </c>
      <c r="L1713" s="395">
        <f>DATEVALUE(LEFT(F1713,10))</f>
        <v/>
      </c>
      <c r="M1713" s="396">
        <f>TIMEVALUE(MID(F1713,12,8))</f>
        <v/>
      </c>
      <c r="N1713" s="395">
        <f>DATEVALUE(LEFT(G1713,10))</f>
        <v/>
      </c>
      <c r="O1713" s="396">
        <f>TIMEVALUE(MID(G1713,12,8))</f>
        <v/>
      </c>
      <c r="P1713" s="396">
        <f>IFERROR(_xlfn.MINIFS($M:$M,$E:$E,$E1713,$K:$K,$K1713,$M:$M,"&gt;"&amp;$O1713),"")</f>
        <v/>
      </c>
      <c r="Q1713" s="396">
        <f>IF($P1713="","",$P1713-$O1713)</f>
        <v/>
      </c>
    </row>
    <row r="1714" ht="15" customHeight="1" s="231">
      <c r="A1714" s="397" t="n"/>
      <c r="B1714" s="397" t="n"/>
      <c r="C1714" s="397" t="n"/>
      <c r="D1714" s="397" t="n"/>
      <c r="E1714" s="397" t="n"/>
      <c r="F1714" s="397" t="n"/>
      <c r="G1714" s="397" t="n"/>
      <c r="I1714" s="397" t="n"/>
      <c r="J1714" s="397" t="n"/>
      <c r="K1714" s="395">
        <f>DATE(VALUE(LEFT(A1714,4)),VALUE(MID(A1714,5,2)),VALUE(RIGHT(A1714,2)))</f>
        <v/>
      </c>
      <c r="L1714" s="395">
        <f>DATEVALUE(LEFT(F1714,10))</f>
        <v/>
      </c>
      <c r="M1714" s="396">
        <f>TIMEVALUE(MID(F1714,12,8))</f>
        <v/>
      </c>
      <c r="N1714" s="395">
        <f>DATEVALUE(LEFT(G1714,10))</f>
        <v/>
      </c>
      <c r="O1714" s="396">
        <f>TIMEVALUE(MID(G1714,12,8))</f>
        <v/>
      </c>
      <c r="P1714" s="396">
        <f>IFERROR(_xlfn.MINIFS($M:$M,$E:$E,$E1714,$K:$K,$K1714,$M:$M,"&gt;"&amp;$O1714),"")</f>
        <v/>
      </c>
      <c r="Q1714" s="396">
        <f>IF($P1714="","",$P1714-$O1714)</f>
        <v/>
      </c>
    </row>
    <row r="1715" ht="15" customHeight="1" s="231">
      <c r="A1715" s="397" t="n"/>
      <c r="B1715" s="397" t="n"/>
      <c r="C1715" s="397" t="n"/>
      <c r="D1715" s="397" t="n"/>
      <c r="E1715" s="397" t="n"/>
      <c r="F1715" s="397" t="n"/>
      <c r="G1715" s="397" t="n"/>
      <c r="I1715" s="397" t="n"/>
      <c r="J1715" s="397" t="n"/>
      <c r="K1715" s="395">
        <f>DATE(VALUE(LEFT(A1715,4)),VALUE(MID(A1715,5,2)),VALUE(RIGHT(A1715,2)))</f>
        <v/>
      </c>
      <c r="L1715" s="395">
        <f>DATEVALUE(LEFT(F1715,10))</f>
        <v/>
      </c>
      <c r="M1715" s="396">
        <f>TIMEVALUE(MID(F1715,12,8))</f>
        <v/>
      </c>
      <c r="N1715" s="395">
        <f>DATEVALUE(LEFT(G1715,10))</f>
        <v/>
      </c>
      <c r="O1715" s="396">
        <f>TIMEVALUE(MID(G1715,12,8))</f>
        <v/>
      </c>
      <c r="P1715" s="396">
        <f>IFERROR(_xlfn.MINIFS($M:$M,$E:$E,$E1715,$K:$K,$K1715,$M:$M,"&gt;"&amp;$O1715),"")</f>
        <v/>
      </c>
      <c r="Q1715" s="396">
        <f>IF($P1715="","",$P1715-$O1715)</f>
        <v/>
      </c>
    </row>
    <row r="1716" ht="15" customHeight="1" s="231">
      <c r="A1716" s="397" t="n"/>
      <c r="B1716" s="397" t="n"/>
      <c r="C1716" s="397" t="n"/>
      <c r="D1716" s="397" t="n"/>
      <c r="E1716" s="397" t="n"/>
      <c r="F1716" s="397" t="n"/>
      <c r="G1716" s="397" t="n"/>
      <c r="I1716" s="397" t="n"/>
      <c r="J1716" s="397" t="n"/>
      <c r="K1716" s="395">
        <f>DATE(VALUE(LEFT(A1716,4)),VALUE(MID(A1716,5,2)),VALUE(RIGHT(A1716,2)))</f>
        <v/>
      </c>
      <c r="L1716" s="395">
        <f>DATEVALUE(LEFT(F1716,10))</f>
        <v/>
      </c>
      <c r="M1716" s="396">
        <f>TIMEVALUE(MID(F1716,12,8))</f>
        <v/>
      </c>
      <c r="N1716" s="395">
        <f>DATEVALUE(LEFT(G1716,10))</f>
        <v/>
      </c>
      <c r="O1716" s="396">
        <f>TIMEVALUE(MID(G1716,12,8))</f>
        <v/>
      </c>
      <c r="P1716" s="396">
        <f>IFERROR(_xlfn.MINIFS($M:$M,$E:$E,$E1716,$K:$K,$K1716,$M:$M,"&gt;"&amp;$O1716),"")</f>
        <v/>
      </c>
      <c r="Q1716" s="396">
        <f>IF($P1716="","",$P1716-$O1716)</f>
        <v/>
      </c>
    </row>
    <row r="1717" ht="15" customHeight="1" s="231">
      <c r="A1717" s="397" t="n"/>
      <c r="B1717" s="397" t="n"/>
      <c r="C1717" s="397" t="n"/>
      <c r="D1717" s="397" t="n"/>
      <c r="E1717" s="397" t="n"/>
      <c r="F1717" s="397" t="n"/>
      <c r="G1717" s="397" t="n"/>
      <c r="I1717" s="397" t="n"/>
      <c r="J1717" s="397" t="n"/>
      <c r="K1717" s="395">
        <f>DATE(VALUE(LEFT(A1717,4)),VALUE(MID(A1717,5,2)),VALUE(RIGHT(A1717,2)))</f>
        <v/>
      </c>
      <c r="L1717" s="395">
        <f>DATEVALUE(LEFT(F1717,10))</f>
        <v/>
      </c>
      <c r="M1717" s="396">
        <f>TIMEVALUE(MID(F1717,12,8))</f>
        <v/>
      </c>
      <c r="N1717" s="395">
        <f>DATEVALUE(LEFT(G1717,10))</f>
        <v/>
      </c>
      <c r="O1717" s="396">
        <f>TIMEVALUE(MID(G1717,12,8))</f>
        <v/>
      </c>
      <c r="P1717" s="396">
        <f>IFERROR(_xlfn.MINIFS($M:$M,$E:$E,$E1717,$K:$K,$K1717,$M:$M,"&gt;"&amp;$O1717),"")</f>
        <v/>
      </c>
      <c r="Q1717" s="396">
        <f>IF($P1717="","",$P1717-$O1717)</f>
        <v/>
      </c>
    </row>
    <row r="1718" ht="15" customHeight="1" s="231">
      <c r="A1718" s="397" t="n"/>
      <c r="B1718" s="397" t="n"/>
      <c r="C1718" s="397" t="n"/>
      <c r="D1718" s="397" t="n"/>
      <c r="E1718" s="397" t="n"/>
      <c r="F1718" s="397" t="n"/>
      <c r="G1718" s="397" t="n"/>
      <c r="I1718" s="397" t="n"/>
      <c r="J1718" s="397" t="n"/>
      <c r="K1718" s="395">
        <f>DATE(VALUE(LEFT(A1718,4)),VALUE(MID(A1718,5,2)),VALUE(RIGHT(A1718,2)))</f>
        <v/>
      </c>
      <c r="L1718" s="395">
        <f>DATEVALUE(LEFT(F1718,10))</f>
        <v/>
      </c>
      <c r="M1718" s="396">
        <f>TIMEVALUE(MID(F1718,12,8))</f>
        <v/>
      </c>
      <c r="N1718" s="395">
        <f>DATEVALUE(LEFT(G1718,10))</f>
        <v/>
      </c>
      <c r="O1718" s="396">
        <f>TIMEVALUE(MID(G1718,12,8))</f>
        <v/>
      </c>
      <c r="P1718" s="396">
        <f>IFERROR(_xlfn.MINIFS($M:$M,$E:$E,$E1718,$K:$K,$K1718,$M:$M,"&gt;"&amp;$O1718),"")</f>
        <v/>
      </c>
      <c r="Q1718" s="396">
        <f>IF($P1718="","",$P1718-$O1718)</f>
        <v/>
      </c>
    </row>
    <row r="1719" ht="15" customHeight="1" s="231">
      <c r="A1719" s="397" t="n"/>
      <c r="B1719" s="397" t="n"/>
      <c r="C1719" s="397" t="n"/>
      <c r="D1719" s="397" t="n"/>
      <c r="E1719" s="397" t="n"/>
      <c r="F1719" s="397" t="n"/>
      <c r="G1719" s="397" t="n"/>
      <c r="I1719" s="397" t="n"/>
      <c r="J1719" s="397" t="n"/>
      <c r="K1719" s="395">
        <f>DATE(VALUE(LEFT(A1719,4)),VALUE(MID(A1719,5,2)),VALUE(RIGHT(A1719,2)))</f>
        <v/>
      </c>
      <c r="L1719" s="395">
        <f>DATEVALUE(LEFT(F1719,10))</f>
        <v/>
      </c>
      <c r="M1719" s="396">
        <f>TIMEVALUE(MID(F1719,12,8))</f>
        <v/>
      </c>
      <c r="N1719" s="395">
        <f>DATEVALUE(LEFT(G1719,10))</f>
        <v/>
      </c>
      <c r="O1719" s="396">
        <f>TIMEVALUE(MID(G1719,12,8))</f>
        <v/>
      </c>
      <c r="P1719" s="396">
        <f>IFERROR(_xlfn.MINIFS($M:$M,$E:$E,$E1719,$K:$K,$K1719,$M:$M,"&gt;"&amp;$O1719),"")</f>
        <v/>
      </c>
      <c r="Q1719" s="396">
        <f>IF($P1719="","",$P1719-$O1719)</f>
        <v/>
      </c>
    </row>
    <row r="1720" ht="15" customHeight="1" s="231">
      <c r="A1720" s="397" t="n"/>
      <c r="B1720" s="397" t="n"/>
      <c r="C1720" s="397" t="n"/>
      <c r="D1720" s="397" t="n"/>
      <c r="E1720" s="397" t="n"/>
      <c r="F1720" s="397" t="n"/>
      <c r="G1720" s="397" t="n"/>
      <c r="I1720" s="397" t="n"/>
      <c r="J1720" s="397" t="n"/>
      <c r="K1720" s="395">
        <f>DATE(VALUE(LEFT(A1720,4)),VALUE(MID(A1720,5,2)),VALUE(RIGHT(A1720,2)))</f>
        <v/>
      </c>
      <c r="L1720" s="395">
        <f>DATEVALUE(LEFT(F1720,10))</f>
        <v/>
      </c>
      <c r="M1720" s="396">
        <f>TIMEVALUE(MID(F1720,12,8))</f>
        <v/>
      </c>
      <c r="N1720" s="395">
        <f>DATEVALUE(LEFT(G1720,10))</f>
        <v/>
      </c>
      <c r="O1720" s="396">
        <f>TIMEVALUE(MID(G1720,12,8))</f>
        <v/>
      </c>
      <c r="P1720" s="396">
        <f>IFERROR(_xlfn.MINIFS($M:$M,$E:$E,$E1720,$K:$K,$K1720,$M:$M,"&gt;"&amp;$O1720),"")</f>
        <v/>
      </c>
      <c r="Q1720" s="396">
        <f>IF($P1720="","",$P1720-$O1720)</f>
        <v/>
      </c>
    </row>
    <row r="1721" ht="15" customHeight="1" s="231">
      <c r="A1721" s="397" t="n"/>
      <c r="B1721" s="397" t="n"/>
      <c r="C1721" s="397" t="n"/>
      <c r="D1721" s="397" t="n"/>
      <c r="E1721" s="397" t="n"/>
      <c r="F1721" s="397" t="n"/>
      <c r="G1721" s="397" t="n"/>
      <c r="I1721" s="397" t="n"/>
      <c r="J1721" s="397" t="n"/>
      <c r="K1721" s="395">
        <f>DATE(VALUE(LEFT(A1721,4)),VALUE(MID(A1721,5,2)),VALUE(RIGHT(A1721,2)))</f>
        <v/>
      </c>
      <c r="L1721" s="395">
        <f>DATEVALUE(LEFT(F1721,10))</f>
        <v/>
      </c>
      <c r="M1721" s="396">
        <f>TIMEVALUE(MID(F1721,12,8))</f>
        <v/>
      </c>
      <c r="N1721" s="395">
        <f>DATEVALUE(LEFT(G1721,10))</f>
        <v/>
      </c>
      <c r="O1721" s="396">
        <f>TIMEVALUE(MID(G1721,12,8))</f>
        <v/>
      </c>
      <c r="P1721" s="396">
        <f>IFERROR(_xlfn.MINIFS($M:$M,$E:$E,$E1721,$K:$K,$K1721,$M:$M,"&gt;"&amp;$O1721),"")</f>
        <v/>
      </c>
      <c r="Q1721" s="396">
        <f>IF($P1721="","",$P1721-$O1721)</f>
        <v/>
      </c>
    </row>
    <row r="1722" ht="15" customHeight="1" s="231">
      <c r="A1722" s="397" t="n"/>
      <c r="B1722" s="397" t="n"/>
      <c r="C1722" s="397" t="n"/>
      <c r="D1722" s="397" t="n"/>
      <c r="E1722" s="397" t="n"/>
      <c r="F1722" s="397" t="n"/>
      <c r="G1722" s="397" t="n"/>
      <c r="I1722" s="397" t="n"/>
      <c r="J1722" s="397" t="n"/>
      <c r="K1722" s="395">
        <f>DATE(VALUE(LEFT(A1722,4)),VALUE(MID(A1722,5,2)),VALUE(RIGHT(A1722,2)))</f>
        <v/>
      </c>
      <c r="L1722" s="395">
        <f>DATEVALUE(LEFT(F1722,10))</f>
        <v/>
      </c>
      <c r="M1722" s="396">
        <f>TIMEVALUE(MID(F1722,12,8))</f>
        <v/>
      </c>
      <c r="N1722" s="395">
        <f>DATEVALUE(LEFT(G1722,10))</f>
        <v/>
      </c>
      <c r="O1722" s="396">
        <f>TIMEVALUE(MID(G1722,12,8))</f>
        <v/>
      </c>
      <c r="P1722" s="396">
        <f>IFERROR(_xlfn.MINIFS($M:$M,$E:$E,$E1722,$K:$K,$K1722,$M:$M,"&gt;"&amp;$O1722),"")</f>
        <v/>
      </c>
      <c r="Q1722" s="396">
        <f>IF($P1722="","",$P1722-$O1722)</f>
        <v/>
      </c>
    </row>
    <row r="1723" ht="15" customHeight="1" s="231">
      <c r="A1723" s="397" t="n"/>
      <c r="B1723" s="397" t="n"/>
      <c r="C1723" s="397" t="n"/>
      <c r="D1723" s="397" t="n"/>
      <c r="E1723" s="397" t="n"/>
      <c r="F1723" s="397" t="n"/>
      <c r="G1723" s="397" t="n"/>
      <c r="I1723" s="397" t="n"/>
      <c r="J1723" s="397" t="n"/>
      <c r="K1723" s="395">
        <f>DATE(VALUE(LEFT(A1723,4)),VALUE(MID(A1723,5,2)),VALUE(RIGHT(A1723,2)))</f>
        <v/>
      </c>
      <c r="L1723" s="395">
        <f>DATEVALUE(LEFT(F1723,10))</f>
        <v/>
      </c>
      <c r="M1723" s="396">
        <f>TIMEVALUE(MID(F1723,12,8))</f>
        <v/>
      </c>
      <c r="N1723" s="395">
        <f>DATEVALUE(LEFT(G1723,10))</f>
        <v/>
      </c>
      <c r="O1723" s="396">
        <f>TIMEVALUE(MID(G1723,12,8))</f>
        <v/>
      </c>
      <c r="P1723" s="396">
        <f>IFERROR(_xlfn.MINIFS($M:$M,$E:$E,$E1723,$K:$K,$K1723,$M:$M,"&gt;"&amp;$O1723),"")</f>
        <v/>
      </c>
      <c r="Q1723" s="396">
        <f>IF($P1723="","",$P1723-$O1723)</f>
        <v/>
      </c>
    </row>
    <row r="1724" ht="15" customHeight="1" s="231">
      <c r="A1724" s="397" t="n"/>
      <c r="B1724" s="397" t="n"/>
      <c r="C1724" s="397" t="n"/>
      <c r="D1724" s="397" t="n"/>
      <c r="E1724" s="397" t="n"/>
      <c r="F1724" s="397" t="n"/>
      <c r="G1724" s="397" t="n"/>
      <c r="I1724" s="397" t="n"/>
      <c r="J1724" s="397" t="n"/>
      <c r="K1724" s="395">
        <f>DATE(VALUE(LEFT(A1724,4)),VALUE(MID(A1724,5,2)),VALUE(RIGHT(A1724,2)))</f>
        <v/>
      </c>
      <c r="L1724" s="395">
        <f>DATEVALUE(LEFT(F1724,10))</f>
        <v/>
      </c>
      <c r="M1724" s="396">
        <f>TIMEVALUE(MID(F1724,12,8))</f>
        <v/>
      </c>
      <c r="N1724" s="395">
        <f>DATEVALUE(LEFT(G1724,10))</f>
        <v/>
      </c>
      <c r="O1724" s="396">
        <f>TIMEVALUE(MID(G1724,12,8))</f>
        <v/>
      </c>
      <c r="P1724" s="396">
        <f>IFERROR(_xlfn.MINIFS($M:$M,$E:$E,$E1724,$K:$K,$K1724,$M:$M,"&gt;"&amp;$O1724),"")</f>
        <v/>
      </c>
      <c r="Q1724" s="396">
        <f>IF($P1724="","",$P1724-$O1724)</f>
        <v/>
      </c>
    </row>
    <row r="1725" ht="15" customHeight="1" s="231">
      <c r="A1725" s="397" t="n"/>
      <c r="B1725" s="397" t="n"/>
      <c r="C1725" s="397" t="n"/>
      <c r="D1725" s="397" t="n"/>
      <c r="E1725" s="397" t="n"/>
      <c r="F1725" s="397" t="n"/>
      <c r="G1725" s="397" t="n"/>
      <c r="I1725" s="397" t="n"/>
      <c r="J1725" s="397" t="n"/>
      <c r="K1725" s="395">
        <f>DATE(VALUE(LEFT(A1725,4)),VALUE(MID(A1725,5,2)),VALUE(RIGHT(A1725,2)))</f>
        <v/>
      </c>
      <c r="L1725" s="395">
        <f>DATEVALUE(LEFT(F1725,10))</f>
        <v/>
      </c>
      <c r="M1725" s="396">
        <f>TIMEVALUE(MID(F1725,12,8))</f>
        <v/>
      </c>
      <c r="N1725" s="395">
        <f>DATEVALUE(LEFT(G1725,10))</f>
        <v/>
      </c>
      <c r="O1725" s="396">
        <f>TIMEVALUE(MID(G1725,12,8))</f>
        <v/>
      </c>
      <c r="P1725" s="396">
        <f>IFERROR(_xlfn.MINIFS($M:$M,$E:$E,$E1725,$K:$K,$K1725,$M:$M,"&gt;"&amp;$O1725),"")</f>
        <v/>
      </c>
      <c r="Q1725" s="396">
        <f>IF($P1725="","",$P1725-$O1725)</f>
        <v/>
      </c>
    </row>
    <row r="1726" ht="15" customHeight="1" s="231">
      <c r="A1726" s="397" t="n"/>
      <c r="B1726" s="397" t="n"/>
      <c r="C1726" s="397" t="n"/>
      <c r="D1726" s="397" t="n"/>
      <c r="E1726" s="397" t="n"/>
      <c r="F1726" s="397" t="n"/>
      <c r="G1726" s="397" t="n"/>
      <c r="I1726" s="397" t="n"/>
      <c r="J1726" s="397" t="n"/>
      <c r="K1726" s="395">
        <f>DATE(VALUE(LEFT(A1726,4)),VALUE(MID(A1726,5,2)),VALUE(RIGHT(A1726,2)))</f>
        <v/>
      </c>
      <c r="L1726" s="395">
        <f>DATEVALUE(LEFT(F1726,10))</f>
        <v/>
      </c>
      <c r="M1726" s="396">
        <f>TIMEVALUE(MID(F1726,12,8))</f>
        <v/>
      </c>
      <c r="N1726" s="395">
        <f>DATEVALUE(LEFT(G1726,10))</f>
        <v/>
      </c>
      <c r="O1726" s="396">
        <f>TIMEVALUE(MID(G1726,12,8))</f>
        <v/>
      </c>
      <c r="P1726" s="396">
        <f>IFERROR(_xlfn.MINIFS($M:$M,$E:$E,$E1726,$K:$K,$K1726,$M:$M,"&gt;"&amp;$O1726),"")</f>
        <v/>
      </c>
      <c r="Q1726" s="396">
        <f>IF($P1726="","",$P1726-$O1726)</f>
        <v/>
      </c>
    </row>
    <row r="1727" ht="15" customHeight="1" s="231">
      <c r="A1727" s="397" t="n"/>
      <c r="B1727" s="397" t="n"/>
      <c r="C1727" s="397" t="n"/>
      <c r="D1727" s="397" t="n"/>
      <c r="E1727" s="397" t="n"/>
      <c r="F1727" s="397" t="n"/>
      <c r="G1727" s="397" t="n"/>
      <c r="I1727" s="397" t="n"/>
      <c r="J1727" s="397" t="n"/>
      <c r="K1727" s="395">
        <f>DATE(VALUE(LEFT(A1727,4)),VALUE(MID(A1727,5,2)),VALUE(RIGHT(A1727,2)))</f>
        <v/>
      </c>
      <c r="L1727" s="395">
        <f>DATEVALUE(LEFT(F1727,10))</f>
        <v/>
      </c>
      <c r="M1727" s="396">
        <f>TIMEVALUE(MID(F1727,12,8))</f>
        <v/>
      </c>
      <c r="N1727" s="395">
        <f>DATEVALUE(LEFT(G1727,10))</f>
        <v/>
      </c>
      <c r="O1727" s="396">
        <f>TIMEVALUE(MID(G1727,12,8))</f>
        <v/>
      </c>
      <c r="P1727" s="396">
        <f>IFERROR(_xlfn.MINIFS($M:$M,$E:$E,$E1727,$K:$K,$K1727,$M:$M,"&gt;"&amp;$O1727),"")</f>
        <v/>
      </c>
      <c r="Q1727" s="396">
        <f>IF($P1727="","",$P1727-$O1727)</f>
        <v/>
      </c>
    </row>
    <row r="1728" ht="15" customHeight="1" s="231">
      <c r="A1728" s="397" t="n"/>
      <c r="B1728" s="397" t="n"/>
      <c r="C1728" s="397" t="n"/>
      <c r="D1728" s="397" t="n"/>
      <c r="E1728" s="397" t="n"/>
      <c r="F1728" s="397" t="n"/>
      <c r="G1728" s="397" t="n"/>
      <c r="I1728" s="397" t="n"/>
      <c r="J1728" s="397" t="n"/>
      <c r="K1728" s="395">
        <f>DATE(VALUE(LEFT(A1728,4)),VALUE(MID(A1728,5,2)),VALUE(RIGHT(A1728,2)))</f>
        <v/>
      </c>
      <c r="L1728" s="395">
        <f>DATEVALUE(LEFT(F1728,10))</f>
        <v/>
      </c>
      <c r="M1728" s="396">
        <f>TIMEVALUE(MID(F1728,12,8))</f>
        <v/>
      </c>
      <c r="N1728" s="395">
        <f>DATEVALUE(LEFT(G1728,10))</f>
        <v/>
      </c>
      <c r="O1728" s="396">
        <f>TIMEVALUE(MID(G1728,12,8))</f>
        <v/>
      </c>
      <c r="P1728" s="396">
        <f>IFERROR(_xlfn.MINIFS($M:$M,$E:$E,$E1728,$K:$K,$K1728,$M:$M,"&gt;"&amp;$O1728),"")</f>
        <v/>
      </c>
      <c r="Q1728" s="396">
        <f>IF($P1728="","",$P1728-$O1728)</f>
        <v/>
      </c>
    </row>
    <row r="1729" ht="15" customHeight="1" s="231">
      <c r="A1729" s="397" t="n"/>
      <c r="B1729" s="397" t="n"/>
      <c r="C1729" s="397" t="n"/>
      <c r="D1729" s="397" t="n"/>
      <c r="E1729" s="397" t="n"/>
      <c r="F1729" s="397" t="n"/>
      <c r="G1729" s="397" t="n"/>
      <c r="I1729" s="397" t="n"/>
      <c r="J1729" s="397" t="n"/>
      <c r="K1729" s="395">
        <f>DATE(VALUE(LEFT(A1729,4)),VALUE(MID(A1729,5,2)),VALUE(RIGHT(A1729,2)))</f>
        <v/>
      </c>
      <c r="L1729" s="395">
        <f>DATEVALUE(LEFT(F1729,10))</f>
        <v/>
      </c>
      <c r="M1729" s="396">
        <f>TIMEVALUE(MID(F1729,12,8))</f>
        <v/>
      </c>
      <c r="N1729" s="395">
        <f>DATEVALUE(LEFT(G1729,10))</f>
        <v/>
      </c>
      <c r="O1729" s="396">
        <f>TIMEVALUE(MID(G1729,12,8))</f>
        <v/>
      </c>
      <c r="P1729" s="396">
        <f>IFERROR(_xlfn.MINIFS($M:$M,$E:$E,$E1729,$K:$K,$K1729,$M:$M,"&gt;"&amp;$O1729),"")</f>
        <v/>
      </c>
      <c r="Q1729" s="396">
        <f>IF($P1729="","",$P1729-$O1729)</f>
        <v/>
      </c>
    </row>
    <row r="1730" ht="15" customHeight="1" s="231">
      <c r="A1730" s="397" t="n"/>
      <c r="B1730" s="397" t="n"/>
      <c r="C1730" s="397" t="n"/>
      <c r="D1730" s="397" t="n"/>
      <c r="E1730" s="397" t="n"/>
      <c r="F1730" s="397" t="n"/>
      <c r="G1730" s="397" t="n"/>
      <c r="I1730" s="397" t="n"/>
      <c r="J1730" s="397" t="n"/>
      <c r="K1730" s="395">
        <f>DATE(VALUE(LEFT(A1730,4)),VALUE(MID(A1730,5,2)),VALUE(RIGHT(A1730,2)))</f>
        <v/>
      </c>
      <c r="L1730" s="395">
        <f>DATEVALUE(LEFT(F1730,10))</f>
        <v/>
      </c>
      <c r="M1730" s="396">
        <f>TIMEVALUE(MID(F1730,12,8))</f>
        <v/>
      </c>
      <c r="N1730" s="395">
        <f>DATEVALUE(LEFT(G1730,10))</f>
        <v/>
      </c>
      <c r="O1730" s="396">
        <f>TIMEVALUE(MID(G1730,12,8))</f>
        <v/>
      </c>
      <c r="P1730" s="396">
        <f>IFERROR(_xlfn.MINIFS($M:$M,$E:$E,$E1730,$K:$K,$K1730,$M:$M,"&gt;"&amp;$O1730),"")</f>
        <v/>
      </c>
      <c r="Q1730" s="396">
        <f>IF($P1730="","",$P1730-$O1730)</f>
        <v/>
      </c>
    </row>
    <row r="1731" ht="15" customHeight="1" s="231">
      <c r="A1731" s="397" t="n"/>
      <c r="B1731" s="397" t="n"/>
      <c r="C1731" s="397" t="n"/>
      <c r="D1731" s="397" t="n"/>
      <c r="E1731" s="397" t="n"/>
      <c r="F1731" s="397" t="n"/>
      <c r="G1731" s="397" t="n"/>
      <c r="I1731" s="397" t="n"/>
      <c r="J1731" s="397" t="n"/>
      <c r="K1731" s="395">
        <f>DATE(VALUE(LEFT(A1731,4)),VALUE(MID(A1731,5,2)),VALUE(RIGHT(A1731,2)))</f>
        <v/>
      </c>
      <c r="L1731" s="395">
        <f>DATEVALUE(LEFT(F1731,10))</f>
        <v/>
      </c>
      <c r="M1731" s="396">
        <f>TIMEVALUE(MID(F1731,12,8))</f>
        <v/>
      </c>
      <c r="N1731" s="395">
        <f>DATEVALUE(LEFT(G1731,10))</f>
        <v/>
      </c>
      <c r="O1731" s="396">
        <f>TIMEVALUE(MID(G1731,12,8))</f>
        <v/>
      </c>
      <c r="P1731" s="396">
        <f>IFERROR(_xlfn.MINIFS($M:$M,$E:$E,$E1731,$K:$K,$K1731,$M:$M,"&gt;"&amp;$O1731),"")</f>
        <v/>
      </c>
      <c r="Q1731" s="396">
        <f>IF($P1731="","",$P1731-$O1731)</f>
        <v/>
      </c>
    </row>
    <row r="1732" ht="15" customHeight="1" s="231">
      <c r="A1732" s="397" t="n"/>
      <c r="B1732" s="397" t="n"/>
      <c r="C1732" s="397" t="n"/>
      <c r="D1732" s="397" t="n"/>
      <c r="E1732" s="397" t="n"/>
      <c r="F1732" s="397" t="n"/>
      <c r="G1732" s="397" t="n"/>
      <c r="I1732" s="397" t="n"/>
      <c r="J1732" s="397" t="n"/>
      <c r="K1732" s="395">
        <f>DATE(VALUE(LEFT(A1732,4)),VALUE(MID(A1732,5,2)),VALUE(RIGHT(A1732,2)))</f>
        <v/>
      </c>
      <c r="L1732" s="395">
        <f>DATEVALUE(LEFT(F1732,10))</f>
        <v/>
      </c>
      <c r="M1732" s="396">
        <f>TIMEVALUE(MID(F1732,12,8))</f>
        <v/>
      </c>
      <c r="N1732" s="395">
        <f>DATEVALUE(LEFT(G1732,10))</f>
        <v/>
      </c>
      <c r="O1732" s="396">
        <f>TIMEVALUE(MID(G1732,12,8))</f>
        <v/>
      </c>
      <c r="P1732" s="396">
        <f>IFERROR(_xlfn.MINIFS($M:$M,$E:$E,$E1732,$K:$K,$K1732,$M:$M,"&gt;"&amp;$O1732),"")</f>
        <v/>
      </c>
      <c r="Q1732" s="396">
        <f>IF($P1732="","",$P1732-$O1732)</f>
        <v/>
      </c>
    </row>
    <row r="1733" ht="15" customHeight="1" s="231">
      <c r="A1733" s="397" t="n"/>
      <c r="B1733" s="397" t="n"/>
      <c r="C1733" s="397" t="n"/>
      <c r="D1733" s="397" t="n"/>
      <c r="E1733" s="397" t="n"/>
      <c r="F1733" s="397" t="n"/>
      <c r="G1733" s="397" t="n"/>
      <c r="I1733" s="397" t="n"/>
      <c r="J1733" s="397" t="n"/>
      <c r="K1733" s="395">
        <f>DATE(VALUE(LEFT(A1733,4)),VALUE(MID(A1733,5,2)),VALUE(RIGHT(A1733,2)))</f>
        <v/>
      </c>
      <c r="L1733" s="395">
        <f>DATEVALUE(LEFT(F1733,10))</f>
        <v/>
      </c>
      <c r="M1733" s="396">
        <f>TIMEVALUE(MID(F1733,12,8))</f>
        <v/>
      </c>
      <c r="N1733" s="395">
        <f>DATEVALUE(LEFT(G1733,10))</f>
        <v/>
      </c>
      <c r="O1733" s="396">
        <f>TIMEVALUE(MID(G1733,12,8))</f>
        <v/>
      </c>
      <c r="P1733" s="396">
        <f>IFERROR(_xlfn.MINIFS($M:$M,$E:$E,$E1733,$K:$K,$K1733,$M:$M,"&gt;"&amp;$O1733),"")</f>
        <v/>
      </c>
      <c r="Q1733" s="396">
        <f>IF($P1733="","",$P1733-$O1733)</f>
        <v/>
      </c>
    </row>
    <row r="1734" ht="15" customHeight="1" s="231">
      <c r="A1734" s="397" t="n"/>
      <c r="B1734" s="397" t="n"/>
      <c r="C1734" s="397" t="n"/>
      <c r="D1734" s="397" t="n"/>
      <c r="E1734" s="397" t="n"/>
      <c r="F1734" s="397" t="n"/>
      <c r="G1734" s="397" t="n"/>
      <c r="I1734" s="397" t="n"/>
      <c r="J1734" s="397" t="n"/>
      <c r="K1734" s="395">
        <f>DATE(VALUE(LEFT(A1734,4)),VALUE(MID(A1734,5,2)),VALUE(RIGHT(A1734,2)))</f>
        <v/>
      </c>
      <c r="L1734" s="395">
        <f>DATEVALUE(LEFT(F1734,10))</f>
        <v/>
      </c>
      <c r="M1734" s="396">
        <f>TIMEVALUE(MID(F1734,12,8))</f>
        <v/>
      </c>
      <c r="N1734" s="395">
        <f>DATEVALUE(LEFT(G1734,10))</f>
        <v/>
      </c>
      <c r="O1734" s="396">
        <f>TIMEVALUE(MID(G1734,12,8))</f>
        <v/>
      </c>
      <c r="P1734" s="396">
        <f>IFERROR(_xlfn.MINIFS($M:$M,$E:$E,$E1734,$K:$K,$K1734,$M:$M,"&gt;"&amp;$O1734),"")</f>
        <v/>
      </c>
      <c r="Q1734" s="396">
        <f>IF($P1734="","",$P1734-$O1734)</f>
        <v/>
      </c>
    </row>
    <row r="1735" ht="15" customHeight="1" s="231">
      <c r="A1735" s="397" t="n"/>
      <c r="B1735" s="397" t="n"/>
      <c r="C1735" s="397" t="n"/>
      <c r="D1735" s="397" t="n"/>
      <c r="E1735" s="397" t="n"/>
      <c r="F1735" s="397" t="n"/>
      <c r="G1735" s="397" t="n"/>
      <c r="I1735" s="397" t="n"/>
      <c r="J1735" s="397" t="n"/>
      <c r="K1735" s="395">
        <f>DATE(VALUE(LEFT(A1735,4)),VALUE(MID(A1735,5,2)),VALUE(RIGHT(A1735,2)))</f>
        <v/>
      </c>
      <c r="L1735" s="395">
        <f>DATEVALUE(LEFT(F1735,10))</f>
        <v/>
      </c>
      <c r="M1735" s="396">
        <f>TIMEVALUE(MID(F1735,12,8))</f>
        <v/>
      </c>
      <c r="N1735" s="395">
        <f>DATEVALUE(LEFT(G1735,10))</f>
        <v/>
      </c>
      <c r="O1735" s="396">
        <f>TIMEVALUE(MID(G1735,12,8))</f>
        <v/>
      </c>
      <c r="P1735" s="396">
        <f>IFERROR(_xlfn.MINIFS($M:$M,$E:$E,$E1735,$K:$K,$K1735,$M:$M,"&gt;"&amp;$O1735),"")</f>
        <v/>
      </c>
      <c r="Q1735" s="396">
        <f>IF($P1735="","",$P1735-$O1735)</f>
        <v/>
      </c>
    </row>
    <row r="1736" ht="15" customHeight="1" s="231">
      <c r="A1736" s="397" t="n"/>
      <c r="B1736" s="397" t="n"/>
      <c r="C1736" s="397" t="n"/>
      <c r="D1736" s="397" t="n"/>
      <c r="E1736" s="397" t="n"/>
      <c r="F1736" s="397" t="n"/>
      <c r="G1736" s="397" t="n"/>
      <c r="I1736" s="397" t="n"/>
      <c r="J1736" s="397" t="n"/>
      <c r="K1736" s="395">
        <f>DATE(VALUE(LEFT(A1736,4)),VALUE(MID(A1736,5,2)),VALUE(RIGHT(A1736,2)))</f>
        <v/>
      </c>
      <c r="L1736" s="395">
        <f>DATEVALUE(LEFT(F1736,10))</f>
        <v/>
      </c>
      <c r="M1736" s="396">
        <f>TIMEVALUE(MID(F1736,12,8))</f>
        <v/>
      </c>
      <c r="N1736" s="395">
        <f>DATEVALUE(LEFT(G1736,10))</f>
        <v/>
      </c>
      <c r="O1736" s="396">
        <f>TIMEVALUE(MID(G1736,12,8))</f>
        <v/>
      </c>
      <c r="P1736" s="396">
        <f>IFERROR(_xlfn.MINIFS($M:$M,$E:$E,$E1736,$K:$K,$K1736,$M:$M,"&gt;"&amp;$O1736),"")</f>
        <v/>
      </c>
      <c r="Q1736" s="396">
        <f>IF($P1736="","",$P1736-$O1736)</f>
        <v/>
      </c>
    </row>
    <row r="1737" ht="15" customHeight="1" s="231">
      <c r="A1737" s="397" t="n"/>
      <c r="B1737" s="397" t="n"/>
      <c r="C1737" s="397" t="n"/>
      <c r="D1737" s="397" t="n"/>
      <c r="E1737" s="397" t="n"/>
      <c r="F1737" s="397" t="n"/>
      <c r="G1737" s="397" t="n"/>
      <c r="I1737" s="397" t="n"/>
      <c r="J1737" s="397" t="n"/>
      <c r="K1737" s="395">
        <f>DATE(VALUE(LEFT(A1737,4)),VALUE(MID(A1737,5,2)),VALUE(RIGHT(A1737,2)))</f>
        <v/>
      </c>
      <c r="L1737" s="395">
        <f>DATEVALUE(LEFT(F1737,10))</f>
        <v/>
      </c>
      <c r="M1737" s="396">
        <f>TIMEVALUE(MID(F1737,12,8))</f>
        <v/>
      </c>
      <c r="N1737" s="395">
        <f>DATEVALUE(LEFT(G1737,10))</f>
        <v/>
      </c>
      <c r="O1737" s="396">
        <f>TIMEVALUE(MID(G1737,12,8))</f>
        <v/>
      </c>
      <c r="P1737" s="396">
        <f>IFERROR(_xlfn.MINIFS($M:$M,$E:$E,$E1737,$K:$K,$K1737,$M:$M,"&gt;"&amp;$O1737),"")</f>
        <v/>
      </c>
      <c r="Q1737" s="396">
        <f>IF($P1737="","",$P1737-$O1737)</f>
        <v/>
      </c>
    </row>
    <row r="1738" ht="15" customHeight="1" s="231">
      <c r="A1738" s="397" t="n"/>
      <c r="B1738" s="397" t="n"/>
      <c r="C1738" s="397" t="n"/>
      <c r="D1738" s="397" t="n"/>
      <c r="E1738" s="397" t="n"/>
      <c r="F1738" s="397" t="n"/>
      <c r="G1738" s="397" t="n"/>
      <c r="I1738" s="397" t="n"/>
      <c r="J1738" s="397" t="n"/>
      <c r="K1738" s="395">
        <f>DATE(VALUE(LEFT(A1738,4)),VALUE(MID(A1738,5,2)),VALUE(RIGHT(A1738,2)))</f>
        <v/>
      </c>
      <c r="L1738" s="395">
        <f>DATEVALUE(LEFT(F1738,10))</f>
        <v/>
      </c>
      <c r="M1738" s="396">
        <f>TIMEVALUE(MID(F1738,12,8))</f>
        <v/>
      </c>
      <c r="N1738" s="395">
        <f>DATEVALUE(LEFT(G1738,10))</f>
        <v/>
      </c>
      <c r="O1738" s="396">
        <f>TIMEVALUE(MID(G1738,12,8))</f>
        <v/>
      </c>
      <c r="P1738" s="396">
        <f>IFERROR(_xlfn.MINIFS($M:$M,$E:$E,$E1738,$K:$K,$K1738,$M:$M,"&gt;"&amp;$O1738),"")</f>
        <v/>
      </c>
      <c r="Q1738" s="396">
        <f>IF($P1738="","",$P1738-$O1738)</f>
        <v/>
      </c>
    </row>
    <row r="1739" ht="15" customHeight="1" s="231">
      <c r="A1739" s="397" t="n"/>
      <c r="B1739" s="397" t="n"/>
      <c r="C1739" s="397" t="n"/>
      <c r="D1739" s="397" t="n"/>
      <c r="E1739" s="397" t="n"/>
      <c r="F1739" s="397" t="n"/>
      <c r="G1739" s="397" t="n"/>
      <c r="I1739" s="397" t="n"/>
      <c r="J1739" s="397" t="n"/>
      <c r="K1739" s="395">
        <f>DATE(VALUE(LEFT(A1739,4)),VALUE(MID(A1739,5,2)),VALUE(RIGHT(A1739,2)))</f>
        <v/>
      </c>
      <c r="L1739" s="395">
        <f>DATEVALUE(LEFT(F1739,10))</f>
        <v/>
      </c>
      <c r="M1739" s="396">
        <f>TIMEVALUE(MID(F1739,12,8))</f>
        <v/>
      </c>
      <c r="N1739" s="395">
        <f>DATEVALUE(LEFT(G1739,10))</f>
        <v/>
      </c>
      <c r="O1739" s="396">
        <f>TIMEVALUE(MID(G1739,12,8))</f>
        <v/>
      </c>
      <c r="P1739" s="396">
        <f>IFERROR(_xlfn.MINIFS($M:$M,$E:$E,$E1739,$K:$K,$K1739,$M:$M,"&gt;"&amp;$O1739),"")</f>
        <v/>
      </c>
      <c r="Q1739" s="396">
        <f>IF($P1739="","",$P1739-$O1739)</f>
        <v/>
      </c>
    </row>
    <row r="1740" ht="15" customHeight="1" s="231">
      <c r="A1740" s="397" t="n"/>
      <c r="B1740" s="397" t="n"/>
      <c r="C1740" s="397" t="n"/>
      <c r="D1740" s="397" t="n"/>
      <c r="E1740" s="397" t="n"/>
      <c r="F1740" s="397" t="n"/>
      <c r="G1740" s="397" t="n"/>
      <c r="I1740" s="397" t="n"/>
      <c r="J1740" s="397" t="n"/>
      <c r="K1740" s="395">
        <f>DATE(VALUE(LEFT(A1740,4)),VALUE(MID(A1740,5,2)),VALUE(RIGHT(A1740,2)))</f>
        <v/>
      </c>
      <c r="L1740" s="395">
        <f>DATEVALUE(LEFT(F1740,10))</f>
        <v/>
      </c>
      <c r="M1740" s="396">
        <f>TIMEVALUE(MID(F1740,12,8))</f>
        <v/>
      </c>
      <c r="N1740" s="395">
        <f>DATEVALUE(LEFT(G1740,10))</f>
        <v/>
      </c>
      <c r="O1740" s="396">
        <f>TIMEVALUE(MID(G1740,12,8))</f>
        <v/>
      </c>
      <c r="P1740" s="396">
        <f>IFERROR(_xlfn.MINIFS($M:$M,$E:$E,$E1740,$K:$K,$K1740,$M:$M,"&gt;"&amp;$O1740),"")</f>
        <v/>
      </c>
      <c r="Q1740" s="396">
        <f>IF($P1740="","",$P1740-$O1740)</f>
        <v/>
      </c>
    </row>
    <row r="1741" ht="15" customHeight="1" s="231">
      <c r="A1741" s="397" t="n"/>
      <c r="B1741" s="397" t="n"/>
      <c r="C1741" s="397" t="n"/>
      <c r="D1741" s="397" t="n"/>
      <c r="E1741" s="397" t="n"/>
      <c r="F1741" s="397" t="n"/>
      <c r="G1741" s="397" t="n"/>
      <c r="I1741" s="397" t="n"/>
      <c r="J1741" s="397" t="n"/>
      <c r="K1741" s="395">
        <f>DATE(VALUE(LEFT(A1741,4)),VALUE(MID(A1741,5,2)),VALUE(RIGHT(A1741,2)))</f>
        <v/>
      </c>
      <c r="L1741" s="395">
        <f>DATEVALUE(LEFT(F1741,10))</f>
        <v/>
      </c>
      <c r="M1741" s="396">
        <f>TIMEVALUE(MID(F1741,12,8))</f>
        <v/>
      </c>
      <c r="N1741" s="395">
        <f>DATEVALUE(LEFT(G1741,10))</f>
        <v/>
      </c>
      <c r="O1741" s="396">
        <f>TIMEVALUE(MID(G1741,12,8))</f>
        <v/>
      </c>
      <c r="P1741" s="396">
        <f>IFERROR(_xlfn.MINIFS($M:$M,$E:$E,$E1741,$K:$K,$K1741,$M:$M,"&gt;"&amp;$O1741),"")</f>
        <v/>
      </c>
      <c r="Q1741" s="396">
        <f>IF($P1741="","",$P1741-$O1741)</f>
        <v/>
      </c>
    </row>
    <row r="1742" ht="15" customHeight="1" s="231">
      <c r="A1742" s="397" t="n"/>
      <c r="B1742" s="397" t="n"/>
      <c r="C1742" s="397" t="n"/>
      <c r="D1742" s="397" t="n"/>
      <c r="E1742" s="397" t="n"/>
      <c r="F1742" s="397" t="n"/>
      <c r="G1742" s="397" t="n"/>
      <c r="I1742" s="397" t="n"/>
      <c r="J1742" s="397" t="n"/>
      <c r="K1742" s="395">
        <f>DATE(VALUE(LEFT(A1742,4)),VALUE(MID(A1742,5,2)),VALUE(RIGHT(A1742,2)))</f>
        <v/>
      </c>
      <c r="L1742" s="395">
        <f>DATEVALUE(LEFT(F1742,10))</f>
        <v/>
      </c>
      <c r="M1742" s="396">
        <f>TIMEVALUE(MID(F1742,12,8))</f>
        <v/>
      </c>
      <c r="N1742" s="395">
        <f>DATEVALUE(LEFT(G1742,10))</f>
        <v/>
      </c>
      <c r="O1742" s="396">
        <f>TIMEVALUE(MID(G1742,12,8))</f>
        <v/>
      </c>
      <c r="P1742" s="396">
        <f>IFERROR(_xlfn.MINIFS($M:$M,$E:$E,$E1742,$K:$K,$K1742,$M:$M,"&gt;"&amp;$O1742),"")</f>
        <v/>
      </c>
      <c r="Q1742" s="396">
        <f>IF($P1742="","",$P1742-$O1742)</f>
        <v/>
      </c>
    </row>
    <row r="1743" ht="15" customHeight="1" s="231">
      <c r="A1743" s="397" t="n"/>
      <c r="B1743" s="397" t="n"/>
      <c r="C1743" s="397" t="n"/>
      <c r="D1743" s="397" t="n"/>
      <c r="E1743" s="397" t="n"/>
      <c r="F1743" s="397" t="n"/>
      <c r="G1743" s="397" t="n"/>
      <c r="I1743" s="397" t="n"/>
      <c r="J1743" s="397" t="n"/>
      <c r="K1743" s="395">
        <f>DATE(VALUE(LEFT(A1743,4)),VALUE(MID(A1743,5,2)),VALUE(RIGHT(A1743,2)))</f>
        <v/>
      </c>
      <c r="L1743" s="395">
        <f>DATEVALUE(LEFT(F1743,10))</f>
        <v/>
      </c>
      <c r="M1743" s="396">
        <f>TIMEVALUE(MID(F1743,12,8))</f>
        <v/>
      </c>
      <c r="N1743" s="395">
        <f>DATEVALUE(LEFT(G1743,10))</f>
        <v/>
      </c>
      <c r="O1743" s="396">
        <f>TIMEVALUE(MID(G1743,12,8))</f>
        <v/>
      </c>
      <c r="P1743" s="396">
        <f>IFERROR(_xlfn.MINIFS($M:$M,$E:$E,$E1743,$K:$K,$K1743,$M:$M,"&gt;"&amp;$O1743),"")</f>
        <v/>
      </c>
      <c r="Q1743" s="396">
        <f>IF($P1743="","",$P1743-$O1743)</f>
        <v/>
      </c>
    </row>
    <row r="1744" ht="15" customHeight="1" s="231">
      <c r="A1744" s="397" t="n"/>
      <c r="B1744" s="397" t="n"/>
      <c r="C1744" s="397" t="n"/>
      <c r="D1744" s="397" t="n"/>
      <c r="E1744" s="397" t="n"/>
      <c r="F1744" s="397" t="n"/>
      <c r="G1744" s="397" t="n"/>
      <c r="I1744" s="397" t="n"/>
      <c r="J1744" s="397" t="n"/>
      <c r="K1744" s="395">
        <f>DATE(VALUE(LEFT(A1744,4)),VALUE(MID(A1744,5,2)),VALUE(RIGHT(A1744,2)))</f>
        <v/>
      </c>
      <c r="L1744" s="395">
        <f>DATEVALUE(LEFT(F1744,10))</f>
        <v/>
      </c>
      <c r="M1744" s="396">
        <f>TIMEVALUE(MID(F1744,12,8))</f>
        <v/>
      </c>
      <c r="N1744" s="395">
        <f>DATEVALUE(LEFT(G1744,10))</f>
        <v/>
      </c>
      <c r="O1744" s="396">
        <f>TIMEVALUE(MID(G1744,12,8))</f>
        <v/>
      </c>
      <c r="P1744" s="396">
        <f>IFERROR(_xlfn.MINIFS($M:$M,$E:$E,$E1744,$K:$K,$K1744,$M:$M,"&gt;"&amp;$O1744),"")</f>
        <v/>
      </c>
      <c r="Q1744" s="396">
        <f>IF($P1744="","",$P1744-$O1744)</f>
        <v/>
      </c>
    </row>
    <row r="1745" ht="15" customHeight="1" s="231">
      <c r="A1745" s="397" t="n"/>
      <c r="B1745" s="397" t="n"/>
      <c r="C1745" s="397" t="n"/>
      <c r="D1745" s="397" t="n"/>
      <c r="E1745" s="397" t="n"/>
      <c r="F1745" s="397" t="n"/>
      <c r="G1745" s="397" t="n"/>
      <c r="I1745" s="397" t="n"/>
      <c r="J1745" s="397" t="n"/>
      <c r="K1745" s="395">
        <f>DATE(VALUE(LEFT(A1745,4)),VALUE(MID(A1745,5,2)),VALUE(RIGHT(A1745,2)))</f>
        <v/>
      </c>
      <c r="L1745" s="395">
        <f>DATEVALUE(LEFT(F1745,10))</f>
        <v/>
      </c>
      <c r="M1745" s="396">
        <f>TIMEVALUE(MID(F1745,12,8))</f>
        <v/>
      </c>
      <c r="N1745" s="395">
        <f>DATEVALUE(LEFT(G1745,10))</f>
        <v/>
      </c>
      <c r="O1745" s="396">
        <f>TIMEVALUE(MID(G1745,12,8))</f>
        <v/>
      </c>
      <c r="P1745" s="396">
        <f>IFERROR(_xlfn.MINIFS($M:$M,$E:$E,$E1745,$K:$K,$K1745,$M:$M,"&gt;"&amp;$O1745),"")</f>
        <v/>
      </c>
      <c r="Q1745" s="396">
        <f>IF($P1745="","",$P1745-$O1745)</f>
        <v/>
      </c>
    </row>
    <row r="1746" ht="15" customHeight="1" s="231">
      <c r="A1746" s="397" t="n"/>
      <c r="B1746" s="397" t="n"/>
      <c r="C1746" s="397" t="n"/>
      <c r="D1746" s="397" t="n"/>
      <c r="E1746" s="397" t="n"/>
      <c r="F1746" s="397" t="n"/>
      <c r="G1746" s="397" t="n"/>
      <c r="I1746" s="397" t="n"/>
      <c r="J1746" s="397" t="n"/>
      <c r="K1746" s="395">
        <f>DATE(VALUE(LEFT(A1746,4)),VALUE(MID(A1746,5,2)),VALUE(RIGHT(A1746,2)))</f>
        <v/>
      </c>
      <c r="L1746" s="395">
        <f>DATEVALUE(LEFT(F1746,10))</f>
        <v/>
      </c>
      <c r="M1746" s="396">
        <f>TIMEVALUE(MID(F1746,12,8))</f>
        <v/>
      </c>
      <c r="N1746" s="395">
        <f>DATEVALUE(LEFT(G1746,10))</f>
        <v/>
      </c>
      <c r="O1746" s="396">
        <f>TIMEVALUE(MID(G1746,12,8))</f>
        <v/>
      </c>
      <c r="P1746" s="396">
        <f>IFERROR(_xlfn.MINIFS($M:$M,$E:$E,$E1746,$K:$K,$K1746,$M:$M,"&gt;"&amp;$O1746),"")</f>
        <v/>
      </c>
      <c r="Q1746" s="396">
        <f>IF($P1746="","",$P1746-$O1746)</f>
        <v/>
      </c>
    </row>
    <row r="1747" ht="15" customHeight="1" s="231">
      <c r="A1747" s="397" t="n"/>
      <c r="B1747" s="397" t="n"/>
      <c r="C1747" s="397" t="n"/>
      <c r="D1747" s="397" t="n"/>
      <c r="E1747" s="397" t="n"/>
      <c r="F1747" s="397" t="n"/>
      <c r="G1747" s="397" t="n"/>
      <c r="I1747" s="397" t="n"/>
      <c r="J1747" s="397" t="n"/>
      <c r="K1747" s="395">
        <f>DATE(VALUE(LEFT(A1747,4)),VALUE(MID(A1747,5,2)),VALUE(RIGHT(A1747,2)))</f>
        <v/>
      </c>
      <c r="L1747" s="395">
        <f>DATEVALUE(LEFT(F1747,10))</f>
        <v/>
      </c>
      <c r="M1747" s="396">
        <f>TIMEVALUE(MID(F1747,12,8))</f>
        <v/>
      </c>
      <c r="N1747" s="395">
        <f>DATEVALUE(LEFT(G1747,10))</f>
        <v/>
      </c>
      <c r="O1747" s="396">
        <f>TIMEVALUE(MID(G1747,12,8))</f>
        <v/>
      </c>
      <c r="P1747" s="396">
        <f>IFERROR(_xlfn.MINIFS($M:$M,$E:$E,$E1747,$K:$K,$K1747,$M:$M,"&gt;"&amp;$O1747),"")</f>
        <v/>
      </c>
      <c r="Q1747" s="396">
        <f>IF($P1747="","",$P1747-$O1747)</f>
        <v/>
      </c>
    </row>
    <row r="1748" ht="15" customHeight="1" s="231">
      <c r="A1748" s="397" t="n"/>
      <c r="B1748" s="397" t="n"/>
      <c r="C1748" s="397" t="n"/>
      <c r="D1748" s="397" t="n"/>
      <c r="E1748" s="397" t="n"/>
      <c r="F1748" s="397" t="n"/>
      <c r="G1748" s="397" t="n"/>
      <c r="I1748" s="397" t="n"/>
      <c r="J1748" s="397" t="n"/>
      <c r="K1748" s="395">
        <f>DATE(VALUE(LEFT(A1748,4)),VALUE(MID(A1748,5,2)),VALUE(RIGHT(A1748,2)))</f>
        <v/>
      </c>
      <c r="L1748" s="395">
        <f>DATEVALUE(LEFT(F1748,10))</f>
        <v/>
      </c>
      <c r="M1748" s="396">
        <f>TIMEVALUE(MID(F1748,12,8))</f>
        <v/>
      </c>
      <c r="N1748" s="395">
        <f>DATEVALUE(LEFT(G1748,10))</f>
        <v/>
      </c>
      <c r="O1748" s="396">
        <f>TIMEVALUE(MID(G1748,12,8))</f>
        <v/>
      </c>
      <c r="P1748" s="396">
        <f>IFERROR(_xlfn.MINIFS($M:$M,$E:$E,$E1748,$K:$K,$K1748,$M:$M,"&gt;"&amp;$O1748),"")</f>
        <v/>
      </c>
      <c r="Q1748" s="396">
        <f>IF($P1748="","",$P1748-$O1748)</f>
        <v/>
      </c>
    </row>
    <row r="1749" ht="15" customHeight="1" s="231">
      <c r="A1749" s="397" t="n"/>
      <c r="B1749" s="397" t="n"/>
      <c r="C1749" s="397" t="n"/>
      <c r="D1749" s="397" t="n"/>
      <c r="E1749" s="397" t="n"/>
      <c r="F1749" s="397" t="n"/>
      <c r="G1749" s="397" t="n"/>
      <c r="I1749" s="397" t="n"/>
      <c r="J1749" s="397" t="n"/>
      <c r="K1749" s="395">
        <f>DATE(VALUE(LEFT(A1749,4)),VALUE(MID(A1749,5,2)),VALUE(RIGHT(A1749,2)))</f>
        <v/>
      </c>
      <c r="L1749" s="395">
        <f>DATEVALUE(LEFT(F1749,10))</f>
        <v/>
      </c>
      <c r="M1749" s="396">
        <f>TIMEVALUE(MID(F1749,12,8))</f>
        <v/>
      </c>
      <c r="N1749" s="395">
        <f>DATEVALUE(LEFT(G1749,10))</f>
        <v/>
      </c>
      <c r="O1749" s="396">
        <f>TIMEVALUE(MID(G1749,12,8))</f>
        <v/>
      </c>
      <c r="P1749" s="396">
        <f>IFERROR(_xlfn.MINIFS($M:$M,$E:$E,$E1749,$K:$K,$K1749,$M:$M,"&gt;"&amp;$O1749),"")</f>
        <v/>
      </c>
      <c r="Q1749" s="396">
        <f>IF($P1749="","",$P1749-$O1749)</f>
        <v/>
      </c>
    </row>
    <row r="1750" ht="15" customHeight="1" s="231">
      <c r="A1750" s="397" t="n"/>
      <c r="B1750" s="397" t="n"/>
      <c r="C1750" s="397" t="n"/>
      <c r="D1750" s="397" t="n"/>
      <c r="E1750" s="397" t="n"/>
      <c r="F1750" s="397" t="n"/>
      <c r="G1750" s="397" t="n"/>
      <c r="I1750" s="397" t="n"/>
      <c r="J1750" s="397" t="n"/>
      <c r="K1750" s="395">
        <f>DATE(VALUE(LEFT(A1750,4)),VALUE(MID(A1750,5,2)),VALUE(RIGHT(A1750,2)))</f>
        <v/>
      </c>
      <c r="L1750" s="395">
        <f>DATEVALUE(LEFT(F1750,10))</f>
        <v/>
      </c>
      <c r="M1750" s="396">
        <f>TIMEVALUE(MID(F1750,12,8))</f>
        <v/>
      </c>
      <c r="N1750" s="395">
        <f>DATEVALUE(LEFT(G1750,10))</f>
        <v/>
      </c>
      <c r="O1750" s="396">
        <f>TIMEVALUE(MID(G1750,12,8))</f>
        <v/>
      </c>
      <c r="P1750" s="396">
        <f>IFERROR(_xlfn.MINIFS($M:$M,$E:$E,$E1750,$K:$K,$K1750,$M:$M,"&gt;"&amp;$O1750),"")</f>
        <v/>
      </c>
      <c r="Q1750" s="396">
        <f>IF($P1750="","",$P1750-$O1750)</f>
        <v/>
      </c>
    </row>
    <row r="1751" ht="15" customHeight="1" s="231">
      <c r="A1751" s="397" t="n"/>
      <c r="B1751" s="397" t="n"/>
      <c r="C1751" s="397" t="n"/>
      <c r="D1751" s="397" t="n"/>
      <c r="E1751" s="397" t="n"/>
      <c r="F1751" s="397" t="n"/>
      <c r="G1751" s="397" t="n"/>
      <c r="I1751" s="397" t="n"/>
      <c r="J1751" s="397" t="n"/>
      <c r="K1751" s="395">
        <f>DATE(VALUE(LEFT(A1751,4)),VALUE(MID(A1751,5,2)),VALUE(RIGHT(A1751,2)))</f>
        <v/>
      </c>
      <c r="L1751" s="395">
        <f>DATEVALUE(LEFT(F1751,10))</f>
        <v/>
      </c>
      <c r="M1751" s="396">
        <f>TIMEVALUE(MID(F1751,12,8))</f>
        <v/>
      </c>
      <c r="N1751" s="395">
        <f>DATEVALUE(LEFT(G1751,10))</f>
        <v/>
      </c>
      <c r="O1751" s="396">
        <f>TIMEVALUE(MID(G1751,12,8))</f>
        <v/>
      </c>
      <c r="P1751" s="396">
        <f>IFERROR(_xlfn.MINIFS($M:$M,$E:$E,$E1751,$K:$K,$K1751,$M:$M,"&gt;"&amp;$O1751),"")</f>
        <v/>
      </c>
      <c r="Q1751" s="396">
        <f>IF($P1751="","",$P1751-$O1751)</f>
        <v/>
      </c>
    </row>
    <row r="1752" ht="15" customHeight="1" s="231">
      <c r="A1752" s="397" t="n"/>
      <c r="B1752" s="397" t="n"/>
      <c r="C1752" s="397" t="n"/>
      <c r="D1752" s="397" t="n"/>
      <c r="E1752" s="397" t="n"/>
      <c r="F1752" s="397" t="n"/>
      <c r="G1752" s="397" t="n"/>
      <c r="I1752" s="397" t="n"/>
      <c r="J1752" s="397" t="n"/>
      <c r="K1752" s="395">
        <f>DATE(VALUE(LEFT(A1752,4)),VALUE(MID(A1752,5,2)),VALUE(RIGHT(A1752,2)))</f>
        <v/>
      </c>
      <c r="L1752" s="395">
        <f>DATEVALUE(LEFT(F1752,10))</f>
        <v/>
      </c>
      <c r="M1752" s="396">
        <f>TIMEVALUE(MID(F1752,12,8))</f>
        <v/>
      </c>
      <c r="N1752" s="395">
        <f>DATEVALUE(LEFT(G1752,10))</f>
        <v/>
      </c>
      <c r="O1752" s="396">
        <f>TIMEVALUE(MID(G1752,12,8))</f>
        <v/>
      </c>
      <c r="P1752" s="396">
        <f>IFERROR(_xlfn.MINIFS($M:$M,$E:$E,$E1752,$K:$K,$K1752,$M:$M,"&gt;"&amp;$O1752),"")</f>
        <v/>
      </c>
      <c r="Q1752" s="396">
        <f>IF($P1752="","",$P1752-$O1752)</f>
        <v/>
      </c>
    </row>
    <row r="1753" ht="15" customHeight="1" s="231">
      <c r="A1753" s="397" t="n"/>
      <c r="B1753" s="397" t="n"/>
      <c r="C1753" s="397" t="n"/>
      <c r="D1753" s="397" t="n"/>
      <c r="E1753" s="397" t="n"/>
      <c r="F1753" s="397" t="n"/>
      <c r="G1753" s="397" t="n"/>
      <c r="I1753" s="397" t="n"/>
      <c r="J1753" s="397" t="n"/>
      <c r="K1753" s="395">
        <f>DATE(VALUE(LEFT(A1753,4)),VALUE(MID(A1753,5,2)),VALUE(RIGHT(A1753,2)))</f>
        <v/>
      </c>
      <c r="L1753" s="395">
        <f>DATEVALUE(LEFT(F1753,10))</f>
        <v/>
      </c>
      <c r="M1753" s="396">
        <f>TIMEVALUE(MID(F1753,12,8))</f>
        <v/>
      </c>
      <c r="N1753" s="395">
        <f>DATEVALUE(LEFT(G1753,10))</f>
        <v/>
      </c>
      <c r="O1753" s="396">
        <f>TIMEVALUE(MID(G1753,12,8))</f>
        <v/>
      </c>
      <c r="P1753" s="396">
        <f>IFERROR(_xlfn.MINIFS($M:$M,$E:$E,$E1753,$K:$K,$K1753,$M:$M,"&gt;"&amp;$O1753),"")</f>
        <v/>
      </c>
      <c r="Q1753" s="396">
        <f>IF($P1753="","",$P1753-$O1753)</f>
        <v/>
      </c>
    </row>
    <row r="1754" ht="15" customHeight="1" s="231">
      <c r="A1754" s="397" t="n"/>
      <c r="B1754" s="397" t="n"/>
      <c r="C1754" s="397" t="n"/>
      <c r="D1754" s="397" t="n"/>
      <c r="E1754" s="397" t="n"/>
      <c r="F1754" s="397" t="n"/>
      <c r="G1754" s="397" t="n"/>
      <c r="I1754" s="397" t="n"/>
      <c r="J1754" s="397" t="n"/>
      <c r="K1754" s="395">
        <f>DATE(VALUE(LEFT(A1754,4)),VALUE(MID(A1754,5,2)),VALUE(RIGHT(A1754,2)))</f>
        <v/>
      </c>
      <c r="L1754" s="395">
        <f>DATEVALUE(LEFT(F1754,10))</f>
        <v/>
      </c>
      <c r="M1754" s="396">
        <f>TIMEVALUE(MID(F1754,12,8))</f>
        <v/>
      </c>
      <c r="N1754" s="395">
        <f>DATEVALUE(LEFT(G1754,10))</f>
        <v/>
      </c>
      <c r="O1754" s="396">
        <f>TIMEVALUE(MID(G1754,12,8))</f>
        <v/>
      </c>
      <c r="P1754" s="396">
        <f>IFERROR(_xlfn.MINIFS($M:$M,$E:$E,$E1754,$K:$K,$K1754,$M:$M,"&gt;"&amp;$O1754),"")</f>
        <v/>
      </c>
      <c r="Q1754" s="396">
        <f>IF($P1754="","",$P1754-$O1754)</f>
        <v/>
      </c>
    </row>
    <row r="1755" ht="15" customHeight="1" s="231">
      <c r="A1755" s="397" t="n"/>
      <c r="B1755" s="397" t="n"/>
      <c r="C1755" s="397" t="n"/>
      <c r="D1755" s="397" t="n"/>
      <c r="E1755" s="397" t="n"/>
      <c r="F1755" s="397" t="n"/>
      <c r="G1755" s="397" t="n"/>
      <c r="I1755" s="397" t="n"/>
      <c r="J1755" s="397" t="n"/>
      <c r="K1755" s="395">
        <f>DATE(VALUE(LEFT(A1755,4)),VALUE(MID(A1755,5,2)),VALUE(RIGHT(A1755,2)))</f>
        <v/>
      </c>
      <c r="L1755" s="395">
        <f>DATEVALUE(LEFT(F1755,10))</f>
        <v/>
      </c>
      <c r="M1755" s="396">
        <f>TIMEVALUE(MID(F1755,12,8))</f>
        <v/>
      </c>
      <c r="N1755" s="395">
        <f>DATEVALUE(LEFT(G1755,10))</f>
        <v/>
      </c>
      <c r="O1755" s="396">
        <f>TIMEVALUE(MID(G1755,12,8))</f>
        <v/>
      </c>
      <c r="P1755" s="396">
        <f>IFERROR(_xlfn.MINIFS($M:$M,$E:$E,$E1755,$K:$K,$K1755,$M:$M,"&gt;"&amp;$O1755),"")</f>
        <v/>
      </c>
      <c r="Q1755" s="396">
        <f>IF($P1755="","",$P1755-$O1755)</f>
        <v/>
      </c>
    </row>
    <row r="1756" ht="15" customHeight="1" s="231">
      <c r="A1756" s="397" t="n"/>
      <c r="B1756" s="397" t="n"/>
      <c r="C1756" s="397" t="n"/>
      <c r="D1756" s="397" t="n"/>
      <c r="E1756" s="397" t="n"/>
      <c r="F1756" s="397" t="n"/>
      <c r="G1756" s="397" t="n"/>
      <c r="I1756" s="397" t="n"/>
      <c r="J1756" s="397" t="n"/>
      <c r="K1756" s="395">
        <f>DATE(VALUE(LEFT(A1756,4)),VALUE(MID(A1756,5,2)),VALUE(RIGHT(A1756,2)))</f>
        <v/>
      </c>
      <c r="L1756" s="395">
        <f>DATEVALUE(LEFT(F1756,10))</f>
        <v/>
      </c>
      <c r="M1756" s="396">
        <f>TIMEVALUE(MID(F1756,12,8))</f>
        <v/>
      </c>
      <c r="N1756" s="395">
        <f>DATEVALUE(LEFT(G1756,10))</f>
        <v/>
      </c>
      <c r="O1756" s="396">
        <f>TIMEVALUE(MID(G1756,12,8))</f>
        <v/>
      </c>
      <c r="P1756" s="396">
        <f>IFERROR(_xlfn.MINIFS($M:$M,$E:$E,$E1756,$K:$K,$K1756,$M:$M,"&gt;"&amp;$O1756),"")</f>
        <v/>
      </c>
      <c r="Q1756" s="396">
        <f>IF($P1756="","",$P1756-$O1756)</f>
        <v/>
      </c>
    </row>
    <row r="1757" ht="15" customHeight="1" s="231">
      <c r="A1757" s="397" t="n"/>
      <c r="B1757" s="397" t="n"/>
      <c r="C1757" s="397" t="n"/>
      <c r="D1757" s="397" t="n"/>
      <c r="E1757" s="397" t="n"/>
      <c r="F1757" s="397" t="n"/>
      <c r="G1757" s="397" t="n"/>
      <c r="I1757" s="397" t="n"/>
      <c r="J1757" s="397" t="n"/>
      <c r="K1757" s="395">
        <f>DATE(VALUE(LEFT(A1757,4)),VALUE(MID(A1757,5,2)),VALUE(RIGHT(A1757,2)))</f>
        <v/>
      </c>
      <c r="L1757" s="395">
        <f>DATEVALUE(LEFT(F1757,10))</f>
        <v/>
      </c>
      <c r="M1757" s="396">
        <f>TIMEVALUE(MID(F1757,12,8))</f>
        <v/>
      </c>
      <c r="N1757" s="395">
        <f>DATEVALUE(LEFT(G1757,10))</f>
        <v/>
      </c>
      <c r="O1757" s="396">
        <f>TIMEVALUE(MID(G1757,12,8))</f>
        <v/>
      </c>
      <c r="P1757" s="396">
        <f>IFERROR(_xlfn.MINIFS($M:$M,$E:$E,$E1757,$K:$K,$K1757,$M:$M,"&gt;"&amp;$O1757),"")</f>
        <v/>
      </c>
      <c r="Q1757" s="396">
        <f>IF($P1757="","",$P1757-$O1757)</f>
        <v/>
      </c>
    </row>
    <row r="1758" ht="15" customHeight="1" s="231">
      <c r="A1758" s="397" t="n"/>
      <c r="B1758" s="397" t="n"/>
      <c r="C1758" s="397" t="n"/>
      <c r="D1758" s="397" t="n"/>
      <c r="E1758" s="397" t="n"/>
      <c r="F1758" s="397" t="n"/>
      <c r="G1758" s="397" t="n"/>
      <c r="I1758" s="397" t="n"/>
      <c r="J1758" s="397" t="n"/>
      <c r="K1758" s="395">
        <f>DATE(VALUE(LEFT(A1758,4)),VALUE(MID(A1758,5,2)),VALUE(RIGHT(A1758,2)))</f>
        <v/>
      </c>
      <c r="L1758" s="395">
        <f>DATEVALUE(LEFT(F1758,10))</f>
        <v/>
      </c>
      <c r="M1758" s="396">
        <f>TIMEVALUE(MID(F1758,12,8))</f>
        <v/>
      </c>
      <c r="N1758" s="395">
        <f>DATEVALUE(LEFT(G1758,10))</f>
        <v/>
      </c>
      <c r="O1758" s="396">
        <f>TIMEVALUE(MID(G1758,12,8))</f>
        <v/>
      </c>
      <c r="P1758" s="396">
        <f>IFERROR(_xlfn.MINIFS($M:$M,$E:$E,$E1758,$K:$K,$K1758,$M:$M,"&gt;"&amp;$O1758),"")</f>
        <v/>
      </c>
      <c r="Q1758" s="396">
        <f>IF($P1758="","",$P1758-$O1758)</f>
        <v/>
      </c>
    </row>
    <row r="1759" ht="15" customHeight="1" s="231">
      <c r="A1759" s="397" t="n"/>
      <c r="B1759" s="397" t="n"/>
      <c r="C1759" s="397" t="n"/>
      <c r="D1759" s="397" t="n"/>
      <c r="E1759" s="397" t="n"/>
      <c r="F1759" s="397" t="n"/>
      <c r="G1759" s="397" t="n"/>
      <c r="I1759" s="397" t="n"/>
      <c r="J1759" s="397" t="n"/>
      <c r="K1759" s="395">
        <f>DATE(VALUE(LEFT(A1759,4)),VALUE(MID(A1759,5,2)),VALUE(RIGHT(A1759,2)))</f>
        <v/>
      </c>
      <c r="L1759" s="395">
        <f>DATEVALUE(LEFT(F1759,10))</f>
        <v/>
      </c>
      <c r="M1759" s="396">
        <f>TIMEVALUE(MID(F1759,12,8))</f>
        <v/>
      </c>
      <c r="N1759" s="395">
        <f>DATEVALUE(LEFT(G1759,10))</f>
        <v/>
      </c>
      <c r="O1759" s="396">
        <f>TIMEVALUE(MID(G1759,12,8))</f>
        <v/>
      </c>
      <c r="P1759" s="396">
        <f>IFERROR(_xlfn.MINIFS($M:$M,$E:$E,$E1759,$K:$K,$K1759,$M:$M,"&gt;"&amp;$O1759),"")</f>
        <v/>
      </c>
      <c r="Q1759" s="396">
        <f>IF($P1759="","",$P1759-$O1759)</f>
        <v/>
      </c>
    </row>
    <row r="1760" ht="15" customHeight="1" s="231">
      <c r="A1760" s="397" t="n"/>
      <c r="B1760" s="397" t="n"/>
      <c r="C1760" s="397" t="n"/>
      <c r="D1760" s="397" t="n"/>
      <c r="E1760" s="397" t="n"/>
      <c r="F1760" s="397" t="n"/>
      <c r="G1760" s="397" t="n"/>
      <c r="I1760" s="397" t="n"/>
      <c r="J1760" s="397" t="n"/>
      <c r="K1760" s="395">
        <f>DATE(VALUE(LEFT(A1760,4)),VALUE(MID(A1760,5,2)),VALUE(RIGHT(A1760,2)))</f>
        <v/>
      </c>
      <c r="L1760" s="395">
        <f>DATEVALUE(LEFT(F1760,10))</f>
        <v/>
      </c>
      <c r="M1760" s="396">
        <f>TIMEVALUE(MID(F1760,12,8))</f>
        <v/>
      </c>
      <c r="N1760" s="395">
        <f>DATEVALUE(LEFT(G1760,10))</f>
        <v/>
      </c>
      <c r="O1760" s="396">
        <f>TIMEVALUE(MID(G1760,12,8))</f>
        <v/>
      </c>
      <c r="P1760" s="396">
        <f>IFERROR(_xlfn.MINIFS($M:$M,$E:$E,$E1760,$K:$K,$K1760,$M:$M,"&gt;"&amp;$O1760),"")</f>
        <v/>
      </c>
      <c r="Q1760" s="396">
        <f>IF($P1760="","",$P1760-$O1760)</f>
        <v/>
      </c>
    </row>
    <row r="1761" ht="15" customHeight="1" s="231">
      <c r="A1761" s="397" t="n"/>
      <c r="B1761" s="397" t="n"/>
      <c r="C1761" s="397" t="n"/>
      <c r="D1761" s="397" t="n"/>
      <c r="E1761" s="397" t="n"/>
      <c r="F1761" s="397" t="n"/>
      <c r="G1761" s="397" t="n"/>
      <c r="I1761" s="397" t="n"/>
      <c r="J1761" s="397" t="n"/>
      <c r="K1761" s="395">
        <f>DATE(VALUE(LEFT(A1761,4)),VALUE(MID(A1761,5,2)),VALUE(RIGHT(A1761,2)))</f>
        <v/>
      </c>
      <c r="L1761" s="395">
        <f>DATEVALUE(LEFT(F1761,10))</f>
        <v/>
      </c>
      <c r="M1761" s="396">
        <f>TIMEVALUE(MID(F1761,12,8))</f>
        <v/>
      </c>
      <c r="N1761" s="395">
        <f>DATEVALUE(LEFT(G1761,10))</f>
        <v/>
      </c>
      <c r="O1761" s="396">
        <f>TIMEVALUE(MID(G1761,12,8))</f>
        <v/>
      </c>
      <c r="P1761" s="396">
        <f>IFERROR(_xlfn.MINIFS($M:$M,$E:$E,$E1761,$K:$K,$K1761,$M:$M,"&gt;"&amp;$O1761),"")</f>
        <v/>
      </c>
      <c r="Q1761" s="396">
        <f>IF($P1761="","",$P1761-$O1761)</f>
        <v/>
      </c>
    </row>
    <row r="1762" ht="15" customHeight="1" s="231">
      <c r="A1762" s="397" t="n"/>
      <c r="B1762" s="397" t="n"/>
      <c r="C1762" s="397" t="n"/>
      <c r="D1762" s="397" t="n"/>
      <c r="E1762" s="397" t="n"/>
      <c r="F1762" s="397" t="n"/>
      <c r="G1762" s="397" t="n"/>
      <c r="I1762" s="397" t="n"/>
      <c r="J1762" s="397" t="n"/>
      <c r="K1762" s="395">
        <f>DATE(VALUE(LEFT(A1762,4)),VALUE(MID(A1762,5,2)),VALUE(RIGHT(A1762,2)))</f>
        <v/>
      </c>
      <c r="L1762" s="395">
        <f>DATEVALUE(LEFT(F1762,10))</f>
        <v/>
      </c>
      <c r="M1762" s="396">
        <f>TIMEVALUE(MID(F1762,12,8))</f>
        <v/>
      </c>
      <c r="N1762" s="395">
        <f>DATEVALUE(LEFT(G1762,10))</f>
        <v/>
      </c>
      <c r="O1762" s="396">
        <f>TIMEVALUE(MID(G1762,12,8))</f>
        <v/>
      </c>
      <c r="P1762" s="396">
        <f>IFERROR(_xlfn.MINIFS($M:$M,$E:$E,$E1762,$K:$K,$K1762,$M:$M,"&gt;"&amp;$O1762),"")</f>
        <v/>
      </c>
      <c r="Q1762" s="396">
        <f>IF($P1762="","",$P1762-$O1762)</f>
        <v/>
      </c>
    </row>
    <row r="1763" ht="15" customHeight="1" s="231">
      <c r="A1763" s="397" t="n"/>
      <c r="B1763" s="397" t="n"/>
      <c r="C1763" s="397" t="n"/>
      <c r="D1763" s="397" t="n"/>
      <c r="E1763" s="397" t="n"/>
      <c r="F1763" s="397" t="n"/>
      <c r="G1763" s="397" t="n"/>
      <c r="I1763" s="397" t="n"/>
      <c r="J1763" s="397" t="n"/>
      <c r="K1763" s="395">
        <f>DATE(VALUE(LEFT(A1763,4)),VALUE(MID(A1763,5,2)),VALUE(RIGHT(A1763,2)))</f>
        <v/>
      </c>
      <c r="L1763" s="395">
        <f>DATEVALUE(LEFT(F1763,10))</f>
        <v/>
      </c>
      <c r="M1763" s="396">
        <f>TIMEVALUE(MID(F1763,12,8))</f>
        <v/>
      </c>
      <c r="N1763" s="395">
        <f>DATEVALUE(LEFT(G1763,10))</f>
        <v/>
      </c>
      <c r="O1763" s="396">
        <f>TIMEVALUE(MID(G1763,12,8))</f>
        <v/>
      </c>
      <c r="P1763" s="396">
        <f>IFERROR(_xlfn.MINIFS($M:$M,$E:$E,$E1763,$K:$K,$K1763,$M:$M,"&gt;"&amp;$O1763),"")</f>
        <v/>
      </c>
      <c r="Q1763" s="396">
        <f>IF($P1763="","",$P1763-$O1763)</f>
        <v/>
      </c>
    </row>
    <row r="1764" ht="15" customHeight="1" s="231">
      <c r="A1764" s="397" t="n"/>
      <c r="B1764" s="397" t="n"/>
      <c r="C1764" s="397" t="n"/>
      <c r="D1764" s="397" t="n"/>
      <c r="E1764" s="397" t="n"/>
      <c r="F1764" s="397" t="n"/>
      <c r="G1764" s="397" t="n"/>
      <c r="I1764" s="397" t="n"/>
      <c r="J1764" s="397" t="n"/>
      <c r="K1764" s="395">
        <f>DATE(VALUE(LEFT(A1764,4)),VALUE(MID(A1764,5,2)),VALUE(RIGHT(A1764,2)))</f>
        <v/>
      </c>
      <c r="L1764" s="395">
        <f>DATEVALUE(LEFT(F1764,10))</f>
        <v/>
      </c>
      <c r="M1764" s="396">
        <f>TIMEVALUE(MID(F1764,12,8))</f>
        <v/>
      </c>
      <c r="N1764" s="395">
        <f>DATEVALUE(LEFT(G1764,10))</f>
        <v/>
      </c>
      <c r="O1764" s="396">
        <f>TIMEVALUE(MID(G1764,12,8))</f>
        <v/>
      </c>
      <c r="P1764" s="396">
        <f>IFERROR(_xlfn.MINIFS($M:$M,$E:$E,$E1764,$K:$K,$K1764,$M:$M,"&gt;"&amp;$O1764),"")</f>
        <v/>
      </c>
      <c r="Q1764" s="396">
        <f>IF($P1764="","",$P1764-$O1764)</f>
        <v/>
      </c>
    </row>
    <row r="1765" ht="15" customHeight="1" s="231">
      <c r="A1765" s="397" t="n"/>
      <c r="B1765" s="397" t="n"/>
      <c r="C1765" s="397" t="n"/>
      <c r="D1765" s="397" t="n"/>
      <c r="E1765" s="397" t="n"/>
      <c r="F1765" s="397" t="n"/>
      <c r="G1765" s="397" t="n"/>
      <c r="I1765" s="397" t="n"/>
      <c r="J1765" s="397" t="n"/>
      <c r="K1765" s="395">
        <f>DATE(VALUE(LEFT(A1765,4)),VALUE(MID(A1765,5,2)),VALUE(RIGHT(A1765,2)))</f>
        <v/>
      </c>
      <c r="L1765" s="395">
        <f>DATEVALUE(LEFT(F1765,10))</f>
        <v/>
      </c>
      <c r="M1765" s="396">
        <f>TIMEVALUE(MID(F1765,12,8))</f>
        <v/>
      </c>
      <c r="N1765" s="395">
        <f>DATEVALUE(LEFT(G1765,10))</f>
        <v/>
      </c>
      <c r="O1765" s="396">
        <f>TIMEVALUE(MID(G1765,12,8))</f>
        <v/>
      </c>
      <c r="P1765" s="396">
        <f>IFERROR(_xlfn.MINIFS($M:$M,$E:$E,$E1765,$K:$K,$K1765,$M:$M,"&gt;"&amp;$O1765),"")</f>
        <v/>
      </c>
      <c r="Q1765" s="396">
        <f>IF($P1765="","",$P1765-$O1765)</f>
        <v/>
      </c>
    </row>
    <row r="1766" ht="15" customHeight="1" s="231">
      <c r="A1766" s="397" t="n"/>
      <c r="B1766" s="397" t="n"/>
      <c r="C1766" s="397" t="n"/>
      <c r="D1766" s="397" t="n"/>
      <c r="E1766" s="397" t="n"/>
      <c r="F1766" s="397" t="n"/>
      <c r="G1766" s="397" t="n"/>
      <c r="I1766" s="397" t="n"/>
      <c r="J1766" s="397" t="n"/>
      <c r="K1766" s="395">
        <f>DATE(VALUE(LEFT(A1766,4)),VALUE(MID(A1766,5,2)),VALUE(RIGHT(A1766,2)))</f>
        <v/>
      </c>
      <c r="L1766" s="395">
        <f>DATEVALUE(LEFT(F1766,10))</f>
        <v/>
      </c>
      <c r="M1766" s="396">
        <f>TIMEVALUE(MID(F1766,12,8))</f>
        <v/>
      </c>
      <c r="N1766" s="395">
        <f>DATEVALUE(LEFT(G1766,10))</f>
        <v/>
      </c>
      <c r="O1766" s="396">
        <f>TIMEVALUE(MID(G1766,12,8))</f>
        <v/>
      </c>
      <c r="P1766" s="396">
        <f>IFERROR(_xlfn.MINIFS($M:$M,$E:$E,$E1766,$K:$K,$K1766,$M:$M,"&gt;"&amp;$O1766),"")</f>
        <v/>
      </c>
      <c r="Q1766" s="396">
        <f>IF($P1766="","",$P1766-$O1766)</f>
        <v/>
      </c>
    </row>
    <row r="1767" ht="15" customHeight="1" s="231">
      <c r="A1767" s="397" t="n"/>
      <c r="B1767" s="397" t="n"/>
      <c r="C1767" s="397" t="n"/>
      <c r="D1767" s="397" t="n"/>
      <c r="E1767" s="397" t="n"/>
      <c r="F1767" s="397" t="n"/>
      <c r="G1767" s="397" t="n"/>
      <c r="I1767" s="397" t="n"/>
      <c r="J1767" s="397" t="n"/>
      <c r="K1767" s="395">
        <f>DATE(VALUE(LEFT(A1767,4)),VALUE(MID(A1767,5,2)),VALUE(RIGHT(A1767,2)))</f>
        <v/>
      </c>
      <c r="L1767" s="395">
        <f>DATEVALUE(LEFT(F1767,10))</f>
        <v/>
      </c>
      <c r="M1767" s="396">
        <f>TIMEVALUE(MID(F1767,12,8))</f>
        <v/>
      </c>
      <c r="N1767" s="395">
        <f>DATEVALUE(LEFT(G1767,10))</f>
        <v/>
      </c>
      <c r="O1767" s="396">
        <f>TIMEVALUE(MID(G1767,12,8))</f>
        <v/>
      </c>
      <c r="P1767" s="396">
        <f>IFERROR(_xlfn.MINIFS($M:$M,$E:$E,$E1767,$K:$K,$K1767,$M:$M,"&gt;"&amp;$O1767),"")</f>
        <v/>
      </c>
      <c r="Q1767" s="396">
        <f>IF($P1767="","",$P1767-$O1767)</f>
        <v/>
      </c>
    </row>
    <row r="1768" ht="15" customHeight="1" s="231">
      <c r="A1768" s="397" t="n"/>
      <c r="B1768" s="397" t="n"/>
      <c r="C1768" s="397" t="n"/>
      <c r="D1768" s="397" t="n"/>
      <c r="E1768" s="397" t="n"/>
      <c r="F1768" s="397" t="n"/>
      <c r="G1768" s="397" t="n"/>
      <c r="I1768" s="397" t="n"/>
      <c r="J1768" s="397" t="n"/>
      <c r="K1768" s="395">
        <f>DATE(VALUE(LEFT(A1768,4)),VALUE(MID(A1768,5,2)),VALUE(RIGHT(A1768,2)))</f>
        <v/>
      </c>
      <c r="L1768" s="395">
        <f>DATEVALUE(LEFT(F1768,10))</f>
        <v/>
      </c>
      <c r="M1768" s="396">
        <f>TIMEVALUE(MID(F1768,12,8))</f>
        <v/>
      </c>
      <c r="N1768" s="395">
        <f>DATEVALUE(LEFT(G1768,10))</f>
        <v/>
      </c>
      <c r="O1768" s="396">
        <f>TIMEVALUE(MID(G1768,12,8))</f>
        <v/>
      </c>
      <c r="P1768" s="396">
        <f>IFERROR(_xlfn.MINIFS($M:$M,$E:$E,$E1768,$K:$K,$K1768,$M:$M,"&gt;"&amp;$O1768),"")</f>
        <v/>
      </c>
      <c r="Q1768" s="396">
        <f>IF($P1768="","",$P1768-$O1768)</f>
        <v/>
      </c>
    </row>
    <row r="1769" ht="15" customHeight="1" s="231">
      <c r="A1769" s="397" t="n"/>
      <c r="B1769" s="397" t="n"/>
      <c r="C1769" s="397" t="n"/>
      <c r="D1769" s="397" t="n"/>
      <c r="E1769" s="397" t="n"/>
      <c r="F1769" s="397" t="n"/>
      <c r="G1769" s="397" t="n"/>
      <c r="I1769" s="397" t="n"/>
      <c r="J1769" s="397" t="n"/>
      <c r="K1769" s="395">
        <f>DATE(VALUE(LEFT(A1769,4)),VALUE(MID(A1769,5,2)),VALUE(RIGHT(A1769,2)))</f>
        <v/>
      </c>
      <c r="L1769" s="395">
        <f>DATEVALUE(LEFT(F1769,10))</f>
        <v/>
      </c>
      <c r="M1769" s="396">
        <f>TIMEVALUE(MID(F1769,12,8))</f>
        <v/>
      </c>
      <c r="N1769" s="395">
        <f>DATEVALUE(LEFT(G1769,10))</f>
        <v/>
      </c>
      <c r="O1769" s="396">
        <f>TIMEVALUE(MID(G1769,12,8))</f>
        <v/>
      </c>
      <c r="P1769" s="396">
        <f>IFERROR(_xlfn.MINIFS($M:$M,$E:$E,$E1769,$K:$K,$K1769,$M:$M,"&gt;"&amp;$O1769),"")</f>
        <v/>
      </c>
      <c r="Q1769" s="396">
        <f>IF($P1769="","",$P1769-$O1769)</f>
        <v/>
      </c>
    </row>
    <row r="1770" ht="15" customHeight="1" s="231">
      <c r="A1770" s="397" t="n"/>
      <c r="B1770" s="397" t="n"/>
      <c r="C1770" s="397" t="n"/>
      <c r="D1770" s="397" t="n"/>
      <c r="E1770" s="397" t="n"/>
      <c r="F1770" s="397" t="n"/>
      <c r="G1770" s="397" t="n"/>
      <c r="I1770" s="397" t="n"/>
      <c r="J1770" s="397" t="n"/>
      <c r="K1770" s="395">
        <f>DATE(VALUE(LEFT(A1770,4)),VALUE(MID(A1770,5,2)),VALUE(RIGHT(A1770,2)))</f>
        <v/>
      </c>
      <c r="L1770" s="395">
        <f>DATEVALUE(LEFT(F1770,10))</f>
        <v/>
      </c>
      <c r="M1770" s="396">
        <f>TIMEVALUE(MID(F1770,12,8))</f>
        <v/>
      </c>
      <c r="N1770" s="395">
        <f>DATEVALUE(LEFT(G1770,10))</f>
        <v/>
      </c>
      <c r="O1770" s="396">
        <f>TIMEVALUE(MID(G1770,12,8))</f>
        <v/>
      </c>
      <c r="P1770" s="396">
        <f>IFERROR(_xlfn.MINIFS($M:$M,$E:$E,$E1770,$K:$K,$K1770,$M:$M,"&gt;"&amp;$O1770),"")</f>
        <v/>
      </c>
      <c r="Q1770" s="396">
        <f>IF($P1770="","",$P1770-$O1770)</f>
        <v/>
      </c>
    </row>
    <row r="1771" ht="15" customHeight="1" s="231">
      <c r="A1771" s="397" t="n"/>
      <c r="B1771" s="397" t="n"/>
      <c r="C1771" s="397" t="n"/>
      <c r="D1771" s="397" t="n"/>
      <c r="E1771" s="397" t="n"/>
      <c r="F1771" s="397" t="n"/>
      <c r="G1771" s="397" t="n"/>
      <c r="I1771" s="397" t="n"/>
      <c r="J1771" s="397" t="n"/>
      <c r="K1771" s="395">
        <f>DATE(VALUE(LEFT(A1771,4)),VALUE(MID(A1771,5,2)),VALUE(RIGHT(A1771,2)))</f>
        <v/>
      </c>
      <c r="L1771" s="395">
        <f>DATEVALUE(LEFT(F1771,10))</f>
        <v/>
      </c>
      <c r="M1771" s="396">
        <f>TIMEVALUE(MID(F1771,12,8))</f>
        <v/>
      </c>
      <c r="N1771" s="395">
        <f>DATEVALUE(LEFT(G1771,10))</f>
        <v/>
      </c>
      <c r="O1771" s="396">
        <f>TIMEVALUE(MID(G1771,12,8))</f>
        <v/>
      </c>
      <c r="P1771" s="396">
        <f>IFERROR(_xlfn.MINIFS($M:$M,$E:$E,$E1771,$K:$K,$K1771,$M:$M,"&gt;"&amp;$O1771),"")</f>
        <v/>
      </c>
      <c r="Q1771" s="396">
        <f>IF($P1771="","",$P1771-$O1771)</f>
        <v/>
      </c>
    </row>
    <row r="1772" ht="15" customHeight="1" s="231">
      <c r="A1772" s="397" t="n"/>
      <c r="B1772" s="397" t="n"/>
      <c r="C1772" s="397" t="n"/>
      <c r="D1772" s="397" t="n"/>
      <c r="E1772" s="397" t="n"/>
      <c r="F1772" s="397" t="n"/>
      <c r="G1772" s="397" t="n"/>
      <c r="I1772" s="397" t="n"/>
      <c r="J1772" s="397" t="n"/>
      <c r="K1772" s="395">
        <f>DATE(VALUE(LEFT(A1772,4)),VALUE(MID(A1772,5,2)),VALUE(RIGHT(A1772,2)))</f>
        <v/>
      </c>
      <c r="L1772" s="395">
        <f>DATEVALUE(LEFT(F1772,10))</f>
        <v/>
      </c>
      <c r="M1772" s="396">
        <f>TIMEVALUE(MID(F1772,12,8))</f>
        <v/>
      </c>
      <c r="N1772" s="395">
        <f>DATEVALUE(LEFT(G1772,10))</f>
        <v/>
      </c>
      <c r="O1772" s="396">
        <f>TIMEVALUE(MID(G1772,12,8))</f>
        <v/>
      </c>
      <c r="P1772" s="396">
        <f>IFERROR(_xlfn.MINIFS($M:$M,$E:$E,$E1772,$K:$K,$K1772,$M:$M,"&gt;"&amp;$O1772),"")</f>
        <v/>
      </c>
      <c r="Q1772" s="396">
        <f>IF($P1772="","",$P1772-$O1772)</f>
        <v/>
      </c>
    </row>
    <row r="1773" ht="15" customHeight="1" s="231">
      <c r="A1773" s="397" t="n"/>
      <c r="B1773" s="397" t="n"/>
      <c r="C1773" s="397" t="n"/>
      <c r="D1773" s="397" t="n"/>
      <c r="E1773" s="397" t="n"/>
      <c r="F1773" s="397" t="n"/>
      <c r="G1773" s="397" t="n"/>
      <c r="I1773" s="397" t="n"/>
      <c r="J1773" s="397" t="n"/>
      <c r="K1773" s="395">
        <f>DATE(VALUE(LEFT(A1773,4)),VALUE(MID(A1773,5,2)),VALUE(RIGHT(A1773,2)))</f>
        <v/>
      </c>
      <c r="L1773" s="395">
        <f>DATEVALUE(LEFT(F1773,10))</f>
        <v/>
      </c>
      <c r="M1773" s="396">
        <f>TIMEVALUE(MID(F1773,12,8))</f>
        <v/>
      </c>
      <c r="N1773" s="395">
        <f>DATEVALUE(LEFT(G1773,10))</f>
        <v/>
      </c>
      <c r="O1773" s="396">
        <f>TIMEVALUE(MID(G1773,12,8))</f>
        <v/>
      </c>
      <c r="P1773" s="396">
        <f>IFERROR(_xlfn.MINIFS($M:$M,$E:$E,$E1773,$K:$K,$K1773,$M:$M,"&gt;"&amp;$O1773),"")</f>
        <v/>
      </c>
      <c r="Q1773" s="396">
        <f>IF($P1773="","",$P1773-$O1773)</f>
        <v/>
      </c>
    </row>
    <row r="1774" ht="15" customHeight="1" s="231">
      <c r="A1774" s="397" t="n"/>
      <c r="B1774" s="397" t="n"/>
      <c r="C1774" s="397" t="n"/>
      <c r="D1774" s="397" t="n"/>
      <c r="E1774" s="397" t="n"/>
      <c r="F1774" s="397" t="n"/>
      <c r="G1774" s="397" t="n"/>
      <c r="I1774" s="397" t="n"/>
      <c r="J1774" s="397" t="n"/>
      <c r="K1774" s="395">
        <f>DATE(VALUE(LEFT(A1774,4)),VALUE(MID(A1774,5,2)),VALUE(RIGHT(A1774,2)))</f>
        <v/>
      </c>
      <c r="L1774" s="395">
        <f>DATEVALUE(LEFT(F1774,10))</f>
        <v/>
      </c>
      <c r="M1774" s="396">
        <f>TIMEVALUE(MID(F1774,12,8))</f>
        <v/>
      </c>
      <c r="N1774" s="395">
        <f>DATEVALUE(LEFT(G1774,10))</f>
        <v/>
      </c>
      <c r="O1774" s="396">
        <f>TIMEVALUE(MID(G1774,12,8))</f>
        <v/>
      </c>
      <c r="P1774" s="396">
        <f>IFERROR(_xlfn.MINIFS($M:$M,$E:$E,$E1774,$K:$K,$K1774,$M:$M,"&gt;"&amp;$O1774),"")</f>
        <v/>
      </c>
      <c r="Q1774" s="396">
        <f>IF($P1774="","",$P1774-$O1774)</f>
        <v/>
      </c>
    </row>
    <row r="1775" ht="15" customHeight="1" s="231">
      <c r="A1775" s="397" t="n"/>
      <c r="B1775" s="397" t="n"/>
      <c r="C1775" s="397" t="n"/>
      <c r="D1775" s="397" t="n"/>
      <c r="E1775" s="397" t="n"/>
      <c r="F1775" s="397" t="n"/>
      <c r="G1775" s="397" t="n"/>
      <c r="I1775" s="397" t="n"/>
      <c r="J1775" s="397" t="n"/>
      <c r="K1775" s="395">
        <f>DATE(VALUE(LEFT(A1775,4)),VALUE(MID(A1775,5,2)),VALUE(RIGHT(A1775,2)))</f>
        <v/>
      </c>
      <c r="L1775" s="395">
        <f>DATEVALUE(LEFT(F1775,10))</f>
        <v/>
      </c>
      <c r="M1775" s="396">
        <f>TIMEVALUE(MID(F1775,12,8))</f>
        <v/>
      </c>
      <c r="N1775" s="395">
        <f>DATEVALUE(LEFT(G1775,10))</f>
        <v/>
      </c>
      <c r="O1775" s="396">
        <f>TIMEVALUE(MID(G1775,12,8))</f>
        <v/>
      </c>
      <c r="P1775" s="396">
        <f>IFERROR(_xlfn.MINIFS($M:$M,$E:$E,$E1775,$K:$K,$K1775,$M:$M,"&gt;"&amp;$O1775),"")</f>
        <v/>
      </c>
      <c r="Q1775" s="396">
        <f>IF($P1775="","",$P1775-$O1775)</f>
        <v/>
      </c>
    </row>
    <row r="1776" ht="15" customHeight="1" s="231">
      <c r="A1776" s="397" t="n"/>
      <c r="B1776" s="397" t="n"/>
      <c r="C1776" s="397" t="n"/>
      <c r="D1776" s="397" t="n"/>
      <c r="E1776" s="397" t="n"/>
      <c r="F1776" s="397" t="n"/>
      <c r="G1776" s="397" t="n"/>
      <c r="I1776" s="397" t="n"/>
      <c r="J1776" s="397" t="n"/>
      <c r="K1776" s="395">
        <f>DATE(VALUE(LEFT(A1776,4)),VALUE(MID(A1776,5,2)),VALUE(RIGHT(A1776,2)))</f>
        <v/>
      </c>
      <c r="L1776" s="395">
        <f>DATEVALUE(LEFT(F1776,10))</f>
        <v/>
      </c>
      <c r="M1776" s="396">
        <f>TIMEVALUE(MID(F1776,12,8))</f>
        <v/>
      </c>
      <c r="N1776" s="395">
        <f>DATEVALUE(LEFT(G1776,10))</f>
        <v/>
      </c>
      <c r="O1776" s="396">
        <f>TIMEVALUE(MID(G1776,12,8))</f>
        <v/>
      </c>
      <c r="P1776" s="396">
        <f>IFERROR(_xlfn.MINIFS($M:$M,$E:$E,$E1776,$K:$K,$K1776,$M:$M,"&gt;"&amp;$O1776),"")</f>
        <v/>
      </c>
      <c r="Q1776" s="396">
        <f>IF($P1776="","",$P1776-$O1776)</f>
        <v/>
      </c>
    </row>
    <row r="1777" ht="15" customHeight="1" s="231">
      <c r="A1777" s="397" t="n"/>
      <c r="B1777" s="397" t="n"/>
      <c r="C1777" s="397" t="n"/>
      <c r="D1777" s="397" t="n"/>
      <c r="E1777" s="397" t="n"/>
      <c r="F1777" s="397" t="n"/>
      <c r="G1777" s="397" t="n"/>
      <c r="I1777" s="397" t="n"/>
      <c r="J1777" s="397" t="n"/>
      <c r="K1777" s="395">
        <f>DATE(VALUE(LEFT(A1777,4)),VALUE(MID(A1777,5,2)),VALUE(RIGHT(A1777,2)))</f>
        <v/>
      </c>
      <c r="L1777" s="395">
        <f>DATEVALUE(LEFT(F1777,10))</f>
        <v/>
      </c>
      <c r="M1777" s="396">
        <f>TIMEVALUE(MID(F1777,12,8))</f>
        <v/>
      </c>
      <c r="N1777" s="395">
        <f>DATEVALUE(LEFT(G1777,10))</f>
        <v/>
      </c>
      <c r="O1777" s="396">
        <f>TIMEVALUE(MID(G1777,12,8))</f>
        <v/>
      </c>
      <c r="P1777" s="396">
        <f>IFERROR(_xlfn.MINIFS($M:$M,$E:$E,$E1777,$K:$K,$K1777,$M:$M,"&gt;"&amp;$O1777),"")</f>
        <v/>
      </c>
      <c r="Q1777" s="396">
        <f>IF($P1777="","",$P1777-$O1777)</f>
        <v/>
      </c>
    </row>
    <row r="1778" ht="15" customHeight="1" s="231">
      <c r="A1778" s="397" t="n"/>
      <c r="B1778" s="397" t="n"/>
      <c r="C1778" s="397" t="n"/>
      <c r="D1778" s="397" t="n"/>
      <c r="E1778" s="397" t="n"/>
      <c r="F1778" s="397" t="n"/>
      <c r="G1778" s="397" t="n"/>
      <c r="I1778" s="397" t="n"/>
      <c r="J1778" s="397" t="n"/>
      <c r="K1778" s="395">
        <f>DATE(VALUE(LEFT(A1778,4)),VALUE(MID(A1778,5,2)),VALUE(RIGHT(A1778,2)))</f>
        <v/>
      </c>
      <c r="L1778" s="395">
        <f>DATEVALUE(LEFT(F1778,10))</f>
        <v/>
      </c>
      <c r="M1778" s="396">
        <f>TIMEVALUE(MID(F1778,12,8))</f>
        <v/>
      </c>
      <c r="N1778" s="395">
        <f>DATEVALUE(LEFT(G1778,10))</f>
        <v/>
      </c>
      <c r="O1778" s="396">
        <f>TIMEVALUE(MID(G1778,12,8))</f>
        <v/>
      </c>
      <c r="P1778" s="396">
        <f>IFERROR(_xlfn.MINIFS($M:$M,$E:$E,$E1778,$K:$K,$K1778,$M:$M,"&gt;"&amp;$O1778),"")</f>
        <v/>
      </c>
      <c r="Q1778" s="396">
        <f>IF($P1778="","",$P1778-$O1778)</f>
        <v/>
      </c>
    </row>
    <row r="1779" ht="15" customHeight="1" s="231">
      <c r="A1779" s="397" t="n"/>
      <c r="B1779" s="397" t="n"/>
      <c r="C1779" s="397" t="n"/>
      <c r="D1779" s="397" t="n"/>
      <c r="E1779" s="397" t="n"/>
      <c r="F1779" s="397" t="n"/>
      <c r="G1779" s="397" t="n"/>
      <c r="I1779" s="397" t="n"/>
      <c r="J1779" s="397" t="n"/>
      <c r="K1779" s="395">
        <f>DATE(VALUE(LEFT(A1779,4)),VALUE(MID(A1779,5,2)),VALUE(RIGHT(A1779,2)))</f>
        <v/>
      </c>
      <c r="L1779" s="395">
        <f>DATEVALUE(LEFT(F1779,10))</f>
        <v/>
      </c>
      <c r="M1779" s="396">
        <f>TIMEVALUE(MID(F1779,12,8))</f>
        <v/>
      </c>
      <c r="N1779" s="395">
        <f>DATEVALUE(LEFT(G1779,10))</f>
        <v/>
      </c>
      <c r="O1779" s="396">
        <f>TIMEVALUE(MID(G1779,12,8))</f>
        <v/>
      </c>
      <c r="P1779" s="396">
        <f>IFERROR(_xlfn.MINIFS($M:$M,$E:$E,$E1779,$K:$K,$K1779,$M:$M,"&gt;"&amp;$O1779),"")</f>
        <v/>
      </c>
      <c r="Q1779" s="396">
        <f>IF($P1779="","",$P1779-$O1779)</f>
        <v/>
      </c>
    </row>
    <row r="1780" ht="15" customHeight="1" s="231">
      <c r="A1780" s="397" t="n"/>
      <c r="B1780" s="397" t="n"/>
      <c r="C1780" s="397" t="n"/>
      <c r="D1780" s="397" t="n"/>
      <c r="E1780" s="397" t="n"/>
      <c r="F1780" s="397" t="n"/>
      <c r="G1780" s="397" t="n"/>
      <c r="I1780" s="397" t="n"/>
      <c r="J1780" s="397" t="n"/>
      <c r="K1780" s="395">
        <f>DATE(VALUE(LEFT(A1780,4)),VALUE(MID(A1780,5,2)),VALUE(RIGHT(A1780,2)))</f>
        <v/>
      </c>
      <c r="L1780" s="395">
        <f>DATEVALUE(LEFT(F1780,10))</f>
        <v/>
      </c>
      <c r="M1780" s="396">
        <f>TIMEVALUE(MID(F1780,12,8))</f>
        <v/>
      </c>
      <c r="N1780" s="395">
        <f>DATEVALUE(LEFT(G1780,10))</f>
        <v/>
      </c>
      <c r="O1780" s="396">
        <f>TIMEVALUE(MID(G1780,12,8))</f>
        <v/>
      </c>
      <c r="P1780" s="396">
        <f>IFERROR(_xlfn.MINIFS($M:$M,$E:$E,$E1780,$K:$K,$K1780,$M:$M,"&gt;"&amp;$O1780),"")</f>
        <v/>
      </c>
      <c r="Q1780" s="396">
        <f>IF($P1780="","",$P1780-$O1780)</f>
        <v/>
      </c>
    </row>
    <row r="1781" ht="15" customHeight="1" s="231">
      <c r="A1781" s="397" t="n"/>
      <c r="B1781" s="397" t="n"/>
      <c r="C1781" s="397" t="n"/>
      <c r="D1781" s="397" t="n"/>
      <c r="E1781" s="397" t="n"/>
      <c r="F1781" s="397" t="n"/>
      <c r="G1781" s="397" t="n"/>
      <c r="I1781" s="397" t="n"/>
      <c r="J1781" s="397" t="n"/>
      <c r="K1781" s="395">
        <f>DATE(VALUE(LEFT(A1781,4)),VALUE(MID(A1781,5,2)),VALUE(RIGHT(A1781,2)))</f>
        <v/>
      </c>
      <c r="L1781" s="395">
        <f>DATEVALUE(LEFT(F1781,10))</f>
        <v/>
      </c>
      <c r="M1781" s="396">
        <f>TIMEVALUE(MID(F1781,12,8))</f>
        <v/>
      </c>
      <c r="N1781" s="395">
        <f>DATEVALUE(LEFT(G1781,10))</f>
        <v/>
      </c>
      <c r="O1781" s="396">
        <f>TIMEVALUE(MID(G1781,12,8))</f>
        <v/>
      </c>
      <c r="P1781" s="396">
        <f>IFERROR(_xlfn.MINIFS($M:$M,$E:$E,$E1781,$K:$K,$K1781,$M:$M,"&gt;"&amp;$O1781),"")</f>
        <v/>
      </c>
      <c r="Q1781" s="396">
        <f>IF($P1781="","",$P1781-$O1781)</f>
        <v/>
      </c>
    </row>
    <row r="1782" ht="15" customHeight="1" s="231">
      <c r="A1782" s="397" t="n"/>
      <c r="B1782" s="397" t="n"/>
      <c r="C1782" s="397" t="n"/>
      <c r="D1782" s="397" t="n"/>
      <c r="E1782" s="397" t="n"/>
      <c r="F1782" s="397" t="n"/>
      <c r="G1782" s="397" t="n"/>
      <c r="I1782" s="397" t="n"/>
      <c r="J1782" s="397" t="n"/>
      <c r="K1782" s="395">
        <f>DATE(VALUE(LEFT(A1782,4)),VALUE(MID(A1782,5,2)),VALUE(RIGHT(A1782,2)))</f>
        <v/>
      </c>
      <c r="L1782" s="395">
        <f>DATEVALUE(LEFT(F1782,10))</f>
        <v/>
      </c>
      <c r="M1782" s="396">
        <f>TIMEVALUE(MID(F1782,12,8))</f>
        <v/>
      </c>
      <c r="N1782" s="395">
        <f>DATEVALUE(LEFT(G1782,10))</f>
        <v/>
      </c>
      <c r="O1782" s="396">
        <f>TIMEVALUE(MID(G1782,12,8))</f>
        <v/>
      </c>
      <c r="P1782" s="396">
        <f>IFERROR(_xlfn.MINIFS($M:$M,$E:$E,$E1782,$K:$K,$K1782,$M:$M,"&gt;"&amp;$O1782),"")</f>
        <v/>
      </c>
      <c r="Q1782" s="396">
        <f>IF($P1782="","",$P1782-$O1782)</f>
        <v/>
      </c>
    </row>
    <row r="1783" ht="15" customHeight="1" s="231">
      <c r="A1783" s="397" t="n"/>
      <c r="B1783" s="397" t="n"/>
      <c r="C1783" s="397" t="n"/>
      <c r="D1783" s="397" t="n"/>
      <c r="E1783" s="397" t="n"/>
      <c r="F1783" s="397" t="n"/>
      <c r="G1783" s="397" t="n"/>
      <c r="I1783" s="397" t="n"/>
      <c r="J1783" s="397" t="n"/>
      <c r="K1783" s="395">
        <f>DATE(VALUE(LEFT(A1783,4)),VALUE(MID(A1783,5,2)),VALUE(RIGHT(A1783,2)))</f>
        <v/>
      </c>
      <c r="L1783" s="395">
        <f>DATEVALUE(LEFT(F1783,10))</f>
        <v/>
      </c>
      <c r="M1783" s="396">
        <f>TIMEVALUE(MID(F1783,12,8))</f>
        <v/>
      </c>
      <c r="N1783" s="395">
        <f>DATEVALUE(LEFT(G1783,10))</f>
        <v/>
      </c>
      <c r="O1783" s="396">
        <f>TIMEVALUE(MID(G1783,12,8))</f>
        <v/>
      </c>
      <c r="P1783" s="396">
        <f>IFERROR(_xlfn.MINIFS($M:$M,$E:$E,$E1783,$K:$K,$K1783,$M:$M,"&gt;"&amp;$O1783),"")</f>
        <v/>
      </c>
      <c r="Q1783" s="396">
        <f>IF($P1783="","",$P1783-$O1783)</f>
        <v/>
      </c>
    </row>
    <row r="1784" ht="15" customHeight="1" s="231">
      <c r="A1784" s="397" t="n"/>
      <c r="B1784" s="397" t="n"/>
      <c r="C1784" s="397" t="n"/>
      <c r="D1784" s="397" t="n"/>
      <c r="E1784" s="397" t="n"/>
      <c r="F1784" s="397" t="n"/>
      <c r="G1784" s="397" t="n"/>
      <c r="I1784" s="397" t="n"/>
      <c r="J1784" s="397" t="n"/>
      <c r="K1784" s="395">
        <f>DATE(VALUE(LEFT(A1784,4)),VALUE(MID(A1784,5,2)),VALUE(RIGHT(A1784,2)))</f>
        <v/>
      </c>
      <c r="L1784" s="395">
        <f>DATEVALUE(LEFT(F1784,10))</f>
        <v/>
      </c>
      <c r="M1784" s="396">
        <f>TIMEVALUE(MID(F1784,12,8))</f>
        <v/>
      </c>
      <c r="N1784" s="395">
        <f>DATEVALUE(LEFT(G1784,10))</f>
        <v/>
      </c>
      <c r="O1784" s="396">
        <f>TIMEVALUE(MID(G1784,12,8))</f>
        <v/>
      </c>
      <c r="P1784" s="396">
        <f>IFERROR(_xlfn.MINIFS($M:$M,$E:$E,$E1784,$K:$K,$K1784,$M:$M,"&gt;"&amp;$O1784),"")</f>
        <v/>
      </c>
      <c r="Q1784" s="396">
        <f>IF($P1784="","",$P1784-$O1784)</f>
        <v/>
      </c>
    </row>
    <row r="1785" ht="15" customHeight="1" s="231">
      <c r="A1785" s="397" t="n"/>
      <c r="B1785" s="397" t="n"/>
      <c r="C1785" s="397" t="n"/>
      <c r="D1785" s="397" t="n"/>
      <c r="E1785" s="397" t="n"/>
      <c r="F1785" s="397" t="n"/>
      <c r="G1785" s="397" t="n"/>
      <c r="I1785" s="397" t="n"/>
      <c r="J1785" s="397" t="n"/>
      <c r="K1785" s="395">
        <f>DATE(VALUE(LEFT(A1785,4)),VALUE(MID(A1785,5,2)),VALUE(RIGHT(A1785,2)))</f>
        <v/>
      </c>
      <c r="L1785" s="395">
        <f>DATEVALUE(LEFT(F1785,10))</f>
        <v/>
      </c>
      <c r="M1785" s="396">
        <f>TIMEVALUE(MID(F1785,12,8))</f>
        <v/>
      </c>
      <c r="N1785" s="395">
        <f>DATEVALUE(LEFT(G1785,10))</f>
        <v/>
      </c>
      <c r="O1785" s="396">
        <f>TIMEVALUE(MID(G1785,12,8))</f>
        <v/>
      </c>
      <c r="P1785" s="396">
        <f>IFERROR(_xlfn.MINIFS($M:$M,$E:$E,$E1785,$K:$K,$K1785,$M:$M,"&gt;"&amp;$O1785),"")</f>
        <v/>
      </c>
      <c r="Q1785" s="396">
        <f>IF($P1785="","",$P1785-$O1785)</f>
        <v/>
      </c>
    </row>
    <row r="1786" ht="15" customHeight="1" s="231">
      <c r="A1786" s="397" t="n"/>
      <c r="B1786" s="397" t="n"/>
      <c r="C1786" s="397" t="n"/>
      <c r="D1786" s="397" t="n"/>
      <c r="E1786" s="397" t="n"/>
      <c r="F1786" s="397" t="n"/>
      <c r="G1786" s="397" t="n"/>
      <c r="I1786" s="397" t="n"/>
      <c r="J1786" s="397" t="n"/>
      <c r="K1786" s="395">
        <f>DATE(VALUE(LEFT(A1786,4)),VALUE(MID(A1786,5,2)),VALUE(RIGHT(A1786,2)))</f>
        <v/>
      </c>
      <c r="L1786" s="395">
        <f>DATEVALUE(LEFT(F1786,10))</f>
        <v/>
      </c>
      <c r="M1786" s="396">
        <f>TIMEVALUE(MID(F1786,12,8))</f>
        <v/>
      </c>
      <c r="N1786" s="395">
        <f>DATEVALUE(LEFT(G1786,10))</f>
        <v/>
      </c>
      <c r="O1786" s="396">
        <f>TIMEVALUE(MID(G1786,12,8))</f>
        <v/>
      </c>
      <c r="P1786" s="396">
        <f>IFERROR(_xlfn.MINIFS($M:$M,$E:$E,$E1786,$K:$K,$K1786,$M:$M,"&gt;"&amp;$O1786),"")</f>
        <v/>
      </c>
      <c r="Q1786" s="396">
        <f>IF($P1786="","",$P1786-$O1786)</f>
        <v/>
      </c>
    </row>
    <row r="1787" ht="15" customHeight="1" s="231">
      <c r="A1787" s="397" t="n"/>
      <c r="B1787" s="397" t="n"/>
      <c r="C1787" s="397" t="n"/>
      <c r="D1787" s="397" t="n"/>
      <c r="E1787" s="397" t="n"/>
      <c r="F1787" s="397" t="n"/>
      <c r="G1787" s="397" t="n"/>
      <c r="I1787" s="397" t="n"/>
      <c r="J1787" s="397" t="n"/>
      <c r="K1787" s="395">
        <f>DATE(VALUE(LEFT(A1787,4)),VALUE(MID(A1787,5,2)),VALUE(RIGHT(A1787,2)))</f>
        <v/>
      </c>
      <c r="L1787" s="395">
        <f>DATEVALUE(LEFT(F1787,10))</f>
        <v/>
      </c>
      <c r="M1787" s="396">
        <f>TIMEVALUE(MID(F1787,12,8))</f>
        <v/>
      </c>
      <c r="N1787" s="395">
        <f>DATEVALUE(LEFT(G1787,10))</f>
        <v/>
      </c>
      <c r="O1787" s="396">
        <f>TIMEVALUE(MID(G1787,12,8))</f>
        <v/>
      </c>
      <c r="P1787" s="396">
        <f>IFERROR(_xlfn.MINIFS($M:$M,$E:$E,$E1787,$K:$K,$K1787,$M:$M,"&gt;"&amp;$O1787),"")</f>
        <v/>
      </c>
      <c r="Q1787" s="396">
        <f>IF($P1787="","",$P1787-$O1787)</f>
        <v/>
      </c>
    </row>
    <row r="1788" ht="15" customHeight="1" s="231">
      <c r="A1788" s="397" t="n"/>
      <c r="B1788" s="397" t="n"/>
      <c r="C1788" s="397" t="n"/>
      <c r="D1788" s="397" t="n"/>
      <c r="E1788" s="397" t="n"/>
      <c r="F1788" s="397" t="n"/>
      <c r="G1788" s="397" t="n"/>
      <c r="I1788" s="397" t="n"/>
      <c r="J1788" s="397" t="n"/>
      <c r="K1788" s="395">
        <f>DATE(VALUE(LEFT(A1788,4)),VALUE(MID(A1788,5,2)),VALUE(RIGHT(A1788,2)))</f>
        <v/>
      </c>
      <c r="L1788" s="395">
        <f>DATEVALUE(LEFT(F1788,10))</f>
        <v/>
      </c>
      <c r="M1788" s="396">
        <f>TIMEVALUE(MID(F1788,12,8))</f>
        <v/>
      </c>
      <c r="N1788" s="395">
        <f>DATEVALUE(LEFT(G1788,10))</f>
        <v/>
      </c>
      <c r="O1788" s="396">
        <f>TIMEVALUE(MID(G1788,12,8))</f>
        <v/>
      </c>
      <c r="P1788" s="396">
        <f>IFERROR(_xlfn.MINIFS($M:$M,$E:$E,$E1788,$K:$K,$K1788,$M:$M,"&gt;"&amp;$O1788),"")</f>
        <v/>
      </c>
      <c r="Q1788" s="396">
        <f>IF($P1788="","",$P1788-$O1788)</f>
        <v/>
      </c>
    </row>
    <row r="1789" ht="15" customHeight="1" s="231">
      <c r="A1789" s="397" t="n"/>
      <c r="B1789" s="397" t="n"/>
      <c r="C1789" s="397" t="n"/>
      <c r="D1789" s="397" t="n"/>
      <c r="E1789" s="397" t="n"/>
      <c r="F1789" s="397" t="n"/>
      <c r="G1789" s="397" t="n"/>
      <c r="I1789" s="397" t="n"/>
      <c r="J1789" s="397" t="n"/>
      <c r="K1789" s="395">
        <f>DATE(VALUE(LEFT(A1789,4)),VALUE(MID(A1789,5,2)),VALUE(RIGHT(A1789,2)))</f>
        <v/>
      </c>
      <c r="L1789" s="395">
        <f>DATEVALUE(LEFT(F1789,10))</f>
        <v/>
      </c>
      <c r="M1789" s="396">
        <f>TIMEVALUE(MID(F1789,12,8))</f>
        <v/>
      </c>
      <c r="N1789" s="395">
        <f>DATEVALUE(LEFT(G1789,10))</f>
        <v/>
      </c>
      <c r="O1789" s="396">
        <f>TIMEVALUE(MID(G1789,12,8))</f>
        <v/>
      </c>
      <c r="P1789" s="396">
        <f>IFERROR(_xlfn.MINIFS($M:$M,$E:$E,$E1789,$K:$K,$K1789,$M:$M,"&gt;"&amp;$O1789),"")</f>
        <v/>
      </c>
      <c r="Q1789" s="396">
        <f>IF($P1789="","",$P1789-$O1789)</f>
        <v/>
      </c>
    </row>
    <row r="1790" ht="15" customHeight="1" s="231">
      <c r="A1790" s="397" t="n"/>
      <c r="B1790" s="397" t="n"/>
      <c r="C1790" s="397" t="n"/>
      <c r="D1790" s="397" t="n"/>
      <c r="E1790" s="397" t="n"/>
      <c r="F1790" s="397" t="n"/>
      <c r="G1790" s="397" t="n"/>
      <c r="I1790" s="397" t="n"/>
      <c r="J1790" s="397" t="n"/>
      <c r="K1790" s="395">
        <f>DATE(VALUE(LEFT(A1790,4)),VALUE(MID(A1790,5,2)),VALUE(RIGHT(A1790,2)))</f>
        <v/>
      </c>
      <c r="L1790" s="395">
        <f>DATEVALUE(LEFT(F1790,10))</f>
        <v/>
      </c>
      <c r="M1790" s="396">
        <f>TIMEVALUE(MID(F1790,12,8))</f>
        <v/>
      </c>
      <c r="N1790" s="395">
        <f>DATEVALUE(LEFT(G1790,10))</f>
        <v/>
      </c>
      <c r="O1790" s="396">
        <f>TIMEVALUE(MID(G1790,12,8))</f>
        <v/>
      </c>
      <c r="P1790" s="396">
        <f>IFERROR(_xlfn.MINIFS($M:$M,$E:$E,$E1790,$K:$K,$K1790,$M:$M,"&gt;"&amp;$O1790),"")</f>
        <v/>
      </c>
      <c r="Q1790" s="396">
        <f>IF($P1790="","",$P1790-$O1790)</f>
        <v/>
      </c>
    </row>
    <row r="1791" ht="15" customHeight="1" s="231">
      <c r="A1791" s="397" t="n"/>
      <c r="B1791" s="397" t="n"/>
      <c r="C1791" s="397" t="n"/>
      <c r="D1791" s="397" t="n"/>
      <c r="E1791" s="397" t="n"/>
      <c r="F1791" s="397" t="n"/>
      <c r="G1791" s="397" t="n"/>
      <c r="I1791" s="397" t="n"/>
      <c r="J1791" s="397" t="n"/>
      <c r="K1791" s="395">
        <f>DATE(VALUE(LEFT(A1791,4)),VALUE(MID(A1791,5,2)),VALUE(RIGHT(A1791,2)))</f>
        <v/>
      </c>
      <c r="L1791" s="395">
        <f>DATEVALUE(LEFT(F1791,10))</f>
        <v/>
      </c>
      <c r="M1791" s="396">
        <f>TIMEVALUE(MID(F1791,12,8))</f>
        <v/>
      </c>
      <c r="N1791" s="395">
        <f>DATEVALUE(LEFT(G1791,10))</f>
        <v/>
      </c>
      <c r="O1791" s="396">
        <f>TIMEVALUE(MID(G1791,12,8))</f>
        <v/>
      </c>
      <c r="P1791" s="396">
        <f>IFERROR(_xlfn.MINIFS($M:$M,$E:$E,$E1791,$K:$K,$K1791,$M:$M,"&gt;"&amp;$O1791),"")</f>
        <v/>
      </c>
      <c r="Q1791" s="396">
        <f>IF($P1791="","",$P1791-$O1791)</f>
        <v/>
      </c>
    </row>
    <row r="1792" ht="15" customHeight="1" s="231">
      <c r="A1792" s="397" t="n"/>
      <c r="B1792" s="397" t="n"/>
      <c r="C1792" s="397" t="n"/>
      <c r="D1792" s="397" t="n"/>
      <c r="E1792" s="397" t="n"/>
      <c r="F1792" s="397" t="n"/>
      <c r="G1792" s="397" t="n"/>
      <c r="I1792" s="397" t="n"/>
      <c r="J1792" s="397" t="n"/>
      <c r="K1792" s="395">
        <f>DATE(VALUE(LEFT(A1792,4)),VALUE(MID(A1792,5,2)),VALUE(RIGHT(A1792,2)))</f>
        <v/>
      </c>
      <c r="L1792" s="395">
        <f>DATEVALUE(LEFT(F1792,10))</f>
        <v/>
      </c>
      <c r="M1792" s="396">
        <f>TIMEVALUE(MID(F1792,12,8))</f>
        <v/>
      </c>
      <c r="N1792" s="395">
        <f>DATEVALUE(LEFT(G1792,10))</f>
        <v/>
      </c>
      <c r="O1792" s="396">
        <f>TIMEVALUE(MID(G1792,12,8))</f>
        <v/>
      </c>
      <c r="P1792" s="396">
        <f>IFERROR(_xlfn.MINIFS($M:$M,$E:$E,$E1792,$K:$K,$K1792,$M:$M,"&gt;"&amp;$O1792),"")</f>
        <v/>
      </c>
      <c r="Q1792" s="396">
        <f>IF($P1792="","",$P1792-$O1792)</f>
        <v/>
      </c>
    </row>
    <row r="1793" ht="15" customHeight="1" s="231">
      <c r="A1793" s="397" t="n"/>
      <c r="B1793" s="397" t="n"/>
      <c r="C1793" s="397" t="n"/>
      <c r="D1793" s="397" t="n"/>
      <c r="E1793" s="397" t="n"/>
      <c r="F1793" s="397" t="n"/>
      <c r="G1793" s="397" t="n"/>
      <c r="I1793" s="397" t="n"/>
      <c r="J1793" s="397" t="n"/>
      <c r="K1793" s="395">
        <f>DATE(VALUE(LEFT(A1793,4)),VALUE(MID(A1793,5,2)),VALUE(RIGHT(A1793,2)))</f>
        <v/>
      </c>
      <c r="L1793" s="395">
        <f>DATEVALUE(LEFT(F1793,10))</f>
        <v/>
      </c>
      <c r="M1793" s="396">
        <f>TIMEVALUE(MID(F1793,12,8))</f>
        <v/>
      </c>
      <c r="N1793" s="395">
        <f>DATEVALUE(LEFT(G1793,10))</f>
        <v/>
      </c>
      <c r="O1793" s="396">
        <f>TIMEVALUE(MID(G1793,12,8))</f>
        <v/>
      </c>
      <c r="P1793" s="396">
        <f>IFERROR(_xlfn.MINIFS($M:$M,$E:$E,$E1793,$K:$K,$K1793,$M:$M,"&gt;"&amp;$O1793),"")</f>
        <v/>
      </c>
      <c r="Q1793" s="396">
        <f>IF($P1793="","",$P1793-$O1793)</f>
        <v/>
      </c>
    </row>
    <row r="1794" ht="15" customHeight="1" s="231">
      <c r="A1794" s="397" t="n"/>
      <c r="B1794" s="397" t="n"/>
      <c r="C1794" s="397" t="n"/>
      <c r="D1794" s="397" t="n"/>
      <c r="E1794" s="397" t="n"/>
      <c r="F1794" s="397" t="n"/>
      <c r="G1794" s="397" t="n"/>
      <c r="I1794" s="397" t="n"/>
      <c r="J1794" s="397" t="n"/>
      <c r="K1794" s="395">
        <f>DATE(VALUE(LEFT(A1794,4)),VALUE(MID(A1794,5,2)),VALUE(RIGHT(A1794,2)))</f>
        <v/>
      </c>
      <c r="L1794" s="395">
        <f>DATEVALUE(LEFT(F1794,10))</f>
        <v/>
      </c>
      <c r="M1794" s="396">
        <f>TIMEVALUE(MID(F1794,12,8))</f>
        <v/>
      </c>
      <c r="N1794" s="395">
        <f>DATEVALUE(LEFT(G1794,10))</f>
        <v/>
      </c>
      <c r="O1794" s="396">
        <f>TIMEVALUE(MID(G1794,12,8))</f>
        <v/>
      </c>
      <c r="P1794" s="396">
        <f>IFERROR(_xlfn.MINIFS($M:$M,$E:$E,$E1794,$K:$K,$K1794,$M:$M,"&gt;"&amp;$O1794),"")</f>
        <v/>
      </c>
      <c r="Q1794" s="396">
        <f>IF($P1794="","",$P1794-$O1794)</f>
        <v/>
      </c>
    </row>
    <row r="1795" ht="15" customHeight="1" s="231">
      <c r="A1795" s="397" t="n"/>
      <c r="B1795" s="397" t="n"/>
      <c r="C1795" s="397" t="n"/>
      <c r="D1795" s="397" t="n"/>
      <c r="E1795" s="397" t="n"/>
      <c r="F1795" s="397" t="n"/>
      <c r="G1795" s="397" t="n"/>
      <c r="I1795" s="397" t="n"/>
      <c r="J1795" s="397" t="n"/>
      <c r="K1795" s="395">
        <f>DATE(VALUE(LEFT(A1795,4)),VALUE(MID(A1795,5,2)),VALUE(RIGHT(A1795,2)))</f>
        <v/>
      </c>
      <c r="L1795" s="395">
        <f>DATEVALUE(LEFT(F1795,10))</f>
        <v/>
      </c>
      <c r="M1795" s="396">
        <f>TIMEVALUE(MID(F1795,12,8))</f>
        <v/>
      </c>
      <c r="N1795" s="395">
        <f>DATEVALUE(LEFT(G1795,10))</f>
        <v/>
      </c>
      <c r="O1795" s="396">
        <f>TIMEVALUE(MID(G1795,12,8))</f>
        <v/>
      </c>
      <c r="P1795" s="396">
        <f>IFERROR(_xlfn.MINIFS($M:$M,$E:$E,$E1795,$K:$K,$K1795,$M:$M,"&gt;"&amp;$O1795),"")</f>
        <v/>
      </c>
      <c r="Q1795" s="396">
        <f>IF($P1795="","",$P1795-$O1795)</f>
        <v/>
      </c>
    </row>
    <row r="1796" ht="15" customHeight="1" s="231">
      <c r="A1796" s="397" t="n"/>
      <c r="B1796" s="397" t="n"/>
      <c r="C1796" s="397" t="n"/>
      <c r="D1796" s="397" t="n"/>
      <c r="E1796" s="397" t="n"/>
      <c r="F1796" s="397" t="n"/>
      <c r="G1796" s="397" t="n"/>
      <c r="I1796" s="397" t="n"/>
      <c r="J1796" s="397" t="n"/>
      <c r="K1796" s="395">
        <f>DATE(VALUE(LEFT(A1796,4)),VALUE(MID(A1796,5,2)),VALUE(RIGHT(A1796,2)))</f>
        <v/>
      </c>
      <c r="L1796" s="395">
        <f>DATEVALUE(LEFT(F1796,10))</f>
        <v/>
      </c>
      <c r="M1796" s="396">
        <f>TIMEVALUE(MID(F1796,12,8))</f>
        <v/>
      </c>
      <c r="N1796" s="395">
        <f>DATEVALUE(LEFT(G1796,10))</f>
        <v/>
      </c>
      <c r="O1796" s="396">
        <f>TIMEVALUE(MID(G1796,12,8))</f>
        <v/>
      </c>
      <c r="P1796" s="396">
        <f>IFERROR(_xlfn.MINIFS($M:$M,$E:$E,$E1796,$K:$K,$K1796,$M:$M,"&gt;"&amp;$O1796),"")</f>
        <v/>
      </c>
      <c r="Q1796" s="396">
        <f>IF($P1796="","",$P1796-$O1796)</f>
        <v/>
      </c>
    </row>
    <row r="1797" ht="15" customHeight="1" s="231">
      <c r="A1797" s="397" t="n"/>
      <c r="B1797" s="397" t="n"/>
      <c r="C1797" s="397" t="n"/>
      <c r="D1797" s="397" t="n"/>
      <c r="E1797" s="397" t="n"/>
      <c r="F1797" s="397" t="n"/>
      <c r="G1797" s="397" t="n"/>
      <c r="I1797" s="397" t="n"/>
      <c r="J1797" s="397" t="n"/>
      <c r="K1797" s="395">
        <f>DATE(VALUE(LEFT(A1797,4)),VALUE(MID(A1797,5,2)),VALUE(RIGHT(A1797,2)))</f>
        <v/>
      </c>
      <c r="L1797" s="395">
        <f>DATEVALUE(LEFT(F1797,10))</f>
        <v/>
      </c>
      <c r="M1797" s="396">
        <f>TIMEVALUE(MID(F1797,12,8))</f>
        <v/>
      </c>
      <c r="N1797" s="395">
        <f>DATEVALUE(LEFT(G1797,10))</f>
        <v/>
      </c>
      <c r="O1797" s="396">
        <f>TIMEVALUE(MID(G1797,12,8))</f>
        <v/>
      </c>
      <c r="P1797" s="396">
        <f>IFERROR(_xlfn.MINIFS($M:$M,$E:$E,$E1797,$K:$K,$K1797,$M:$M,"&gt;"&amp;$O1797),"")</f>
        <v/>
      </c>
      <c r="Q1797" s="396">
        <f>IF($P1797="","",$P1797-$O1797)</f>
        <v/>
      </c>
    </row>
    <row r="1798" ht="15" customHeight="1" s="231">
      <c r="A1798" s="397" t="n"/>
      <c r="B1798" s="397" t="n"/>
      <c r="C1798" s="397" t="n"/>
      <c r="D1798" s="397" t="n"/>
      <c r="E1798" s="397" t="n"/>
      <c r="F1798" s="397" t="n"/>
      <c r="G1798" s="397" t="n"/>
      <c r="I1798" s="397" t="n"/>
      <c r="J1798" s="397" t="n"/>
      <c r="K1798" s="395">
        <f>DATE(VALUE(LEFT(A1798,4)),VALUE(MID(A1798,5,2)),VALUE(RIGHT(A1798,2)))</f>
        <v/>
      </c>
      <c r="L1798" s="395">
        <f>DATEVALUE(LEFT(F1798,10))</f>
        <v/>
      </c>
      <c r="M1798" s="396">
        <f>TIMEVALUE(MID(F1798,12,8))</f>
        <v/>
      </c>
      <c r="N1798" s="395">
        <f>DATEVALUE(LEFT(G1798,10))</f>
        <v/>
      </c>
      <c r="O1798" s="396">
        <f>TIMEVALUE(MID(G1798,12,8))</f>
        <v/>
      </c>
      <c r="P1798" s="396">
        <f>IFERROR(_xlfn.MINIFS($M:$M,$E:$E,$E1798,$K:$K,$K1798,$M:$M,"&gt;"&amp;$O1798),"")</f>
        <v/>
      </c>
      <c r="Q1798" s="396">
        <f>IF($P1798="","",$P1798-$O1798)</f>
        <v/>
      </c>
    </row>
    <row r="1799" ht="15" customHeight="1" s="231">
      <c r="A1799" s="397" t="n"/>
      <c r="B1799" s="397" t="n"/>
      <c r="C1799" s="397" t="n"/>
      <c r="D1799" s="397" t="n"/>
      <c r="E1799" s="397" t="n"/>
      <c r="F1799" s="397" t="n"/>
      <c r="G1799" s="397" t="n"/>
      <c r="I1799" s="397" t="n"/>
      <c r="J1799" s="397" t="n"/>
      <c r="K1799" s="395">
        <f>DATE(VALUE(LEFT(A1799,4)),VALUE(MID(A1799,5,2)),VALUE(RIGHT(A1799,2)))</f>
        <v/>
      </c>
      <c r="L1799" s="395">
        <f>DATEVALUE(LEFT(F1799,10))</f>
        <v/>
      </c>
      <c r="M1799" s="396">
        <f>TIMEVALUE(MID(F1799,12,8))</f>
        <v/>
      </c>
      <c r="N1799" s="395">
        <f>DATEVALUE(LEFT(G1799,10))</f>
        <v/>
      </c>
      <c r="O1799" s="396">
        <f>TIMEVALUE(MID(G1799,12,8))</f>
        <v/>
      </c>
      <c r="P1799" s="396">
        <f>IFERROR(_xlfn.MINIFS($M:$M,$E:$E,$E1799,$K:$K,$K1799,$M:$M,"&gt;"&amp;$O1799),"")</f>
        <v/>
      </c>
      <c r="Q1799" s="396">
        <f>IF($P1799="","",$P1799-$O1799)</f>
        <v/>
      </c>
    </row>
    <row r="1800" ht="15" customHeight="1" s="231">
      <c r="A1800" s="397" t="n"/>
      <c r="B1800" s="397" t="n"/>
      <c r="C1800" s="397" t="n"/>
      <c r="D1800" s="397" t="n"/>
      <c r="E1800" s="397" t="n"/>
      <c r="F1800" s="397" t="n"/>
      <c r="G1800" s="397" t="n"/>
      <c r="I1800" s="397" t="n"/>
      <c r="J1800" s="397" t="n"/>
      <c r="K1800" s="395">
        <f>DATE(VALUE(LEFT(A1800,4)),VALUE(MID(A1800,5,2)),VALUE(RIGHT(A1800,2)))</f>
        <v/>
      </c>
      <c r="L1800" s="395">
        <f>DATEVALUE(LEFT(F1800,10))</f>
        <v/>
      </c>
      <c r="M1800" s="396">
        <f>TIMEVALUE(MID(F1800,12,8))</f>
        <v/>
      </c>
      <c r="N1800" s="395">
        <f>DATEVALUE(LEFT(G1800,10))</f>
        <v/>
      </c>
      <c r="O1800" s="396">
        <f>TIMEVALUE(MID(G1800,12,8))</f>
        <v/>
      </c>
      <c r="P1800" s="396">
        <f>IFERROR(_xlfn.MINIFS($M:$M,$E:$E,$E1800,$K:$K,$K1800,$M:$M,"&gt;"&amp;$O1800),"")</f>
        <v/>
      </c>
      <c r="Q1800" s="396">
        <f>IF($P1800="","",$P1800-$O1800)</f>
        <v/>
      </c>
    </row>
    <row r="1801" ht="15" customHeight="1" s="231">
      <c r="A1801" s="397" t="n"/>
      <c r="B1801" s="397" t="n"/>
      <c r="C1801" s="397" t="n"/>
      <c r="D1801" s="397" t="n"/>
      <c r="E1801" s="397" t="n"/>
      <c r="F1801" s="397" t="n"/>
      <c r="G1801" s="397" t="n"/>
      <c r="I1801" s="397" t="n"/>
      <c r="J1801" s="397" t="n"/>
      <c r="K1801" s="395">
        <f>DATE(VALUE(LEFT(A1801,4)),VALUE(MID(A1801,5,2)),VALUE(RIGHT(A1801,2)))</f>
        <v/>
      </c>
      <c r="L1801" s="395">
        <f>DATEVALUE(LEFT(F1801,10))</f>
        <v/>
      </c>
      <c r="M1801" s="396">
        <f>TIMEVALUE(MID(F1801,12,8))</f>
        <v/>
      </c>
      <c r="N1801" s="395">
        <f>DATEVALUE(LEFT(G1801,10))</f>
        <v/>
      </c>
      <c r="O1801" s="396">
        <f>TIMEVALUE(MID(G1801,12,8))</f>
        <v/>
      </c>
      <c r="P1801" s="396">
        <f>IFERROR(_xlfn.MINIFS($M:$M,$E:$E,$E1801,$K:$K,$K1801,$M:$M,"&gt;"&amp;$O1801),"")</f>
        <v/>
      </c>
      <c r="Q1801" s="396">
        <f>IF($P1801="","",$P1801-$O1801)</f>
        <v/>
      </c>
    </row>
    <row r="1802" ht="15" customHeight="1" s="231">
      <c r="A1802" s="397" t="n"/>
      <c r="B1802" s="397" t="n"/>
      <c r="C1802" s="397" t="n"/>
      <c r="D1802" s="397" t="n"/>
      <c r="E1802" s="397" t="n"/>
      <c r="F1802" s="397" t="n"/>
      <c r="G1802" s="397" t="n"/>
      <c r="I1802" s="397" t="n"/>
      <c r="J1802" s="397" t="n"/>
      <c r="K1802" s="395">
        <f>DATE(VALUE(LEFT(A1802,4)),VALUE(MID(A1802,5,2)),VALUE(RIGHT(A1802,2)))</f>
        <v/>
      </c>
      <c r="L1802" s="395">
        <f>DATEVALUE(LEFT(F1802,10))</f>
        <v/>
      </c>
      <c r="M1802" s="396">
        <f>TIMEVALUE(MID(F1802,12,8))</f>
        <v/>
      </c>
      <c r="N1802" s="395">
        <f>DATEVALUE(LEFT(G1802,10))</f>
        <v/>
      </c>
      <c r="O1802" s="396">
        <f>TIMEVALUE(MID(G1802,12,8))</f>
        <v/>
      </c>
      <c r="P1802" s="396">
        <f>IFERROR(_xlfn.MINIFS($M:$M,$E:$E,$E1802,$K:$K,$K1802,$M:$M,"&gt;"&amp;$O1802),"")</f>
        <v/>
      </c>
      <c r="Q1802" s="396">
        <f>IF($P1802="","",$P1802-$O1802)</f>
        <v/>
      </c>
    </row>
    <row r="1803" ht="15" customHeight="1" s="231">
      <c r="A1803" s="397" t="n"/>
      <c r="B1803" s="397" t="n"/>
      <c r="C1803" s="397" t="n"/>
      <c r="D1803" s="397" t="n"/>
      <c r="E1803" s="397" t="n"/>
      <c r="F1803" s="397" t="n"/>
      <c r="G1803" s="397" t="n"/>
      <c r="I1803" s="397" t="n"/>
      <c r="J1803" s="397" t="n"/>
      <c r="K1803" s="395">
        <f>DATE(VALUE(LEFT(A1803,4)),VALUE(MID(A1803,5,2)),VALUE(RIGHT(A1803,2)))</f>
        <v/>
      </c>
      <c r="L1803" s="395">
        <f>DATEVALUE(LEFT(F1803,10))</f>
        <v/>
      </c>
      <c r="M1803" s="396">
        <f>TIMEVALUE(MID(F1803,12,8))</f>
        <v/>
      </c>
      <c r="N1803" s="395">
        <f>DATEVALUE(LEFT(G1803,10))</f>
        <v/>
      </c>
      <c r="O1803" s="396">
        <f>TIMEVALUE(MID(G1803,12,8))</f>
        <v/>
      </c>
      <c r="P1803" s="396">
        <f>IFERROR(_xlfn.MINIFS($M:$M,$E:$E,$E1803,$K:$K,$K1803,$M:$M,"&gt;"&amp;$O1803),"")</f>
        <v/>
      </c>
      <c r="Q1803" s="396">
        <f>IF($P1803="","",$P1803-$O1803)</f>
        <v/>
      </c>
    </row>
    <row r="1804" ht="15" customHeight="1" s="231">
      <c r="A1804" s="397" t="n"/>
      <c r="B1804" s="397" t="n"/>
      <c r="C1804" s="397" t="n"/>
      <c r="D1804" s="397" t="n"/>
      <c r="E1804" s="397" t="n"/>
      <c r="F1804" s="397" t="n"/>
      <c r="G1804" s="397" t="n"/>
      <c r="I1804" s="397" t="n"/>
      <c r="J1804" s="397" t="n"/>
      <c r="K1804" s="395">
        <f>DATE(VALUE(LEFT(A1804,4)),VALUE(MID(A1804,5,2)),VALUE(RIGHT(A1804,2)))</f>
        <v/>
      </c>
      <c r="L1804" s="395">
        <f>DATEVALUE(LEFT(F1804,10))</f>
        <v/>
      </c>
      <c r="M1804" s="396">
        <f>TIMEVALUE(MID(F1804,12,8))</f>
        <v/>
      </c>
      <c r="N1804" s="395">
        <f>DATEVALUE(LEFT(G1804,10))</f>
        <v/>
      </c>
      <c r="O1804" s="396">
        <f>TIMEVALUE(MID(G1804,12,8))</f>
        <v/>
      </c>
      <c r="P1804" s="396">
        <f>IFERROR(_xlfn.MINIFS($M:$M,$E:$E,$E1804,$K:$K,$K1804,$M:$M,"&gt;"&amp;$O1804),"")</f>
        <v/>
      </c>
      <c r="Q1804" s="396">
        <f>IF($P1804="","",$P1804-$O1804)</f>
        <v/>
      </c>
    </row>
    <row r="1805" ht="15" customHeight="1" s="231">
      <c r="A1805" s="397" t="n"/>
      <c r="B1805" s="397" t="n"/>
      <c r="C1805" s="397" t="n"/>
      <c r="D1805" s="397" t="n"/>
      <c r="E1805" s="397" t="n"/>
      <c r="F1805" s="397" t="n"/>
      <c r="G1805" s="397" t="n"/>
      <c r="I1805" s="397" t="n"/>
      <c r="J1805" s="397" t="n"/>
      <c r="K1805" s="395">
        <f>DATE(VALUE(LEFT(A1805,4)),VALUE(MID(A1805,5,2)),VALUE(RIGHT(A1805,2)))</f>
        <v/>
      </c>
      <c r="L1805" s="395">
        <f>DATEVALUE(LEFT(F1805,10))</f>
        <v/>
      </c>
      <c r="M1805" s="396">
        <f>TIMEVALUE(MID(F1805,12,8))</f>
        <v/>
      </c>
      <c r="N1805" s="395">
        <f>DATEVALUE(LEFT(G1805,10))</f>
        <v/>
      </c>
      <c r="O1805" s="396">
        <f>TIMEVALUE(MID(G1805,12,8))</f>
        <v/>
      </c>
      <c r="P1805" s="396">
        <f>IFERROR(_xlfn.MINIFS($M:$M,$E:$E,$E1805,$K:$K,$K1805,$M:$M,"&gt;"&amp;$O1805),"")</f>
        <v/>
      </c>
      <c r="Q1805" s="396">
        <f>IF($P1805="","",$P1805-$O1805)</f>
        <v/>
      </c>
    </row>
    <row r="1806" ht="15" customHeight="1" s="231">
      <c r="A1806" s="397" t="n"/>
      <c r="B1806" s="397" t="n"/>
      <c r="C1806" s="397" t="n"/>
      <c r="D1806" s="397" t="n"/>
      <c r="E1806" s="397" t="n"/>
      <c r="F1806" s="397" t="n"/>
      <c r="G1806" s="397" t="n"/>
      <c r="I1806" s="397" t="n"/>
      <c r="J1806" s="397" t="n"/>
      <c r="K1806" s="395">
        <f>DATE(VALUE(LEFT(A1806,4)),VALUE(MID(A1806,5,2)),VALUE(RIGHT(A1806,2)))</f>
        <v/>
      </c>
      <c r="L1806" s="395">
        <f>DATEVALUE(LEFT(F1806,10))</f>
        <v/>
      </c>
      <c r="M1806" s="396">
        <f>TIMEVALUE(MID(F1806,12,8))</f>
        <v/>
      </c>
      <c r="N1806" s="395">
        <f>DATEVALUE(LEFT(G1806,10))</f>
        <v/>
      </c>
      <c r="O1806" s="396">
        <f>TIMEVALUE(MID(G1806,12,8))</f>
        <v/>
      </c>
      <c r="P1806" s="396">
        <f>IFERROR(_xlfn.MINIFS($M:$M,$E:$E,$E1806,$K:$K,$K1806,$M:$M,"&gt;"&amp;$O1806),"")</f>
        <v/>
      </c>
      <c r="Q1806" s="396">
        <f>IF($P1806="","",$P1806-$O1806)</f>
        <v/>
      </c>
    </row>
    <row r="1807" ht="15" customHeight="1" s="231">
      <c r="A1807" s="397" t="n"/>
      <c r="B1807" s="397" t="n"/>
      <c r="C1807" s="397" t="n"/>
      <c r="D1807" s="397" t="n"/>
      <c r="E1807" s="397" t="n"/>
      <c r="F1807" s="397" t="n"/>
      <c r="G1807" s="397" t="n"/>
      <c r="I1807" s="397" t="n"/>
      <c r="J1807" s="397" t="n"/>
      <c r="K1807" s="395">
        <f>DATE(VALUE(LEFT(A1807,4)),VALUE(MID(A1807,5,2)),VALUE(RIGHT(A1807,2)))</f>
        <v/>
      </c>
      <c r="L1807" s="395">
        <f>DATEVALUE(LEFT(F1807,10))</f>
        <v/>
      </c>
      <c r="M1807" s="396">
        <f>TIMEVALUE(MID(F1807,12,8))</f>
        <v/>
      </c>
      <c r="N1807" s="395">
        <f>DATEVALUE(LEFT(G1807,10))</f>
        <v/>
      </c>
      <c r="O1807" s="396">
        <f>TIMEVALUE(MID(G1807,12,8))</f>
        <v/>
      </c>
      <c r="P1807" s="396">
        <f>IFERROR(_xlfn.MINIFS($M:$M,$E:$E,$E1807,$K:$K,$K1807,$M:$M,"&gt;"&amp;$O1807),"")</f>
        <v/>
      </c>
      <c r="Q1807" s="396">
        <f>IF($P1807="","",$P1807-$O1807)</f>
        <v/>
      </c>
    </row>
    <row r="1808" ht="15" customHeight="1" s="231">
      <c r="A1808" s="397" t="n"/>
      <c r="B1808" s="397" t="n"/>
      <c r="C1808" s="397" t="n"/>
      <c r="D1808" s="397" t="n"/>
      <c r="E1808" s="397" t="n"/>
      <c r="F1808" s="397" t="n"/>
      <c r="G1808" s="397" t="n"/>
      <c r="I1808" s="397" t="n"/>
      <c r="J1808" s="397" t="n"/>
      <c r="K1808" s="395">
        <f>DATE(VALUE(LEFT(A1808,4)),VALUE(MID(A1808,5,2)),VALUE(RIGHT(A1808,2)))</f>
        <v/>
      </c>
      <c r="L1808" s="395">
        <f>DATEVALUE(LEFT(F1808,10))</f>
        <v/>
      </c>
      <c r="M1808" s="396">
        <f>TIMEVALUE(MID(F1808,12,8))</f>
        <v/>
      </c>
      <c r="N1808" s="395">
        <f>DATEVALUE(LEFT(G1808,10))</f>
        <v/>
      </c>
      <c r="O1808" s="396">
        <f>TIMEVALUE(MID(G1808,12,8))</f>
        <v/>
      </c>
      <c r="P1808" s="396">
        <f>IFERROR(_xlfn.MINIFS($M:$M,$E:$E,$E1808,$K:$K,$K1808,$M:$M,"&gt;"&amp;$O1808),"")</f>
        <v/>
      </c>
      <c r="Q1808" s="396">
        <f>IF($P1808="","",$P1808-$O1808)</f>
        <v/>
      </c>
    </row>
    <row r="1809" ht="15" customHeight="1" s="231">
      <c r="A1809" s="397" t="n"/>
      <c r="B1809" s="397" t="n"/>
      <c r="C1809" s="397" t="n"/>
      <c r="D1809" s="397" t="n"/>
      <c r="E1809" s="397" t="n"/>
      <c r="F1809" s="397" t="n"/>
      <c r="G1809" s="397" t="n"/>
      <c r="I1809" s="397" t="n"/>
      <c r="J1809" s="397" t="n"/>
      <c r="K1809" s="395">
        <f>DATE(VALUE(LEFT(A1809,4)),VALUE(MID(A1809,5,2)),VALUE(RIGHT(A1809,2)))</f>
        <v/>
      </c>
      <c r="L1809" s="395">
        <f>DATEVALUE(LEFT(F1809,10))</f>
        <v/>
      </c>
      <c r="M1809" s="396">
        <f>TIMEVALUE(MID(F1809,12,8))</f>
        <v/>
      </c>
      <c r="N1809" s="395">
        <f>DATEVALUE(LEFT(G1809,10))</f>
        <v/>
      </c>
      <c r="O1809" s="396">
        <f>TIMEVALUE(MID(G1809,12,8))</f>
        <v/>
      </c>
      <c r="P1809" s="396">
        <f>IFERROR(_xlfn.MINIFS($M:$M,$E:$E,$E1809,$K:$K,$K1809,$M:$M,"&gt;"&amp;$O1809),"")</f>
        <v/>
      </c>
      <c r="Q1809" s="396">
        <f>IF($P1809="","",$P1809-$O1809)</f>
        <v/>
      </c>
    </row>
    <row r="1810" ht="15" customHeight="1" s="231">
      <c r="A1810" s="397" t="n"/>
      <c r="B1810" s="397" t="n"/>
      <c r="C1810" s="397" t="n"/>
      <c r="D1810" s="397" t="n"/>
      <c r="E1810" s="397" t="n"/>
      <c r="F1810" s="397" t="n"/>
      <c r="G1810" s="397" t="n"/>
      <c r="I1810" s="397" t="n"/>
      <c r="J1810" s="397" t="n"/>
      <c r="K1810" s="395">
        <f>DATE(VALUE(LEFT(A1810,4)),VALUE(MID(A1810,5,2)),VALUE(RIGHT(A1810,2)))</f>
        <v/>
      </c>
      <c r="L1810" s="395">
        <f>DATEVALUE(LEFT(F1810,10))</f>
        <v/>
      </c>
      <c r="M1810" s="396">
        <f>TIMEVALUE(MID(F1810,12,8))</f>
        <v/>
      </c>
      <c r="N1810" s="395">
        <f>DATEVALUE(LEFT(G1810,10))</f>
        <v/>
      </c>
      <c r="O1810" s="396">
        <f>TIMEVALUE(MID(G1810,12,8))</f>
        <v/>
      </c>
      <c r="P1810" s="396">
        <f>IFERROR(_xlfn.MINIFS($M:$M,$E:$E,$E1810,$K:$K,$K1810,$M:$M,"&gt;"&amp;$O1810),"")</f>
        <v/>
      </c>
      <c r="Q1810" s="396">
        <f>IF($P1810="","",$P1810-$O1810)</f>
        <v/>
      </c>
    </row>
    <row r="1811" ht="15" customHeight="1" s="231">
      <c r="A1811" s="397" t="n"/>
      <c r="B1811" s="397" t="n"/>
      <c r="C1811" s="397" t="n"/>
      <c r="D1811" s="397" t="n"/>
      <c r="E1811" s="397" t="n"/>
      <c r="F1811" s="397" t="n"/>
      <c r="G1811" s="397" t="n"/>
      <c r="I1811" s="397" t="n"/>
      <c r="J1811" s="397" t="n"/>
      <c r="K1811" s="395">
        <f>DATE(VALUE(LEFT(A1811,4)),VALUE(MID(A1811,5,2)),VALUE(RIGHT(A1811,2)))</f>
        <v/>
      </c>
      <c r="L1811" s="395">
        <f>DATEVALUE(LEFT(F1811,10))</f>
        <v/>
      </c>
      <c r="M1811" s="396">
        <f>TIMEVALUE(MID(F1811,12,8))</f>
        <v/>
      </c>
      <c r="N1811" s="395">
        <f>DATEVALUE(LEFT(G1811,10))</f>
        <v/>
      </c>
      <c r="O1811" s="396">
        <f>TIMEVALUE(MID(G1811,12,8))</f>
        <v/>
      </c>
      <c r="P1811" s="396">
        <f>IFERROR(_xlfn.MINIFS($M:$M,$E:$E,$E1811,$K:$K,$K1811,$M:$M,"&gt;"&amp;$O1811),"")</f>
        <v/>
      </c>
      <c r="Q1811" s="396">
        <f>IF($P1811="","",$P1811-$O1811)</f>
        <v/>
      </c>
    </row>
    <row r="1812" ht="15" customHeight="1" s="231">
      <c r="A1812" s="397" t="n"/>
      <c r="B1812" s="397" t="n"/>
      <c r="C1812" s="397" t="n"/>
      <c r="D1812" s="397" t="n"/>
      <c r="E1812" s="397" t="n"/>
      <c r="F1812" s="397" t="n"/>
      <c r="G1812" s="397" t="n"/>
      <c r="I1812" s="397" t="n"/>
      <c r="J1812" s="397" t="n"/>
      <c r="K1812" s="395">
        <f>DATE(VALUE(LEFT(A1812,4)),VALUE(MID(A1812,5,2)),VALUE(RIGHT(A1812,2)))</f>
        <v/>
      </c>
      <c r="L1812" s="395">
        <f>DATEVALUE(LEFT(F1812,10))</f>
        <v/>
      </c>
      <c r="M1812" s="396">
        <f>TIMEVALUE(MID(F1812,12,8))</f>
        <v/>
      </c>
      <c r="N1812" s="395">
        <f>DATEVALUE(LEFT(G1812,10))</f>
        <v/>
      </c>
      <c r="O1812" s="396">
        <f>TIMEVALUE(MID(G1812,12,8))</f>
        <v/>
      </c>
      <c r="P1812" s="396">
        <f>IFERROR(_xlfn.MINIFS($M:$M,$E:$E,$E1812,$K:$K,$K1812,$M:$M,"&gt;"&amp;$O1812),"")</f>
        <v/>
      </c>
      <c r="Q1812" s="396">
        <f>IF($P1812="","",$P1812-$O1812)</f>
        <v/>
      </c>
    </row>
    <row r="1813" ht="15" customHeight="1" s="231">
      <c r="A1813" s="397" t="n"/>
      <c r="B1813" s="397" t="n"/>
      <c r="C1813" s="397" t="n"/>
      <c r="D1813" s="397" t="n"/>
      <c r="E1813" s="397" t="n"/>
      <c r="F1813" s="397" t="n"/>
      <c r="G1813" s="397" t="n"/>
      <c r="I1813" s="397" t="n"/>
      <c r="J1813" s="397" t="n"/>
      <c r="K1813" s="395">
        <f>DATE(VALUE(LEFT(A1813,4)),VALUE(MID(A1813,5,2)),VALUE(RIGHT(A1813,2)))</f>
        <v/>
      </c>
      <c r="L1813" s="395">
        <f>DATEVALUE(LEFT(F1813,10))</f>
        <v/>
      </c>
      <c r="M1813" s="396">
        <f>TIMEVALUE(MID(F1813,12,8))</f>
        <v/>
      </c>
      <c r="N1813" s="395">
        <f>DATEVALUE(LEFT(G1813,10))</f>
        <v/>
      </c>
      <c r="O1813" s="396">
        <f>TIMEVALUE(MID(G1813,12,8))</f>
        <v/>
      </c>
      <c r="P1813" s="396">
        <f>IFERROR(_xlfn.MINIFS($M:$M,$E:$E,$E1813,$K:$K,$K1813,$M:$M,"&gt;"&amp;$O1813),"")</f>
        <v/>
      </c>
      <c r="Q1813" s="396">
        <f>IF($P1813="","",$P1813-$O1813)</f>
        <v/>
      </c>
    </row>
    <row r="1814" ht="15" customHeight="1" s="231">
      <c r="A1814" s="397" t="n"/>
      <c r="B1814" s="397" t="n"/>
      <c r="C1814" s="397" t="n"/>
      <c r="D1814" s="397" t="n"/>
      <c r="E1814" s="397" t="n"/>
      <c r="F1814" s="397" t="n"/>
      <c r="G1814" s="397" t="n"/>
      <c r="I1814" s="397" t="n"/>
      <c r="J1814" s="397" t="n"/>
      <c r="K1814" s="395">
        <f>DATE(VALUE(LEFT(A1814,4)),VALUE(MID(A1814,5,2)),VALUE(RIGHT(A1814,2)))</f>
        <v/>
      </c>
      <c r="L1814" s="395">
        <f>DATEVALUE(LEFT(F1814,10))</f>
        <v/>
      </c>
      <c r="M1814" s="396">
        <f>TIMEVALUE(MID(F1814,12,8))</f>
        <v/>
      </c>
      <c r="N1814" s="395">
        <f>DATEVALUE(LEFT(G1814,10))</f>
        <v/>
      </c>
      <c r="O1814" s="396">
        <f>TIMEVALUE(MID(G1814,12,8))</f>
        <v/>
      </c>
      <c r="P1814" s="396">
        <f>IFERROR(_xlfn.MINIFS($M:$M,$E:$E,$E1814,$K:$K,$K1814,$M:$M,"&gt;"&amp;$O1814),"")</f>
        <v/>
      </c>
      <c r="Q1814" s="396">
        <f>IF($P1814="","",$P1814-$O1814)</f>
        <v/>
      </c>
    </row>
    <row r="1815" ht="15" customHeight="1" s="231">
      <c r="A1815" s="397" t="n"/>
      <c r="B1815" s="397" t="n"/>
      <c r="C1815" s="397" t="n"/>
      <c r="D1815" s="397" t="n"/>
      <c r="E1815" s="397" t="n"/>
      <c r="F1815" s="397" t="n"/>
      <c r="G1815" s="397" t="n"/>
      <c r="I1815" s="397" t="n"/>
      <c r="J1815" s="397" t="n"/>
      <c r="K1815" s="395">
        <f>DATE(VALUE(LEFT(A1815,4)),VALUE(MID(A1815,5,2)),VALUE(RIGHT(A1815,2)))</f>
        <v/>
      </c>
      <c r="L1815" s="395">
        <f>DATEVALUE(LEFT(F1815,10))</f>
        <v/>
      </c>
      <c r="M1815" s="396">
        <f>TIMEVALUE(MID(F1815,12,8))</f>
        <v/>
      </c>
      <c r="N1815" s="395">
        <f>DATEVALUE(LEFT(G1815,10))</f>
        <v/>
      </c>
      <c r="O1815" s="396">
        <f>TIMEVALUE(MID(G1815,12,8))</f>
        <v/>
      </c>
      <c r="P1815" s="396">
        <f>IFERROR(_xlfn.MINIFS($M:$M,$E:$E,$E1815,$K:$K,$K1815,$M:$M,"&gt;"&amp;$O1815),"")</f>
        <v/>
      </c>
      <c r="Q1815" s="396">
        <f>IF($P1815="","",$P1815-$O1815)</f>
        <v/>
      </c>
    </row>
    <row r="1816" ht="15" customHeight="1" s="231">
      <c r="A1816" s="397" t="n"/>
      <c r="B1816" s="397" t="n"/>
      <c r="C1816" s="397" t="n"/>
      <c r="D1816" s="397" t="n"/>
      <c r="E1816" s="397" t="n"/>
      <c r="F1816" s="397" t="n"/>
      <c r="G1816" s="397" t="n"/>
      <c r="I1816" s="397" t="n"/>
      <c r="J1816" s="397" t="n"/>
      <c r="K1816" s="395">
        <f>DATE(VALUE(LEFT(A1816,4)),VALUE(MID(A1816,5,2)),VALUE(RIGHT(A1816,2)))</f>
        <v/>
      </c>
      <c r="L1816" s="395">
        <f>DATEVALUE(LEFT(F1816,10))</f>
        <v/>
      </c>
      <c r="M1816" s="396">
        <f>TIMEVALUE(MID(F1816,12,8))</f>
        <v/>
      </c>
      <c r="N1816" s="395">
        <f>DATEVALUE(LEFT(G1816,10))</f>
        <v/>
      </c>
      <c r="O1816" s="396">
        <f>TIMEVALUE(MID(G1816,12,8))</f>
        <v/>
      </c>
      <c r="P1816" s="396">
        <f>IFERROR(_xlfn.MINIFS($M:$M,$E:$E,$E1816,$K:$K,$K1816,$M:$M,"&gt;"&amp;$O1816),"")</f>
        <v/>
      </c>
      <c r="Q1816" s="396">
        <f>IF($P1816="","",$P1816-$O1816)</f>
        <v/>
      </c>
    </row>
    <row r="1817" ht="15" customHeight="1" s="231">
      <c r="A1817" s="397" t="n"/>
      <c r="B1817" s="397" t="n"/>
      <c r="C1817" s="397" t="n"/>
      <c r="D1817" s="397" t="n"/>
      <c r="E1817" s="397" t="n"/>
      <c r="F1817" s="397" t="n"/>
      <c r="G1817" s="397" t="n"/>
      <c r="I1817" s="397" t="n"/>
      <c r="J1817" s="397" t="n"/>
      <c r="K1817" s="395">
        <f>DATE(VALUE(LEFT(A1817,4)),VALUE(MID(A1817,5,2)),VALUE(RIGHT(A1817,2)))</f>
        <v/>
      </c>
      <c r="L1817" s="395">
        <f>DATEVALUE(LEFT(F1817,10))</f>
        <v/>
      </c>
      <c r="M1817" s="396">
        <f>TIMEVALUE(MID(F1817,12,8))</f>
        <v/>
      </c>
      <c r="N1817" s="395">
        <f>DATEVALUE(LEFT(G1817,10))</f>
        <v/>
      </c>
      <c r="O1817" s="396">
        <f>TIMEVALUE(MID(G1817,12,8))</f>
        <v/>
      </c>
      <c r="P1817" s="396">
        <f>IFERROR(_xlfn.MINIFS($M:$M,$E:$E,$E1817,$K:$K,$K1817,$M:$M,"&gt;"&amp;$O1817),"")</f>
        <v/>
      </c>
      <c r="Q1817" s="396">
        <f>IF($P1817="","",$P1817-$O1817)</f>
        <v/>
      </c>
    </row>
    <row r="1818" ht="15" customHeight="1" s="231">
      <c r="A1818" s="397" t="n"/>
      <c r="B1818" s="397" t="n"/>
      <c r="C1818" s="397" t="n"/>
      <c r="D1818" s="397" t="n"/>
      <c r="E1818" s="397" t="n"/>
      <c r="F1818" s="397" t="n"/>
      <c r="G1818" s="397" t="n"/>
      <c r="I1818" s="397" t="n"/>
      <c r="J1818" s="397" t="n"/>
      <c r="K1818" s="395">
        <f>DATE(VALUE(LEFT(A1818,4)),VALUE(MID(A1818,5,2)),VALUE(RIGHT(A1818,2)))</f>
        <v/>
      </c>
      <c r="L1818" s="395">
        <f>DATEVALUE(LEFT(F1818,10))</f>
        <v/>
      </c>
      <c r="M1818" s="396">
        <f>TIMEVALUE(MID(F1818,12,8))</f>
        <v/>
      </c>
      <c r="N1818" s="395">
        <f>DATEVALUE(LEFT(G1818,10))</f>
        <v/>
      </c>
      <c r="O1818" s="396">
        <f>TIMEVALUE(MID(G1818,12,8))</f>
        <v/>
      </c>
      <c r="P1818" s="396">
        <f>IFERROR(_xlfn.MINIFS($M:$M,$E:$E,$E1818,$K:$K,$K1818,$M:$M,"&gt;"&amp;$O1818),"")</f>
        <v/>
      </c>
      <c r="Q1818" s="396">
        <f>IF($P1818="","",$P1818-$O1818)</f>
        <v/>
      </c>
    </row>
    <row r="1819" ht="15" customHeight="1" s="231">
      <c r="A1819" s="397" t="n"/>
      <c r="B1819" s="397" t="n"/>
      <c r="C1819" s="397" t="n"/>
      <c r="D1819" s="397" t="n"/>
      <c r="E1819" s="397" t="n"/>
      <c r="F1819" s="397" t="n"/>
      <c r="G1819" s="397" t="n"/>
      <c r="I1819" s="397" t="n"/>
      <c r="J1819" s="397" t="n"/>
      <c r="K1819" s="395">
        <f>DATE(VALUE(LEFT(A1819,4)),VALUE(MID(A1819,5,2)),VALUE(RIGHT(A1819,2)))</f>
        <v/>
      </c>
      <c r="L1819" s="395">
        <f>DATEVALUE(LEFT(F1819,10))</f>
        <v/>
      </c>
      <c r="M1819" s="396">
        <f>TIMEVALUE(MID(F1819,12,8))</f>
        <v/>
      </c>
      <c r="N1819" s="395">
        <f>DATEVALUE(LEFT(G1819,10))</f>
        <v/>
      </c>
      <c r="O1819" s="396">
        <f>TIMEVALUE(MID(G1819,12,8))</f>
        <v/>
      </c>
      <c r="P1819" s="396">
        <f>IFERROR(_xlfn.MINIFS($M:$M,$E:$E,$E1819,$K:$K,$K1819,$M:$M,"&gt;"&amp;$O1819),"")</f>
        <v/>
      </c>
      <c r="Q1819" s="396">
        <f>IF($P1819="","",$P1819-$O1819)</f>
        <v/>
      </c>
    </row>
    <row r="1820" ht="15" customHeight="1" s="231">
      <c r="A1820" s="397" t="n"/>
      <c r="B1820" s="397" t="n"/>
      <c r="C1820" s="397" t="n"/>
      <c r="D1820" s="397" t="n"/>
      <c r="E1820" s="397" t="n"/>
      <c r="F1820" s="397" t="n"/>
      <c r="G1820" s="397" t="n"/>
      <c r="I1820" s="397" t="n"/>
      <c r="J1820" s="397" t="n"/>
      <c r="K1820" s="395">
        <f>DATE(VALUE(LEFT(A1820,4)),VALUE(MID(A1820,5,2)),VALUE(RIGHT(A1820,2)))</f>
        <v/>
      </c>
      <c r="L1820" s="395">
        <f>DATEVALUE(LEFT(F1820,10))</f>
        <v/>
      </c>
      <c r="M1820" s="396">
        <f>TIMEVALUE(MID(F1820,12,8))</f>
        <v/>
      </c>
      <c r="N1820" s="395">
        <f>DATEVALUE(LEFT(G1820,10))</f>
        <v/>
      </c>
      <c r="O1820" s="396">
        <f>TIMEVALUE(MID(G1820,12,8))</f>
        <v/>
      </c>
      <c r="P1820" s="396">
        <f>IFERROR(_xlfn.MINIFS($M:$M,$E:$E,$E1820,$K:$K,$K1820,$M:$M,"&gt;"&amp;$O1820),"")</f>
        <v/>
      </c>
      <c r="Q1820" s="396">
        <f>IF($P1820="","",$P1820-$O1820)</f>
        <v/>
      </c>
    </row>
    <row r="1821" ht="15" customHeight="1" s="231">
      <c r="A1821" s="397" t="n"/>
      <c r="B1821" s="397" t="n"/>
      <c r="C1821" s="397" t="n"/>
      <c r="D1821" s="397" t="n"/>
      <c r="E1821" s="397" t="n"/>
      <c r="F1821" s="397" t="n"/>
      <c r="G1821" s="397" t="n"/>
      <c r="I1821" s="397" t="n"/>
      <c r="J1821" s="397" t="n"/>
      <c r="K1821" s="395">
        <f>DATE(VALUE(LEFT(A1821,4)),VALUE(MID(A1821,5,2)),VALUE(RIGHT(A1821,2)))</f>
        <v/>
      </c>
      <c r="L1821" s="395">
        <f>DATEVALUE(LEFT(F1821,10))</f>
        <v/>
      </c>
      <c r="M1821" s="396">
        <f>TIMEVALUE(MID(F1821,12,8))</f>
        <v/>
      </c>
      <c r="N1821" s="395">
        <f>DATEVALUE(LEFT(G1821,10))</f>
        <v/>
      </c>
      <c r="O1821" s="396">
        <f>TIMEVALUE(MID(G1821,12,8))</f>
        <v/>
      </c>
      <c r="P1821" s="396">
        <f>IFERROR(_xlfn.MINIFS($M:$M,$E:$E,$E1821,$K:$K,$K1821,$M:$M,"&gt;"&amp;$O1821),"")</f>
        <v/>
      </c>
      <c r="Q1821" s="396">
        <f>IF($P1821="","",$P1821-$O1821)</f>
        <v/>
      </c>
    </row>
    <row r="1822" ht="15" customHeight="1" s="231">
      <c r="A1822" s="397" t="n"/>
      <c r="B1822" s="397" t="n"/>
      <c r="C1822" s="397" t="n"/>
      <c r="D1822" s="397" t="n"/>
      <c r="E1822" s="397" t="n"/>
      <c r="F1822" s="397" t="n"/>
      <c r="G1822" s="397" t="n"/>
      <c r="I1822" s="397" t="n"/>
      <c r="J1822" s="397" t="n"/>
      <c r="K1822" s="395">
        <f>DATE(VALUE(LEFT(A1822,4)),VALUE(MID(A1822,5,2)),VALUE(RIGHT(A1822,2)))</f>
        <v/>
      </c>
      <c r="L1822" s="395">
        <f>DATEVALUE(LEFT(F1822,10))</f>
        <v/>
      </c>
      <c r="M1822" s="396">
        <f>TIMEVALUE(MID(F1822,12,8))</f>
        <v/>
      </c>
      <c r="N1822" s="395">
        <f>DATEVALUE(LEFT(G1822,10))</f>
        <v/>
      </c>
      <c r="O1822" s="396">
        <f>TIMEVALUE(MID(G1822,12,8))</f>
        <v/>
      </c>
      <c r="P1822" s="396">
        <f>IFERROR(_xlfn.MINIFS($M:$M,$E:$E,$E1822,$K:$K,$K1822,$M:$M,"&gt;"&amp;$O1822),"")</f>
        <v/>
      </c>
      <c r="Q1822" s="396">
        <f>IF($P1822="","",$P1822-$O1822)</f>
        <v/>
      </c>
    </row>
    <row r="1823" ht="15" customHeight="1" s="231">
      <c r="A1823" s="397" t="n"/>
      <c r="B1823" s="397" t="n"/>
      <c r="C1823" s="397" t="n"/>
      <c r="D1823" s="397" t="n"/>
      <c r="E1823" s="397" t="n"/>
      <c r="F1823" s="397" t="n"/>
      <c r="G1823" s="397" t="n"/>
      <c r="I1823" s="397" t="n"/>
      <c r="J1823" s="397" t="n"/>
      <c r="K1823" s="395">
        <f>DATE(VALUE(LEFT(A1823,4)),VALUE(MID(A1823,5,2)),VALUE(RIGHT(A1823,2)))</f>
        <v/>
      </c>
      <c r="L1823" s="395">
        <f>DATEVALUE(LEFT(F1823,10))</f>
        <v/>
      </c>
      <c r="M1823" s="396">
        <f>TIMEVALUE(MID(F1823,12,8))</f>
        <v/>
      </c>
      <c r="N1823" s="395">
        <f>DATEVALUE(LEFT(G1823,10))</f>
        <v/>
      </c>
      <c r="O1823" s="396">
        <f>TIMEVALUE(MID(G1823,12,8))</f>
        <v/>
      </c>
      <c r="P1823" s="396">
        <f>IFERROR(_xlfn.MINIFS($M:$M,$E:$E,$E1823,$K:$K,$K1823,$M:$M,"&gt;"&amp;$O1823),"")</f>
        <v/>
      </c>
      <c r="Q1823" s="396">
        <f>IF($P1823="","",$P1823-$O1823)</f>
        <v/>
      </c>
    </row>
    <row r="1824" ht="15" customHeight="1" s="231">
      <c r="A1824" s="397" t="n"/>
      <c r="B1824" s="397" t="n"/>
      <c r="C1824" s="397" t="n"/>
      <c r="D1824" s="397" t="n"/>
      <c r="E1824" s="397" t="n"/>
      <c r="F1824" s="397" t="n"/>
      <c r="G1824" s="397" t="n"/>
      <c r="I1824" s="397" t="n"/>
      <c r="J1824" s="397" t="n"/>
      <c r="K1824" s="395">
        <f>DATE(VALUE(LEFT(A1824,4)),VALUE(MID(A1824,5,2)),VALUE(RIGHT(A1824,2)))</f>
        <v/>
      </c>
      <c r="L1824" s="395">
        <f>DATEVALUE(LEFT(F1824,10))</f>
        <v/>
      </c>
      <c r="M1824" s="396">
        <f>TIMEVALUE(MID(F1824,12,8))</f>
        <v/>
      </c>
      <c r="N1824" s="395">
        <f>DATEVALUE(LEFT(G1824,10))</f>
        <v/>
      </c>
      <c r="O1824" s="396">
        <f>TIMEVALUE(MID(G1824,12,8))</f>
        <v/>
      </c>
      <c r="P1824" s="396">
        <f>IFERROR(_xlfn.MINIFS($M:$M,$E:$E,$E1824,$K:$K,$K1824,$M:$M,"&gt;"&amp;$O1824),"")</f>
        <v/>
      </c>
      <c r="Q1824" s="396">
        <f>IF($P1824="","",$P1824-$O1824)</f>
        <v/>
      </c>
    </row>
    <row r="1825" ht="15" customHeight="1" s="231">
      <c r="A1825" s="397" t="n"/>
      <c r="B1825" s="397" t="n"/>
      <c r="C1825" s="397" t="n"/>
      <c r="D1825" s="397" t="n"/>
      <c r="E1825" s="397" t="n"/>
      <c r="F1825" s="397" t="n"/>
      <c r="G1825" s="397" t="n"/>
      <c r="I1825" s="397" t="n"/>
      <c r="J1825" s="397" t="n"/>
      <c r="K1825" s="395">
        <f>DATE(VALUE(LEFT(A1825,4)),VALUE(MID(A1825,5,2)),VALUE(RIGHT(A1825,2)))</f>
        <v/>
      </c>
      <c r="L1825" s="395">
        <f>DATEVALUE(LEFT(F1825,10))</f>
        <v/>
      </c>
      <c r="M1825" s="396">
        <f>TIMEVALUE(MID(F1825,12,8))</f>
        <v/>
      </c>
      <c r="N1825" s="395">
        <f>DATEVALUE(LEFT(G1825,10))</f>
        <v/>
      </c>
      <c r="O1825" s="396">
        <f>TIMEVALUE(MID(G1825,12,8))</f>
        <v/>
      </c>
      <c r="P1825" s="396">
        <f>IFERROR(_xlfn.MINIFS($M:$M,$E:$E,$E1825,$K:$K,$K1825,$M:$M,"&gt;"&amp;$O1825),"")</f>
        <v/>
      </c>
      <c r="Q1825" s="396">
        <f>IF($P1825="","",$P1825-$O1825)</f>
        <v/>
      </c>
    </row>
    <row r="1826" ht="15" customHeight="1" s="231">
      <c r="A1826" s="397" t="n"/>
      <c r="B1826" s="397" t="n"/>
      <c r="C1826" s="397" t="n"/>
      <c r="D1826" s="397" t="n"/>
      <c r="E1826" s="397" t="n"/>
      <c r="F1826" s="397" t="n"/>
      <c r="G1826" s="397" t="n"/>
      <c r="I1826" s="397" t="n"/>
      <c r="J1826" s="397" t="n"/>
      <c r="K1826" s="395">
        <f>DATE(VALUE(LEFT(A1826,4)),VALUE(MID(A1826,5,2)),VALUE(RIGHT(A1826,2)))</f>
        <v/>
      </c>
      <c r="L1826" s="395">
        <f>DATEVALUE(LEFT(F1826,10))</f>
        <v/>
      </c>
      <c r="M1826" s="396">
        <f>TIMEVALUE(MID(F1826,12,8))</f>
        <v/>
      </c>
      <c r="N1826" s="395">
        <f>DATEVALUE(LEFT(G1826,10))</f>
        <v/>
      </c>
      <c r="O1826" s="396">
        <f>TIMEVALUE(MID(G1826,12,8))</f>
        <v/>
      </c>
      <c r="P1826" s="396">
        <f>IFERROR(_xlfn.MINIFS($M:$M,$E:$E,$E1826,$K:$K,$K1826,$M:$M,"&gt;"&amp;$O1826),"")</f>
        <v/>
      </c>
      <c r="Q1826" s="396">
        <f>IF($P1826="","",$P1826-$O1826)</f>
        <v/>
      </c>
    </row>
    <row r="1827" ht="15" customHeight="1" s="231">
      <c r="A1827" s="397" t="n"/>
      <c r="B1827" s="397" t="n"/>
      <c r="C1827" s="397" t="n"/>
      <c r="D1827" s="397" t="n"/>
      <c r="E1827" s="397" t="n"/>
      <c r="F1827" s="397" t="n"/>
      <c r="G1827" s="397" t="n"/>
      <c r="I1827" s="397" t="n"/>
      <c r="J1827" s="397" t="n"/>
      <c r="K1827" s="395">
        <f>DATE(VALUE(LEFT(A1827,4)),VALUE(MID(A1827,5,2)),VALUE(RIGHT(A1827,2)))</f>
        <v/>
      </c>
      <c r="L1827" s="395">
        <f>DATEVALUE(LEFT(F1827,10))</f>
        <v/>
      </c>
      <c r="M1827" s="396">
        <f>TIMEVALUE(MID(F1827,12,8))</f>
        <v/>
      </c>
      <c r="N1827" s="395">
        <f>DATEVALUE(LEFT(G1827,10))</f>
        <v/>
      </c>
      <c r="O1827" s="396">
        <f>TIMEVALUE(MID(G1827,12,8))</f>
        <v/>
      </c>
      <c r="P1827" s="396">
        <f>IFERROR(_xlfn.MINIFS($M:$M,$E:$E,$E1827,$K:$K,$K1827,$M:$M,"&gt;"&amp;$O1827),"")</f>
        <v/>
      </c>
      <c r="Q1827" s="396">
        <f>IF($P1827="","",$P1827-$O1827)</f>
        <v/>
      </c>
    </row>
    <row r="1828" ht="15" customHeight="1" s="231">
      <c r="A1828" s="397" t="n"/>
      <c r="B1828" s="397" t="n"/>
      <c r="C1828" s="397" t="n"/>
      <c r="D1828" s="397" t="n"/>
      <c r="E1828" s="397" t="n"/>
      <c r="F1828" s="397" t="n"/>
      <c r="G1828" s="397" t="n"/>
      <c r="I1828" s="397" t="n"/>
      <c r="J1828" s="397" t="n"/>
      <c r="K1828" s="395">
        <f>DATE(VALUE(LEFT(A1828,4)),VALUE(MID(A1828,5,2)),VALUE(RIGHT(A1828,2)))</f>
        <v/>
      </c>
      <c r="L1828" s="395">
        <f>DATEVALUE(LEFT(F1828,10))</f>
        <v/>
      </c>
      <c r="M1828" s="396">
        <f>TIMEVALUE(MID(F1828,12,8))</f>
        <v/>
      </c>
      <c r="N1828" s="395">
        <f>DATEVALUE(LEFT(G1828,10))</f>
        <v/>
      </c>
      <c r="O1828" s="396">
        <f>TIMEVALUE(MID(G1828,12,8))</f>
        <v/>
      </c>
      <c r="P1828" s="396">
        <f>IFERROR(_xlfn.MINIFS($M:$M,$E:$E,$E1828,$K:$K,$K1828,$M:$M,"&gt;"&amp;$O1828),"")</f>
        <v/>
      </c>
      <c r="Q1828" s="396">
        <f>IF($P1828="","",$P1828-$O1828)</f>
        <v/>
      </c>
    </row>
    <row r="1829" ht="15" customHeight="1" s="231">
      <c r="A1829" s="397" t="n"/>
      <c r="B1829" s="397" t="n"/>
      <c r="C1829" s="397" t="n"/>
      <c r="D1829" s="397" t="n"/>
      <c r="E1829" s="397" t="n"/>
      <c r="F1829" s="397" t="n"/>
      <c r="G1829" s="397" t="n"/>
      <c r="I1829" s="397" t="n"/>
      <c r="J1829" s="397" t="n"/>
      <c r="K1829" s="395">
        <f>DATE(VALUE(LEFT(A1829,4)),VALUE(MID(A1829,5,2)),VALUE(RIGHT(A1829,2)))</f>
        <v/>
      </c>
      <c r="L1829" s="395">
        <f>DATEVALUE(LEFT(F1829,10))</f>
        <v/>
      </c>
      <c r="M1829" s="396">
        <f>TIMEVALUE(MID(F1829,12,8))</f>
        <v/>
      </c>
      <c r="N1829" s="395">
        <f>DATEVALUE(LEFT(G1829,10))</f>
        <v/>
      </c>
      <c r="O1829" s="396">
        <f>TIMEVALUE(MID(G1829,12,8))</f>
        <v/>
      </c>
      <c r="P1829" s="396">
        <f>IFERROR(_xlfn.MINIFS($M:$M,$E:$E,$E1829,$K:$K,$K1829,$M:$M,"&gt;"&amp;$O1829),"")</f>
        <v/>
      </c>
      <c r="Q1829" s="396">
        <f>IF($P1829="","",$P1829-$O1829)</f>
        <v/>
      </c>
    </row>
    <row r="1830" ht="15" customHeight="1" s="231">
      <c r="A1830" s="397" t="n"/>
      <c r="B1830" s="397" t="n"/>
      <c r="C1830" s="397" t="n"/>
      <c r="D1830" s="397" t="n"/>
      <c r="E1830" s="397" t="n"/>
      <c r="F1830" s="397" t="n"/>
      <c r="G1830" s="397" t="n"/>
      <c r="I1830" s="397" t="n"/>
      <c r="J1830" s="397" t="n"/>
      <c r="K1830" s="395">
        <f>DATE(VALUE(LEFT(A1830,4)),VALUE(MID(A1830,5,2)),VALUE(RIGHT(A1830,2)))</f>
        <v/>
      </c>
      <c r="L1830" s="395">
        <f>DATEVALUE(LEFT(F1830,10))</f>
        <v/>
      </c>
      <c r="M1830" s="396">
        <f>TIMEVALUE(MID(F1830,12,8))</f>
        <v/>
      </c>
      <c r="N1830" s="395">
        <f>DATEVALUE(LEFT(G1830,10))</f>
        <v/>
      </c>
      <c r="O1830" s="396">
        <f>TIMEVALUE(MID(G1830,12,8))</f>
        <v/>
      </c>
      <c r="P1830" s="396">
        <f>IFERROR(_xlfn.MINIFS($M:$M,$E:$E,$E1830,$K:$K,$K1830,$M:$M,"&gt;"&amp;$O1830),"")</f>
        <v/>
      </c>
      <c r="Q1830" s="396">
        <f>IF($P1830="","",$P1830-$O1830)</f>
        <v/>
      </c>
    </row>
    <row r="1831" ht="15" customHeight="1" s="231">
      <c r="A1831" s="397" t="n"/>
      <c r="B1831" s="397" t="n"/>
      <c r="C1831" s="397" t="n"/>
      <c r="D1831" s="397" t="n"/>
      <c r="E1831" s="397" t="n"/>
      <c r="F1831" s="397" t="n"/>
      <c r="G1831" s="397" t="n"/>
      <c r="I1831" s="397" t="n"/>
      <c r="J1831" s="397" t="n"/>
      <c r="K1831" s="395">
        <f>DATE(VALUE(LEFT(A1831,4)),VALUE(MID(A1831,5,2)),VALUE(RIGHT(A1831,2)))</f>
        <v/>
      </c>
      <c r="L1831" s="395">
        <f>DATEVALUE(LEFT(F1831,10))</f>
        <v/>
      </c>
      <c r="M1831" s="396">
        <f>TIMEVALUE(MID(F1831,12,8))</f>
        <v/>
      </c>
      <c r="N1831" s="395">
        <f>DATEVALUE(LEFT(G1831,10))</f>
        <v/>
      </c>
      <c r="O1831" s="396">
        <f>TIMEVALUE(MID(G1831,12,8))</f>
        <v/>
      </c>
      <c r="P1831" s="396">
        <f>IFERROR(_xlfn.MINIFS($M:$M,$E:$E,$E1831,$K:$K,$K1831,$M:$M,"&gt;"&amp;$O1831),"")</f>
        <v/>
      </c>
      <c r="Q1831" s="396">
        <f>IF($P1831="","",$P1831-$O1831)</f>
        <v/>
      </c>
    </row>
    <row r="1832" ht="15" customHeight="1" s="231">
      <c r="A1832" s="397" t="n"/>
      <c r="B1832" s="397" t="n"/>
      <c r="C1832" s="397" t="n"/>
      <c r="D1832" s="397" t="n"/>
      <c r="E1832" s="397" t="n"/>
      <c r="F1832" s="397" t="n"/>
      <c r="G1832" s="397" t="n"/>
      <c r="I1832" s="397" t="n"/>
      <c r="J1832" s="397" t="n"/>
      <c r="K1832" s="395">
        <f>DATE(VALUE(LEFT(A1832,4)),VALUE(MID(A1832,5,2)),VALUE(RIGHT(A1832,2)))</f>
        <v/>
      </c>
      <c r="L1832" s="395">
        <f>DATEVALUE(LEFT(F1832,10))</f>
        <v/>
      </c>
      <c r="M1832" s="396">
        <f>TIMEVALUE(MID(F1832,12,8))</f>
        <v/>
      </c>
      <c r="N1832" s="395">
        <f>DATEVALUE(LEFT(G1832,10))</f>
        <v/>
      </c>
      <c r="O1832" s="396">
        <f>TIMEVALUE(MID(G1832,12,8))</f>
        <v/>
      </c>
      <c r="P1832" s="396">
        <f>IFERROR(_xlfn.MINIFS($M:$M,$E:$E,$E1832,$K:$K,$K1832,$M:$M,"&gt;"&amp;$O1832),"")</f>
        <v/>
      </c>
      <c r="Q1832" s="396">
        <f>IF($P1832="","",$P1832-$O1832)</f>
        <v/>
      </c>
    </row>
    <row r="1833" ht="15" customHeight="1" s="231">
      <c r="A1833" s="397" t="n"/>
      <c r="B1833" s="397" t="n"/>
      <c r="C1833" s="397" t="n"/>
      <c r="D1833" s="397" t="n"/>
      <c r="E1833" s="397" t="n"/>
      <c r="F1833" s="397" t="n"/>
      <c r="G1833" s="397" t="n"/>
      <c r="I1833" s="397" t="n"/>
      <c r="J1833" s="397" t="n"/>
      <c r="K1833" s="395">
        <f>DATE(VALUE(LEFT(A1833,4)),VALUE(MID(A1833,5,2)),VALUE(RIGHT(A1833,2)))</f>
        <v/>
      </c>
      <c r="L1833" s="395">
        <f>DATEVALUE(LEFT(F1833,10))</f>
        <v/>
      </c>
      <c r="M1833" s="396">
        <f>TIMEVALUE(MID(F1833,12,8))</f>
        <v/>
      </c>
      <c r="N1833" s="395">
        <f>DATEVALUE(LEFT(G1833,10))</f>
        <v/>
      </c>
      <c r="O1833" s="396">
        <f>TIMEVALUE(MID(G1833,12,8))</f>
        <v/>
      </c>
      <c r="P1833" s="396">
        <f>IFERROR(_xlfn.MINIFS($M:$M,$E:$E,$E1833,$K:$K,$K1833,$M:$M,"&gt;"&amp;$O1833),"")</f>
        <v/>
      </c>
      <c r="Q1833" s="396">
        <f>IF($P1833="","",$P1833-$O1833)</f>
        <v/>
      </c>
    </row>
    <row r="1834" ht="15" customHeight="1" s="231">
      <c r="A1834" s="397" t="n"/>
      <c r="B1834" s="397" t="n"/>
      <c r="C1834" s="397" t="n"/>
      <c r="D1834" s="397" t="n"/>
      <c r="E1834" s="397" t="n"/>
      <c r="F1834" s="397" t="n"/>
      <c r="G1834" s="397" t="n"/>
      <c r="I1834" s="397" t="n"/>
      <c r="J1834" s="397" t="n"/>
      <c r="K1834" s="395">
        <f>DATE(VALUE(LEFT(A1834,4)),VALUE(MID(A1834,5,2)),VALUE(RIGHT(A1834,2)))</f>
        <v/>
      </c>
      <c r="L1834" s="395">
        <f>DATEVALUE(LEFT(F1834,10))</f>
        <v/>
      </c>
      <c r="M1834" s="396">
        <f>TIMEVALUE(MID(F1834,12,8))</f>
        <v/>
      </c>
      <c r="N1834" s="395">
        <f>DATEVALUE(LEFT(G1834,10))</f>
        <v/>
      </c>
      <c r="O1834" s="396">
        <f>TIMEVALUE(MID(G1834,12,8))</f>
        <v/>
      </c>
      <c r="P1834" s="396">
        <f>IFERROR(_xlfn.MINIFS($M:$M,$E:$E,$E1834,$K:$K,$K1834,$M:$M,"&gt;"&amp;$O1834),"")</f>
        <v/>
      </c>
      <c r="Q1834" s="396">
        <f>IF($P1834="","",$P1834-$O1834)</f>
        <v/>
      </c>
    </row>
    <row r="1835" ht="15" customHeight="1" s="231">
      <c r="A1835" s="397" t="n"/>
      <c r="B1835" s="397" t="n"/>
      <c r="C1835" s="397" t="n"/>
      <c r="D1835" s="397" t="n"/>
      <c r="E1835" s="397" t="n"/>
      <c r="F1835" s="397" t="n"/>
      <c r="G1835" s="397" t="n"/>
      <c r="I1835" s="397" t="n"/>
      <c r="J1835" s="397" t="n"/>
      <c r="K1835" s="395">
        <f>DATE(VALUE(LEFT(A1835,4)),VALUE(MID(A1835,5,2)),VALUE(RIGHT(A1835,2)))</f>
        <v/>
      </c>
      <c r="L1835" s="395">
        <f>DATEVALUE(LEFT(F1835,10))</f>
        <v/>
      </c>
      <c r="M1835" s="396">
        <f>TIMEVALUE(MID(F1835,12,8))</f>
        <v/>
      </c>
      <c r="N1835" s="395">
        <f>DATEVALUE(LEFT(G1835,10))</f>
        <v/>
      </c>
      <c r="O1835" s="396">
        <f>TIMEVALUE(MID(G1835,12,8))</f>
        <v/>
      </c>
      <c r="P1835" s="396">
        <f>IFERROR(_xlfn.MINIFS($M:$M,$E:$E,$E1835,$K:$K,$K1835,$M:$M,"&gt;"&amp;$O1835),"")</f>
        <v/>
      </c>
      <c r="Q1835" s="396">
        <f>IF($P1835="","",$P1835-$O1835)</f>
        <v/>
      </c>
    </row>
    <row r="1836" ht="15" customHeight="1" s="231">
      <c r="A1836" s="397" t="n"/>
      <c r="B1836" s="397" t="n"/>
      <c r="C1836" s="397" t="n"/>
      <c r="D1836" s="397" t="n"/>
      <c r="E1836" s="397" t="n"/>
      <c r="F1836" s="397" t="n"/>
      <c r="G1836" s="397" t="n"/>
      <c r="I1836" s="397" t="n"/>
      <c r="J1836" s="397" t="n"/>
      <c r="K1836" s="395">
        <f>DATE(VALUE(LEFT(A1836,4)),VALUE(MID(A1836,5,2)),VALUE(RIGHT(A1836,2)))</f>
        <v/>
      </c>
      <c r="L1836" s="395">
        <f>DATEVALUE(LEFT(F1836,10))</f>
        <v/>
      </c>
      <c r="M1836" s="396">
        <f>TIMEVALUE(MID(F1836,12,8))</f>
        <v/>
      </c>
      <c r="N1836" s="395">
        <f>DATEVALUE(LEFT(G1836,10))</f>
        <v/>
      </c>
      <c r="O1836" s="396">
        <f>TIMEVALUE(MID(G1836,12,8))</f>
        <v/>
      </c>
      <c r="P1836" s="396">
        <f>IFERROR(_xlfn.MINIFS($M:$M,$E:$E,$E1836,$K:$K,$K1836,$M:$M,"&gt;"&amp;$O1836),"")</f>
        <v/>
      </c>
      <c r="Q1836" s="396">
        <f>IF($P1836="","",$P1836-$O1836)</f>
        <v/>
      </c>
    </row>
    <row r="1837" ht="15" customHeight="1" s="231">
      <c r="A1837" s="397" t="n"/>
      <c r="B1837" s="397" t="n"/>
      <c r="C1837" s="397" t="n"/>
      <c r="D1837" s="397" t="n"/>
      <c r="E1837" s="397" t="n"/>
      <c r="F1837" s="397" t="n"/>
      <c r="G1837" s="397" t="n"/>
      <c r="I1837" s="397" t="n"/>
      <c r="J1837" s="397" t="n"/>
      <c r="K1837" s="395">
        <f>DATE(VALUE(LEFT(A1837,4)),VALUE(MID(A1837,5,2)),VALUE(RIGHT(A1837,2)))</f>
        <v/>
      </c>
      <c r="L1837" s="395">
        <f>DATEVALUE(LEFT(F1837,10))</f>
        <v/>
      </c>
      <c r="M1837" s="396">
        <f>TIMEVALUE(MID(F1837,12,8))</f>
        <v/>
      </c>
      <c r="N1837" s="395">
        <f>DATEVALUE(LEFT(G1837,10))</f>
        <v/>
      </c>
      <c r="O1837" s="396">
        <f>TIMEVALUE(MID(G1837,12,8))</f>
        <v/>
      </c>
      <c r="P1837" s="396">
        <f>IFERROR(_xlfn.MINIFS($M:$M,$E:$E,$E1837,$K:$K,$K1837,$M:$M,"&gt;"&amp;$O1837),"")</f>
        <v/>
      </c>
      <c r="Q1837" s="396">
        <f>IF($P1837="","",$P1837-$O1837)</f>
        <v/>
      </c>
    </row>
    <row r="1838" ht="15" customHeight="1" s="231">
      <c r="A1838" s="397" t="n"/>
      <c r="B1838" s="397" t="n"/>
      <c r="C1838" s="397" t="n"/>
      <c r="D1838" s="397" t="n"/>
      <c r="E1838" s="397" t="n"/>
      <c r="F1838" s="397" t="n"/>
      <c r="G1838" s="397" t="n"/>
      <c r="I1838" s="397" t="n"/>
      <c r="J1838" s="397" t="n"/>
      <c r="K1838" s="395">
        <f>DATE(VALUE(LEFT(A1838,4)),VALUE(MID(A1838,5,2)),VALUE(RIGHT(A1838,2)))</f>
        <v/>
      </c>
      <c r="L1838" s="395">
        <f>DATEVALUE(LEFT(F1838,10))</f>
        <v/>
      </c>
      <c r="M1838" s="396">
        <f>TIMEVALUE(MID(F1838,12,8))</f>
        <v/>
      </c>
      <c r="N1838" s="395">
        <f>DATEVALUE(LEFT(G1838,10))</f>
        <v/>
      </c>
      <c r="O1838" s="396">
        <f>TIMEVALUE(MID(G1838,12,8))</f>
        <v/>
      </c>
      <c r="P1838" s="396">
        <f>IFERROR(_xlfn.MINIFS($M:$M,$E:$E,$E1838,$K:$K,$K1838,$M:$M,"&gt;"&amp;$O1838),"")</f>
        <v/>
      </c>
      <c r="Q1838" s="396">
        <f>IF($P1838="","",$P1838-$O1838)</f>
        <v/>
      </c>
    </row>
    <row r="1839" ht="15" customHeight="1" s="231">
      <c r="A1839" s="397" t="n"/>
      <c r="B1839" s="397" t="n"/>
      <c r="C1839" s="397" t="n"/>
      <c r="D1839" s="397" t="n"/>
      <c r="E1839" s="397" t="n"/>
      <c r="F1839" s="397" t="n"/>
      <c r="G1839" s="397" t="n"/>
      <c r="I1839" s="397" t="n"/>
      <c r="J1839" s="397" t="n"/>
      <c r="K1839" s="395">
        <f>DATE(VALUE(LEFT(A1839,4)),VALUE(MID(A1839,5,2)),VALUE(RIGHT(A1839,2)))</f>
        <v/>
      </c>
      <c r="L1839" s="395">
        <f>DATEVALUE(LEFT(F1839,10))</f>
        <v/>
      </c>
      <c r="M1839" s="396">
        <f>TIMEVALUE(MID(F1839,12,8))</f>
        <v/>
      </c>
      <c r="N1839" s="395">
        <f>DATEVALUE(LEFT(G1839,10))</f>
        <v/>
      </c>
      <c r="O1839" s="396">
        <f>TIMEVALUE(MID(G1839,12,8))</f>
        <v/>
      </c>
      <c r="P1839" s="396">
        <f>IFERROR(_xlfn.MINIFS($M:$M,$E:$E,$E1839,$K:$K,$K1839,$M:$M,"&gt;"&amp;$O1839),"")</f>
        <v/>
      </c>
      <c r="Q1839" s="396">
        <f>IF($P1839="","",$P1839-$O1839)</f>
        <v/>
      </c>
    </row>
    <row r="1840" ht="15" customHeight="1" s="231">
      <c r="A1840" s="397" t="n"/>
      <c r="B1840" s="397" t="n"/>
      <c r="C1840" s="397" t="n"/>
      <c r="D1840" s="397" t="n"/>
      <c r="E1840" s="397" t="n"/>
      <c r="F1840" s="397" t="n"/>
      <c r="G1840" s="397" t="n"/>
      <c r="I1840" s="397" t="n"/>
      <c r="J1840" s="397" t="n"/>
      <c r="K1840" s="395">
        <f>DATE(VALUE(LEFT(A1840,4)),VALUE(MID(A1840,5,2)),VALUE(RIGHT(A1840,2)))</f>
        <v/>
      </c>
      <c r="L1840" s="395">
        <f>DATEVALUE(LEFT(F1840,10))</f>
        <v/>
      </c>
      <c r="M1840" s="396">
        <f>TIMEVALUE(MID(F1840,12,8))</f>
        <v/>
      </c>
      <c r="N1840" s="395">
        <f>DATEVALUE(LEFT(G1840,10))</f>
        <v/>
      </c>
      <c r="O1840" s="396">
        <f>TIMEVALUE(MID(G1840,12,8))</f>
        <v/>
      </c>
      <c r="P1840" s="396">
        <f>IFERROR(_xlfn.MINIFS($M:$M,$E:$E,$E1840,$K:$K,$K1840,$M:$M,"&gt;"&amp;$O1840),"")</f>
        <v/>
      </c>
      <c r="Q1840" s="396">
        <f>IF($P1840="","",$P1840-$O1840)</f>
        <v/>
      </c>
    </row>
    <row r="1841" ht="15" customHeight="1" s="231">
      <c r="A1841" s="397" t="n"/>
      <c r="B1841" s="397" t="n"/>
      <c r="C1841" s="397" t="n"/>
      <c r="D1841" s="397" t="n"/>
      <c r="E1841" s="397" t="n"/>
      <c r="F1841" s="397" t="n"/>
      <c r="G1841" s="397" t="n"/>
      <c r="I1841" s="397" t="n"/>
      <c r="J1841" s="397" t="n"/>
      <c r="K1841" s="395">
        <f>DATE(VALUE(LEFT(A1841,4)),VALUE(MID(A1841,5,2)),VALUE(RIGHT(A1841,2)))</f>
        <v/>
      </c>
      <c r="L1841" s="395">
        <f>DATEVALUE(LEFT(F1841,10))</f>
        <v/>
      </c>
      <c r="M1841" s="396">
        <f>TIMEVALUE(MID(F1841,12,8))</f>
        <v/>
      </c>
      <c r="N1841" s="395">
        <f>DATEVALUE(LEFT(G1841,10))</f>
        <v/>
      </c>
      <c r="O1841" s="396">
        <f>TIMEVALUE(MID(G1841,12,8))</f>
        <v/>
      </c>
      <c r="P1841" s="396">
        <f>IFERROR(_xlfn.MINIFS($M:$M,$E:$E,$E1841,$K:$K,$K1841,$M:$M,"&gt;"&amp;$O1841),"")</f>
        <v/>
      </c>
      <c r="Q1841" s="396">
        <f>IF($P1841="","",$P1841-$O1841)</f>
        <v/>
      </c>
    </row>
    <row r="1842" ht="15" customHeight="1" s="231">
      <c r="A1842" s="397" t="n"/>
      <c r="B1842" s="397" t="n"/>
      <c r="C1842" s="397" t="n"/>
      <c r="D1842" s="397" t="n"/>
      <c r="E1842" s="397" t="n"/>
      <c r="F1842" s="397" t="n"/>
      <c r="G1842" s="397" t="n"/>
      <c r="I1842" s="397" t="n"/>
      <c r="J1842" s="397" t="n"/>
      <c r="K1842" s="395">
        <f>DATE(VALUE(LEFT(A1842,4)),VALUE(MID(A1842,5,2)),VALUE(RIGHT(A1842,2)))</f>
        <v/>
      </c>
      <c r="L1842" s="395">
        <f>DATEVALUE(LEFT(F1842,10))</f>
        <v/>
      </c>
      <c r="M1842" s="396">
        <f>TIMEVALUE(MID(F1842,12,8))</f>
        <v/>
      </c>
      <c r="N1842" s="395">
        <f>DATEVALUE(LEFT(G1842,10))</f>
        <v/>
      </c>
      <c r="O1842" s="396">
        <f>TIMEVALUE(MID(G1842,12,8))</f>
        <v/>
      </c>
      <c r="P1842" s="396">
        <f>IFERROR(_xlfn.MINIFS($M:$M,$E:$E,$E1842,$K:$K,$K1842,$M:$M,"&gt;"&amp;$O1842),"")</f>
        <v/>
      </c>
      <c r="Q1842" s="396">
        <f>IF($P1842="","",$P1842-$O1842)</f>
        <v/>
      </c>
    </row>
    <row r="1843" ht="15" customHeight="1" s="231">
      <c r="A1843" s="397" t="n"/>
      <c r="B1843" s="397" t="n"/>
      <c r="C1843" s="397" t="n"/>
      <c r="D1843" s="397" t="n"/>
      <c r="E1843" s="397" t="n"/>
      <c r="F1843" s="397" t="n"/>
      <c r="G1843" s="397" t="n"/>
      <c r="I1843" s="397" t="n"/>
      <c r="J1843" s="397" t="n"/>
      <c r="K1843" s="395">
        <f>DATE(VALUE(LEFT(A1843,4)),VALUE(MID(A1843,5,2)),VALUE(RIGHT(A1843,2)))</f>
        <v/>
      </c>
      <c r="L1843" s="395">
        <f>DATEVALUE(LEFT(F1843,10))</f>
        <v/>
      </c>
      <c r="M1843" s="396">
        <f>TIMEVALUE(MID(F1843,12,8))</f>
        <v/>
      </c>
      <c r="N1843" s="395">
        <f>DATEVALUE(LEFT(G1843,10))</f>
        <v/>
      </c>
      <c r="O1843" s="396">
        <f>TIMEVALUE(MID(G1843,12,8))</f>
        <v/>
      </c>
      <c r="P1843" s="396">
        <f>IFERROR(_xlfn.MINIFS($M:$M,$E:$E,$E1843,$K:$K,$K1843,$M:$M,"&gt;"&amp;$O1843),"")</f>
        <v/>
      </c>
      <c r="Q1843" s="396">
        <f>IF($P1843="","",$P1843-$O1843)</f>
        <v/>
      </c>
    </row>
    <row r="1844" ht="15" customHeight="1" s="231">
      <c r="A1844" s="397" t="n"/>
      <c r="B1844" s="397" t="n"/>
      <c r="C1844" s="397" t="n"/>
      <c r="D1844" s="397" t="n"/>
      <c r="E1844" s="397" t="n"/>
      <c r="F1844" s="397" t="n"/>
      <c r="G1844" s="397" t="n"/>
      <c r="I1844" s="397" t="n"/>
      <c r="J1844" s="397" t="n"/>
      <c r="K1844" s="395">
        <f>DATE(VALUE(LEFT(A1844,4)),VALUE(MID(A1844,5,2)),VALUE(RIGHT(A1844,2)))</f>
        <v/>
      </c>
      <c r="L1844" s="395">
        <f>DATEVALUE(LEFT(F1844,10))</f>
        <v/>
      </c>
      <c r="M1844" s="396">
        <f>TIMEVALUE(MID(F1844,12,8))</f>
        <v/>
      </c>
      <c r="N1844" s="395">
        <f>DATEVALUE(LEFT(G1844,10))</f>
        <v/>
      </c>
      <c r="O1844" s="396">
        <f>TIMEVALUE(MID(G1844,12,8))</f>
        <v/>
      </c>
      <c r="P1844" s="396">
        <f>IFERROR(_xlfn.MINIFS($M:$M,$E:$E,$E1844,$K:$K,$K1844,$M:$M,"&gt;"&amp;$O1844),"")</f>
        <v/>
      </c>
      <c r="Q1844" s="396">
        <f>IF($P1844="","",$P1844-$O1844)</f>
        <v/>
      </c>
    </row>
    <row r="1845" ht="15" customHeight="1" s="231">
      <c r="A1845" s="397" t="n"/>
      <c r="B1845" s="397" t="n"/>
      <c r="C1845" s="397" t="n"/>
      <c r="D1845" s="397" t="n"/>
      <c r="E1845" s="397" t="n"/>
      <c r="F1845" s="397" t="n"/>
      <c r="G1845" s="397" t="n"/>
      <c r="I1845" s="397" t="n"/>
      <c r="J1845" s="397" t="n"/>
      <c r="K1845" s="395">
        <f>DATE(VALUE(LEFT(A1845,4)),VALUE(MID(A1845,5,2)),VALUE(RIGHT(A1845,2)))</f>
        <v/>
      </c>
      <c r="L1845" s="395">
        <f>DATEVALUE(LEFT(F1845,10))</f>
        <v/>
      </c>
      <c r="M1845" s="396">
        <f>TIMEVALUE(MID(F1845,12,8))</f>
        <v/>
      </c>
      <c r="N1845" s="395">
        <f>DATEVALUE(LEFT(G1845,10))</f>
        <v/>
      </c>
      <c r="O1845" s="396">
        <f>TIMEVALUE(MID(G1845,12,8))</f>
        <v/>
      </c>
      <c r="P1845" s="396">
        <f>IFERROR(_xlfn.MINIFS($M:$M,$E:$E,$E1845,$K:$K,$K1845,$M:$M,"&gt;"&amp;$O1845),"")</f>
        <v/>
      </c>
      <c r="Q1845" s="396">
        <f>IF($P1845="","",$P1845-$O1845)</f>
        <v/>
      </c>
    </row>
    <row r="1846" ht="15" customHeight="1" s="231">
      <c r="A1846" s="397" t="n"/>
      <c r="B1846" s="397" t="n"/>
      <c r="C1846" s="397" t="n"/>
      <c r="D1846" s="397" t="n"/>
      <c r="E1846" s="397" t="n"/>
      <c r="F1846" s="397" t="n"/>
      <c r="G1846" s="397" t="n"/>
      <c r="I1846" s="397" t="n"/>
      <c r="J1846" s="397" t="n"/>
      <c r="K1846" s="395">
        <f>DATE(VALUE(LEFT(A1846,4)),VALUE(MID(A1846,5,2)),VALUE(RIGHT(A1846,2)))</f>
        <v/>
      </c>
      <c r="L1846" s="395">
        <f>DATEVALUE(LEFT(F1846,10))</f>
        <v/>
      </c>
      <c r="M1846" s="396">
        <f>TIMEVALUE(MID(F1846,12,8))</f>
        <v/>
      </c>
      <c r="N1846" s="395">
        <f>DATEVALUE(LEFT(G1846,10))</f>
        <v/>
      </c>
      <c r="O1846" s="396">
        <f>TIMEVALUE(MID(G1846,12,8))</f>
        <v/>
      </c>
      <c r="P1846" s="396">
        <f>IFERROR(_xlfn.MINIFS($M:$M,$E:$E,$E1846,$K:$K,$K1846,$M:$M,"&gt;"&amp;$O1846),"")</f>
        <v/>
      </c>
      <c r="Q1846" s="396">
        <f>IF($P1846="","",$P1846-$O1846)</f>
        <v/>
      </c>
    </row>
    <row r="1847" ht="15" customHeight="1" s="231">
      <c r="A1847" s="397" t="n"/>
      <c r="B1847" s="397" t="n"/>
      <c r="C1847" s="397" t="n"/>
      <c r="D1847" s="397" t="n"/>
      <c r="E1847" s="397" t="n"/>
      <c r="F1847" s="397" t="n"/>
      <c r="G1847" s="397" t="n"/>
      <c r="I1847" s="397" t="n"/>
      <c r="J1847" s="397" t="n"/>
      <c r="K1847" s="395">
        <f>DATE(VALUE(LEFT(A1847,4)),VALUE(MID(A1847,5,2)),VALUE(RIGHT(A1847,2)))</f>
        <v/>
      </c>
      <c r="L1847" s="395">
        <f>DATEVALUE(LEFT(F1847,10))</f>
        <v/>
      </c>
      <c r="M1847" s="396">
        <f>TIMEVALUE(MID(F1847,12,8))</f>
        <v/>
      </c>
      <c r="N1847" s="395">
        <f>DATEVALUE(LEFT(G1847,10))</f>
        <v/>
      </c>
      <c r="O1847" s="396">
        <f>TIMEVALUE(MID(G1847,12,8))</f>
        <v/>
      </c>
      <c r="P1847" s="396">
        <f>IFERROR(_xlfn.MINIFS($M:$M,$E:$E,$E1847,$K:$K,$K1847,$M:$M,"&gt;"&amp;$O1847),"")</f>
        <v/>
      </c>
      <c r="Q1847" s="396">
        <f>IF($P1847="","",$P1847-$O1847)</f>
        <v/>
      </c>
    </row>
    <row r="1848" ht="15" customHeight="1" s="231">
      <c r="A1848" s="397" t="n"/>
      <c r="B1848" s="397" t="n"/>
      <c r="C1848" s="397" t="n"/>
      <c r="D1848" s="397" t="n"/>
      <c r="E1848" s="397" t="n"/>
      <c r="F1848" s="397" t="n"/>
      <c r="G1848" s="397" t="n"/>
      <c r="I1848" s="397" t="n"/>
      <c r="J1848" s="397" t="n"/>
      <c r="K1848" s="395">
        <f>DATE(VALUE(LEFT(A1848,4)),VALUE(MID(A1848,5,2)),VALUE(RIGHT(A1848,2)))</f>
        <v/>
      </c>
      <c r="L1848" s="395">
        <f>DATEVALUE(LEFT(F1848,10))</f>
        <v/>
      </c>
      <c r="M1848" s="396">
        <f>TIMEVALUE(MID(F1848,12,8))</f>
        <v/>
      </c>
      <c r="N1848" s="395">
        <f>DATEVALUE(LEFT(G1848,10))</f>
        <v/>
      </c>
      <c r="O1848" s="396">
        <f>TIMEVALUE(MID(G1848,12,8))</f>
        <v/>
      </c>
      <c r="P1848" s="396">
        <f>IFERROR(_xlfn.MINIFS($M:$M,$E:$E,$E1848,$K:$K,$K1848,$M:$M,"&gt;"&amp;$O1848),"")</f>
        <v/>
      </c>
      <c r="Q1848" s="396">
        <f>IF($P1848="","",$P1848-$O1848)</f>
        <v/>
      </c>
    </row>
    <row r="1849" ht="15" customHeight="1" s="231">
      <c r="A1849" s="397" t="n"/>
      <c r="B1849" s="397" t="n"/>
      <c r="C1849" s="397" t="n"/>
      <c r="D1849" s="397" t="n"/>
      <c r="E1849" s="397" t="n"/>
      <c r="F1849" s="397" t="n"/>
      <c r="G1849" s="397" t="n"/>
      <c r="I1849" s="397" t="n"/>
      <c r="J1849" s="397" t="n"/>
      <c r="K1849" s="395">
        <f>DATE(VALUE(LEFT(A1849,4)),VALUE(MID(A1849,5,2)),VALUE(RIGHT(A1849,2)))</f>
        <v/>
      </c>
      <c r="L1849" s="395">
        <f>DATEVALUE(LEFT(F1849,10))</f>
        <v/>
      </c>
      <c r="M1849" s="396">
        <f>TIMEVALUE(MID(F1849,12,8))</f>
        <v/>
      </c>
      <c r="N1849" s="395">
        <f>DATEVALUE(LEFT(G1849,10))</f>
        <v/>
      </c>
      <c r="O1849" s="396">
        <f>TIMEVALUE(MID(G1849,12,8))</f>
        <v/>
      </c>
      <c r="P1849" s="396">
        <f>IFERROR(_xlfn.MINIFS($M:$M,$E:$E,$E1849,$K:$K,$K1849,$M:$M,"&gt;"&amp;$O1849),"")</f>
        <v/>
      </c>
      <c r="Q1849" s="396">
        <f>IF($P1849="","",$P1849-$O1849)</f>
        <v/>
      </c>
    </row>
    <row r="1850" ht="15" customHeight="1" s="231">
      <c r="A1850" s="397" t="n"/>
      <c r="B1850" s="397" t="n"/>
      <c r="C1850" s="397" t="n"/>
      <c r="D1850" s="397" t="n"/>
      <c r="E1850" s="397" t="n"/>
      <c r="F1850" s="397" t="n"/>
      <c r="G1850" s="397" t="n"/>
      <c r="I1850" s="397" t="n"/>
      <c r="J1850" s="397" t="n"/>
      <c r="K1850" s="395">
        <f>DATE(VALUE(LEFT(A1850,4)),VALUE(MID(A1850,5,2)),VALUE(RIGHT(A1850,2)))</f>
        <v/>
      </c>
      <c r="L1850" s="395">
        <f>DATEVALUE(LEFT(F1850,10))</f>
        <v/>
      </c>
      <c r="M1850" s="396">
        <f>TIMEVALUE(MID(F1850,12,8))</f>
        <v/>
      </c>
      <c r="N1850" s="395">
        <f>DATEVALUE(LEFT(G1850,10))</f>
        <v/>
      </c>
      <c r="O1850" s="396">
        <f>TIMEVALUE(MID(G1850,12,8))</f>
        <v/>
      </c>
      <c r="P1850" s="396">
        <f>IFERROR(_xlfn.MINIFS($M:$M,$E:$E,$E1850,$K:$K,$K1850,$M:$M,"&gt;"&amp;$O1850),"")</f>
        <v/>
      </c>
      <c r="Q1850" s="396">
        <f>IF($P1850="","",$P1850-$O1850)</f>
        <v/>
      </c>
    </row>
    <row r="1851" ht="15" customHeight="1" s="231">
      <c r="A1851" s="397" t="n"/>
      <c r="B1851" s="397" t="n"/>
      <c r="C1851" s="397" t="n"/>
      <c r="D1851" s="397" t="n"/>
      <c r="E1851" s="397" t="n"/>
      <c r="F1851" s="397" t="n"/>
      <c r="G1851" s="397" t="n"/>
      <c r="I1851" s="397" t="n"/>
      <c r="J1851" s="397" t="n"/>
      <c r="K1851" s="395">
        <f>DATE(VALUE(LEFT(A1851,4)),VALUE(MID(A1851,5,2)),VALUE(RIGHT(A1851,2)))</f>
        <v/>
      </c>
      <c r="L1851" s="395">
        <f>DATEVALUE(LEFT(F1851,10))</f>
        <v/>
      </c>
      <c r="M1851" s="396">
        <f>TIMEVALUE(MID(F1851,12,8))</f>
        <v/>
      </c>
      <c r="N1851" s="395">
        <f>DATEVALUE(LEFT(G1851,10))</f>
        <v/>
      </c>
      <c r="O1851" s="396">
        <f>TIMEVALUE(MID(G1851,12,8))</f>
        <v/>
      </c>
      <c r="P1851" s="396">
        <f>IFERROR(_xlfn.MINIFS($M:$M,$E:$E,$E1851,$K:$K,$K1851,$M:$M,"&gt;"&amp;$O1851),"")</f>
        <v/>
      </c>
      <c r="Q1851" s="396">
        <f>IF($P1851="","",$P1851-$O1851)</f>
        <v/>
      </c>
    </row>
    <row r="1852" ht="15" customHeight="1" s="231">
      <c r="A1852" s="397" t="n"/>
      <c r="B1852" s="397" t="n"/>
      <c r="C1852" s="397" t="n"/>
      <c r="D1852" s="397" t="n"/>
      <c r="E1852" s="397" t="n"/>
      <c r="F1852" s="397" t="n"/>
      <c r="G1852" s="397" t="n"/>
      <c r="I1852" s="397" t="n"/>
      <c r="J1852" s="397" t="n"/>
      <c r="K1852" s="395">
        <f>DATE(VALUE(LEFT(A1852,4)),VALUE(MID(A1852,5,2)),VALUE(RIGHT(A1852,2)))</f>
        <v/>
      </c>
      <c r="L1852" s="395">
        <f>DATEVALUE(LEFT(F1852,10))</f>
        <v/>
      </c>
      <c r="M1852" s="396">
        <f>TIMEVALUE(MID(F1852,12,8))</f>
        <v/>
      </c>
      <c r="N1852" s="395">
        <f>DATEVALUE(LEFT(G1852,10))</f>
        <v/>
      </c>
      <c r="O1852" s="396">
        <f>TIMEVALUE(MID(G1852,12,8))</f>
        <v/>
      </c>
      <c r="P1852" s="396">
        <f>IFERROR(_xlfn.MINIFS($M:$M,$E:$E,$E1852,$K:$K,$K1852,$M:$M,"&gt;"&amp;$O1852),"")</f>
        <v/>
      </c>
      <c r="Q1852" s="396">
        <f>IF($P1852="","",$P1852-$O1852)</f>
        <v/>
      </c>
    </row>
    <row r="1853" ht="15" customHeight="1" s="231">
      <c r="A1853" s="397" t="n"/>
      <c r="B1853" s="397" t="n"/>
      <c r="C1853" s="397" t="n"/>
      <c r="D1853" s="397" t="n"/>
      <c r="E1853" s="397" t="n"/>
      <c r="F1853" s="397" t="n"/>
      <c r="G1853" s="397" t="n"/>
      <c r="I1853" s="397" t="n"/>
      <c r="J1853" s="397" t="n"/>
      <c r="K1853" s="395">
        <f>DATE(VALUE(LEFT(A1853,4)),VALUE(MID(A1853,5,2)),VALUE(RIGHT(A1853,2)))</f>
        <v/>
      </c>
      <c r="L1853" s="395">
        <f>DATEVALUE(LEFT(F1853,10))</f>
        <v/>
      </c>
      <c r="M1853" s="396">
        <f>TIMEVALUE(MID(F1853,12,8))</f>
        <v/>
      </c>
      <c r="N1853" s="395">
        <f>DATEVALUE(LEFT(G1853,10))</f>
        <v/>
      </c>
      <c r="O1853" s="396">
        <f>TIMEVALUE(MID(G1853,12,8))</f>
        <v/>
      </c>
      <c r="P1853" s="396">
        <f>IFERROR(_xlfn.MINIFS($M:$M,$E:$E,$E1853,$K:$K,$K1853,$M:$M,"&gt;"&amp;$O1853),"")</f>
        <v/>
      </c>
      <c r="Q1853" s="396">
        <f>IF($P1853="","",$P1853-$O1853)</f>
        <v/>
      </c>
    </row>
    <row r="1854" ht="15" customHeight="1" s="231">
      <c r="A1854" s="397" t="n"/>
      <c r="B1854" s="397" t="n"/>
      <c r="C1854" s="397" t="n"/>
      <c r="D1854" s="397" t="n"/>
      <c r="E1854" s="397" t="n"/>
      <c r="F1854" s="397" t="n"/>
      <c r="G1854" s="397" t="n"/>
      <c r="I1854" s="397" t="n"/>
      <c r="J1854" s="397" t="n"/>
      <c r="K1854" s="395">
        <f>DATE(VALUE(LEFT(A1854,4)),VALUE(MID(A1854,5,2)),VALUE(RIGHT(A1854,2)))</f>
        <v/>
      </c>
      <c r="L1854" s="395">
        <f>DATEVALUE(LEFT(F1854,10))</f>
        <v/>
      </c>
      <c r="M1854" s="396">
        <f>TIMEVALUE(MID(F1854,12,8))</f>
        <v/>
      </c>
      <c r="N1854" s="395">
        <f>DATEVALUE(LEFT(G1854,10))</f>
        <v/>
      </c>
      <c r="O1854" s="396">
        <f>TIMEVALUE(MID(G1854,12,8))</f>
        <v/>
      </c>
      <c r="P1854" s="396">
        <f>IFERROR(_xlfn.MINIFS($M:$M,$E:$E,$E1854,$K:$K,$K1854,$M:$M,"&gt;"&amp;$O1854),"")</f>
        <v/>
      </c>
      <c r="Q1854" s="396">
        <f>IF($P1854="","",$P1854-$O1854)</f>
        <v/>
      </c>
    </row>
    <row r="1855" ht="15" customHeight="1" s="231">
      <c r="A1855" s="397" t="n"/>
      <c r="B1855" s="397" t="n"/>
      <c r="C1855" s="397" t="n"/>
      <c r="D1855" s="397" t="n"/>
      <c r="E1855" s="397" t="n"/>
      <c r="F1855" s="397" t="n"/>
      <c r="G1855" s="397" t="n"/>
      <c r="I1855" s="397" t="n"/>
      <c r="J1855" s="397" t="n"/>
      <c r="K1855" s="395">
        <f>DATE(VALUE(LEFT(A1855,4)),VALUE(MID(A1855,5,2)),VALUE(RIGHT(A1855,2)))</f>
        <v/>
      </c>
      <c r="L1855" s="395">
        <f>DATEVALUE(LEFT(F1855,10))</f>
        <v/>
      </c>
      <c r="M1855" s="396">
        <f>TIMEVALUE(MID(F1855,12,8))</f>
        <v/>
      </c>
      <c r="N1855" s="395">
        <f>DATEVALUE(LEFT(G1855,10))</f>
        <v/>
      </c>
      <c r="O1855" s="396">
        <f>TIMEVALUE(MID(G1855,12,8))</f>
        <v/>
      </c>
      <c r="P1855" s="396">
        <f>IFERROR(_xlfn.MINIFS($M:$M,$E:$E,$E1855,$K:$K,$K1855,$M:$M,"&gt;"&amp;$O1855),"")</f>
        <v/>
      </c>
      <c r="Q1855" s="396">
        <f>IF($P1855="","",$P1855-$O1855)</f>
        <v/>
      </c>
    </row>
    <row r="1856" ht="15" customHeight="1" s="231">
      <c r="A1856" s="397" t="n"/>
      <c r="B1856" s="397" t="n"/>
      <c r="C1856" s="397" t="n"/>
      <c r="D1856" s="397" t="n"/>
      <c r="E1856" s="397" t="n"/>
      <c r="F1856" s="397" t="n"/>
      <c r="G1856" s="397" t="n"/>
      <c r="I1856" s="397" t="n"/>
      <c r="J1856" s="397" t="n"/>
      <c r="K1856" s="395">
        <f>DATE(VALUE(LEFT(A1856,4)),VALUE(MID(A1856,5,2)),VALUE(RIGHT(A1856,2)))</f>
        <v/>
      </c>
      <c r="L1856" s="395">
        <f>DATEVALUE(LEFT(F1856,10))</f>
        <v/>
      </c>
      <c r="M1856" s="396">
        <f>TIMEVALUE(MID(F1856,12,8))</f>
        <v/>
      </c>
      <c r="N1856" s="395">
        <f>DATEVALUE(LEFT(G1856,10))</f>
        <v/>
      </c>
      <c r="O1856" s="396">
        <f>TIMEVALUE(MID(G1856,12,8))</f>
        <v/>
      </c>
      <c r="P1856" s="396">
        <f>IFERROR(_xlfn.MINIFS($M:$M,$E:$E,$E1856,$K:$K,$K1856,$M:$M,"&gt;"&amp;$O1856),"")</f>
        <v/>
      </c>
      <c r="Q1856" s="396">
        <f>IF($P1856="","",$P1856-$O1856)</f>
        <v/>
      </c>
    </row>
    <row r="1857" ht="15" customHeight="1" s="231">
      <c r="A1857" s="397" t="n"/>
      <c r="B1857" s="397" t="n"/>
      <c r="C1857" s="397" t="n"/>
      <c r="D1857" s="397" t="n"/>
      <c r="E1857" s="397" t="n"/>
      <c r="F1857" s="397" t="n"/>
      <c r="G1857" s="397" t="n"/>
      <c r="I1857" s="397" t="n"/>
      <c r="J1857" s="397" t="n"/>
      <c r="K1857" s="395">
        <f>DATE(VALUE(LEFT(A1857,4)),VALUE(MID(A1857,5,2)),VALUE(RIGHT(A1857,2)))</f>
        <v/>
      </c>
      <c r="L1857" s="395">
        <f>DATEVALUE(LEFT(F1857,10))</f>
        <v/>
      </c>
      <c r="M1857" s="396">
        <f>TIMEVALUE(MID(F1857,12,8))</f>
        <v/>
      </c>
      <c r="N1857" s="395">
        <f>DATEVALUE(LEFT(G1857,10))</f>
        <v/>
      </c>
      <c r="O1857" s="396">
        <f>TIMEVALUE(MID(G1857,12,8))</f>
        <v/>
      </c>
      <c r="P1857" s="396">
        <f>IFERROR(_xlfn.MINIFS($M:$M,$E:$E,$E1857,$K:$K,$K1857,$M:$M,"&gt;"&amp;$O1857),"")</f>
        <v/>
      </c>
      <c r="Q1857" s="396">
        <f>IF($P1857="","",$P1857-$O1857)</f>
        <v/>
      </c>
    </row>
    <row r="1858" ht="15" customHeight="1" s="231">
      <c r="A1858" s="397" t="n"/>
      <c r="B1858" s="397" t="n"/>
      <c r="C1858" s="397" t="n"/>
      <c r="D1858" s="397" t="n"/>
      <c r="E1858" s="397" t="n"/>
      <c r="F1858" s="397" t="n"/>
      <c r="G1858" s="397" t="n"/>
      <c r="I1858" s="397" t="n"/>
      <c r="J1858" s="397" t="n"/>
      <c r="K1858" s="395">
        <f>DATE(VALUE(LEFT(A1858,4)),VALUE(MID(A1858,5,2)),VALUE(RIGHT(A1858,2)))</f>
        <v/>
      </c>
      <c r="L1858" s="395">
        <f>DATEVALUE(LEFT(F1858,10))</f>
        <v/>
      </c>
      <c r="M1858" s="396">
        <f>TIMEVALUE(MID(F1858,12,8))</f>
        <v/>
      </c>
      <c r="N1858" s="395">
        <f>DATEVALUE(LEFT(G1858,10))</f>
        <v/>
      </c>
      <c r="O1858" s="396">
        <f>TIMEVALUE(MID(G1858,12,8))</f>
        <v/>
      </c>
      <c r="P1858" s="396">
        <f>IFERROR(_xlfn.MINIFS($M:$M,$E:$E,$E1858,$K:$K,$K1858,$M:$M,"&gt;"&amp;$O1858),"")</f>
        <v/>
      </c>
      <c r="Q1858" s="396">
        <f>IF($P1858="","",$P1858-$O1858)</f>
        <v/>
      </c>
    </row>
    <row r="1859" ht="15" customHeight="1" s="231">
      <c r="A1859" s="397" t="n"/>
      <c r="B1859" s="397" t="n"/>
      <c r="C1859" s="397" t="n"/>
      <c r="D1859" s="397" t="n"/>
      <c r="E1859" s="397" t="n"/>
      <c r="F1859" s="397" t="n"/>
      <c r="G1859" s="397" t="n"/>
      <c r="I1859" s="397" t="n"/>
      <c r="J1859" s="397" t="n"/>
      <c r="K1859" s="395">
        <f>DATE(VALUE(LEFT(A1859,4)),VALUE(MID(A1859,5,2)),VALUE(RIGHT(A1859,2)))</f>
        <v/>
      </c>
      <c r="L1859" s="395">
        <f>DATEVALUE(LEFT(F1859,10))</f>
        <v/>
      </c>
      <c r="M1859" s="396">
        <f>TIMEVALUE(MID(F1859,12,8))</f>
        <v/>
      </c>
      <c r="N1859" s="395">
        <f>DATEVALUE(LEFT(G1859,10))</f>
        <v/>
      </c>
      <c r="O1859" s="396">
        <f>TIMEVALUE(MID(G1859,12,8))</f>
        <v/>
      </c>
      <c r="P1859" s="396">
        <f>IFERROR(_xlfn.MINIFS($M:$M,$E:$E,$E1859,$K:$K,$K1859,$M:$M,"&gt;"&amp;$O1859),"")</f>
        <v/>
      </c>
      <c r="Q1859" s="396">
        <f>IF($P1859="","",$P1859-$O1859)</f>
        <v/>
      </c>
    </row>
    <row r="1860" ht="15" customHeight="1" s="231">
      <c r="A1860" s="397" t="n"/>
      <c r="B1860" s="397" t="n"/>
      <c r="C1860" s="397" t="n"/>
      <c r="D1860" s="397" t="n"/>
      <c r="E1860" s="397" t="n"/>
      <c r="F1860" s="397" t="n"/>
      <c r="G1860" s="397" t="n"/>
      <c r="I1860" s="397" t="n"/>
      <c r="J1860" s="397" t="n"/>
      <c r="K1860" s="395">
        <f>DATE(VALUE(LEFT(A1860,4)),VALUE(MID(A1860,5,2)),VALUE(RIGHT(A1860,2)))</f>
        <v/>
      </c>
      <c r="L1860" s="395">
        <f>DATEVALUE(LEFT(F1860,10))</f>
        <v/>
      </c>
      <c r="M1860" s="396">
        <f>TIMEVALUE(MID(F1860,12,8))</f>
        <v/>
      </c>
      <c r="N1860" s="395">
        <f>DATEVALUE(LEFT(G1860,10))</f>
        <v/>
      </c>
      <c r="O1860" s="396">
        <f>TIMEVALUE(MID(G1860,12,8))</f>
        <v/>
      </c>
      <c r="P1860" s="396">
        <f>IFERROR(_xlfn.MINIFS($M:$M,$E:$E,$E1860,$K:$K,$K1860,$M:$M,"&gt;"&amp;$O1860),"")</f>
        <v/>
      </c>
      <c r="Q1860" s="396">
        <f>IF($P1860="","",$P1860-$O1860)</f>
        <v/>
      </c>
    </row>
    <row r="1861" ht="15" customHeight="1" s="231">
      <c r="A1861" s="397" t="n"/>
      <c r="B1861" s="397" t="n"/>
      <c r="C1861" s="397" t="n"/>
      <c r="D1861" s="397" t="n"/>
      <c r="E1861" s="397" t="n"/>
      <c r="F1861" s="397" t="n"/>
      <c r="G1861" s="397" t="n"/>
      <c r="I1861" s="397" t="n"/>
      <c r="J1861" s="397" t="n"/>
      <c r="K1861" s="395">
        <f>DATE(VALUE(LEFT(A1861,4)),VALUE(MID(A1861,5,2)),VALUE(RIGHT(A1861,2)))</f>
        <v/>
      </c>
      <c r="L1861" s="395">
        <f>DATEVALUE(LEFT(F1861,10))</f>
        <v/>
      </c>
      <c r="M1861" s="396">
        <f>TIMEVALUE(MID(F1861,12,8))</f>
        <v/>
      </c>
      <c r="N1861" s="395">
        <f>DATEVALUE(LEFT(G1861,10))</f>
        <v/>
      </c>
      <c r="O1861" s="396">
        <f>TIMEVALUE(MID(G1861,12,8))</f>
        <v/>
      </c>
      <c r="P1861" s="396">
        <f>IFERROR(_xlfn.MINIFS($M:$M,$E:$E,$E1861,$K:$K,$K1861,$M:$M,"&gt;"&amp;$O1861),"")</f>
        <v/>
      </c>
      <c r="Q1861" s="396">
        <f>IF($P1861="","",$P1861-$O1861)</f>
        <v/>
      </c>
    </row>
    <row r="1862" ht="15" customHeight="1" s="231">
      <c r="A1862" s="397" t="n"/>
      <c r="B1862" s="397" t="n"/>
      <c r="C1862" s="397" t="n"/>
      <c r="D1862" s="397" t="n"/>
      <c r="E1862" s="397" t="n"/>
      <c r="F1862" s="397" t="n"/>
      <c r="G1862" s="397" t="n"/>
      <c r="I1862" s="397" t="n"/>
      <c r="J1862" s="397" t="n"/>
      <c r="K1862" s="395">
        <f>DATE(VALUE(LEFT(A1862,4)),VALUE(MID(A1862,5,2)),VALUE(RIGHT(A1862,2)))</f>
        <v/>
      </c>
      <c r="L1862" s="395">
        <f>DATEVALUE(LEFT(F1862,10))</f>
        <v/>
      </c>
      <c r="M1862" s="396">
        <f>TIMEVALUE(MID(F1862,12,8))</f>
        <v/>
      </c>
      <c r="N1862" s="395">
        <f>DATEVALUE(LEFT(G1862,10))</f>
        <v/>
      </c>
      <c r="O1862" s="396">
        <f>TIMEVALUE(MID(G1862,12,8))</f>
        <v/>
      </c>
      <c r="P1862" s="396">
        <f>IFERROR(_xlfn.MINIFS($M:$M,$E:$E,$E1862,$K:$K,$K1862,$M:$M,"&gt;"&amp;$O1862),"")</f>
        <v/>
      </c>
      <c r="Q1862" s="396">
        <f>IF($P1862="","",$P1862-$O1862)</f>
        <v/>
      </c>
    </row>
    <row r="1863" ht="15" customHeight="1" s="231">
      <c r="A1863" s="397" t="n"/>
      <c r="B1863" s="397" t="n"/>
      <c r="C1863" s="397" t="n"/>
      <c r="D1863" s="397" t="n"/>
      <c r="E1863" s="397" t="n"/>
      <c r="F1863" s="397" t="n"/>
      <c r="G1863" s="397" t="n"/>
      <c r="I1863" s="397" t="n"/>
      <c r="J1863" s="397" t="n"/>
      <c r="K1863" s="395">
        <f>DATE(VALUE(LEFT(A1863,4)),VALUE(MID(A1863,5,2)),VALUE(RIGHT(A1863,2)))</f>
        <v/>
      </c>
      <c r="L1863" s="395">
        <f>DATEVALUE(LEFT(F1863,10))</f>
        <v/>
      </c>
      <c r="M1863" s="396">
        <f>TIMEVALUE(MID(F1863,12,8))</f>
        <v/>
      </c>
      <c r="N1863" s="395">
        <f>DATEVALUE(LEFT(G1863,10))</f>
        <v/>
      </c>
      <c r="O1863" s="396">
        <f>TIMEVALUE(MID(G1863,12,8))</f>
        <v/>
      </c>
      <c r="P1863" s="396">
        <f>IFERROR(_xlfn.MINIFS($M:$M,$E:$E,$E1863,$K:$K,$K1863,$M:$M,"&gt;"&amp;$O1863),"")</f>
        <v/>
      </c>
      <c r="Q1863" s="396">
        <f>IF($P1863="","",$P1863-$O1863)</f>
        <v/>
      </c>
    </row>
    <row r="1864" ht="15" customHeight="1" s="231">
      <c r="A1864" s="397" t="n"/>
      <c r="B1864" s="397" t="n"/>
      <c r="C1864" s="397" t="n"/>
      <c r="D1864" s="397" t="n"/>
      <c r="E1864" s="397" t="n"/>
      <c r="F1864" s="397" t="n"/>
      <c r="G1864" s="397" t="n"/>
      <c r="I1864" s="397" t="n"/>
      <c r="J1864" s="397" t="n"/>
      <c r="K1864" s="395">
        <f>DATE(VALUE(LEFT(A1864,4)),VALUE(MID(A1864,5,2)),VALUE(RIGHT(A1864,2)))</f>
        <v/>
      </c>
      <c r="L1864" s="395">
        <f>DATEVALUE(LEFT(F1864,10))</f>
        <v/>
      </c>
      <c r="M1864" s="396">
        <f>TIMEVALUE(MID(F1864,12,8))</f>
        <v/>
      </c>
      <c r="N1864" s="395">
        <f>DATEVALUE(LEFT(G1864,10))</f>
        <v/>
      </c>
      <c r="O1864" s="396">
        <f>TIMEVALUE(MID(G1864,12,8))</f>
        <v/>
      </c>
      <c r="P1864" s="396">
        <f>IFERROR(_xlfn.MINIFS($M:$M,$E:$E,$E1864,$K:$K,$K1864,$M:$M,"&gt;"&amp;$O1864),"")</f>
        <v/>
      </c>
      <c r="Q1864" s="396">
        <f>IF($P1864="","",$P1864-$O1864)</f>
        <v/>
      </c>
    </row>
    <row r="1865" ht="15" customHeight="1" s="231">
      <c r="A1865" s="397" t="n"/>
      <c r="B1865" s="397" t="n"/>
      <c r="C1865" s="397" t="n"/>
      <c r="D1865" s="397" t="n"/>
      <c r="E1865" s="397" t="n"/>
      <c r="F1865" s="397" t="n"/>
      <c r="G1865" s="397" t="n"/>
      <c r="I1865" s="397" t="n"/>
      <c r="J1865" s="397" t="n"/>
      <c r="K1865" s="395">
        <f>DATE(VALUE(LEFT(A1865,4)),VALUE(MID(A1865,5,2)),VALUE(RIGHT(A1865,2)))</f>
        <v/>
      </c>
      <c r="L1865" s="395">
        <f>DATEVALUE(LEFT(F1865,10))</f>
        <v/>
      </c>
      <c r="M1865" s="396">
        <f>TIMEVALUE(MID(F1865,12,8))</f>
        <v/>
      </c>
      <c r="N1865" s="395">
        <f>DATEVALUE(LEFT(G1865,10))</f>
        <v/>
      </c>
      <c r="O1865" s="396">
        <f>TIMEVALUE(MID(G1865,12,8))</f>
        <v/>
      </c>
      <c r="P1865" s="396">
        <f>IFERROR(_xlfn.MINIFS($M:$M,$E:$E,$E1865,$K:$K,$K1865,$M:$M,"&gt;"&amp;$O1865),"")</f>
        <v/>
      </c>
      <c r="Q1865" s="396">
        <f>IF($P1865="","",$P1865-$O1865)</f>
        <v/>
      </c>
    </row>
    <row r="1866" ht="15" customHeight="1" s="231">
      <c r="A1866" s="397" t="n"/>
      <c r="B1866" s="397" t="n"/>
      <c r="C1866" s="397" t="n"/>
      <c r="D1866" s="397" t="n"/>
      <c r="E1866" s="397" t="n"/>
      <c r="F1866" s="397" t="n"/>
      <c r="G1866" s="397" t="n"/>
      <c r="I1866" s="397" t="n"/>
      <c r="J1866" s="397" t="n"/>
      <c r="K1866" s="395">
        <f>DATE(VALUE(LEFT(A1866,4)),VALUE(MID(A1866,5,2)),VALUE(RIGHT(A1866,2)))</f>
        <v/>
      </c>
      <c r="L1866" s="395">
        <f>DATEVALUE(LEFT(F1866,10))</f>
        <v/>
      </c>
      <c r="M1866" s="396">
        <f>TIMEVALUE(MID(F1866,12,8))</f>
        <v/>
      </c>
      <c r="N1866" s="395">
        <f>DATEVALUE(LEFT(G1866,10))</f>
        <v/>
      </c>
      <c r="O1866" s="396">
        <f>TIMEVALUE(MID(G1866,12,8))</f>
        <v/>
      </c>
      <c r="P1866" s="396">
        <f>IFERROR(_xlfn.MINIFS($M:$M,$E:$E,$E1866,$K:$K,$K1866,$M:$M,"&gt;"&amp;$O1866),"")</f>
        <v/>
      </c>
      <c r="Q1866" s="396">
        <f>IF($P1866="","",$P1866-$O1866)</f>
        <v/>
      </c>
    </row>
    <row r="1867" ht="15" customHeight="1" s="231">
      <c r="A1867" s="397" t="n"/>
      <c r="B1867" s="397" t="n"/>
      <c r="C1867" s="397" t="n"/>
      <c r="D1867" s="397" t="n"/>
      <c r="E1867" s="397" t="n"/>
      <c r="F1867" s="397" t="n"/>
      <c r="G1867" s="397" t="n"/>
      <c r="I1867" s="397" t="n"/>
      <c r="J1867" s="397" t="n"/>
      <c r="K1867" s="395">
        <f>DATE(VALUE(LEFT(A1867,4)),VALUE(MID(A1867,5,2)),VALUE(RIGHT(A1867,2)))</f>
        <v/>
      </c>
      <c r="L1867" s="395">
        <f>DATEVALUE(LEFT(F1867,10))</f>
        <v/>
      </c>
      <c r="M1867" s="396">
        <f>TIMEVALUE(MID(F1867,12,8))</f>
        <v/>
      </c>
      <c r="N1867" s="395">
        <f>DATEVALUE(LEFT(G1867,10))</f>
        <v/>
      </c>
      <c r="O1867" s="396">
        <f>TIMEVALUE(MID(G1867,12,8))</f>
        <v/>
      </c>
      <c r="P1867" s="396">
        <f>IFERROR(_xlfn.MINIFS($M:$M,$E:$E,$E1867,$K:$K,$K1867,$M:$M,"&gt;"&amp;$O1867),"")</f>
        <v/>
      </c>
      <c r="Q1867" s="396">
        <f>IF($P1867="","",$P1867-$O1867)</f>
        <v/>
      </c>
    </row>
    <row r="1868" ht="15" customHeight="1" s="231">
      <c r="A1868" s="397" t="n"/>
      <c r="B1868" s="397" t="n"/>
      <c r="C1868" s="397" t="n"/>
      <c r="D1868" s="397" t="n"/>
      <c r="E1868" s="397" t="n"/>
      <c r="F1868" s="397" t="n"/>
      <c r="G1868" s="397" t="n"/>
      <c r="I1868" s="397" t="n"/>
      <c r="J1868" s="397" t="n"/>
      <c r="K1868" s="395">
        <f>DATE(VALUE(LEFT(A1868,4)),VALUE(MID(A1868,5,2)),VALUE(RIGHT(A1868,2)))</f>
        <v/>
      </c>
      <c r="L1868" s="395">
        <f>DATEVALUE(LEFT(F1868,10))</f>
        <v/>
      </c>
      <c r="M1868" s="396">
        <f>TIMEVALUE(MID(F1868,12,8))</f>
        <v/>
      </c>
      <c r="N1868" s="395">
        <f>DATEVALUE(LEFT(G1868,10))</f>
        <v/>
      </c>
      <c r="O1868" s="396">
        <f>TIMEVALUE(MID(G1868,12,8))</f>
        <v/>
      </c>
      <c r="P1868" s="396">
        <f>IFERROR(_xlfn.MINIFS($M:$M,$E:$E,$E1868,$K:$K,$K1868,$M:$M,"&gt;"&amp;$O1868),"")</f>
        <v/>
      </c>
      <c r="Q1868" s="396">
        <f>IF($P1868="","",$P1868-$O1868)</f>
        <v/>
      </c>
    </row>
    <row r="1869" ht="15" customHeight="1" s="231">
      <c r="A1869" s="397" t="n"/>
      <c r="B1869" s="397" t="n"/>
      <c r="C1869" s="397" t="n"/>
      <c r="D1869" s="397" t="n"/>
      <c r="E1869" s="397" t="n"/>
      <c r="F1869" s="397" t="n"/>
      <c r="G1869" s="397" t="n"/>
      <c r="I1869" s="397" t="n"/>
      <c r="J1869" s="397" t="n"/>
      <c r="K1869" s="395">
        <f>DATE(VALUE(LEFT(A1869,4)),VALUE(MID(A1869,5,2)),VALUE(RIGHT(A1869,2)))</f>
        <v/>
      </c>
      <c r="L1869" s="395">
        <f>DATEVALUE(LEFT(F1869,10))</f>
        <v/>
      </c>
      <c r="M1869" s="396">
        <f>TIMEVALUE(MID(F1869,12,8))</f>
        <v/>
      </c>
      <c r="N1869" s="395">
        <f>DATEVALUE(LEFT(G1869,10))</f>
        <v/>
      </c>
      <c r="O1869" s="396">
        <f>TIMEVALUE(MID(G1869,12,8))</f>
        <v/>
      </c>
      <c r="P1869" s="396">
        <f>IFERROR(_xlfn.MINIFS($M:$M,$E:$E,$E1869,$K:$K,$K1869,$M:$M,"&gt;"&amp;$O1869),"")</f>
        <v/>
      </c>
      <c r="Q1869" s="396">
        <f>IF($P1869="","",$P1869-$O1869)</f>
        <v/>
      </c>
    </row>
    <row r="1870" ht="15" customHeight="1" s="231">
      <c r="A1870" s="397" t="n"/>
      <c r="B1870" s="397" t="n"/>
      <c r="C1870" s="397" t="n"/>
      <c r="D1870" s="397" t="n"/>
      <c r="E1870" s="397" t="n"/>
      <c r="F1870" s="397" t="n"/>
      <c r="G1870" s="397" t="n"/>
      <c r="I1870" s="397" t="n"/>
      <c r="J1870" s="397" t="n"/>
      <c r="K1870" s="395">
        <f>DATE(VALUE(LEFT(A1870,4)),VALUE(MID(A1870,5,2)),VALUE(RIGHT(A1870,2)))</f>
        <v/>
      </c>
      <c r="L1870" s="395">
        <f>DATEVALUE(LEFT(F1870,10))</f>
        <v/>
      </c>
      <c r="M1870" s="396">
        <f>TIMEVALUE(MID(F1870,12,8))</f>
        <v/>
      </c>
      <c r="N1870" s="395">
        <f>DATEVALUE(LEFT(G1870,10))</f>
        <v/>
      </c>
      <c r="O1870" s="396">
        <f>TIMEVALUE(MID(G1870,12,8))</f>
        <v/>
      </c>
      <c r="P1870" s="396">
        <f>IFERROR(_xlfn.MINIFS($M:$M,$E:$E,$E1870,$K:$K,$K1870,$M:$M,"&gt;"&amp;$O1870),"")</f>
        <v/>
      </c>
      <c r="Q1870" s="396">
        <f>IF($P1870="","",$P1870-$O1870)</f>
        <v/>
      </c>
    </row>
    <row r="1871" ht="15" customHeight="1" s="231">
      <c r="A1871" s="397" t="n"/>
      <c r="B1871" s="397" t="n"/>
      <c r="C1871" s="397" t="n"/>
      <c r="D1871" s="397" t="n"/>
      <c r="E1871" s="397" t="n"/>
      <c r="F1871" s="397" t="n"/>
      <c r="G1871" s="397" t="n"/>
      <c r="I1871" s="397" t="n"/>
      <c r="J1871" s="397" t="n"/>
      <c r="K1871" s="395">
        <f>DATE(VALUE(LEFT(A1871,4)),VALUE(MID(A1871,5,2)),VALUE(RIGHT(A1871,2)))</f>
        <v/>
      </c>
      <c r="L1871" s="395">
        <f>DATEVALUE(LEFT(F1871,10))</f>
        <v/>
      </c>
      <c r="M1871" s="396">
        <f>TIMEVALUE(MID(F1871,12,8))</f>
        <v/>
      </c>
      <c r="N1871" s="395">
        <f>DATEVALUE(LEFT(G1871,10))</f>
        <v/>
      </c>
      <c r="O1871" s="396">
        <f>TIMEVALUE(MID(G1871,12,8))</f>
        <v/>
      </c>
      <c r="P1871" s="396">
        <f>IFERROR(_xlfn.MINIFS($M:$M,$E:$E,$E1871,$K:$K,$K1871,$M:$M,"&gt;"&amp;$O1871),"")</f>
        <v/>
      </c>
      <c r="Q1871" s="396">
        <f>IF($P1871="","",$P1871-$O1871)</f>
        <v/>
      </c>
    </row>
    <row r="1872" ht="15" customHeight="1" s="231">
      <c r="A1872" s="397" t="n"/>
      <c r="B1872" s="397" t="n"/>
      <c r="C1872" s="397" t="n"/>
      <c r="D1872" s="397" t="n"/>
      <c r="E1872" s="397" t="n"/>
      <c r="F1872" s="397" t="n"/>
      <c r="G1872" s="397" t="n"/>
      <c r="I1872" s="397" t="n"/>
      <c r="J1872" s="397" t="n"/>
      <c r="K1872" s="395">
        <f>DATE(VALUE(LEFT(A1872,4)),VALUE(MID(A1872,5,2)),VALUE(RIGHT(A1872,2)))</f>
        <v/>
      </c>
      <c r="L1872" s="395">
        <f>DATEVALUE(LEFT(F1872,10))</f>
        <v/>
      </c>
      <c r="M1872" s="396">
        <f>TIMEVALUE(MID(F1872,12,8))</f>
        <v/>
      </c>
      <c r="N1872" s="395">
        <f>DATEVALUE(LEFT(G1872,10))</f>
        <v/>
      </c>
      <c r="O1872" s="396">
        <f>TIMEVALUE(MID(G1872,12,8))</f>
        <v/>
      </c>
      <c r="P1872" s="396">
        <f>IFERROR(_xlfn.MINIFS($M:$M,$E:$E,$E1872,$K:$K,$K1872,$M:$M,"&gt;"&amp;$O1872),"")</f>
        <v/>
      </c>
      <c r="Q1872" s="396">
        <f>IF($P1872="","",$P1872-$O1872)</f>
        <v/>
      </c>
    </row>
    <row r="1873" ht="15" customHeight="1" s="231">
      <c r="A1873" s="397" t="n"/>
      <c r="B1873" s="397" t="n"/>
      <c r="C1873" s="397" t="n"/>
      <c r="D1873" s="397" t="n"/>
      <c r="E1873" s="397" t="n"/>
      <c r="F1873" s="397" t="n"/>
      <c r="G1873" s="397" t="n"/>
      <c r="I1873" s="397" t="n"/>
      <c r="J1873" s="397" t="n"/>
      <c r="K1873" s="395">
        <f>DATE(VALUE(LEFT(A1873,4)),VALUE(MID(A1873,5,2)),VALUE(RIGHT(A1873,2)))</f>
        <v/>
      </c>
      <c r="L1873" s="395">
        <f>DATEVALUE(LEFT(F1873,10))</f>
        <v/>
      </c>
      <c r="M1873" s="396">
        <f>TIMEVALUE(MID(F1873,12,8))</f>
        <v/>
      </c>
      <c r="N1873" s="395">
        <f>DATEVALUE(LEFT(G1873,10))</f>
        <v/>
      </c>
      <c r="O1873" s="396">
        <f>TIMEVALUE(MID(G1873,12,8))</f>
        <v/>
      </c>
      <c r="P1873" s="396">
        <f>IFERROR(_xlfn.MINIFS($M:$M,$E:$E,$E1873,$K:$K,$K1873,$M:$M,"&gt;"&amp;$O1873),"")</f>
        <v/>
      </c>
      <c r="Q1873" s="396">
        <f>IF($P1873="","",$P1873-$O1873)</f>
        <v/>
      </c>
    </row>
    <row r="1874" ht="15" customHeight="1" s="231">
      <c r="A1874" s="397" t="n"/>
      <c r="B1874" s="397" t="n"/>
      <c r="C1874" s="397" t="n"/>
      <c r="D1874" s="397" t="n"/>
      <c r="E1874" s="397" t="n"/>
      <c r="F1874" s="397" t="n"/>
      <c r="G1874" s="397" t="n"/>
      <c r="I1874" s="397" t="n"/>
      <c r="J1874" s="397" t="n"/>
      <c r="K1874" s="395">
        <f>DATE(VALUE(LEFT(A1874,4)),VALUE(MID(A1874,5,2)),VALUE(RIGHT(A1874,2)))</f>
        <v/>
      </c>
      <c r="L1874" s="395">
        <f>DATEVALUE(LEFT(F1874,10))</f>
        <v/>
      </c>
      <c r="M1874" s="396">
        <f>TIMEVALUE(MID(F1874,12,8))</f>
        <v/>
      </c>
      <c r="N1874" s="395">
        <f>DATEVALUE(LEFT(G1874,10))</f>
        <v/>
      </c>
      <c r="O1874" s="396">
        <f>TIMEVALUE(MID(G1874,12,8))</f>
        <v/>
      </c>
      <c r="P1874" s="396">
        <f>IFERROR(_xlfn.MINIFS($M:$M,$E:$E,$E1874,$K:$K,$K1874,$M:$M,"&gt;"&amp;$O1874),"")</f>
        <v/>
      </c>
      <c r="Q1874" s="396">
        <f>IF($P1874="","",$P1874-$O1874)</f>
        <v/>
      </c>
    </row>
    <row r="1875" ht="15" customHeight="1" s="231">
      <c r="A1875" s="397" t="n"/>
      <c r="B1875" s="397" t="n"/>
      <c r="C1875" s="397" t="n"/>
      <c r="D1875" s="397" t="n"/>
      <c r="E1875" s="397" t="n"/>
      <c r="F1875" s="397" t="n"/>
      <c r="G1875" s="397" t="n"/>
      <c r="I1875" s="397" t="n"/>
      <c r="J1875" s="397" t="n"/>
      <c r="K1875" s="395">
        <f>DATE(VALUE(LEFT(A1875,4)),VALUE(MID(A1875,5,2)),VALUE(RIGHT(A1875,2)))</f>
        <v/>
      </c>
      <c r="L1875" s="395">
        <f>DATEVALUE(LEFT(F1875,10))</f>
        <v/>
      </c>
      <c r="M1875" s="396">
        <f>TIMEVALUE(MID(F1875,12,8))</f>
        <v/>
      </c>
      <c r="N1875" s="395">
        <f>DATEVALUE(LEFT(G1875,10))</f>
        <v/>
      </c>
      <c r="O1875" s="396">
        <f>TIMEVALUE(MID(G1875,12,8))</f>
        <v/>
      </c>
      <c r="P1875" s="396">
        <f>IFERROR(_xlfn.MINIFS($M:$M,$E:$E,$E1875,$K:$K,$K1875,$M:$M,"&gt;"&amp;$O1875),"")</f>
        <v/>
      </c>
      <c r="Q1875" s="396">
        <f>IF($P1875="","",$P1875-$O1875)</f>
        <v/>
      </c>
    </row>
    <row r="1876" ht="15" customHeight="1" s="231">
      <c r="A1876" s="397" t="n"/>
      <c r="B1876" s="397" t="n"/>
      <c r="C1876" s="397" t="n"/>
      <c r="D1876" s="397" t="n"/>
      <c r="E1876" s="397" t="n"/>
      <c r="F1876" s="397" t="n"/>
      <c r="G1876" s="397" t="n"/>
      <c r="I1876" s="397" t="n"/>
      <c r="J1876" s="397" t="n"/>
      <c r="K1876" s="395">
        <f>DATE(VALUE(LEFT(A1876,4)),VALUE(MID(A1876,5,2)),VALUE(RIGHT(A1876,2)))</f>
        <v/>
      </c>
      <c r="L1876" s="395">
        <f>DATEVALUE(LEFT(F1876,10))</f>
        <v/>
      </c>
      <c r="M1876" s="396">
        <f>TIMEVALUE(MID(F1876,12,8))</f>
        <v/>
      </c>
      <c r="N1876" s="395">
        <f>DATEVALUE(LEFT(G1876,10))</f>
        <v/>
      </c>
      <c r="O1876" s="396">
        <f>TIMEVALUE(MID(G1876,12,8))</f>
        <v/>
      </c>
      <c r="P1876" s="396">
        <f>IFERROR(_xlfn.MINIFS($M:$M,$E:$E,$E1876,$K:$K,$K1876,$M:$M,"&gt;"&amp;$O1876),"")</f>
        <v/>
      </c>
      <c r="Q1876" s="396">
        <f>IF($P1876="","",$P1876-$O1876)</f>
        <v/>
      </c>
    </row>
    <row r="1877" ht="15" customHeight="1" s="231">
      <c r="A1877" s="397" t="n"/>
      <c r="B1877" s="397" t="n"/>
      <c r="C1877" s="397" t="n"/>
      <c r="D1877" s="397" t="n"/>
      <c r="E1877" s="397" t="n"/>
      <c r="F1877" s="397" t="n"/>
      <c r="G1877" s="397" t="n"/>
      <c r="I1877" s="397" t="n"/>
      <c r="J1877" s="397" t="n"/>
      <c r="K1877" s="395">
        <f>DATE(VALUE(LEFT(A1877,4)),VALUE(MID(A1877,5,2)),VALUE(RIGHT(A1877,2)))</f>
        <v/>
      </c>
      <c r="L1877" s="395">
        <f>DATEVALUE(LEFT(F1877,10))</f>
        <v/>
      </c>
      <c r="M1877" s="396">
        <f>TIMEVALUE(MID(F1877,12,8))</f>
        <v/>
      </c>
      <c r="N1877" s="395">
        <f>DATEVALUE(LEFT(G1877,10))</f>
        <v/>
      </c>
      <c r="O1877" s="396">
        <f>TIMEVALUE(MID(G1877,12,8))</f>
        <v/>
      </c>
      <c r="P1877" s="396">
        <f>IFERROR(_xlfn.MINIFS($M:$M,$E:$E,$E1877,$K:$K,$K1877,$M:$M,"&gt;"&amp;$O1877),"")</f>
        <v/>
      </c>
      <c r="Q1877" s="396">
        <f>IF($P1877="","",$P1877-$O1877)</f>
        <v/>
      </c>
    </row>
    <row r="1878" ht="15" customHeight="1" s="231">
      <c r="A1878" s="397" t="n"/>
      <c r="B1878" s="397" t="n"/>
      <c r="C1878" s="397" t="n"/>
      <c r="D1878" s="397" t="n"/>
      <c r="E1878" s="397" t="n"/>
      <c r="F1878" s="397" t="n"/>
      <c r="G1878" s="397" t="n"/>
      <c r="I1878" s="397" t="n"/>
      <c r="J1878" s="397" t="n"/>
      <c r="K1878" s="395">
        <f>DATE(VALUE(LEFT(A1878,4)),VALUE(MID(A1878,5,2)),VALUE(RIGHT(A1878,2)))</f>
        <v/>
      </c>
      <c r="L1878" s="395">
        <f>DATEVALUE(LEFT(F1878,10))</f>
        <v/>
      </c>
      <c r="M1878" s="396">
        <f>TIMEVALUE(MID(F1878,12,8))</f>
        <v/>
      </c>
      <c r="N1878" s="395">
        <f>DATEVALUE(LEFT(G1878,10))</f>
        <v/>
      </c>
      <c r="O1878" s="396">
        <f>TIMEVALUE(MID(G1878,12,8))</f>
        <v/>
      </c>
      <c r="P1878" s="396">
        <f>IFERROR(_xlfn.MINIFS($M:$M,$E:$E,$E1878,$K:$K,$K1878,$M:$M,"&gt;"&amp;$O1878),"")</f>
        <v/>
      </c>
      <c r="Q1878" s="396">
        <f>IF($P1878="","",$P1878-$O1878)</f>
        <v/>
      </c>
    </row>
    <row r="1879" ht="15" customHeight="1" s="231">
      <c r="A1879" s="397" t="n"/>
      <c r="B1879" s="397" t="n"/>
      <c r="C1879" s="397" t="n"/>
      <c r="D1879" s="397" t="n"/>
      <c r="E1879" s="397" t="n"/>
      <c r="F1879" s="397" t="n"/>
      <c r="G1879" s="397" t="n"/>
      <c r="I1879" s="397" t="n"/>
      <c r="J1879" s="397" t="n"/>
      <c r="K1879" s="395">
        <f>DATE(VALUE(LEFT(A1879,4)),VALUE(MID(A1879,5,2)),VALUE(RIGHT(A1879,2)))</f>
        <v/>
      </c>
      <c r="L1879" s="395">
        <f>DATEVALUE(LEFT(F1879,10))</f>
        <v/>
      </c>
      <c r="M1879" s="396">
        <f>TIMEVALUE(MID(F1879,12,8))</f>
        <v/>
      </c>
      <c r="N1879" s="395">
        <f>DATEVALUE(LEFT(G1879,10))</f>
        <v/>
      </c>
      <c r="O1879" s="396">
        <f>TIMEVALUE(MID(G1879,12,8))</f>
        <v/>
      </c>
      <c r="P1879" s="396">
        <f>IFERROR(_xlfn.MINIFS($M:$M,$E:$E,$E1879,$K:$K,$K1879,$M:$M,"&gt;"&amp;$O1879),"")</f>
        <v/>
      </c>
      <c r="Q1879" s="396">
        <f>IF($P1879="","",$P1879-$O1879)</f>
        <v/>
      </c>
    </row>
    <row r="1880" ht="15" customHeight="1" s="231">
      <c r="A1880" s="397" t="n"/>
      <c r="B1880" s="397" t="n"/>
      <c r="C1880" s="397" t="n"/>
      <c r="D1880" s="397" t="n"/>
      <c r="E1880" s="397" t="n"/>
      <c r="F1880" s="397" t="n"/>
      <c r="G1880" s="397" t="n"/>
      <c r="I1880" s="397" t="n"/>
      <c r="J1880" s="397" t="n"/>
      <c r="K1880" s="395">
        <f>DATE(VALUE(LEFT(A1880,4)),VALUE(MID(A1880,5,2)),VALUE(RIGHT(A1880,2)))</f>
        <v/>
      </c>
      <c r="L1880" s="395">
        <f>DATEVALUE(LEFT(F1880,10))</f>
        <v/>
      </c>
      <c r="M1880" s="396">
        <f>TIMEVALUE(MID(F1880,12,8))</f>
        <v/>
      </c>
      <c r="N1880" s="395">
        <f>DATEVALUE(LEFT(G1880,10))</f>
        <v/>
      </c>
      <c r="O1880" s="396">
        <f>TIMEVALUE(MID(G1880,12,8))</f>
        <v/>
      </c>
      <c r="P1880" s="396">
        <f>IFERROR(_xlfn.MINIFS($M:$M,$E:$E,$E1880,$K:$K,$K1880,$M:$M,"&gt;"&amp;$O1880),"")</f>
        <v/>
      </c>
      <c r="Q1880" s="396">
        <f>IF($P1880="","",$P1880-$O1880)</f>
        <v/>
      </c>
    </row>
    <row r="1881" ht="15" customHeight="1" s="231">
      <c r="A1881" s="397" t="n"/>
      <c r="B1881" s="397" t="n"/>
      <c r="C1881" s="397" t="n"/>
      <c r="D1881" s="397" t="n"/>
      <c r="E1881" s="397" t="n"/>
      <c r="F1881" s="397" t="n"/>
      <c r="G1881" s="397" t="n"/>
      <c r="I1881" s="397" t="n"/>
      <c r="J1881" s="397" t="n"/>
      <c r="K1881" s="395">
        <f>DATE(VALUE(LEFT(A1881,4)),VALUE(MID(A1881,5,2)),VALUE(RIGHT(A1881,2)))</f>
        <v/>
      </c>
      <c r="L1881" s="395">
        <f>DATEVALUE(LEFT(F1881,10))</f>
        <v/>
      </c>
      <c r="M1881" s="396">
        <f>TIMEVALUE(MID(F1881,12,8))</f>
        <v/>
      </c>
      <c r="N1881" s="395">
        <f>DATEVALUE(LEFT(G1881,10))</f>
        <v/>
      </c>
      <c r="O1881" s="396">
        <f>TIMEVALUE(MID(G1881,12,8))</f>
        <v/>
      </c>
      <c r="P1881" s="396">
        <f>IFERROR(_xlfn.MINIFS($M:$M,$E:$E,$E1881,$K:$K,$K1881,$M:$M,"&gt;"&amp;$O1881),"")</f>
        <v/>
      </c>
      <c r="Q1881" s="396">
        <f>IF($P1881="","",$P1881-$O1881)</f>
        <v/>
      </c>
    </row>
    <row r="1882" ht="15" customHeight="1" s="231">
      <c r="A1882" s="397" t="n"/>
      <c r="B1882" s="397" t="n"/>
      <c r="C1882" s="397" t="n"/>
      <c r="D1882" s="397" t="n"/>
      <c r="E1882" s="397" t="n"/>
      <c r="F1882" s="397" t="n"/>
      <c r="G1882" s="397" t="n"/>
      <c r="I1882" s="397" t="n"/>
      <c r="J1882" s="397" t="n"/>
      <c r="K1882" s="395">
        <f>DATE(VALUE(LEFT(A1882,4)),VALUE(MID(A1882,5,2)),VALUE(RIGHT(A1882,2)))</f>
        <v/>
      </c>
      <c r="L1882" s="395">
        <f>DATEVALUE(LEFT(F1882,10))</f>
        <v/>
      </c>
      <c r="M1882" s="396">
        <f>TIMEVALUE(MID(F1882,12,8))</f>
        <v/>
      </c>
      <c r="N1882" s="395">
        <f>DATEVALUE(LEFT(G1882,10))</f>
        <v/>
      </c>
      <c r="O1882" s="396">
        <f>TIMEVALUE(MID(G1882,12,8))</f>
        <v/>
      </c>
      <c r="P1882" s="396">
        <f>IFERROR(_xlfn.MINIFS($M:$M,$E:$E,$E1882,$K:$K,$K1882,$M:$M,"&gt;"&amp;$O1882),"")</f>
        <v/>
      </c>
      <c r="Q1882" s="396">
        <f>IF($P1882="","",$P1882-$O1882)</f>
        <v/>
      </c>
    </row>
    <row r="1883" ht="15" customHeight="1" s="231">
      <c r="A1883" s="397" t="n"/>
      <c r="B1883" s="397" t="n"/>
      <c r="C1883" s="397" t="n"/>
      <c r="D1883" s="397" t="n"/>
      <c r="E1883" s="397" t="n"/>
      <c r="F1883" s="397" t="n"/>
      <c r="G1883" s="397" t="n"/>
      <c r="I1883" s="397" t="n"/>
      <c r="J1883" s="397" t="n"/>
      <c r="K1883" s="395">
        <f>DATE(VALUE(LEFT(A1883,4)),VALUE(MID(A1883,5,2)),VALUE(RIGHT(A1883,2)))</f>
        <v/>
      </c>
      <c r="L1883" s="395">
        <f>DATEVALUE(LEFT(F1883,10))</f>
        <v/>
      </c>
      <c r="M1883" s="396">
        <f>TIMEVALUE(MID(F1883,12,8))</f>
        <v/>
      </c>
      <c r="N1883" s="395">
        <f>DATEVALUE(LEFT(G1883,10))</f>
        <v/>
      </c>
      <c r="O1883" s="396">
        <f>TIMEVALUE(MID(G1883,12,8))</f>
        <v/>
      </c>
      <c r="P1883" s="396">
        <f>IFERROR(_xlfn.MINIFS($M:$M,$E:$E,$E1883,$K:$K,$K1883,$M:$M,"&gt;"&amp;$O1883),"")</f>
        <v/>
      </c>
      <c r="Q1883" s="396">
        <f>IF($P1883="","",$P1883-$O1883)</f>
        <v/>
      </c>
    </row>
    <row r="1884" ht="15" customHeight="1" s="231">
      <c r="A1884" s="397" t="n"/>
      <c r="B1884" s="397" t="n"/>
      <c r="C1884" s="397" t="n"/>
      <c r="D1884" s="397" t="n"/>
      <c r="E1884" s="397" t="n"/>
      <c r="F1884" s="397" t="n"/>
      <c r="G1884" s="397" t="n"/>
      <c r="I1884" s="397" t="n"/>
      <c r="J1884" s="397" t="n"/>
      <c r="K1884" s="395">
        <f>DATE(VALUE(LEFT(A1884,4)),VALUE(MID(A1884,5,2)),VALUE(RIGHT(A1884,2)))</f>
        <v/>
      </c>
      <c r="L1884" s="395">
        <f>DATEVALUE(LEFT(F1884,10))</f>
        <v/>
      </c>
      <c r="M1884" s="396">
        <f>TIMEVALUE(MID(F1884,12,8))</f>
        <v/>
      </c>
      <c r="N1884" s="395">
        <f>DATEVALUE(LEFT(G1884,10))</f>
        <v/>
      </c>
      <c r="O1884" s="396">
        <f>TIMEVALUE(MID(G1884,12,8))</f>
        <v/>
      </c>
      <c r="P1884" s="396">
        <f>IFERROR(_xlfn.MINIFS($M:$M,$E:$E,$E1884,$K:$K,$K1884,$M:$M,"&gt;"&amp;$O1884),"")</f>
        <v/>
      </c>
      <c r="Q1884" s="396">
        <f>IF($P1884="","",$P1884-$O1884)</f>
        <v/>
      </c>
    </row>
    <row r="1885" ht="15" customHeight="1" s="231">
      <c r="A1885" s="397" t="n"/>
      <c r="B1885" s="397" t="n"/>
      <c r="C1885" s="397" t="n"/>
      <c r="D1885" s="397" t="n"/>
      <c r="E1885" s="397" t="n"/>
      <c r="F1885" s="397" t="n"/>
      <c r="G1885" s="397" t="n"/>
      <c r="I1885" s="397" t="n"/>
      <c r="J1885" s="397" t="n"/>
      <c r="K1885" s="395">
        <f>DATE(VALUE(LEFT(A1885,4)),VALUE(MID(A1885,5,2)),VALUE(RIGHT(A1885,2)))</f>
        <v/>
      </c>
      <c r="L1885" s="395">
        <f>DATEVALUE(LEFT(F1885,10))</f>
        <v/>
      </c>
      <c r="M1885" s="396">
        <f>TIMEVALUE(MID(F1885,12,8))</f>
        <v/>
      </c>
      <c r="N1885" s="395">
        <f>DATEVALUE(LEFT(G1885,10))</f>
        <v/>
      </c>
      <c r="O1885" s="396">
        <f>TIMEVALUE(MID(G1885,12,8))</f>
        <v/>
      </c>
      <c r="P1885" s="396">
        <f>IFERROR(_xlfn.MINIFS($M:$M,$E:$E,$E1885,$K:$K,$K1885,$M:$M,"&gt;"&amp;$O1885),"")</f>
        <v/>
      </c>
      <c r="Q1885" s="396">
        <f>IF($P1885="","",$P1885-$O1885)</f>
        <v/>
      </c>
    </row>
    <row r="1886" ht="15" customHeight="1" s="231">
      <c r="A1886" s="397" t="n"/>
      <c r="B1886" s="397" t="n"/>
      <c r="C1886" s="397" t="n"/>
      <c r="D1886" s="397" t="n"/>
      <c r="E1886" s="397" t="n"/>
      <c r="F1886" s="397" t="n"/>
      <c r="G1886" s="397" t="n"/>
      <c r="I1886" s="397" t="n"/>
      <c r="J1886" s="397" t="n"/>
      <c r="K1886" s="395">
        <f>DATE(VALUE(LEFT(A1886,4)),VALUE(MID(A1886,5,2)),VALUE(RIGHT(A1886,2)))</f>
        <v/>
      </c>
      <c r="L1886" s="395">
        <f>DATEVALUE(LEFT(F1886,10))</f>
        <v/>
      </c>
      <c r="M1886" s="396">
        <f>TIMEVALUE(MID(F1886,12,8))</f>
        <v/>
      </c>
      <c r="N1886" s="395">
        <f>DATEVALUE(LEFT(G1886,10))</f>
        <v/>
      </c>
      <c r="O1886" s="396">
        <f>TIMEVALUE(MID(G1886,12,8))</f>
        <v/>
      </c>
      <c r="P1886" s="396">
        <f>IFERROR(_xlfn.MINIFS($M:$M,$E:$E,$E1886,$K:$K,$K1886,$M:$M,"&gt;"&amp;$O1886),"")</f>
        <v/>
      </c>
      <c r="Q1886" s="396">
        <f>IF($P1886="","",$P1886-$O1886)</f>
        <v/>
      </c>
    </row>
    <row r="1887" ht="15" customHeight="1" s="231">
      <c r="A1887" s="397" t="n"/>
      <c r="B1887" s="397" t="n"/>
      <c r="C1887" s="397" t="n"/>
      <c r="D1887" s="397" t="n"/>
      <c r="E1887" s="397" t="n"/>
      <c r="F1887" s="397" t="n"/>
      <c r="G1887" s="397" t="n"/>
      <c r="I1887" s="397" t="n"/>
      <c r="J1887" s="397" t="n"/>
      <c r="K1887" s="395">
        <f>DATE(VALUE(LEFT(A1887,4)),VALUE(MID(A1887,5,2)),VALUE(RIGHT(A1887,2)))</f>
        <v/>
      </c>
      <c r="L1887" s="395">
        <f>DATEVALUE(LEFT(F1887,10))</f>
        <v/>
      </c>
      <c r="M1887" s="396">
        <f>TIMEVALUE(MID(F1887,12,8))</f>
        <v/>
      </c>
      <c r="N1887" s="395">
        <f>DATEVALUE(LEFT(G1887,10))</f>
        <v/>
      </c>
      <c r="O1887" s="396">
        <f>TIMEVALUE(MID(G1887,12,8))</f>
        <v/>
      </c>
      <c r="P1887" s="396">
        <f>IFERROR(_xlfn.MINIFS($M:$M,$E:$E,$E1887,$K:$K,$K1887,$M:$M,"&gt;"&amp;$O1887),"")</f>
        <v/>
      </c>
      <c r="Q1887" s="396">
        <f>IF($P1887="","",$P1887-$O1887)</f>
        <v/>
      </c>
    </row>
    <row r="1888" ht="15" customHeight="1" s="231">
      <c r="A1888" s="397" t="n"/>
      <c r="B1888" s="397" t="n"/>
      <c r="C1888" s="397" t="n"/>
      <c r="D1888" s="397" t="n"/>
      <c r="E1888" s="397" t="n"/>
      <c r="F1888" s="397" t="n"/>
      <c r="G1888" s="397" t="n"/>
      <c r="I1888" s="397" t="n"/>
      <c r="J1888" s="397" t="n"/>
      <c r="K1888" s="395">
        <f>DATE(VALUE(LEFT(A1888,4)),VALUE(MID(A1888,5,2)),VALUE(RIGHT(A1888,2)))</f>
        <v/>
      </c>
      <c r="L1888" s="395">
        <f>DATEVALUE(LEFT(F1888,10))</f>
        <v/>
      </c>
      <c r="M1888" s="396">
        <f>TIMEVALUE(MID(F1888,12,8))</f>
        <v/>
      </c>
      <c r="N1888" s="395">
        <f>DATEVALUE(LEFT(G1888,10))</f>
        <v/>
      </c>
      <c r="O1888" s="396">
        <f>TIMEVALUE(MID(G1888,12,8))</f>
        <v/>
      </c>
      <c r="P1888" s="396">
        <f>IFERROR(_xlfn.MINIFS($M:$M,$E:$E,$E1888,$K:$K,$K1888,$M:$M,"&gt;"&amp;$O1888),"")</f>
        <v/>
      </c>
      <c r="Q1888" s="396">
        <f>IF($P1888="","",$P1888-$O1888)</f>
        <v/>
      </c>
    </row>
    <row r="1889" ht="15" customHeight="1" s="231">
      <c r="A1889" s="397" t="n"/>
      <c r="B1889" s="397" t="n"/>
      <c r="C1889" s="397" t="n"/>
      <c r="D1889" s="397" t="n"/>
      <c r="E1889" s="397" t="n"/>
      <c r="F1889" s="397" t="n"/>
      <c r="G1889" s="397" t="n"/>
      <c r="I1889" s="397" t="n"/>
      <c r="J1889" s="397" t="n"/>
      <c r="K1889" s="395">
        <f>DATE(VALUE(LEFT(A1889,4)),VALUE(MID(A1889,5,2)),VALUE(RIGHT(A1889,2)))</f>
        <v/>
      </c>
      <c r="L1889" s="395">
        <f>DATEVALUE(LEFT(F1889,10))</f>
        <v/>
      </c>
      <c r="M1889" s="396">
        <f>TIMEVALUE(MID(F1889,12,8))</f>
        <v/>
      </c>
      <c r="N1889" s="395">
        <f>DATEVALUE(LEFT(G1889,10))</f>
        <v/>
      </c>
      <c r="O1889" s="396">
        <f>TIMEVALUE(MID(G1889,12,8))</f>
        <v/>
      </c>
      <c r="P1889" s="396">
        <f>IFERROR(_xlfn.MINIFS($M:$M,$E:$E,$E1889,$K:$K,$K1889,$M:$M,"&gt;"&amp;$O1889),"")</f>
        <v/>
      </c>
      <c r="Q1889" s="396">
        <f>IF($P1889="","",$P1889-$O1889)</f>
        <v/>
      </c>
    </row>
    <row r="1890" ht="15" customHeight="1" s="231">
      <c r="A1890" s="397" t="n"/>
      <c r="B1890" s="397" t="n"/>
      <c r="C1890" s="397" t="n"/>
      <c r="D1890" s="397" t="n"/>
      <c r="E1890" s="397" t="n"/>
      <c r="F1890" s="397" t="n"/>
      <c r="G1890" s="397" t="n"/>
      <c r="I1890" s="397" t="n"/>
      <c r="J1890" s="397" t="n"/>
      <c r="K1890" s="395">
        <f>DATE(VALUE(LEFT(A1890,4)),VALUE(MID(A1890,5,2)),VALUE(RIGHT(A1890,2)))</f>
        <v/>
      </c>
      <c r="L1890" s="395">
        <f>DATEVALUE(LEFT(F1890,10))</f>
        <v/>
      </c>
      <c r="M1890" s="396">
        <f>TIMEVALUE(MID(F1890,12,8))</f>
        <v/>
      </c>
      <c r="N1890" s="395">
        <f>DATEVALUE(LEFT(G1890,10))</f>
        <v/>
      </c>
      <c r="O1890" s="396">
        <f>TIMEVALUE(MID(G1890,12,8))</f>
        <v/>
      </c>
      <c r="P1890" s="396">
        <f>IFERROR(_xlfn.MINIFS($M:$M,$E:$E,$E1890,$K:$K,$K1890,$M:$M,"&gt;"&amp;$O1890),"")</f>
        <v/>
      </c>
      <c r="Q1890" s="396">
        <f>IF($P1890="","",$P1890-$O1890)</f>
        <v/>
      </c>
    </row>
    <row r="1891" ht="15" customHeight="1" s="231">
      <c r="A1891" s="397" t="n"/>
      <c r="B1891" s="397" t="n"/>
      <c r="C1891" s="397" t="n"/>
      <c r="D1891" s="397" t="n"/>
      <c r="E1891" s="397" t="n"/>
      <c r="F1891" s="397" t="n"/>
      <c r="G1891" s="397" t="n"/>
      <c r="I1891" s="397" t="n"/>
      <c r="J1891" s="397" t="n"/>
      <c r="K1891" s="395">
        <f>DATE(VALUE(LEFT(A1891,4)),VALUE(MID(A1891,5,2)),VALUE(RIGHT(A1891,2)))</f>
        <v/>
      </c>
      <c r="L1891" s="395">
        <f>DATEVALUE(LEFT(F1891,10))</f>
        <v/>
      </c>
      <c r="M1891" s="396">
        <f>TIMEVALUE(MID(F1891,12,8))</f>
        <v/>
      </c>
      <c r="N1891" s="395">
        <f>DATEVALUE(LEFT(G1891,10))</f>
        <v/>
      </c>
      <c r="O1891" s="396">
        <f>TIMEVALUE(MID(G1891,12,8))</f>
        <v/>
      </c>
      <c r="P1891" s="396">
        <f>IFERROR(_xlfn.MINIFS($M:$M,$E:$E,$E1891,$K:$K,$K1891,$M:$M,"&gt;"&amp;$O1891),"")</f>
        <v/>
      </c>
      <c r="Q1891" s="396">
        <f>IF($P1891="","",$P1891-$O1891)</f>
        <v/>
      </c>
    </row>
    <row r="1892" ht="15" customHeight="1" s="231">
      <c r="A1892" s="397" t="n"/>
      <c r="B1892" s="397" t="n"/>
      <c r="C1892" s="397" t="n"/>
      <c r="D1892" s="397" t="n"/>
      <c r="E1892" s="397" t="n"/>
      <c r="F1892" s="397" t="n"/>
      <c r="G1892" s="397" t="n"/>
      <c r="I1892" s="397" t="n"/>
      <c r="J1892" s="397" t="n"/>
      <c r="K1892" s="395">
        <f>DATE(VALUE(LEFT(A1892,4)),VALUE(MID(A1892,5,2)),VALUE(RIGHT(A1892,2)))</f>
        <v/>
      </c>
      <c r="L1892" s="395">
        <f>DATEVALUE(LEFT(F1892,10))</f>
        <v/>
      </c>
      <c r="M1892" s="396">
        <f>TIMEVALUE(MID(F1892,12,8))</f>
        <v/>
      </c>
      <c r="N1892" s="395">
        <f>DATEVALUE(LEFT(G1892,10))</f>
        <v/>
      </c>
      <c r="O1892" s="396">
        <f>TIMEVALUE(MID(G1892,12,8))</f>
        <v/>
      </c>
      <c r="P1892" s="396">
        <f>IFERROR(_xlfn.MINIFS($M:$M,$E:$E,$E1892,$K:$K,$K1892,$M:$M,"&gt;"&amp;$O1892),"")</f>
        <v/>
      </c>
      <c r="Q1892" s="396">
        <f>IF($P1892="","",$P1892-$O1892)</f>
        <v/>
      </c>
    </row>
    <row r="1893" ht="15" customHeight="1" s="231">
      <c r="A1893" s="397" t="n"/>
      <c r="B1893" s="397" t="n"/>
      <c r="C1893" s="397" t="n"/>
      <c r="D1893" s="397" t="n"/>
      <c r="E1893" s="397" t="n"/>
      <c r="F1893" s="397" t="n"/>
      <c r="G1893" s="397" t="n"/>
      <c r="I1893" s="397" t="n"/>
      <c r="J1893" s="397" t="n"/>
      <c r="K1893" s="395">
        <f>DATE(VALUE(LEFT(A1893,4)),VALUE(MID(A1893,5,2)),VALUE(RIGHT(A1893,2)))</f>
        <v/>
      </c>
      <c r="L1893" s="395">
        <f>DATEVALUE(LEFT(F1893,10))</f>
        <v/>
      </c>
      <c r="M1893" s="396">
        <f>TIMEVALUE(MID(F1893,12,8))</f>
        <v/>
      </c>
      <c r="N1893" s="395">
        <f>DATEVALUE(LEFT(G1893,10))</f>
        <v/>
      </c>
      <c r="O1893" s="396">
        <f>TIMEVALUE(MID(G1893,12,8))</f>
        <v/>
      </c>
      <c r="P1893" s="396">
        <f>IFERROR(_xlfn.MINIFS($M:$M,$E:$E,$E1893,$K:$K,$K1893,$M:$M,"&gt;"&amp;$O1893),"")</f>
        <v/>
      </c>
      <c r="Q1893" s="396">
        <f>IF($P1893="","",$P1893-$O1893)</f>
        <v/>
      </c>
    </row>
    <row r="1894" ht="15" customHeight="1" s="231">
      <c r="A1894" s="397" t="n"/>
      <c r="B1894" s="397" t="n"/>
      <c r="C1894" s="397" t="n"/>
      <c r="D1894" s="397" t="n"/>
      <c r="E1894" s="397" t="n"/>
      <c r="F1894" s="397" t="n"/>
      <c r="G1894" s="397" t="n"/>
      <c r="I1894" s="397" t="n"/>
      <c r="J1894" s="397" t="n"/>
      <c r="K1894" s="395">
        <f>DATE(VALUE(LEFT(A1894,4)),VALUE(MID(A1894,5,2)),VALUE(RIGHT(A1894,2)))</f>
        <v/>
      </c>
      <c r="L1894" s="395">
        <f>DATEVALUE(LEFT(F1894,10))</f>
        <v/>
      </c>
      <c r="M1894" s="396">
        <f>TIMEVALUE(MID(F1894,12,8))</f>
        <v/>
      </c>
      <c r="N1894" s="395">
        <f>DATEVALUE(LEFT(G1894,10))</f>
        <v/>
      </c>
      <c r="O1894" s="396">
        <f>TIMEVALUE(MID(G1894,12,8))</f>
        <v/>
      </c>
      <c r="P1894" s="396">
        <f>IFERROR(_xlfn.MINIFS($M:$M,$E:$E,$E1894,$K:$K,$K1894,$M:$M,"&gt;"&amp;$O1894),"")</f>
        <v/>
      </c>
      <c r="Q1894" s="396">
        <f>IF($P1894="","",$P1894-$O1894)</f>
        <v/>
      </c>
    </row>
    <row r="1895" ht="15" customHeight="1" s="231">
      <c r="A1895" s="397" t="n"/>
      <c r="B1895" s="397" t="n"/>
      <c r="C1895" s="397" t="n"/>
      <c r="D1895" s="397" t="n"/>
      <c r="E1895" s="397" t="n"/>
      <c r="F1895" s="397" t="n"/>
      <c r="G1895" s="397" t="n"/>
      <c r="I1895" s="397" t="n"/>
      <c r="J1895" s="397" t="n"/>
      <c r="K1895" s="395">
        <f>DATE(VALUE(LEFT(A1895,4)),VALUE(MID(A1895,5,2)),VALUE(RIGHT(A1895,2)))</f>
        <v/>
      </c>
      <c r="L1895" s="395">
        <f>DATEVALUE(LEFT(F1895,10))</f>
        <v/>
      </c>
      <c r="M1895" s="396">
        <f>TIMEVALUE(MID(F1895,12,8))</f>
        <v/>
      </c>
      <c r="N1895" s="395">
        <f>DATEVALUE(LEFT(G1895,10))</f>
        <v/>
      </c>
      <c r="O1895" s="396">
        <f>TIMEVALUE(MID(G1895,12,8))</f>
        <v/>
      </c>
      <c r="P1895" s="396">
        <f>IFERROR(_xlfn.MINIFS($M:$M,$E:$E,$E1895,$K:$K,$K1895,$M:$M,"&gt;"&amp;$O1895),"")</f>
        <v/>
      </c>
      <c r="Q1895" s="396">
        <f>IF($P1895="","",$P1895-$O1895)</f>
        <v/>
      </c>
    </row>
    <row r="1896" ht="15" customHeight="1" s="231">
      <c r="A1896" s="397" t="n"/>
      <c r="B1896" s="397" t="n"/>
      <c r="C1896" s="397" t="n"/>
      <c r="D1896" s="397" t="n"/>
      <c r="E1896" s="397" t="n"/>
      <c r="F1896" s="397" t="n"/>
      <c r="G1896" s="397" t="n"/>
      <c r="I1896" s="397" t="n"/>
      <c r="J1896" s="397" t="n"/>
      <c r="K1896" s="395">
        <f>DATE(VALUE(LEFT(A1896,4)),VALUE(MID(A1896,5,2)),VALUE(RIGHT(A1896,2)))</f>
        <v/>
      </c>
      <c r="L1896" s="395">
        <f>DATEVALUE(LEFT(F1896,10))</f>
        <v/>
      </c>
      <c r="M1896" s="396">
        <f>TIMEVALUE(MID(F1896,12,8))</f>
        <v/>
      </c>
      <c r="N1896" s="395">
        <f>DATEVALUE(LEFT(G1896,10))</f>
        <v/>
      </c>
      <c r="O1896" s="396">
        <f>TIMEVALUE(MID(G1896,12,8))</f>
        <v/>
      </c>
      <c r="P1896" s="396">
        <f>IFERROR(_xlfn.MINIFS($M:$M,$E:$E,$E1896,$K:$K,$K1896,$M:$M,"&gt;"&amp;$O1896),"")</f>
        <v/>
      </c>
      <c r="Q1896" s="396">
        <f>IF($P1896="","",$P1896-$O1896)</f>
        <v/>
      </c>
    </row>
    <row r="1897" ht="15" customHeight="1" s="231">
      <c r="A1897" s="397" t="n"/>
      <c r="B1897" s="397" t="n"/>
      <c r="C1897" s="397" t="n"/>
      <c r="D1897" s="397" t="n"/>
      <c r="E1897" s="397" t="n"/>
      <c r="F1897" s="397" t="n"/>
      <c r="G1897" s="397" t="n"/>
      <c r="I1897" s="397" t="n"/>
      <c r="J1897" s="397" t="n"/>
      <c r="K1897" s="395">
        <f>DATE(VALUE(LEFT(A1897,4)),VALUE(MID(A1897,5,2)),VALUE(RIGHT(A1897,2)))</f>
        <v/>
      </c>
      <c r="L1897" s="395">
        <f>DATEVALUE(LEFT(F1897,10))</f>
        <v/>
      </c>
      <c r="M1897" s="396">
        <f>TIMEVALUE(MID(F1897,12,8))</f>
        <v/>
      </c>
      <c r="N1897" s="395">
        <f>DATEVALUE(LEFT(G1897,10))</f>
        <v/>
      </c>
      <c r="O1897" s="396">
        <f>TIMEVALUE(MID(G1897,12,8))</f>
        <v/>
      </c>
      <c r="P1897" s="396">
        <f>IFERROR(_xlfn.MINIFS($M:$M,$E:$E,$E1897,$K:$K,$K1897,$M:$M,"&gt;"&amp;$O1897),"")</f>
        <v/>
      </c>
      <c r="Q1897" s="396">
        <f>IF($P1897="","",$P1897-$O1897)</f>
        <v/>
      </c>
    </row>
    <row r="1898" ht="15" customHeight="1" s="231">
      <c r="A1898" s="397" t="n"/>
      <c r="B1898" s="397" t="n"/>
      <c r="C1898" s="397" t="n"/>
      <c r="D1898" s="397" t="n"/>
      <c r="E1898" s="397" t="n"/>
      <c r="F1898" s="397" t="n"/>
      <c r="G1898" s="397" t="n"/>
      <c r="I1898" s="397" t="n"/>
      <c r="J1898" s="397" t="n"/>
      <c r="K1898" s="395">
        <f>DATE(VALUE(LEFT(A1898,4)),VALUE(MID(A1898,5,2)),VALUE(RIGHT(A1898,2)))</f>
        <v/>
      </c>
      <c r="L1898" s="395">
        <f>DATEVALUE(LEFT(F1898,10))</f>
        <v/>
      </c>
      <c r="M1898" s="396">
        <f>TIMEVALUE(MID(F1898,12,8))</f>
        <v/>
      </c>
      <c r="N1898" s="395">
        <f>DATEVALUE(LEFT(G1898,10))</f>
        <v/>
      </c>
      <c r="O1898" s="396">
        <f>TIMEVALUE(MID(G1898,12,8))</f>
        <v/>
      </c>
      <c r="P1898" s="396">
        <f>IFERROR(_xlfn.MINIFS($M:$M,$E:$E,$E1898,$K:$K,$K1898,$M:$M,"&gt;"&amp;$O1898),"")</f>
        <v/>
      </c>
      <c r="Q1898" s="396">
        <f>IF($P1898="","",$P1898-$O1898)</f>
        <v/>
      </c>
    </row>
    <row r="1899" ht="15" customHeight="1" s="231">
      <c r="A1899" s="397" t="n"/>
      <c r="B1899" s="397" t="n"/>
      <c r="C1899" s="397" t="n"/>
      <c r="D1899" s="397" t="n"/>
      <c r="E1899" s="397" t="n"/>
      <c r="F1899" s="397" t="n"/>
      <c r="G1899" s="397" t="n"/>
      <c r="I1899" s="397" t="n"/>
      <c r="J1899" s="397" t="n"/>
      <c r="K1899" s="395">
        <f>DATE(VALUE(LEFT(A1899,4)),VALUE(MID(A1899,5,2)),VALUE(RIGHT(A1899,2)))</f>
        <v/>
      </c>
      <c r="L1899" s="395">
        <f>DATEVALUE(LEFT(F1899,10))</f>
        <v/>
      </c>
      <c r="M1899" s="396">
        <f>TIMEVALUE(MID(F1899,12,8))</f>
        <v/>
      </c>
      <c r="N1899" s="395">
        <f>DATEVALUE(LEFT(G1899,10))</f>
        <v/>
      </c>
      <c r="O1899" s="396">
        <f>TIMEVALUE(MID(G1899,12,8))</f>
        <v/>
      </c>
      <c r="P1899" s="396">
        <f>IFERROR(_xlfn.MINIFS($M:$M,$E:$E,$E1899,$K:$K,$K1899,$M:$M,"&gt;"&amp;$O1899),"")</f>
        <v/>
      </c>
      <c r="Q1899" s="396">
        <f>IF($P1899="","",$P1899-$O1899)</f>
        <v/>
      </c>
    </row>
    <row r="1900" ht="15" customHeight="1" s="231">
      <c r="A1900" s="397" t="n"/>
      <c r="B1900" s="397" t="n"/>
      <c r="C1900" s="397" t="n"/>
      <c r="D1900" s="397" t="n"/>
      <c r="E1900" s="397" t="n"/>
      <c r="F1900" s="397" t="n"/>
      <c r="G1900" s="397" t="n"/>
      <c r="I1900" s="397" t="n"/>
      <c r="J1900" s="397" t="n"/>
      <c r="K1900" s="395">
        <f>DATE(VALUE(LEFT(A1900,4)),VALUE(MID(A1900,5,2)),VALUE(RIGHT(A1900,2)))</f>
        <v/>
      </c>
      <c r="L1900" s="395">
        <f>DATEVALUE(LEFT(F1900,10))</f>
        <v/>
      </c>
      <c r="M1900" s="396">
        <f>TIMEVALUE(MID(F1900,12,8))</f>
        <v/>
      </c>
      <c r="N1900" s="395">
        <f>DATEVALUE(LEFT(G1900,10))</f>
        <v/>
      </c>
      <c r="O1900" s="396">
        <f>TIMEVALUE(MID(G1900,12,8))</f>
        <v/>
      </c>
      <c r="P1900" s="396">
        <f>IFERROR(_xlfn.MINIFS($M:$M,$E:$E,$E1900,$K:$K,$K1900,$M:$M,"&gt;"&amp;$O1900),"")</f>
        <v/>
      </c>
      <c r="Q1900" s="396">
        <f>IF($P1900="","",$P1900-$O1900)</f>
        <v/>
      </c>
    </row>
    <row r="1901" ht="15" customHeight="1" s="231">
      <c r="A1901" s="397" t="n"/>
      <c r="B1901" s="397" t="n"/>
      <c r="C1901" s="397" t="n"/>
      <c r="D1901" s="397" t="n"/>
      <c r="E1901" s="397" t="n"/>
      <c r="F1901" s="397" t="n"/>
      <c r="G1901" s="397" t="n"/>
      <c r="I1901" s="397" t="n"/>
      <c r="J1901" s="397" t="n"/>
      <c r="K1901" s="395">
        <f>DATE(VALUE(LEFT(A1901,4)),VALUE(MID(A1901,5,2)),VALUE(RIGHT(A1901,2)))</f>
        <v/>
      </c>
      <c r="L1901" s="395">
        <f>DATEVALUE(LEFT(F1901,10))</f>
        <v/>
      </c>
      <c r="M1901" s="396">
        <f>TIMEVALUE(MID(F1901,12,8))</f>
        <v/>
      </c>
      <c r="N1901" s="395">
        <f>DATEVALUE(LEFT(G1901,10))</f>
        <v/>
      </c>
      <c r="O1901" s="396">
        <f>TIMEVALUE(MID(G1901,12,8))</f>
        <v/>
      </c>
      <c r="P1901" s="396">
        <f>IFERROR(_xlfn.MINIFS($M:$M,$E:$E,$E1901,$K:$K,$K1901,$M:$M,"&gt;"&amp;$O1901),"")</f>
        <v/>
      </c>
      <c r="Q1901" s="396">
        <f>IF($P1901="","",$P1901-$O1901)</f>
        <v/>
      </c>
    </row>
    <row r="1902" ht="15" customHeight="1" s="231">
      <c r="A1902" s="397" t="n"/>
      <c r="B1902" s="397" t="n"/>
      <c r="C1902" s="397" t="n"/>
      <c r="D1902" s="397" t="n"/>
      <c r="E1902" s="397" t="n"/>
      <c r="F1902" s="397" t="n"/>
      <c r="G1902" s="397" t="n"/>
      <c r="I1902" s="397" t="n"/>
      <c r="J1902" s="397" t="n"/>
      <c r="K1902" s="395">
        <f>DATE(VALUE(LEFT(A1902,4)),VALUE(MID(A1902,5,2)),VALUE(RIGHT(A1902,2)))</f>
        <v/>
      </c>
      <c r="L1902" s="395">
        <f>DATEVALUE(LEFT(F1902,10))</f>
        <v/>
      </c>
      <c r="M1902" s="396">
        <f>TIMEVALUE(MID(F1902,12,8))</f>
        <v/>
      </c>
      <c r="N1902" s="395">
        <f>DATEVALUE(LEFT(G1902,10))</f>
        <v/>
      </c>
      <c r="O1902" s="396">
        <f>TIMEVALUE(MID(G1902,12,8))</f>
        <v/>
      </c>
      <c r="P1902" s="396">
        <f>IFERROR(_xlfn.MINIFS($M:$M,$E:$E,$E1902,$K:$K,$K1902,$M:$M,"&gt;"&amp;$O1902),"")</f>
        <v/>
      </c>
      <c r="Q1902" s="396">
        <f>IF($P1902="","",$P1902-$O1902)</f>
        <v/>
      </c>
    </row>
    <row r="1903" ht="15" customHeight="1" s="231">
      <c r="A1903" s="397" t="n"/>
      <c r="B1903" s="397" t="n"/>
      <c r="C1903" s="397" t="n"/>
      <c r="D1903" s="397" t="n"/>
      <c r="E1903" s="397" t="n"/>
      <c r="F1903" s="397" t="n"/>
      <c r="G1903" s="397" t="n"/>
      <c r="I1903" s="397" t="n"/>
      <c r="J1903" s="397" t="n"/>
      <c r="K1903" s="395">
        <f>DATE(VALUE(LEFT(A1903,4)),VALUE(MID(A1903,5,2)),VALUE(RIGHT(A1903,2)))</f>
        <v/>
      </c>
      <c r="L1903" s="395">
        <f>DATEVALUE(LEFT(F1903,10))</f>
        <v/>
      </c>
      <c r="M1903" s="396">
        <f>TIMEVALUE(MID(F1903,12,8))</f>
        <v/>
      </c>
      <c r="N1903" s="395">
        <f>DATEVALUE(LEFT(G1903,10))</f>
        <v/>
      </c>
      <c r="O1903" s="396">
        <f>TIMEVALUE(MID(G1903,12,8))</f>
        <v/>
      </c>
      <c r="P1903" s="396">
        <f>IFERROR(_xlfn.MINIFS($M:$M,$E:$E,$E1903,$K:$K,$K1903,$M:$M,"&gt;"&amp;$O1903),"")</f>
        <v/>
      </c>
      <c r="Q1903" s="396">
        <f>IF($P1903="","",$P1903-$O1903)</f>
        <v/>
      </c>
    </row>
    <row r="1904" ht="15" customHeight="1" s="231">
      <c r="A1904" s="397" t="n"/>
      <c r="B1904" s="397" t="n"/>
      <c r="C1904" s="397" t="n"/>
      <c r="D1904" s="397" t="n"/>
      <c r="E1904" s="397" t="n"/>
      <c r="F1904" s="397" t="n"/>
      <c r="G1904" s="397" t="n"/>
      <c r="I1904" s="397" t="n"/>
      <c r="J1904" s="397" t="n"/>
      <c r="K1904" s="395">
        <f>DATE(VALUE(LEFT(A1904,4)),VALUE(MID(A1904,5,2)),VALUE(RIGHT(A1904,2)))</f>
        <v/>
      </c>
      <c r="L1904" s="395">
        <f>DATEVALUE(LEFT(F1904,10))</f>
        <v/>
      </c>
      <c r="M1904" s="396">
        <f>TIMEVALUE(MID(F1904,12,8))</f>
        <v/>
      </c>
      <c r="N1904" s="395">
        <f>DATEVALUE(LEFT(G1904,10))</f>
        <v/>
      </c>
      <c r="O1904" s="396">
        <f>TIMEVALUE(MID(G1904,12,8))</f>
        <v/>
      </c>
      <c r="P1904" s="396">
        <f>IFERROR(_xlfn.MINIFS($M:$M,$E:$E,$E1904,$K:$K,$K1904,$M:$M,"&gt;"&amp;$O1904),"")</f>
        <v/>
      </c>
      <c r="Q1904" s="396">
        <f>IF($P1904="","",$P1904-$O1904)</f>
        <v/>
      </c>
    </row>
    <row r="1905" ht="15" customHeight="1" s="231">
      <c r="A1905" s="397" t="n"/>
      <c r="B1905" s="397" t="n"/>
      <c r="C1905" s="397" t="n"/>
      <c r="D1905" s="397" t="n"/>
      <c r="E1905" s="397" t="n"/>
      <c r="F1905" s="397" t="n"/>
      <c r="G1905" s="397" t="n"/>
      <c r="I1905" s="397" t="n"/>
      <c r="J1905" s="397" t="n"/>
      <c r="K1905" s="395">
        <f>DATE(VALUE(LEFT(A1905,4)),VALUE(MID(A1905,5,2)),VALUE(RIGHT(A1905,2)))</f>
        <v/>
      </c>
      <c r="L1905" s="395">
        <f>DATEVALUE(LEFT(F1905,10))</f>
        <v/>
      </c>
      <c r="M1905" s="396">
        <f>TIMEVALUE(MID(F1905,12,8))</f>
        <v/>
      </c>
      <c r="N1905" s="395">
        <f>DATEVALUE(LEFT(G1905,10))</f>
        <v/>
      </c>
      <c r="O1905" s="396">
        <f>TIMEVALUE(MID(G1905,12,8))</f>
        <v/>
      </c>
      <c r="P1905" s="396">
        <f>IFERROR(_xlfn.MINIFS($M:$M,$E:$E,$E1905,$K:$K,$K1905,$M:$M,"&gt;"&amp;$O1905),"")</f>
        <v/>
      </c>
      <c r="Q1905" s="396">
        <f>IF($P1905="","",$P1905-$O1905)</f>
        <v/>
      </c>
    </row>
    <row r="1906" ht="15" customHeight="1" s="231">
      <c r="A1906" s="397" t="n"/>
      <c r="B1906" s="397" t="n"/>
      <c r="C1906" s="397" t="n"/>
      <c r="D1906" s="397" t="n"/>
      <c r="E1906" s="397" t="n"/>
      <c r="F1906" s="397" t="n"/>
      <c r="G1906" s="397" t="n"/>
      <c r="I1906" s="397" t="n"/>
      <c r="J1906" s="397" t="n"/>
      <c r="K1906" s="395">
        <f>DATE(VALUE(LEFT(A1906,4)),VALUE(MID(A1906,5,2)),VALUE(RIGHT(A1906,2)))</f>
        <v/>
      </c>
      <c r="L1906" s="395">
        <f>DATEVALUE(LEFT(F1906,10))</f>
        <v/>
      </c>
      <c r="M1906" s="396">
        <f>TIMEVALUE(MID(F1906,12,8))</f>
        <v/>
      </c>
      <c r="N1906" s="395">
        <f>DATEVALUE(LEFT(G1906,10))</f>
        <v/>
      </c>
      <c r="O1906" s="396">
        <f>TIMEVALUE(MID(G1906,12,8))</f>
        <v/>
      </c>
      <c r="P1906" s="396">
        <f>IFERROR(_xlfn.MINIFS($M:$M,$E:$E,$E1906,$K:$K,$K1906,$M:$M,"&gt;"&amp;$O1906),"")</f>
        <v/>
      </c>
      <c r="Q1906" s="396">
        <f>IF($P1906="","",$P1906-$O1906)</f>
        <v/>
      </c>
    </row>
    <row r="1907" ht="15" customHeight="1" s="231">
      <c r="A1907" s="397" t="n"/>
      <c r="B1907" s="397" t="n"/>
      <c r="C1907" s="397" t="n"/>
      <c r="D1907" s="397" t="n"/>
      <c r="E1907" s="397" t="n"/>
      <c r="F1907" s="397" t="n"/>
      <c r="G1907" s="397" t="n"/>
      <c r="I1907" s="397" t="n"/>
      <c r="J1907" s="397" t="n"/>
      <c r="K1907" s="395">
        <f>DATE(VALUE(LEFT(A1907,4)),VALUE(MID(A1907,5,2)),VALUE(RIGHT(A1907,2)))</f>
        <v/>
      </c>
      <c r="L1907" s="395">
        <f>DATEVALUE(LEFT(F1907,10))</f>
        <v/>
      </c>
      <c r="M1907" s="396">
        <f>TIMEVALUE(MID(F1907,12,8))</f>
        <v/>
      </c>
      <c r="N1907" s="395">
        <f>DATEVALUE(LEFT(G1907,10))</f>
        <v/>
      </c>
      <c r="O1907" s="396">
        <f>TIMEVALUE(MID(G1907,12,8))</f>
        <v/>
      </c>
      <c r="P1907" s="396">
        <f>IFERROR(_xlfn.MINIFS($M:$M,$E:$E,$E1907,$K:$K,$K1907,$M:$M,"&gt;"&amp;$O1907),"")</f>
        <v/>
      </c>
      <c r="Q1907" s="396">
        <f>IF($P1907="","",$P1907-$O1907)</f>
        <v/>
      </c>
    </row>
    <row r="1908" ht="15" customHeight="1" s="231">
      <c r="A1908" s="397" t="n"/>
      <c r="B1908" s="397" t="n"/>
      <c r="C1908" s="397" t="n"/>
      <c r="D1908" s="397" t="n"/>
      <c r="E1908" s="397" t="n"/>
      <c r="F1908" s="397" t="n"/>
      <c r="G1908" s="397" t="n"/>
      <c r="I1908" s="397" t="n"/>
      <c r="J1908" s="397" t="n"/>
      <c r="K1908" s="395">
        <f>DATE(VALUE(LEFT(A1908,4)),VALUE(MID(A1908,5,2)),VALUE(RIGHT(A1908,2)))</f>
        <v/>
      </c>
      <c r="L1908" s="395">
        <f>DATEVALUE(LEFT(F1908,10))</f>
        <v/>
      </c>
      <c r="M1908" s="396">
        <f>TIMEVALUE(MID(F1908,12,8))</f>
        <v/>
      </c>
      <c r="N1908" s="395">
        <f>DATEVALUE(LEFT(G1908,10))</f>
        <v/>
      </c>
      <c r="O1908" s="396">
        <f>TIMEVALUE(MID(G1908,12,8))</f>
        <v/>
      </c>
      <c r="P1908" s="396">
        <f>IFERROR(_xlfn.MINIFS($M:$M,$E:$E,$E1908,$K:$K,$K1908,$M:$M,"&gt;"&amp;$O1908),"")</f>
        <v/>
      </c>
      <c r="Q1908" s="396">
        <f>IF($P1908="","",$P1908-$O1908)</f>
        <v/>
      </c>
    </row>
    <row r="1909" ht="15" customHeight="1" s="231">
      <c r="A1909" s="397" t="n"/>
      <c r="B1909" s="397" t="n"/>
      <c r="C1909" s="397" t="n"/>
      <c r="D1909" s="397" t="n"/>
      <c r="E1909" s="397" t="n"/>
      <c r="F1909" s="397" t="n"/>
      <c r="G1909" s="397" t="n"/>
      <c r="I1909" s="397" t="n"/>
      <c r="J1909" s="397" t="n"/>
      <c r="K1909" s="395">
        <f>DATE(VALUE(LEFT(A1909,4)),VALUE(MID(A1909,5,2)),VALUE(RIGHT(A1909,2)))</f>
        <v/>
      </c>
      <c r="L1909" s="395">
        <f>DATEVALUE(LEFT(F1909,10))</f>
        <v/>
      </c>
      <c r="M1909" s="396">
        <f>TIMEVALUE(MID(F1909,12,8))</f>
        <v/>
      </c>
      <c r="N1909" s="395">
        <f>DATEVALUE(LEFT(G1909,10))</f>
        <v/>
      </c>
      <c r="O1909" s="396">
        <f>TIMEVALUE(MID(G1909,12,8))</f>
        <v/>
      </c>
      <c r="P1909" s="396">
        <f>IFERROR(_xlfn.MINIFS($M:$M,$E:$E,$E1909,$K:$K,$K1909,$M:$M,"&gt;"&amp;$O1909),"")</f>
        <v/>
      </c>
      <c r="Q1909" s="396">
        <f>IF($P1909="","",$P1909-$O1909)</f>
        <v/>
      </c>
    </row>
    <row r="1910" ht="15" customHeight="1" s="231">
      <c r="A1910" s="397" t="n"/>
      <c r="B1910" s="397" t="n"/>
      <c r="C1910" s="397" t="n"/>
      <c r="D1910" s="397" t="n"/>
      <c r="E1910" s="397" t="n"/>
      <c r="F1910" s="397" t="n"/>
      <c r="G1910" s="397" t="n"/>
      <c r="I1910" s="397" t="n"/>
      <c r="J1910" s="397" t="n"/>
      <c r="K1910" s="395">
        <f>DATE(VALUE(LEFT(A1910,4)),VALUE(MID(A1910,5,2)),VALUE(RIGHT(A1910,2)))</f>
        <v/>
      </c>
      <c r="L1910" s="395">
        <f>DATEVALUE(LEFT(F1910,10))</f>
        <v/>
      </c>
      <c r="M1910" s="396">
        <f>TIMEVALUE(MID(F1910,12,8))</f>
        <v/>
      </c>
      <c r="N1910" s="395">
        <f>DATEVALUE(LEFT(G1910,10))</f>
        <v/>
      </c>
      <c r="O1910" s="396">
        <f>TIMEVALUE(MID(G1910,12,8))</f>
        <v/>
      </c>
      <c r="P1910" s="396">
        <f>IFERROR(_xlfn.MINIFS($M:$M,$E:$E,$E1910,$K:$K,$K1910,$M:$M,"&gt;"&amp;$O1910),"")</f>
        <v/>
      </c>
      <c r="Q1910" s="396">
        <f>IF($P1910="","",$P1910-$O1910)</f>
        <v/>
      </c>
    </row>
    <row r="1911" ht="15" customHeight="1" s="231">
      <c r="A1911" s="397" t="n"/>
      <c r="B1911" s="397" t="n"/>
      <c r="C1911" s="397" t="n"/>
      <c r="D1911" s="397" t="n"/>
      <c r="E1911" s="397" t="n"/>
      <c r="F1911" s="397" t="n"/>
      <c r="G1911" s="397" t="n"/>
      <c r="I1911" s="397" t="n"/>
      <c r="J1911" s="397" t="n"/>
      <c r="K1911" s="395">
        <f>DATE(VALUE(LEFT(A1911,4)),VALUE(MID(A1911,5,2)),VALUE(RIGHT(A1911,2)))</f>
        <v/>
      </c>
      <c r="L1911" s="395">
        <f>DATEVALUE(LEFT(F1911,10))</f>
        <v/>
      </c>
      <c r="M1911" s="396">
        <f>TIMEVALUE(MID(F1911,12,8))</f>
        <v/>
      </c>
      <c r="N1911" s="395">
        <f>DATEVALUE(LEFT(G1911,10))</f>
        <v/>
      </c>
      <c r="O1911" s="396">
        <f>TIMEVALUE(MID(G1911,12,8))</f>
        <v/>
      </c>
      <c r="P1911" s="396">
        <f>IFERROR(_xlfn.MINIFS($M:$M,$E:$E,$E1911,$K:$K,$K1911,$M:$M,"&gt;"&amp;$O1911),"")</f>
        <v/>
      </c>
      <c r="Q1911" s="396">
        <f>IF($P1911="","",$P1911-$O1911)</f>
        <v/>
      </c>
    </row>
    <row r="1912" ht="15" customHeight="1" s="231">
      <c r="A1912" s="397" t="n"/>
      <c r="B1912" s="397" t="n"/>
      <c r="C1912" s="397" t="n"/>
      <c r="D1912" s="397" t="n"/>
      <c r="E1912" s="397" t="n"/>
      <c r="F1912" s="397" t="n"/>
      <c r="G1912" s="397" t="n"/>
      <c r="I1912" s="397" t="n"/>
      <c r="J1912" s="397" t="n"/>
      <c r="K1912" s="395">
        <f>DATE(VALUE(LEFT(A1912,4)),VALUE(MID(A1912,5,2)),VALUE(RIGHT(A1912,2)))</f>
        <v/>
      </c>
      <c r="L1912" s="395">
        <f>DATEVALUE(LEFT(F1912,10))</f>
        <v/>
      </c>
      <c r="M1912" s="396">
        <f>TIMEVALUE(MID(F1912,12,8))</f>
        <v/>
      </c>
      <c r="N1912" s="395">
        <f>DATEVALUE(LEFT(G1912,10))</f>
        <v/>
      </c>
      <c r="O1912" s="396">
        <f>TIMEVALUE(MID(G1912,12,8))</f>
        <v/>
      </c>
      <c r="P1912" s="396">
        <f>IFERROR(_xlfn.MINIFS($M:$M,$E:$E,$E1912,$K:$K,$K1912,$M:$M,"&gt;"&amp;$O1912),"")</f>
        <v/>
      </c>
      <c r="Q1912" s="396">
        <f>IF($P1912="","",$P1912-$O1912)</f>
        <v/>
      </c>
    </row>
    <row r="1913" ht="15" customHeight="1" s="231">
      <c r="A1913" s="397" t="n"/>
      <c r="B1913" s="397" t="n"/>
      <c r="C1913" s="397" t="n"/>
      <c r="D1913" s="397" t="n"/>
      <c r="E1913" s="397" t="n"/>
      <c r="F1913" s="397" t="n"/>
      <c r="G1913" s="397" t="n"/>
      <c r="I1913" s="397" t="n"/>
      <c r="J1913" s="397" t="n"/>
      <c r="K1913" s="395">
        <f>DATE(VALUE(LEFT(A1913,4)),VALUE(MID(A1913,5,2)),VALUE(RIGHT(A1913,2)))</f>
        <v/>
      </c>
      <c r="L1913" s="395">
        <f>DATEVALUE(LEFT(F1913,10))</f>
        <v/>
      </c>
      <c r="M1913" s="396">
        <f>TIMEVALUE(MID(F1913,12,8))</f>
        <v/>
      </c>
      <c r="N1913" s="395">
        <f>DATEVALUE(LEFT(G1913,10))</f>
        <v/>
      </c>
      <c r="O1913" s="396">
        <f>TIMEVALUE(MID(G1913,12,8))</f>
        <v/>
      </c>
      <c r="P1913" s="396">
        <f>IFERROR(_xlfn.MINIFS($M:$M,$E:$E,$E1913,$K:$K,$K1913,$M:$M,"&gt;"&amp;$O1913),"")</f>
        <v/>
      </c>
      <c r="Q1913" s="396">
        <f>IF($P1913="","",$P1913-$O1913)</f>
        <v/>
      </c>
    </row>
    <row r="1914" ht="15" customHeight="1" s="231">
      <c r="A1914" s="397" t="n"/>
      <c r="B1914" s="397" t="n"/>
      <c r="C1914" s="397" t="n"/>
      <c r="D1914" s="397" t="n"/>
      <c r="E1914" s="397" t="n"/>
      <c r="F1914" s="397" t="n"/>
      <c r="G1914" s="397" t="n"/>
      <c r="I1914" s="397" t="n"/>
      <c r="J1914" s="397" t="n"/>
      <c r="K1914" s="395">
        <f>DATE(VALUE(LEFT(A1914,4)),VALUE(MID(A1914,5,2)),VALUE(RIGHT(A1914,2)))</f>
        <v/>
      </c>
      <c r="L1914" s="395">
        <f>DATEVALUE(LEFT(F1914,10))</f>
        <v/>
      </c>
      <c r="M1914" s="396">
        <f>TIMEVALUE(MID(F1914,12,8))</f>
        <v/>
      </c>
      <c r="N1914" s="395">
        <f>DATEVALUE(LEFT(G1914,10))</f>
        <v/>
      </c>
      <c r="O1914" s="396">
        <f>TIMEVALUE(MID(G1914,12,8))</f>
        <v/>
      </c>
      <c r="P1914" s="396">
        <f>IFERROR(_xlfn.MINIFS($M:$M,$E:$E,$E1914,$K:$K,$K1914,$M:$M,"&gt;"&amp;$O1914),"")</f>
        <v/>
      </c>
      <c r="Q1914" s="396">
        <f>IF($P1914="","",$P1914-$O1914)</f>
        <v/>
      </c>
    </row>
    <row r="1915" ht="15" customHeight="1" s="231">
      <c r="A1915" s="397" t="n"/>
      <c r="B1915" s="397" t="n"/>
      <c r="C1915" s="397" t="n"/>
      <c r="D1915" s="397" t="n"/>
      <c r="E1915" s="397" t="n"/>
      <c r="F1915" s="397" t="n"/>
      <c r="G1915" s="397" t="n"/>
      <c r="I1915" s="397" t="n"/>
      <c r="J1915" s="397" t="n"/>
      <c r="K1915" s="395">
        <f>DATE(VALUE(LEFT(A1915,4)),VALUE(MID(A1915,5,2)),VALUE(RIGHT(A1915,2)))</f>
        <v/>
      </c>
      <c r="L1915" s="395">
        <f>DATEVALUE(LEFT(F1915,10))</f>
        <v/>
      </c>
      <c r="M1915" s="396">
        <f>TIMEVALUE(MID(F1915,12,8))</f>
        <v/>
      </c>
      <c r="N1915" s="395">
        <f>DATEVALUE(LEFT(G1915,10))</f>
        <v/>
      </c>
      <c r="O1915" s="396">
        <f>TIMEVALUE(MID(G1915,12,8))</f>
        <v/>
      </c>
      <c r="P1915" s="396">
        <f>IFERROR(_xlfn.MINIFS($M:$M,$E:$E,$E1915,$K:$K,$K1915,$M:$M,"&gt;"&amp;$O1915),"")</f>
        <v/>
      </c>
      <c r="Q1915" s="396">
        <f>IF($P1915="","",$P1915-$O1915)</f>
        <v/>
      </c>
    </row>
    <row r="1916" ht="15" customHeight="1" s="231">
      <c r="A1916" s="397" t="n"/>
      <c r="B1916" s="397" t="n"/>
      <c r="C1916" s="397" t="n"/>
      <c r="D1916" s="397" t="n"/>
      <c r="E1916" s="397" t="n"/>
      <c r="F1916" s="397" t="n"/>
      <c r="G1916" s="397" t="n"/>
      <c r="I1916" s="397" t="n"/>
      <c r="J1916" s="397" t="n"/>
      <c r="K1916" s="395">
        <f>DATE(VALUE(LEFT(A1916,4)),VALUE(MID(A1916,5,2)),VALUE(RIGHT(A1916,2)))</f>
        <v/>
      </c>
      <c r="L1916" s="395">
        <f>DATEVALUE(LEFT(F1916,10))</f>
        <v/>
      </c>
      <c r="M1916" s="396">
        <f>TIMEVALUE(MID(F1916,12,8))</f>
        <v/>
      </c>
      <c r="N1916" s="395">
        <f>DATEVALUE(LEFT(G1916,10))</f>
        <v/>
      </c>
      <c r="O1916" s="396">
        <f>TIMEVALUE(MID(G1916,12,8))</f>
        <v/>
      </c>
      <c r="P1916" s="396">
        <f>IFERROR(_xlfn.MINIFS($M:$M,$E:$E,$E1916,$K:$K,$K1916,$M:$M,"&gt;"&amp;$O1916),"")</f>
        <v/>
      </c>
      <c r="Q1916" s="396">
        <f>IF($P1916="","",$P1916-$O1916)</f>
        <v/>
      </c>
    </row>
    <row r="1917" ht="15" customHeight="1" s="231">
      <c r="A1917" s="397" t="n"/>
      <c r="B1917" s="397" t="n"/>
      <c r="C1917" s="397" t="n"/>
      <c r="D1917" s="397" t="n"/>
      <c r="E1917" s="397" t="n"/>
      <c r="F1917" s="397" t="n"/>
      <c r="G1917" s="397" t="n"/>
      <c r="I1917" s="397" t="n"/>
      <c r="J1917" s="397" t="n"/>
      <c r="K1917" s="395">
        <f>DATE(VALUE(LEFT(A1917,4)),VALUE(MID(A1917,5,2)),VALUE(RIGHT(A1917,2)))</f>
        <v/>
      </c>
      <c r="L1917" s="395">
        <f>DATEVALUE(LEFT(F1917,10))</f>
        <v/>
      </c>
      <c r="M1917" s="396">
        <f>TIMEVALUE(MID(F1917,12,8))</f>
        <v/>
      </c>
      <c r="N1917" s="395">
        <f>DATEVALUE(LEFT(G1917,10))</f>
        <v/>
      </c>
      <c r="O1917" s="396">
        <f>TIMEVALUE(MID(G1917,12,8))</f>
        <v/>
      </c>
      <c r="P1917" s="396">
        <f>IFERROR(_xlfn.MINIFS($M:$M,$E:$E,$E1917,$K:$K,$K1917,$M:$M,"&gt;"&amp;$O1917),"")</f>
        <v/>
      </c>
      <c r="Q1917" s="396">
        <f>IF($P1917="","",$P1917-$O1917)</f>
        <v/>
      </c>
    </row>
    <row r="1918" ht="15" customHeight="1" s="231">
      <c r="A1918" s="397" t="n"/>
      <c r="B1918" s="397" t="n"/>
      <c r="C1918" s="397" t="n"/>
      <c r="D1918" s="397" t="n"/>
      <c r="E1918" s="397" t="n"/>
      <c r="F1918" s="397" t="n"/>
      <c r="G1918" s="397" t="n"/>
      <c r="I1918" s="397" t="n"/>
      <c r="J1918" s="397" t="n"/>
      <c r="K1918" s="395">
        <f>DATE(VALUE(LEFT(A1918,4)),VALUE(MID(A1918,5,2)),VALUE(RIGHT(A1918,2)))</f>
        <v/>
      </c>
      <c r="L1918" s="395">
        <f>DATEVALUE(LEFT(F1918,10))</f>
        <v/>
      </c>
      <c r="M1918" s="396">
        <f>TIMEVALUE(MID(F1918,12,8))</f>
        <v/>
      </c>
      <c r="N1918" s="395">
        <f>DATEVALUE(LEFT(G1918,10))</f>
        <v/>
      </c>
      <c r="O1918" s="396">
        <f>TIMEVALUE(MID(G1918,12,8))</f>
        <v/>
      </c>
      <c r="P1918" s="396">
        <f>IFERROR(_xlfn.MINIFS($M:$M,$E:$E,$E1918,$K:$K,$K1918,$M:$M,"&gt;"&amp;$O1918),"")</f>
        <v/>
      </c>
      <c r="Q1918" s="396">
        <f>IF($P1918="","",$P1918-$O1918)</f>
        <v/>
      </c>
    </row>
    <row r="1919" ht="15" customHeight="1" s="231">
      <c r="A1919" s="397" t="n"/>
      <c r="B1919" s="397" t="n"/>
      <c r="C1919" s="397" t="n"/>
      <c r="D1919" s="397" t="n"/>
      <c r="E1919" s="397" t="n"/>
      <c r="F1919" s="397" t="n"/>
      <c r="G1919" s="397" t="n"/>
      <c r="I1919" s="397" t="n"/>
      <c r="J1919" s="397" t="n"/>
      <c r="K1919" s="395">
        <f>DATE(VALUE(LEFT(A1919,4)),VALUE(MID(A1919,5,2)),VALUE(RIGHT(A1919,2)))</f>
        <v/>
      </c>
      <c r="L1919" s="395">
        <f>DATEVALUE(LEFT(F1919,10))</f>
        <v/>
      </c>
      <c r="M1919" s="396">
        <f>TIMEVALUE(MID(F1919,12,8))</f>
        <v/>
      </c>
      <c r="N1919" s="395">
        <f>DATEVALUE(LEFT(G1919,10))</f>
        <v/>
      </c>
      <c r="O1919" s="396">
        <f>TIMEVALUE(MID(G1919,12,8))</f>
        <v/>
      </c>
      <c r="P1919" s="396">
        <f>IFERROR(_xlfn.MINIFS($M:$M,$E:$E,$E1919,$K:$K,$K1919,$M:$M,"&gt;"&amp;$O1919),"")</f>
        <v/>
      </c>
      <c r="Q1919" s="396">
        <f>IF($P1919="","",$P1919-$O1919)</f>
        <v/>
      </c>
    </row>
    <row r="1920" ht="15" customHeight="1" s="231">
      <c r="A1920" s="397" t="n"/>
      <c r="B1920" s="397" t="n"/>
      <c r="C1920" s="397" t="n"/>
      <c r="D1920" s="397" t="n"/>
      <c r="E1920" s="397" t="n"/>
      <c r="F1920" s="397" t="n"/>
      <c r="G1920" s="397" t="n"/>
      <c r="I1920" s="397" t="n"/>
      <c r="J1920" s="397" t="n"/>
      <c r="K1920" s="395">
        <f>DATE(VALUE(LEFT(A1920,4)),VALUE(MID(A1920,5,2)),VALUE(RIGHT(A1920,2)))</f>
        <v/>
      </c>
      <c r="L1920" s="395">
        <f>DATEVALUE(LEFT(F1920,10))</f>
        <v/>
      </c>
      <c r="M1920" s="396">
        <f>TIMEVALUE(MID(F1920,12,8))</f>
        <v/>
      </c>
      <c r="N1920" s="395">
        <f>DATEVALUE(LEFT(G1920,10))</f>
        <v/>
      </c>
      <c r="O1920" s="396">
        <f>TIMEVALUE(MID(G1920,12,8))</f>
        <v/>
      </c>
      <c r="P1920" s="396">
        <f>IFERROR(_xlfn.MINIFS($M:$M,$E:$E,$E1920,$K:$K,$K1920,$M:$M,"&gt;"&amp;$O1920),"")</f>
        <v/>
      </c>
      <c r="Q1920" s="396">
        <f>IF($P1920="","",$P1920-$O1920)</f>
        <v/>
      </c>
    </row>
    <row r="1921" ht="15" customHeight="1" s="231">
      <c r="A1921" s="397" t="n"/>
      <c r="B1921" s="397" t="n"/>
      <c r="C1921" s="397" t="n"/>
      <c r="D1921" s="397" t="n"/>
      <c r="E1921" s="397" t="n"/>
      <c r="F1921" s="397" t="n"/>
      <c r="G1921" s="397" t="n"/>
      <c r="I1921" s="397" t="n"/>
      <c r="J1921" s="397" t="n"/>
      <c r="K1921" s="395">
        <f>DATE(VALUE(LEFT(A1921,4)),VALUE(MID(A1921,5,2)),VALUE(RIGHT(A1921,2)))</f>
        <v/>
      </c>
      <c r="L1921" s="395">
        <f>DATEVALUE(LEFT(F1921,10))</f>
        <v/>
      </c>
      <c r="M1921" s="396">
        <f>TIMEVALUE(MID(F1921,12,8))</f>
        <v/>
      </c>
      <c r="N1921" s="395">
        <f>DATEVALUE(LEFT(G1921,10))</f>
        <v/>
      </c>
      <c r="O1921" s="396">
        <f>TIMEVALUE(MID(G1921,12,8))</f>
        <v/>
      </c>
      <c r="P1921" s="396">
        <f>IFERROR(_xlfn.MINIFS($M:$M,$E:$E,$E1921,$K:$K,$K1921,$M:$M,"&gt;"&amp;$O1921),"")</f>
        <v/>
      </c>
      <c r="Q1921" s="396">
        <f>IF($P1921="","",$P1921-$O1921)</f>
        <v/>
      </c>
    </row>
    <row r="1922" ht="15" customHeight="1" s="231">
      <c r="A1922" s="397" t="n"/>
      <c r="B1922" s="397" t="n"/>
      <c r="C1922" s="397" t="n"/>
      <c r="D1922" s="397" t="n"/>
      <c r="E1922" s="397" t="n"/>
      <c r="F1922" s="397" t="n"/>
      <c r="G1922" s="397" t="n"/>
      <c r="I1922" s="397" t="n"/>
      <c r="J1922" s="397" t="n"/>
      <c r="K1922" s="395">
        <f>DATE(VALUE(LEFT(A1922,4)),VALUE(MID(A1922,5,2)),VALUE(RIGHT(A1922,2)))</f>
        <v/>
      </c>
      <c r="L1922" s="395">
        <f>DATEVALUE(LEFT(F1922,10))</f>
        <v/>
      </c>
      <c r="M1922" s="396">
        <f>TIMEVALUE(MID(F1922,12,8))</f>
        <v/>
      </c>
      <c r="N1922" s="395">
        <f>DATEVALUE(LEFT(G1922,10))</f>
        <v/>
      </c>
      <c r="O1922" s="396">
        <f>TIMEVALUE(MID(G1922,12,8))</f>
        <v/>
      </c>
      <c r="P1922" s="396">
        <f>IFERROR(_xlfn.MINIFS($M:$M,$E:$E,$E1922,$K:$K,$K1922,$M:$M,"&gt;"&amp;$O1922),"")</f>
        <v/>
      </c>
      <c r="Q1922" s="396">
        <f>IF($P1922="","",$P1922-$O1922)</f>
        <v/>
      </c>
    </row>
    <row r="1923" ht="15" customHeight="1" s="231">
      <c r="A1923" s="397" t="n"/>
      <c r="B1923" s="397" t="n"/>
      <c r="C1923" s="397" t="n"/>
      <c r="D1923" s="397" t="n"/>
      <c r="E1923" s="397" t="n"/>
      <c r="F1923" s="397" t="n"/>
      <c r="G1923" s="397" t="n"/>
      <c r="I1923" s="397" t="n"/>
      <c r="J1923" s="397" t="n"/>
      <c r="K1923" s="395">
        <f>DATE(VALUE(LEFT(A1923,4)),VALUE(MID(A1923,5,2)),VALUE(RIGHT(A1923,2)))</f>
        <v/>
      </c>
      <c r="L1923" s="395">
        <f>DATEVALUE(LEFT(F1923,10))</f>
        <v/>
      </c>
      <c r="M1923" s="396">
        <f>TIMEVALUE(MID(F1923,12,8))</f>
        <v/>
      </c>
      <c r="N1923" s="395">
        <f>DATEVALUE(LEFT(G1923,10))</f>
        <v/>
      </c>
      <c r="O1923" s="396">
        <f>TIMEVALUE(MID(G1923,12,8))</f>
        <v/>
      </c>
      <c r="P1923" s="396">
        <f>IFERROR(_xlfn.MINIFS($M:$M,$E:$E,$E1923,$K:$K,$K1923,$M:$M,"&gt;"&amp;$O1923),"")</f>
        <v/>
      </c>
      <c r="Q1923" s="396">
        <f>IF($P1923="","",$P1923-$O1923)</f>
        <v/>
      </c>
    </row>
    <row r="1924" ht="15" customHeight="1" s="231">
      <c r="A1924" s="397" t="n"/>
      <c r="B1924" s="397" t="n"/>
      <c r="C1924" s="397" t="n"/>
      <c r="D1924" s="397" t="n"/>
      <c r="E1924" s="397" t="n"/>
      <c r="F1924" s="397" t="n"/>
      <c r="G1924" s="397" t="n"/>
      <c r="I1924" s="397" t="n"/>
      <c r="J1924" s="397" t="n"/>
      <c r="K1924" s="395">
        <f>DATE(VALUE(LEFT(A1924,4)),VALUE(MID(A1924,5,2)),VALUE(RIGHT(A1924,2)))</f>
        <v/>
      </c>
      <c r="L1924" s="395">
        <f>DATEVALUE(LEFT(F1924,10))</f>
        <v/>
      </c>
      <c r="M1924" s="396">
        <f>TIMEVALUE(MID(F1924,12,8))</f>
        <v/>
      </c>
      <c r="N1924" s="395">
        <f>DATEVALUE(LEFT(G1924,10))</f>
        <v/>
      </c>
      <c r="O1924" s="396">
        <f>TIMEVALUE(MID(G1924,12,8))</f>
        <v/>
      </c>
      <c r="P1924" s="396">
        <f>IFERROR(_xlfn.MINIFS($M:$M,$E:$E,$E1924,$K:$K,$K1924,$M:$M,"&gt;"&amp;$O1924),"")</f>
        <v/>
      </c>
      <c r="Q1924" s="396">
        <f>IF($P1924="","",$P1924-$O1924)</f>
        <v/>
      </c>
    </row>
    <row r="1925" ht="15" customHeight="1" s="231">
      <c r="A1925" s="397" t="n"/>
      <c r="B1925" s="397" t="n"/>
      <c r="C1925" s="397" t="n"/>
      <c r="D1925" s="397" t="n"/>
      <c r="E1925" s="397" t="n"/>
      <c r="F1925" s="397" t="n"/>
      <c r="G1925" s="397" t="n"/>
      <c r="I1925" s="397" t="n"/>
      <c r="J1925" s="397" t="n"/>
      <c r="K1925" s="395">
        <f>DATE(VALUE(LEFT(A1925,4)),VALUE(MID(A1925,5,2)),VALUE(RIGHT(A1925,2)))</f>
        <v/>
      </c>
      <c r="L1925" s="395">
        <f>DATEVALUE(LEFT(F1925,10))</f>
        <v/>
      </c>
      <c r="M1925" s="396">
        <f>TIMEVALUE(MID(F1925,12,8))</f>
        <v/>
      </c>
      <c r="N1925" s="395">
        <f>DATEVALUE(LEFT(G1925,10))</f>
        <v/>
      </c>
      <c r="O1925" s="396">
        <f>TIMEVALUE(MID(G1925,12,8))</f>
        <v/>
      </c>
      <c r="P1925" s="396">
        <f>IFERROR(_xlfn.MINIFS($M:$M,$E:$E,$E1925,$K:$K,$K1925,$M:$M,"&gt;"&amp;$O1925),"")</f>
        <v/>
      </c>
      <c r="Q1925" s="396">
        <f>IF($P1925="","",$P1925-$O1925)</f>
        <v/>
      </c>
    </row>
    <row r="1926" ht="15" customHeight="1" s="231">
      <c r="A1926" s="397" t="n"/>
      <c r="B1926" s="397" t="n"/>
      <c r="C1926" s="397" t="n"/>
      <c r="D1926" s="397" t="n"/>
      <c r="E1926" s="397" t="n"/>
      <c r="F1926" s="397" t="n"/>
      <c r="G1926" s="397" t="n"/>
      <c r="I1926" s="397" t="n"/>
      <c r="J1926" s="397" t="n"/>
      <c r="K1926" s="395">
        <f>DATE(VALUE(LEFT(A1926,4)),VALUE(MID(A1926,5,2)),VALUE(RIGHT(A1926,2)))</f>
        <v/>
      </c>
      <c r="L1926" s="395">
        <f>DATEVALUE(LEFT(F1926,10))</f>
        <v/>
      </c>
      <c r="M1926" s="396">
        <f>TIMEVALUE(MID(F1926,12,8))</f>
        <v/>
      </c>
      <c r="N1926" s="395">
        <f>DATEVALUE(LEFT(G1926,10))</f>
        <v/>
      </c>
      <c r="O1926" s="396">
        <f>TIMEVALUE(MID(G1926,12,8))</f>
        <v/>
      </c>
      <c r="P1926" s="396">
        <f>IFERROR(_xlfn.MINIFS($M:$M,$E:$E,$E1926,$K:$K,$K1926,$M:$M,"&gt;"&amp;$O1926),"")</f>
        <v/>
      </c>
      <c r="Q1926" s="396">
        <f>IF($P1926="","",$P1926-$O1926)</f>
        <v/>
      </c>
    </row>
    <row r="1927" ht="15" customHeight="1" s="231">
      <c r="A1927" s="397" t="n"/>
      <c r="B1927" s="397" t="n"/>
      <c r="C1927" s="397" t="n"/>
      <c r="D1927" s="397" t="n"/>
      <c r="E1927" s="397" t="n"/>
      <c r="F1927" s="397" t="n"/>
      <c r="G1927" s="397" t="n"/>
      <c r="I1927" s="397" t="n"/>
      <c r="J1927" s="397" t="n"/>
      <c r="K1927" s="395">
        <f>DATE(VALUE(LEFT(A1927,4)),VALUE(MID(A1927,5,2)),VALUE(RIGHT(A1927,2)))</f>
        <v/>
      </c>
      <c r="L1927" s="395">
        <f>DATEVALUE(LEFT(F1927,10))</f>
        <v/>
      </c>
      <c r="M1927" s="396">
        <f>TIMEVALUE(MID(F1927,12,8))</f>
        <v/>
      </c>
      <c r="N1927" s="395">
        <f>DATEVALUE(LEFT(G1927,10))</f>
        <v/>
      </c>
      <c r="O1927" s="396">
        <f>TIMEVALUE(MID(G1927,12,8))</f>
        <v/>
      </c>
      <c r="P1927" s="396">
        <f>IFERROR(_xlfn.MINIFS($M:$M,$E:$E,$E1927,$K:$K,$K1927,$M:$M,"&gt;"&amp;$O1927),"")</f>
        <v/>
      </c>
      <c r="Q1927" s="396">
        <f>IF($P1927="","",$P1927-$O1927)</f>
        <v/>
      </c>
    </row>
    <row r="1928" ht="15" customHeight="1" s="231">
      <c r="A1928" s="397" t="n"/>
      <c r="B1928" s="397" t="n"/>
      <c r="C1928" s="397" t="n"/>
      <c r="D1928" s="397" t="n"/>
      <c r="E1928" s="397" t="n"/>
      <c r="F1928" s="397" t="n"/>
      <c r="G1928" s="397" t="n"/>
      <c r="I1928" s="397" t="n"/>
      <c r="J1928" s="397" t="n"/>
      <c r="K1928" s="395">
        <f>DATE(VALUE(LEFT(A1928,4)),VALUE(MID(A1928,5,2)),VALUE(RIGHT(A1928,2)))</f>
        <v/>
      </c>
      <c r="L1928" s="395">
        <f>DATEVALUE(LEFT(F1928,10))</f>
        <v/>
      </c>
      <c r="M1928" s="396">
        <f>TIMEVALUE(MID(F1928,12,8))</f>
        <v/>
      </c>
      <c r="N1928" s="395">
        <f>DATEVALUE(LEFT(G1928,10))</f>
        <v/>
      </c>
      <c r="O1928" s="396">
        <f>TIMEVALUE(MID(G1928,12,8))</f>
        <v/>
      </c>
      <c r="P1928" s="396">
        <f>IFERROR(_xlfn.MINIFS($M:$M,$E:$E,$E1928,$K:$K,$K1928,$M:$M,"&gt;"&amp;$O1928),"")</f>
        <v/>
      </c>
      <c r="Q1928" s="396">
        <f>IF($P1928="","",$P1928-$O1928)</f>
        <v/>
      </c>
    </row>
    <row r="1929" ht="15" customHeight="1" s="231">
      <c r="A1929" s="397" t="n"/>
      <c r="B1929" s="397" t="n"/>
      <c r="C1929" s="397" t="n"/>
      <c r="D1929" s="397" t="n"/>
      <c r="E1929" s="397" t="n"/>
      <c r="F1929" s="397" t="n"/>
      <c r="G1929" s="397" t="n"/>
      <c r="I1929" s="397" t="n"/>
      <c r="J1929" s="397" t="n"/>
      <c r="K1929" s="395">
        <f>DATE(VALUE(LEFT(A1929,4)),VALUE(MID(A1929,5,2)),VALUE(RIGHT(A1929,2)))</f>
        <v/>
      </c>
      <c r="L1929" s="395">
        <f>DATEVALUE(LEFT(F1929,10))</f>
        <v/>
      </c>
      <c r="M1929" s="396">
        <f>TIMEVALUE(MID(F1929,12,8))</f>
        <v/>
      </c>
      <c r="N1929" s="395">
        <f>DATEVALUE(LEFT(G1929,10))</f>
        <v/>
      </c>
      <c r="O1929" s="396">
        <f>TIMEVALUE(MID(G1929,12,8))</f>
        <v/>
      </c>
      <c r="P1929" s="396">
        <f>IFERROR(_xlfn.MINIFS($M:$M,$E:$E,$E1929,$K:$K,$K1929,$M:$M,"&gt;"&amp;$O1929),"")</f>
        <v/>
      </c>
      <c r="Q1929" s="396">
        <f>IF($P1929="","",$P1929-$O1929)</f>
        <v/>
      </c>
    </row>
    <row r="1930" ht="15" customHeight="1" s="231">
      <c r="A1930" s="397" t="n"/>
      <c r="B1930" s="397" t="n"/>
      <c r="C1930" s="397" t="n"/>
      <c r="D1930" s="397" t="n"/>
      <c r="E1930" s="397" t="n"/>
      <c r="F1930" s="397" t="n"/>
      <c r="G1930" s="397" t="n"/>
      <c r="I1930" s="397" t="n"/>
      <c r="J1930" s="397" t="n"/>
      <c r="K1930" s="395">
        <f>DATE(VALUE(LEFT(A1930,4)),VALUE(MID(A1930,5,2)),VALUE(RIGHT(A1930,2)))</f>
        <v/>
      </c>
      <c r="L1930" s="395">
        <f>DATEVALUE(LEFT(F1930,10))</f>
        <v/>
      </c>
      <c r="M1930" s="396">
        <f>TIMEVALUE(MID(F1930,12,8))</f>
        <v/>
      </c>
      <c r="N1930" s="395">
        <f>DATEVALUE(LEFT(G1930,10))</f>
        <v/>
      </c>
      <c r="O1930" s="396">
        <f>TIMEVALUE(MID(G1930,12,8))</f>
        <v/>
      </c>
      <c r="P1930" s="396">
        <f>IFERROR(_xlfn.MINIFS($M:$M,$E:$E,$E1930,$K:$K,$K1930,$M:$M,"&gt;"&amp;$O1930),"")</f>
        <v/>
      </c>
      <c r="Q1930" s="396">
        <f>IF($P1930="","",$P1930-$O1930)</f>
        <v/>
      </c>
    </row>
    <row r="1931" ht="15" customHeight="1" s="231">
      <c r="A1931" s="397" t="n"/>
      <c r="B1931" s="397" t="n"/>
      <c r="C1931" s="397" t="n"/>
      <c r="D1931" s="397" t="n"/>
      <c r="E1931" s="397" t="n"/>
      <c r="F1931" s="397" t="n"/>
      <c r="G1931" s="397" t="n"/>
      <c r="I1931" s="397" t="n"/>
      <c r="J1931" s="397" t="n"/>
      <c r="K1931" s="395">
        <f>DATE(VALUE(LEFT(A1931,4)),VALUE(MID(A1931,5,2)),VALUE(RIGHT(A1931,2)))</f>
        <v/>
      </c>
      <c r="L1931" s="395">
        <f>DATEVALUE(LEFT(F1931,10))</f>
        <v/>
      </c>
      <c r="M1931" s="396">
        <f>TIMEVALUE(MID(F1931,12,8))</f>
        <v/>
      </c>
      <c r="N1931" s="395">
        <f>DATEVALUE(LEFT(G1931,10))</f>
        <v/>
      </c>
      <c r="O1931" s="396">
        <f>TIMEVALUE(MID(G1931,12,8))</f>
        <v/>
      </c>
      <c r="P1931" s="396">
        <f>IFERROR(_xlfn.MINIFS($M:$M,$E:$E,$E1931,$K:$K,$K1931,$M:$M,"&gt;"&amp;$O1931),"")</f>
        <v/>
      </c>
      <c r="Q1931" s="396">
        <f>IF($P1931="","",$P1931-$O1931)</f>
        <v/>
      </c>
    </row>
    <row r="1932" ht="15" customHeight="1" s="231">
      <c r="A1932" s="397" t="n"/>
      <c r="B1932" s="397" t="n"/>
      <c r="C1932" s="397" t="n"/>
      <c r="D1932" s="397" t="n"/>
      <c r="E1932" s="397" t="n"/>
      <c r="F1932" s="397" t="n"/>
      <c r="G1932" s="397" t="n"/>
      <c r="I1932" s="397" t="n"/>
      <c r="J1932" s="397" t="n"/>
      <c r="K1932" s="395">
        <f>DATE(VALUE(LEFT(A1932,4)),VALUE(MID(A1932,5,2)),VALUE(RIGHT(A1932,2)))</f>
        <v/>
      </c>
      <c r="L1932" s="395">
        <f>DATEVALUE(LEFT(F1932,10))</f>
        <v/>
      </c>
      <c r="M1932" s="396">
        <f>TIMEVALUE(MID(F1932,12,8))</f>
        <v/>
      </c>
      <c r="N1932" s="395">
        <f>DATEVALUE(LEFT(G1932,10))</f>
        <v/>
      </c>
      <c r="O1932" s="396">
        <f>TIMEVALUE(MID(G1932,12,8))</f>
        <v/>
      </c>
      <c r="P1932" s="396">
        <f>IFERROR(_xlfn.MINIFS($M:$M,$E:$E,$E1932,$K:$K,$K1932,$M:$M,"&gt;"&amp;$O1932),"")</f>
        <v/>
      </c>
      <c r="Q1932" s="396">
        <f>IF($P1932="","",$P1932-$O1932)</f>
        <v/>
      </c>
    </row>
    <row r="1933" ht="15" customHeight="1" s="231">
      <c r="A1933" s="397" t="n"/>
      <c r="B1933" s="397" t="n"/>
      <c r="C1933" s="397" t="n"/>
      <c r="D1933" s="397" t="n"/>
      <c r="E1933" s="397" t="n"/>
      <c r="F1933" s="397" t="n"/>
      <c r="G1933" s="397" t="n"/>
      <c r="I1933" s="397" t="n"/>
      <c r="J1933" s="397" t="n"/>
      <c r="K1933" s="395">
        <f>DATE(VALUE(LEFT(A1933,4)),VALUE(MID(A1933,5,2)),VALUE(RIGHT(A1933,2)))</f>
        <v/>
      </c>
      <c r="L1933" s="395">
        <f>DATEVALUE(LEFT(F1933,10))</f>
        <v/>
      </c>
      <c r="M1933" s="396">
        <f>TIMEVALUE(MID(F1933,12,8))</f>
        <v/>
      </c>
      <c r="N1933" s="395">
        <f>DATEVALUE(LEFT(G1933,10))</f>
        <v/>
      </c>
      <c r="O1933" s="396">
        <f>TIMEVALUE(MID(G1933,12,8))</f>
        <v/>
      </c>
      <c r="P1933" s="396">
        <f>IFERROR(_xlfn.MINIFS($M:$M,$E:$E,$E1933,$K:$K,$K1933,$M:$M,"&gt;"&amp;$O1933),"")</f>
        <v/>
      </c>
      <c r="Q1933" s="396">
        <f>IF($P1933="","",$P1933-$O1933)</f>
        <v/>
      </c>
    </row>
    <row r="1934" ht="15" customHeight="1" s="231">
      <c r="A1934" s="397" t="n"/>
      <c r="B1934" s="397" t="n"/>
      <c r="C1934" s="397" t="n"/>
      <c r="D1934" s="397" t="n"/>
      <c r="E1934" s="397" t="n"/>
      <c r="F1934" s="397" t="n"/>
      <c r="G1934" s="397" t="n"/>
      <c r="I1934" s="397" t="n"/>
      <c r="J1934" s="397" t="n"/>
      <c r="K1934" s="395">
        <f>DATE(VALUE(LEFT(A1934,4)),VALUE(MID(A1934,5,2)),VALUE(RIGHT(A1934,2)))</f>
        <v/>
      </c>
      <c r="L1934" s="395">
        <f>DATEVALUE(LEFT(F1934,10))</f>
        <v/>
      </c>
      <c r="M1934" s="396">
        <f>TIMEVALUE(MID(F1934,12,8))</f>
        <v/>
      </c>
      <c r="N1934" s="395">
        <f>DATEVALUE(LEFT(G1934,10))</f>
        <v/>
      </c>
      <c r="O1934" s="396">
        <f>TIMEVALUE(MID(G1934,12,8))</f>
        <v/>
      </c>
      <c r="P1934" s="396">
        <f>IFERROR(_xlfn.MINIFS($M:$M,$E:$E,$E1934,$K:$K,$K1934,$M:$M,"&gt;"&amp;$O1934),"")</f>
        <v/>
      </c>
      <c r="Q1934" s="396">
        <f>IF($P1934="","",$P1934-$O1934)</f>
        <v/>
      </c>
    </row>
    <row r="1935" ht="15" customHeight="1" s="231">
      <c r="A1935" s="397" t="n"/>
      <c r="B1935" s="397" t="n"/>
      <c r="C1935" s="397" t="n"/>
      <c r="D1935" s="397" t="n"/>
      <c r="E1935" s="397" t="n"/>
      <c r="F1935" s="397" t="n"/>
      <c r="G1935" s="397" t="n"/>
      <c r="I1935" s="397" t="n"/>
      <c r="J1935" s="397" t="n"/>
      <c r="K1935" s="395">
        <f>DATE(VALUE(LEFT(A1935,4)),VALUE(MID(A1935,5,2)),VALUE(RIGHT(A1935,2)))</f>
        <v/>
      </c>
      <c r="L1935" s="395">
        <f>DATEVALUE(LEFT(F1935,10))</f>
        <v/>
      </c>
      <c r="M1935" s="396">
        <f>TIMEVALUE(MID(F1935,12,8))</f>
        <v/>
      </c>
      <c r="N1935" s="395">
        <f>DATEVALUE(LEFT(G1935,10))</f>
        <v/>
      </c>
      <c r="O1935" s="396">
        <f>TIMEVALUE(MID(G1935,12,8))</f>
        <v/>
      </c>
      <c r="P1935" s="396">
        <f>IFERROR(_xlfn.MINIFS($M:$M,$E:$E,$E1935,$K:$K,$K1935,$M:$M,"&gt;"&amp;$O1935),"")</f>
        <v/>
      </c>
      <c r="Q1935" s="396">
        <f>IF($P1935="","",$P1935-$O1935)</f>
        <v/>
      </c>
    </row>
    <row r="1936" ht="15" customHeight="1" s="231">
      <c r="A1936" s="397" t="n"/>
      <c r="B1936" s="397" t="n"/>
      <c r="C1936" s="397" t="n"/>
      <c r="D1936" s="397" t="n"/>
      <c r="E1936" s="397" t="n"/>
      <c r="F1936" s="397" t="n"/>
      <c r="G1936" s="397" t="n"/>
      <c r="I1936" s="397" t="n"/>
      <c r="J1936" s="397" t="n"/>
      <c r="K1936" s="395">
        <f>DATE(VALUE(LEFT(A1936,4)),VALUE(MID(A1936,5,2)),VALUE(RIGHT(A1936,2)))</f>
        <v/>
      </c>
      <c r="L1936" s="395">
        <f>DATEVALUE(LEFT(F1936,10))</f>
        <v/>
      </c>
      <c r="M1936" s="396">
        <f>TIMEVALUE(MID(F1936,12,8))</f>
        <v/>
      </c>
      <c r="N1936" s="395">
        <f>DATEVALUE(LEFT(G1936,10))</f>
        <v/>
      </c>
      <c r="O1936" s="396">
        <f>TIMEVALUE(MID(G1936,12,8))</f>
        <v/>
      </c>
      <c r="P1936" s="396">
        <f>IFERROR(_xlfn.MINIFS($M:$M,$E:$E,$E1936,$K:$K,$K1936,$M:$M,"&gt;"&amp;$O1936),"")</f>
        <v/>
      </c>
      <c r="Q1936" s="396">
        <f>IF($P1936="","",$P1936-$O1936)</f>
        <v/>
      </c>
    </row>
    <row r="1937" ht="15" customHeight="1" s="231">
      <c r="A1937" s="397" t="n"/>
      <c r="B1937" s="397" t="n"/>
      <c r="C1937" s="397" t="n"/>
      <c r="D1937" s="397" t="n"/>
      <c r="E1937" s="397" t="n"/>
      <c r="F1937" s="397" t="n"/>
      <c r="G1937" s="397" t="n"/>
      <c r="I1937" s="397" t="n"/>
      <c r="J1937" s="397" t="n"/>
      <c r="K1937" s="395">
        <f>DATE(VALUE(LEFT(A1937,4)),VALUE(MID(A1937,5,2)),VALUE(RIGHT(A1937,2)))</f>
        <v/>
      </c>
      <c r="L1937" s="395">
        <f>DATEVALUE(LEFT(F1937,10))</f>
        <v/>
      </c>
      <c r="M1937" s="396">
        <f>TIMEVALUE(MID(F1937,12,8))</f>
        <v/>
      </c>
      <c r="N1937" s="395">
        <f>DATEVALUE(LEFT(G1937,10))</f>
        <v/>
      </c>
      <c r="O1937" s="396">
        <f>TIMEVALUE(MID(G1937,12,8))</f>
        <v/>
      </c>
      <c r="P1937" s="396">
        <f>IFERROR(_xlfn.MINIFS($M:$M,$E:$E,$E1937,$K:$K,$K1937,$M:$M,"&gt;"&amp;$O1937),"")</f>
        <v/>
      </c>
      <c r="Q1937" s="396">
        <f>IF($P1937="","",$P1937-$O1937)</f>
        <v/>
      </c>
    </row>
    <row r="1938" ht="15" customHeight="1" s="231">
      <c r="A1938" s="397" t="n"/>
      <c r="B1938" s="397" t="n"/>
      <c r="C1938" s="397" t="n"/>
      <c r="D1938" s="397" t="n"/>
      <c r="E1938" s="397" t="n"/>
      <c r="F1938" s="397" t="n"/>
      <c r="G1938" s="397" t="n"/>
      <c r="I1938" s="397" t="n"/>
      <c r="J1938" s="397" t="n"/>
      <c r="K1938" s="395">
        <f>DATE(VALUE(LEFT(A1938,4)),VALUE(MID(A1938,5,2)),VALUE(RIGHT(A1938,2)))</f>
        <v/>
      </c>
      <c r="L1938" s="395">
        <f>DATEVALUE(LEFT(F1938,10))</f>
        <v/>
      </c>
      <c r="M1938" s="396">
        <f>TIMEVALUE(MID(F1938,12,8))</f>
        <v/>
      </c>
      <c r="N1938" s="395">
        <f>DATEVALUE(LEFT(G1938,10))</f>
        <v/>
      </c>
      <c r="O1938" s="396">
        <f>TIMEVALUE(MID(G1938,12,8))</f>
        <v/>
      </c>
      <c r="P1938" s="396">
        <f>IFERROR(_xlfn.MINIFS($M:$M,$E:$E,$E1938,$K:$K,$K1938,$M:$M,"&gt;"&amp;$O1938),"")</f>
        <v/>
      </c>
      <c r="Q1938" s="396">
        <f>IF($P1938="","",$P1938-$O1938)</f>
        <v/>
      </c>
    </row>
    <row r="1939" ht="15" customHeight="1" s="231">
      <c r="A1939" s="397" t="n"/>
      <c r="B1939" s="397" t="n"/>
      <c r="C1939" s="397" t="n"/>
      <c r="D1939" s="397" t="n"/>
      <c r="E1939" s="397" t="n"/>
      <c r="F1939" s="397" t="n"/>
      <c r="G1939" s="397" t="n"/>
      <c r="I1939" s="397" t="n"/>
      <c r="J1939" s="397" t="n"/>
      <c r="K1939" s="395">
        <f>DATE(VALUE(LEFT(A1939,4)),VALUE(MID(A1939,5,2)),VALUE(RIGHT(A1939,2)))</f>
        <v/>
      </c>
      <c r="L1939" s="395">
        <f>DATEVALUE(LEFT(F1939,10))</f>
        <v/>
      </c>
      <c r="M1939" s="396">
        <f>TIMEVALUE(MID(F1939,12,8))</f>
        <v/>
      </c>
      <c r="N1939" s="395">
        <f>DATEVALUE(LEFT(G1939,10))</f>
        <v/>
      </c>
      <c r="O1939" s="396">
        <f>TIMEVALUE(MID(G1939,12,8))</f>
        <v/>
      </c>
      <c r="P1939" s="396">
        <f>IFERROR(_xlfn.MINIFS($M:$M,$E:$E,$E1939,$K:$K,$K1939,$M:$M,"&gt;"&amp;$O1939),"")</f>
        <v/>
      </c>
      <c r="Q1939" s="396">
        <f>IF($P1939="","",$P1939-$O1939)</f>
        <v/>
      </c>
    </row>
    <row r="1940" ht="15" customHeight="1" s="231">
      <c r="A1940" s="397" t="n"/>
      <c r="B1940" s="397" t="n"/>
      <c r="C1940" s="397" t="n"/>
      <c r="D1940" s="397" t="n"/>
      <c r="E1940" s="397" t="n"/>
      <c r="F1940" s="397" t="n"/>
      <c r="G1940" s="397" t="n"/>
      <c r="I1940" s="397" t="n"/>
      <c r="J1940" s="397" t="n"/>
      <c r="K1940" s="395">
        <f>DATE(VALUE(LEFT(A1940,4)),VALUE(MID(A1940,5,2)),VALUE(RIGHT(A1940,2)))</f>
        <v/>
      </c>
      <c r="L1940" s="395">
        <f>DATEVALUE(LEFT(F1940,10))</f>
        <v/>
      </c>
      <c r="M1940" s="396">
        <f>TIMEVALUE(MID(F1940,12,8))</f>
        <v/>
      </c>
      <c r="N1940" s="395">
        <f>DATEVALUE(LEFT(G1940,10))</f>
        <v/>
      </c>
      <c r="O1940" s="396">
        <f>TIMEVALUE(MID(G1940,12,8))</f>
        <v/>
      </c>
      <c r="P1940" s="396">
        <f>IFERROR(_xlfn.MINIFS($M:$M,$E:$E,$E1940,$K:$K,$K1940,$M:$M,"&gt;"&amp;$O1940),"")</f>
        <v/>
      </c>
      <c r="Q1940" s="396">
        <f>IF($P1940="","",$P1940-$O1940)</f>
        <v/>
      </c>
    </row>
    <row r="1941" ht="15" customHeight="1" s="231">
      <c r="A1941" s="397" t="n"/>
      <c r="B1941" s="397" t="n"/>
      <c r="C1941" s="397" t="n"/>
      <c r="D1941" s="397" t="n"/>
      <c r="E1941" s="397" t="n"/>
      <c r="F1941" s="397" t="n"/>
      <c r="G1941" s="397" t="n"/>
      <c r="I1941" s="397" t="n"/>
      <c r="J1941" s="397" t="n"/>
      <c r="K1941" s="395">
        <f>DATE(VALUE(LEFT(A1941,4)),VALUE(MID(A1941,5,2)),VALUE(RIGHT(A1941,2)))</f>
        <v/>
      </c>
      <c r="L1941" s="395">
        <f>DATEVALUE(LEFT(F1941,10))</f>
        <v/>
      </c>
      <c r="M1941" s="396">
        <f>TIMEVALUE(MID(F1941,12,8))</f>
        <v/>
      </c>
      <c r="N1941" s="395">
        <f>DATEVALUE(LEFT(G1941,10))</f>
        <v/>
      </c>
      <c r="O1941" s="396">
        <f>TIMEVALUE(MID(G1941,12,8))</f>
        <v/>
      </c>
      <c r="P1941" s="396">
        <f>IFERROR(_xlfn.MINIFS($M:$M,$E:$E,$E1941,$K:$K,$K1941,$M:$M,"&gt;"&amp;$O1941),"")</f>
        <v/>
      </c>
      <c r="Q1941" s="396">
        <f>IF($P1941="","",$P1941-$O1941)</f>
        <v/>
      </c>
    </row>
    <row r="1942" ht="15" customHeight="1" s="231">
      <c r="A1942" s="397" t="n"/>
      <c r="B1942" s="397" t="n"/>
      <c r="C1942" s="397" t="n"/>
      <c r="D1942" s="397" t="n"/>
      <c r="E1942" s="397" t="n"/>
      <c r="F1942" s="397" t="n"/>
      <c r="G1942" s="397" t="n"/>
      <c r="I1942" s="397" t="n"/>
      <c r="J1942" s="397" t="n"/>
      <c r="K1942" s="395">
        <f>DATE(VALUE(LEFT(A1942,4)),VALUE(MID(A1942,5,2)),VALUE(RIGHT(A1942,2)))</f>
        <v/>
      </c>
      <c r="L1942" s="395">
        <f>DATEVALUE(LEFT(F1942,10))</f>
        <v/>
      </c>
      <c r="M1942" s="396">
        <f>TIMEVALUE(MID(F1942,12,8))</f>
        <v/>
      </c>
      <c r="N1942" s="395">
        <f>DATEVALUE(LEFT(G1942,10))</f>
        <v/>
      </c>
      <c r="O1942" s="396">
        <f>TIMEVALUE(MID(G1942,12,8))</f>
        <v/>
      </c>
      <c r="P1942" s="396">
        <f>IFERROR(_xlfn.MINIFS($M:$M,$E:$E,$E1942,$K:$K,$K1942,$M:$M,"&gt;"&amp;$O1942),"")</f>
        <v/>
      </c>
      <c r="Q1942" s="396">
        <f>IF($P1942="","",$P1942-$O1942)</f>
        <v/>
      </c>
    </row>
    <row r="1943" ht="15" customHeight="1" s="231">
      <c r="A1943" s="397" t="n"/>
      <c r="B1943" s="397" t="n"/>
      <c r="C1943" s="397" t="n"/>
      <c r="D1943" s="397" t="n"/>
      <c r="E1943" s="397" t="n"/>
      <c r="F1943" s="397" t="n"/>
      <c r="G1943" s="397" t="n"/>
      <c r="I1943" s="397" t="n"/>
      <c r="J1943" s="397" t="n"/>
      <c r="K1943" s="395">
        <f>DATE(VALUE(LEFT(A1943,4)),VALUE(MID(A1943,5,2)),VALUE(RIGHT(A1943,2)))</f>
        <v/>
      </c>
      <c r="L1943" s="395">
        <f>DATEVALUE(LEFT(F1943,10))</f>
        <v/>
      </c>
      <c r="M1943" s="396">
        <f>TIMEVALUE(MID(F1943,12,8))</f>
        <v/>
      </c>
      <c r="N1943" s="395">
        <f>DATEVALUE(LEFT(G1943,10))</f>
        <v/>
      </c>
      <c r="O1943" s="396">
        <f>TIMEVALUE(MID(G1943,12,8))</f>
        <v/>
      </c>
      <c r="P1943" s="396">
        <f>IFERROR(_xlfn.MINIFS($M:$M,$E:$E,$E1943,$K:$K,$K1943,$M:$M,"&gt;"&amp;$O1943),"")</f>
        <v/>
      </c>
      <c r="Q1943" s="396">
        <f>IF($P1943="","",$P1943-$O1943)</f>
        <v/>
      </c>
    </row>
    <row r="1944" ht="15" customHeight="1" s="231">
      <c r="A1944" s="397" t="n"/>
      <c r="B1944" s="397" t="n"/>
      <c r="C1944" s="397" t="n"/>
      <c r="D1944" s="397" t="n"/>
      <c r="E1944" s="397" t="n"/>
      <c r="F1944" s="397" t="n"/>
      <c r="G1944" s="397" t="n"/>
      <c r="I1944" s="397" t="n"/>
      <c r="J1944" s="397" t="n"/>
      <c r="K1944" s="395">
        <f>DATE(VALUE(LEFT(A1944,4)),VALUE(MID(A1944,5,2)),VALUE(RIGHT(A1944,2)))</f>
        <v/>
      </c>
      <c r="L1944" s="395">
        <f>DATEVALUE(LEFT(F1944,10))</f>
        <v/>
      </c>
      <c r="M1944" s="396">
        <f>TIMEVALUE(MID(F1944,12,8))</f>
        <v/>
      </c>
      <c r="N1944" s="395">
        <f>DATEVALUE(LEFT(G1944,10))</f>
        <v/>
      </c>
      <c r="O1944" s="396">
        <f>TIMEVALUE(MID(G1944,12,8))</f>
        <v/>
      </c>
      <c r="P1944" s="396">
        <f>IFERROR(_xlfn.MINIFS($M:$M,$E:$E,$E1944,$K:$K,$K1944,$M:$M,"&gt;"&amp;$O1944),"")</f>
        <v/>
      </c>
      <c r="Q1944" s="396">
        <f>IF($P1944="","",$P1944-$O1944)</f>
        <v/>
      </c>
    </row>
    <row r="1945" ht="15" customHeight="1" s="231">
      <c r="A1945" s="397" t="n"/>
      <c r="B1945" s="397" t="n"/>
      <c r="C1945" s="397" t="n"/>
      <c r="D1945" s="397" t="n"/>
      <c r="E1945" s="397" t="n"/>
      <c r="F1945" s="397" t="n"/>
      <c r="G1945" s="397" t="n"/>
      <c r="I1945" s="397" t="n"/>
      <c r="J1945" s="397" t="n"/>
      <c r="K1945" s="395">
        <f>DATE(VALUE(LEFT(A1945,4)),VALUE(MID(A1945,5,2)),VALUE(RIGHT(A1945,2)))</f>
        <v/>
      </c>
      <c r="L1945" s="395">
        <f>DATEVALUE(LEFT(F1945,10))</f>
        <v/>
      </c>
      <c r="M1945" s="396">
        <f>TIMEVALUE(MID(F1945,12,8))</f>
        <v/>
      </c>
      <c r="N1945" s="395">
        <f>DATEVALUE(LEFT(G1945,10))</f>
        <v/>
      </c>
      <c r="O1945" s="396">
        <f>TIMEVALUE(MID(G1945,12,8))</f>
        <v/>
      </c>
      <c r="P1945" s="396">
        <f>IFERROR(_xlfn.MINIFS($M:$M,$E:$E,$E1945,$K:$K,$K1945,$M:$M,"&gt;"&amp;$O1945),"")</f>
        <v/>
      </c>
      <c r="Q1945" s="396">
        <f>IF($P1945="","",$P1945-$O1945)</f>
        <v/>
      </c>
    </row>
    <row r="1946" ht="15" customHeight="1" s="231">
      <c r="A1946" s="397" t="n"/>
      <c r="B1946" s="397" t="n"/>
      <c r="C1946" s="397" t="n"/>
      <c r="D1946" s="397" t="n"/>
      <c r="E1946" s="397" t="n"/>
      <c r="F1946" s="397" t="n"/>
      <c r="G1946" s="397" t="n"/>
      <c r="I1946" s="397" t="n"/>
      <c r="J1946" s="397" t="n"/>
      <c r="K1946" s="395">
        <f>DATE(VALUE(LEFT(A1946,4)),VALUE(MID(A1946,5,2)),VALUE(RIGHT(A1946,2)))</f>
        <v/>
      </c>
      <c r="L1946" s="395">
        <f>DATEVALUE(LEFT(F1946,10))</f>
        <v/>
      </c>
      <c r="M1946" s="396">
        <f>TIMEVALUE(MID(F1946,12,8))</f>
        <v/>
      </c>
      <c r="N1946" s="395">
        <f>DATEVALUE(LEFT(G1946,10))</f>
        <v/>
      </c>
      <c r="O1946" s="396">
        <f>TIMEVALUE(MID(G1946,12,8))</f>
        <v/>
      </c>
      <c r="P1946" s="396">
        <f>IFERROR(_xlfn.MINIFS($M:$M,$E:$E,$E1946,$K:$K,$K1946,$M:$M,"&gt;"&amp;$O1946),"")</f>
        <v/>
      </c>
      <c r="Q1946" s="396">
        <f>IF($P1946="","",$P1946-$O1946)</f>
        <v/>
      </c>
    </row>
    <row r="1947" ht="15" customHeight="1" s="231">
      <c r="A1947" s="397" t="n"/>
      <c r="B1947" s="397" t="n"/>
      <c r="C1947" s="397" t="n"/>
      <c r="D1947" s="397" t="n"/>
      <c r="E1947" s="397" t="n"/>
      <c r="F1947" s="397" t="n"/>
      <c r="G1947" s="397" t="n"/>
      <c r="I1947" s="397" t="n"/>
      <c r="J1947" s="397" t="n"/>
      <c r="K1947" s="395">
        <f>DATE(VALUE(LEFT(A1947,4)),VALUE(MID(A1947,5,2)),VALUE(RIGHT(A1947,2)))</f>
        <v/>
      </c>
      <c r="L1947" s="395">
        <f>DATEVALUE(LEFT(F1947,10))</f>
        <v/>
      </c>
      <c r="M1947" s="396">
        <f>TIMEVALUE(MID(F1947,12,8))</f>
        <v/>
      </c>
      <c r="N1947" s="395">
        <f>DATEVALUE(LEFT(G1947,10))</f>
        <v/>
      </c>
      <c r="O1947" s="396">
        <f>TIMEVALUE(MID(G1947,12,8))</f>
        <v/>
      </c>
      <c r="P1947" s="396">
        <f>IFERROR(_xlfn.MINIFS($M:$M,$E:$E,$E1947,$K:$K,$K1947,$M:$M,"&gt;"&amp;$O1947),"")</f>
        <v/>
      </c>
      <c r="Q1947" s="396">
        <f>IF($P1947="","",$P1947-$O1947)</f>
        <v/>
      </c>
    </row>
    <row r="1948" ht="15" customHeight="1" s="231">
      <c r="A1948" s="397" t="n"/>
      <c r="B1948" s="397" t="n"/>
      <c r="C1948" s="397" t="n"/>
      <c r="D1948" s="397" t="n"/>
      <c r="E1948" s="397" t="n"/>
      <c r="F1948" s="397" t="n"/>
      <c r="G1948" s="397" t="n"/>
      <c r="I1948" s="397" t="n"/>
      <c r="J1948" s="397" t="n"/>
      <c r="K1948" s="395">
        <f>DATE(VALUE(LEFT(A1948,4)),VALUE(MID(A1948,5,2)),VALUE(RIGHT(A1948,2)))</f>
        <v/>
      </c>
      <c r="L1948" s="395">
        <f>DATEVALUE(LEFT(F1948,10))</f>
        <v/>
      </c>
      <c r="M1948" s="396">
        <f>TIMEVALUE(MID(F1948,12,8))</f>
        <v/>
      </c>
      <c r="N1948" s="395">
        <f>DATEVALUE(LEFT(G1948,10))</f>
        <v/>
      </c>
      <c r="O1948" s="396">
        <f>TIMEVALUE(MID(G1948,12,8))</f>
        <v/>
      </c>
      <c r="P1948" s="396">
        <f>IFERROR(_xlfn.MINIFS($M:$M,$E:$E,$E1948,$K:$K,$K1948,$M:$M,"&gt;"&amp;$O1948),"")</f>
        <v/>
      </c>
      <c r="Q1948" s="396">
        <f>IF($P1948="","",$P1948-$O1948)</f>
        <v/>
      </c>
    </row>
    <row r="1949" ht="15" customHeight="1" s="231">
      <c r="A1949" s="397" t="n"/>
      <c r="B1949" s="397" t="n"/>
      <c r="C1949" s="397" t="n"/>
      <c r="D1949" s="397" t="n"/>
      <c r="E1949" s="397" t="n"/>
      <c r="F1949" s="397" t="n"/>
      <c r="G1949" s="397" t="n"/>
      <c r="I1949" s="397" t="n"/>
      <c r="J1949" s="397" t="n"/>
      <c r="K1949" s="395">
        <f>DATE(VALUE(LEFT(A1949,4)),VALUE(MID(A1949,5,2)),VALUE(RIGHT(A1949,2)))</f>
        <v/>
      </c>
      <c r="L1949" s="395">
        <f>DATEVALUE(LEFT(F1949,10))</f>
        <v/>
      </c>
      <c r="M1949" s="396">
        <f>TIMEVALUE(MID(F1949,12,8))</f>
        <v/>
      </c>
      <c r="N1949" s="395">
        <f>DATEVALUE(LEFT(G1949,10))</f>
        <v/>
      </c>
      <c r="O1949" s="396">
        <f>TIMEVALUE(MID(G1949,12,8))</f>
        <v/>
      </c>
      <c r="P1949" s="396">
        <f>IFERROR(_xlfn.MINIFS($M:$M,$E:$E,$E1949,$K:$K,$K1949,$M:$M,"&gt;"&amp;$O1949),"")</f>
        <v/>
      </c>
      <c r="Q1949" s="396">
        <f>IF($P1949="","",$P1949-$O1949)</f>
        <v/>
      </c>
    </row>
    <row r="1950" ht="15" customHeight="1" s="231">
      <c r="A1950" s="397" t="n"/>
      <c r="B1950" s="397" t="n"/>
      <c r="C1950" s="397" t="n"/>
      <c r="D1950" s="397" t="n"/>
      <c r="E1950" s="397" t="n"/>
      <c r="F1950" s="397" t="n"/>
      <c r="G1950" s="397" t="n"/>
      <c r="I1950" s="397" t="n"/>
      <c r="J1950" s="397" t="n"/>
      <c r="K1950" s="395">
        <f>DATE(VALUE(LEFT(A1950,4)),VALUE(MID(A1950,5,2)),VALUE(RIGHT(A1950,2)))</f>
        <v/>
      </c>
      <c r="L1950" s="395">
        <f>DATEVALUE(LEFT(F1950,10))</f>
        <v/>
      </c>
      <c r="M1950" s="396">
        <f>TIMEVALUE(MID(F1950,12,8))</f>
        <v/>
      </c>
      <c r="N1950" s="395">
        <f>DATEVALUE(LEFT(G1950,10))</f>
        <v/>
      </c>
      <c r="O1950" s="396">
        <f>TIMEVALUE(MID(G1950,12,8))</f>
        <v/>
      </c>
      <c r="P1950" s="396">
        <f>IFERROR(_xlfn.MINIFS($M:$M,$E:$E,$E1950,$K:$K,$K1950,$M:$M,"&gt;"&amp;$O1950),"")</f>
        <v/>
      </c>
      <c r="Q1950" s="396">
        <f>IF($P1950="","",$P1950-$O1950)</f>
        <v/>
      </c>
    </row>
    <row r="1951" ht="15" customHeight="1" s="231">
      <c r="A1951" s="397" t="n"/>
      <c r="B1951" s="397" t="n"/>
      <c r="C1951" s="397" t="n"/>
      <c r="D1951" s="397" t="n"/>
      <c r="E1951" s="397" t="n"/>
      <c r="F1951" s="397" t="n"/>
      <c r="G1951" s="397" t="n"/>
      <c r="I1951" s="397" t="n"/>
      <c r="J1951" s="397" t="n"/>
      <c r="K1951" s="395">
        <f>DATE(VALUE(LEFT(A1951,4)),VALUE(MID(A1951,5,2)),VALUE(RIGHT(A1951,2)))</f>
        <v/>
      </c>
      <c r="L1951" s="395">
        <f>DATEVALUE(LEFT(F1951,10))</f>
        <v/>
      </c>
      <c r="M1951" s="396">
        <f>TIMEVALUE(MID(F1951,12,8))</f>
        <v/>
      </c>
      <c r="N1951" s="395">
        <f>DATEVALUE(LEFT(G1951,10))</f>
        <v/>
      </c>
      <c r="O1951" s="396">
        <f>TIMEVALUE(MID(G1951,12,8))</f>
        <v/>
      </c>
      <c r="P1951" s="396">
        <f>IFERROR(_xlfn.MINIFS($M:$M,$E:$E,$E1951,$K:$K,$K1951,$M:$M,"&gt;"&amp;$O1951),"")</f>
        <v/>
      </c>
      <c r="Q1951" s="396">
        <f>IF($P1951="","",$P1951-$O1951)</f>
        <v/>
      </c>
    </row>
    <row r="1952" ht="15" customHeight="1" s="231">
      <c r="A1952" s="397" t="n"/>
      <c r="B1952" s="397" t="n"/>
      <c r="C1952" s="397" t="n"/>
      <c r="D1952" s="397" t="n"/>
      <c r="E1952" s="397" t="n"/>
      <c r="F1952" s="397" t="n"/>
      <c r="G1952" s="397" t="n"/>
      <c r="I1952" s="397" t="n"/>
      <c r="J1952" s="397" t="n"/>
      <c r="K1952" s="395">
        <f>DATE(VALUE(LEFT(A1952,4)),VALUE(MID(A1952,5,2)),VALUE(RIGHT(A1952,2)))</f>
        <v/>
      </c>
      <c r="L1952" s="395">
        <f>DATEVALUE(LEFT(F1952,10))</f>
        <v/>
      </c>
      <c r="M1952" s="396">
        <f>TIMEVALUE(MID(F1952,12,8))</f>
        <v/>
      </c>
      <c r="N1952" s="395">
        <f>DATEVALUE(LEFT(G1952,10))</f>
        <v/>
      </c>
      <c r="O1952" s="396">
        <f>TIMEVALUE(MID(G1952,12,8))</f>
        <v/>
      </c>
      <c r="P1952" s="396">
        <f>IFERROR(_xlfn.MINIFS($M:$M,$E:$E,$E1952,$K:$K,$K1952,$M:$M,"&gt;"&amp;$O1952),"")</f>
        <v/>
      </c>
      <c r="Q1952" s="396">
        <f>IF($P1952="","",$P1952-$O1952)</f>
        <v/>
      </c>
    </row>
    <row r="1953" ht="15" customHeight="1" s="231">
      <c r="A1953" s="397" t="n"/>
      <c r="B1953" s="397" t="n"/>
      <c r="C1953" s="397" t="n"/>
      <c r="D1953" s="397" t="n"/>
      <c r="E1953" s="397" t="n"/>
      <c r="F1953" s="397" t="n"/>
      <c r="G1953" s="397" t="n"/>
      <c r="I1953" s="397" t="n"/>
      <c r="J1953" s="397" t="n"/>
      <c r="K1953" s="395">
        <f>DATE(VALUE(LEFT(A1953,4)),VALUE(MID(A1953,5,2)),VALUE(RIGHT(A1953,2)))</f>
        <v/>
      </c>
      <c r="L1953" s="395">
        <f>DATEVALUE(LEFT(F1953,10))</f>
        <v/>
      </c>
      <c r="M1953" s="396">
        <f>TIMEVALUE(MID(F1953,12,8))</f>
        <v/>
      </c>
      <c r="N1953" s="395">
        <f>DATEVALUE(LEFT(G1953,10))</f>
        <v/>
      </c>
      <c r="O1953" s="396">
        <f>TIMEVALUE(MID(G1953,12,8))</f>
        <v/>
      </c>
      <c r="P1953" s="396">
        <f>IFERROR(_xlfn.MINIFS($M:$M,$E:$E,$E1953,$K:$K,$K1953,$M:$M,"&gt;"&amp;$O1953),"")</f>
        <v/>
      </c>
      <c r="Q1953" s="396">
        <f>IF($P1953="","",$P1953-$O1953)</f>
        <v/>
      </c>
    </row>
    <row r="1954" ht="15" customHeight="1" s="231">
      <c r="A1954" s="397" t="n"/>
      <c r="B1954" s="397" t="n"/>
      <c r="C1954" s="397" t="n"/>
      <c r="D1954" s="397" t="n"/>
      <c r="E1954" s="397" t="n"/>
      <c r="F1954" s="397" t="n"/>
      <c r="G1954" s="397" t="n"/>
      <c r="I1954" s="397" t="n"/>
      <c r="J1954" s="397" t="n"/>
      <c r="K1954" s="395">
        <f>DATE(VALUE(LEFT(A1954,4)),VALUE(MID(A1954,5,2)),VALUE(RIGHT(A1954,2)))</f>
        <v/>
      </c>
      <c r="L1954" s="395">
        <f>DATEVALUE(LEFT(F1954,10))</f>
        <v/>
      </c>
      <c r="M1954" s="396">
        <f>TIMEVALUE(MID(F1954,12,8))</f>
        <v/>
      </c>
      <c r="N1954" s="395">
        <f>DATEVALUE(LEFT(G1954,10))</f>
        <v/>
      </c>
      <c r="O1954" s="396">
        <f>TIMEVALUE(MID(G1954,12,8))</f>
        <v/>
      </c>
      <c r="P1954" s="396">
        <f>IFERROR(_xlfn.MINIFS($M:$M,$E:$E,$E1954,$K:$K,$K1954,$M:$M,"&gt;"&amp;$O1954),"")</f>
        <v/>
      </c>
      <c r="Q1954" s="396">
        <f>IF($P1954="","",$P1954-$O1954)</f>
        <v/>
      </c>
    </row>
    <row r="1955" ht="15" customHeight="1" s="231">
      <c r="A1955" s="397" t="n"/>
      <c r="B1955" s="397" t="n"/>
      <c r="C1955" s="397" t="n"/>
      <c r="D1955" s="397" t="n"/>
      <c r="E1955" s="397" t="n"/>
      <c r="F1955" s="397" t="n"/>
      <c r="G1955" s="397" t="n"/>
      <c r="I1955" s="397" t="n"/>
      <c r="J1955" s="397" t="n"/>
      <c r="K1955" s="395">
        <f>DATE(VALUE(LEFT(A1955,4)),VALUE(MID(A1955,5,2)),VALUE(RIGHT(A1955,2)))</f>
        <v/>
      </c>
      <c r="L1955" s="395">
        <f>DATEVALUE(LEFT(F1955,10))</f>
        <v/>
      </c>
      <c r="M1955" s="396">
        <f>TIMEVALUE(MID(F1955,12,8))</f>
        <v/>
      </c>
      <c r="N1955" s="395">
        <f>DATEVALUE(LEFT(G1955,10))</f>
        <v/>
      </c>
      <c r="O1955" s="396">
        <f>TIMEVALUE(MID(G1955,12,8))</f>
        <v/>
      </c>
      <c r="P1955" s="396">
        <f>IFERROR(_xlfn.MINIFS($M:$M,$E:$E,$E1955,$K:$K,$K1955,$M:$M,"&gt;"&amp;$O1955),"")</f>
        <v/>
      </c>
      <c r="Q1955" s="396">
        <f>IF($P1955="","",$P1955-$O1955)</f>
        <v/>
      </c>
    </row>
    <row r="1956" ht="15" customHeight="1" s="231">
      <c r="A1956" s="397" t="n"/>
      <c r="B1956" s="397" t="n"/>
      <c r="C1956" s="397" t="n"/>
      <c r="D1956" s="397" t="n"/>
      <c r="E1956" s="397" t="n"/>
      <c r="F1956" s="397" t="n"/>
      <c r="G1956" s="397" t="n"/>
      <c r="I1956" s="397" t="n"/>
      <c r="J1956" s="397" t="n"/>
      <c r="K1956" s="395">
        <f>DATE(VALUE(LEFT(A1956,4)),VALUE(MID(A1956,5,2)),VALUE(RIGHT(A1956,2)))</f>
        <v/>
      </c>
      <c r="L1956" s="395">
        <f>DATEVALUE(LEFT(F1956,10))</f>
        <v/>
      </c>
      <c r="M1956" s="396">
        <f>TIMEVALUE(MID(F1956,12,8))</f>
        <v/>
      </c>
      <c r="N1956" s="395">
        <f>DATEVALUE(LEFT(G1956,10))</f>
        <v/>
      </c>
      <c r="O1956" s="396">
        <f>TIMEVALUE(MID(G1956,12,8))</f>
        <v/>
      </c>
      <c r="P1956" s="396">
        <f>IFERROR(_xlfn.MINIFS($M:$M,$E:$E,$E1956,$K:$K,$K1956,$M:$M,"&gt;"&amp;$O1956),"")</f>
        <v/>
      </c>
      <c r="Q1956" s="396">
        <f>IF($P1956="","",$P1956-$O1956)</f>
        <v/>
      </c>
    </row>
    <row r="1957" ht="15" customHeight="1" s="231">
      <c r="A1957" s="397" t="n"/>
      <c r="B1957" s="397" t="n"/>
      <c r="C1957" s="397" t="n"/>
      <c r="D1957" s="397" t="n"/>
      <c r="E1957" s="397" t="n"/>
      <c r="F1957" s="397" t="n"/>
      <c r="G1957" s="397" t="n"/>
      <c r="I1957" s="397" t="n"/>
      <c r="J1957" s="397" t="n"/>
      <c r="K1957" s="395">
        <f>DATE(VALUE(LEFT(A1957,4)),VALUE(MID(A1957,5,2)),VALUE(RIGHT(A1957,2)))</f>
        <v/>
      </c>
      <c r="L1957" s="395">
        <f>DATEVALUE(LEFT(F1957,10))</f>
        <v/>
      </c>
      <c r="M1957" s="396">
        <f>TIMEVALUE(MID(F1957,12,8))</f>
        <v/>
      </c>
      <c r="N1957" s="395">
        <f>DATEVALUE(LEFT(G1957,10))</f>
        <v/>
      </c>
      <c r="O1957" s="396">
        <f>TIMEVALUE(MID(G1957,12,8))</f>
        <v/>
      </c>
      <c r="P1957" s="396">
        <f>IFERROR(_xlfn.MINIFS($M:$M,$E:$E,$E1957,$K:$K,$K1957,$M:$M,"&gt;"&amp;$O1957),"")</f>
        <v/>
      </c>
      <c r="Q1957" s="396">
        <f>IF($P1957="","",$P1957-$O1957)</f>
        <v/>
      </c>
    </row>
    <row r="1958" ht="15" customHeight="1" s="231">
      <c r="A1958" s="397" t="n"/>
      <c r="B1958" s="397" t="n"/>
      <c r="C1958" s="397" t="n"/>
      <c r="D1958" s="397" t="n"/>
      <c r="E1958" s="397" t="n"/>
      <c r="F1958" s="397" t="n"/>
      <c r="G1958" s="397" t="n"/>
      <c r="I1958" s="397" t="n"/>
      <c r="J1958" s="397" t="n"/>
      <c r="K1958" s="395">
        <f>DATE(VALUE(LEFT(A1958,4)),VALUE(MID(A1958,5,2)),VALUE(RIGHT(A1958,2)))</f>
        <v/>
      </c>
      <c r="L1958" s="395">
        <f>DATEVALUE(LEFT(F1958,10))</f>
        <v/>
      </c>
      <c r="M1958" s="396">
        <f>TIMEVALUE(MID(F1958,12,8))</f>
        <v/>
      </c>
      <c r="N1958" s="395">
        <f>DATEVALUE(LEFT(G1958,10))</f>
        <v/>
      </c>
      <c r="O1958" s="396">
        <f>TIMEVALUE(MID(G1958,12,8))</f>
        <v/>
      </c>
      <c r="P1958" s="396">
        <f>IFERROR(_xlfn.MINIFS($M:$M,$E:$E,$E1958,$K:$K,$K1958,$M:$M,"&gt;"&amp;$O1958),"")</f>
        <v/>
      </c>
      <c r="Q1958" s="396">
        <f>IF($P1958="","",$P1958-$O1958)</f>
        <v/>
      </c>
    </row>
    <row r="1959" ht="15" customHeight="1" s="231">
      <c r="A1959" s="397" t="n"/>
      <c r="B1959" s="397" t="n"/>
      <c r="C1959" s="397" t="n"/>
      <c r="D1959" s="397" t="n"/>
      <c r="E1959" s="397" t="n"/>
      <c r="F1959" s="397" t="n"/>
      <c r="G1959" s="397" t="n"/>
      <c r="I1959" s="397" t="n"/>
      <c r="J1959" s="397" t="n"/>
      <c r="K1959" s="395">
        <f>DATE(VALUE(LEFT(A1959,4)),VALUE(MID(A1959,5,2)),VALUE(RIGHT(A1959,2)))</f>
        <v/>
      </c>
      <c r="L1959" s="395">
        <f>DATEVALUE(LEFT(F1959,10))</f>
        <v/>
      </c>
      <c r="M1959" s="396">
        <f>TIMEVALUE(MID(F1959,12,8))</f>
        <v/>
      </c>
      <c r="N1959" s="395">
        <f>DATEVALUE(LEFT(G1959,10))</f>
        <v/>
      </c>
      <c r="O1959" s="396">
        <f>TIMEVALUE(MID(G1959,12,8))</f>
        <v/>
      </c>
      <c r="P1959" s="396">
        <f>IFERROR(_xlfn.MINIFS($M:$M,$E:$E,$E1959,$K:$K,$K1959,$M:$M,"&gt;"&amp;$O1959),"")</f>
        <v/>
      </c>
      <c r="Q1959" s="396">
        <f>IF($P1959="","",$P1959-$O1959)</f>
        <v/>
      </c>
    </row>
    <row r="1960" ht="15" customHeight="1" s="231">
      <c r="A1960" s="397" t="n"/>
      <c r="B1960" s="397" t="n"/>
      <c r="C1960" s="397" t="n"/>
      <c r="D1960" s="397" t="n"/>
      <c r="E1960" s="397" t="n"/>
      <c r="F1960" s="397" t="n"/>
      <c r="G1960" s="397" t="n"/>
      <c r="I1960" s="397" t="n"/>
      <c r="J1960" s="397" t="n"/>
      <c r="K1960" s="395">
        <f>DATE(VALUE(LEFT(A1960,4)),VALUE(MID(A1960,5,2)),VALUE(RIGHT(A1960,2)))</f>
        <v/>
      </c>
      <c r="L1960" s="395">
        <f>DATEVALUE(LEFT(F1960,10))</f>
        <v/>
      </c>
      <c r="M1960" s="396">
        <f>TIMEVALUE(MID(F1960,12,8))</f>
        <v/>
      </c>
      <c r="N1960" s="395">
        <f>DATEVALUE(LEFT(G1960,10))</f>
        <v/>
      </c>
      <c r="O1960" s="396">
        <f>TIMEVALUE(MID(G1960,12,8))</f>
        <v/>
      </c>
      <c r="P1960" s="396">
        <f>IFERROR(_xlfn.MINIFS($M:$M,$E:$E,$E1960,$K:$K,$K1960,$M:$M,"&gt;"&amp;$O1960),"")</f>
        <v/>
      </c>
      <c r="Q1960" s="396">
        <f>IF($P1960="","",$P1960-$O1960)</f>
        <v/>
      </c>
    </row>
    <row r="1961" ht="15" customHeight="1" s="231">
      <c r="A1961" s="397" t="n"/>
      <c r="B1961" s="397" t="n"/>
      <c r="C1961" s="397" t="n"/>
      <c r="D1961" s="397" t="n"/>
      <c r="E1961" s="397" t="n"/>
      <c r="F1961" s="397" t="n"/>
      <c r="G1961" s="397" t="n"/>
      <c r="I1961" s="397" t="n"/>
      <c r="J1961" s="397" t="n"/>
      <c r="K1961" s="395">
        <f>DATE(VALUE(LEFT(A1961,4)),VALUE(MID(A1961,5,2)),VALUE(RIGHT(A1961,2)))</f>
        <v/>
      </c>
      <c r="L1961" s="395">
        <f>DATEVALUE(LEFT(F1961,10))</f>
        <v/>
      </c>
      <c r="M1961" s="396">
        <f>TIMEVALUE(MID(F1961,12,8))</f>
        <v/>
      </c>
      <c r="N1961" s="395">
        <f>DATEVALUE(LEFT(G1961,10))</f>
        <v/>
      </c>
      <c r="O1961" s="396">
        <f>TIMEVALUE(MID(G1961,12,8))</f>
        <v/>
      </c>
      <c r="P1961" s="396">
        <f>IFERROR(_xlfn.MINIFS($M:$M,$E:$E,$E1961,$K:$K,$K1961,$M:$M,"&gt;"&amp;$O1961),"")</f>
        <v/>
      </c>
      <c r="Q1961" s="396">
        <f>IF($P1961="","",$P1961-$O1961)</f>
        <v/>
      </c>
    </row>
    <row r="1962" ht="15" customHeight="1" s="231">
      <c r="A1962" s="397" t="n"/>
      <c r="B1962" s="397" t="n"/>
      <c r="C1962" s="397" t="n"/>
      <c r="D1962" s="397" t="n"/>
      <c r="E1962" s="397" t="n"/>
      <c r="F1962" s="397" t="n"/>
      <c r="G1962" s="397" t="n"/>
      <c r="I1962" s="397" t="n"/>
      <c r="J1962" s="397" t="n"/>
      <c r="K1962" s="395">
        <f>DATE(VALUE(LEFT(A1962,4)),VALUE(MID(A1962,5,2)),VALUE(RIGHT(A1962,2)))</f>
        <v/>
      </c>
      <c r="L1962" s="395">
        <f>DATEVALUE(LEFT(F1962,10))</f>
        <v/>
      </c>
      <c r="M1962" s="396">
        <f>TIMEVALUE(MID(F1962,12,8))</f>
        <v/>
      </c>
      <c r="N1962" s="395">
        <f>DATEVALUE(LEFT(G1962,10))</f>
        <v/>
      </c>
      <c r="O1962" s="396">
        <f>TIMEVALUE(MID(G1962,12,8))</f>
        <v/>
      </c>
      <c r="P1962" s="396">
        <f>IFERROR(_xlfn.MINIFS($M:$M,$E:$E,$E1962,$K:$K,$K1962,$M:$M,"&gt;"&amp;$O1962),"")</f>
        <v/>
      </c>
      <c r="Q1962" s="396">
        <f>IF($P1962="","",$P1962-$O1962)</f>
        <v/>
      </c>
    </row>
    <row r="1963" ht="15" customHeight="1" s="231">
      <c r="A1963" s="397" t="n"/>
      <c r="B1963" s="397" t="n"/>
      <c r="C1963" s="397" t="n"/>
      <c r="D1963" s="397" t="n"/>
      <c r="E1963" s="397" t="n"/>
      <c r="F1963" s="397" t="n"/>
      <c r="G1963" s="397" t="n"/>
      <c r="I1963" s="397" t="n"/>
      <c r="J1963" s="397" t="n"/>
      <c r="K1963" s="395">
        <f>DATE(VALUE(LEFT(A1963,4)),VALUE(MID(A1963,5,2)),VALUE(RIGHT(A1963,2)))</f>
        <v/>
      </c>
      <c r="L1963" s="395">
        <f>DATEVALUE(LEFT(F1963,10))</f>
        <v/>
      </c>
      <c r="M1963" s="396">
        <f>TIMEVALUE(MID(F1963,12,8))</f>
        <v/>
      </c>
      <c r="N1963" s="395">
        <f>DATEVALUE(LEFT(G1963,10))</f>
        <v/>
      </c>
      <c r="O1963" s="396">
        <f>TIMEVALUE(MID(G1963,12,8))</f>
        <v/>
      </c>
      <c r="P1963" s="396">
        <f>IFERROR(_xlfn.MINIFS($M:$M,$E:$E,$E1963,$K:$K,$K1963,$M:$M,"&gt;"&amp;$O1963),"")</f>
        <v/>
      </c>
      <c r="Q1963" s="396">
        <f>IF($P1963="","",$P1963-$O1963)</f>
        <v/>
      </c>
    </row>
    <row r="1964" ht="15" customHeight="1" s="231">
      <c r="A1964" s="397" t="n"/>
      <c r="B1964" s="397" t="n"/>
      <c r="C1964" s="397" t="n"/>
      <c r="D1964" s="397" t="n"/>
      <c r="E1964" s="397" t="n"/>
      <c r="F1964" s="397" t="n"/>
      <c r="G1964" s="397" t="n"/>
      <c r="I1964" s="397" t="n"/>
      <c r="J1964" s="397" t="n"/>
      <c r="K1964" s="395">
        <f>DATE(VALUE(LEFT(A1964,4)),VALUE(MID(A1964,5,2)),VALUE(RIGHT(A1964,2)))</f>
        <v/>
      </c>
      <c r="L1964" s="395">
        <f>DATEVALUE(LEFT(F1964,10))</f>
        <v/>
      </c>
      <c r="M1964" s="396">
        <f>TIMEVALUE(MID(F1964,12,8))</f>
        <v/>
      </c>
      <c r="N1964" s="395">
        <f>DATEVALUE(LEFT(G1964,10))</f>
        <v/>
      </c>
      <c r="O1964" s="396">
        <f>TIMEVALUE(MID(G1964,12,8))</f>
        <v/>
      </c>
      <c r="P1964" s="396">
        <f>IFERROR(_xlfn.MINIFS($M:$M,$E:$E,$E1964,$K:$K,$K1964,$M:$M,"&gt;"&amp;$O1964),"")</f>
        <v/>
      </c>
      <c r="Q1964" s="396">
        <f>IF($P1964="","",$P1964-$O1964)</f>
        <v/>
      </c>
    </row>
    <row r="1965" ht="15" customHeight="1" s="231">
      <c r="A1965" s="397" t="n"/>
      <c r="B1965" s="397" t="n"/>
      <c r="C1965" s="397" t="n"/>
      <c r="D1965" s="397" t="n"/>
      <c r="E1965" s="397" t="n"/>
      <c r="F1965" s="397" t="n"/>
      <c r="G1965" s="397" t="n"/>
      <c r="I1965" s="397" t="n"/>
      <c r="J1965" s="397" t="n"/>
      <c r="K1965" s="395">
        <f>DATE(VALUE(LEFT(A1965,4)),VALUE(MID(A1965,5,2)),VALUE(RIGHT(A1965,2)))</f>
        <v/>
      </c>
      <c r="L1965" s="395">
        <f>DATEVALUE(LEFT(F1965,10))</f>
        <v/>
      </c>
      <c r="M1965" s="396">
        <f>TIMEVALUE(MID(F1965,12,8))</f>
        <v/>
      </c>
      <c r="N1965" s="395">
        <f>DATEVALUE(LEFT(G1965,10))</f>
        <v/>
      </c>
      <c r="O1965" s="396">
        <f>TIMEVALUE(MID(G1965,12,8))</f>
        <v/>
      </c>
      <c r="P1965" s="396">
        <f>IFERROR(_xlfn.MINIFS($M:$M,$E:$E,$E1965,$K:$K,$K1965,$M:$M,"&gt;"&amp;$O1965),"")</f>
        <v/>
      </c>
      <c r="Q1965" s="396">
        <f>IF($P1965="","",$P1965-$O1965)</f>
        <v/>
      </c>
    </row>
    <row r="1966" ht="15" customHeight="1" s="231">
      <c r="A1966" s="397" t="n"/>
      <c r="B1966" s="397" t="n"/>
      <c r="C1966" s="397" t="n"/>
      <c r="D1966" s="397" t="n"/>
      <c r="E1966" s="397" t="n"/>
      <c r="F1966" s="397" t="n"/>
      <c r="G1966" s="397" t="n"/>
      <c r="I1966" s="397" t="n"/>
      <c r="J1966" s="397" t="n"/>
      <c r="K1966" s="395">
        <f>DATE(VALUE(LEFT(A1966,4)),VALUE(MID(A1966,5,2)),VALUE(RIGHT(A1966,2)))</f>
        <v/>
      </c>
      <c r="L1966" s="395">
        <f>DATEVALUE(LEFT(F1966,10))</f>
        <v/>
      </c>
      <c r="M1966" s="396">
        <f>TIMEVALUE(MID(F1966,12,8))</f>
        <v/>
      </c>
      <c r="N1966" s="395">
        <f>DATEVALUE(LEFT(G1966,10))</f>
        <v/>
      </c>
      <c r="O1966" s="396">
        <f>TIMEVALUE(MID(G1966,12,8))</f>
        <v/>
      </c>
      <c r="P1966" s="396">
        <f>IFERROR(_xlfn.MINIFS($M:$M,$E:$E,$E1966,$K:$K,$K1966,$M:$M,"&gt;"&amp;$O1966),"")</f>
        <v/>
      </c>
      <c r="Q1966" s="396">
        <f>IF($P1966="","",$P1966-$O1966)</f>
        <v/>
      </c>
    </row>
    <row r="1967" ht="15" customHeight="1" s="231">
      <c r="A1967" s="397" t="n"/>
      <c r="B1967" s="397" t="n"/>
      <c r="C1967" s="397" t="n"/>
      <c r="D1967" s="397" t="n"/>
      <c r="E1967" s="397" t="n"/>
      <c r="F1967" s="397" t="n"/>
      <c r="G1967" s="397" t="n"/>
      <c r="I1967" s="397" t="n"/>
      <c r="J1967" s="397" t="n"/>
      <c r="K1967" s="395">
        <f>DATE(VALUE(LEFT(A1967,4)),VALUE(MID(A1967,5,2)),VALUE(RIGHT(A1967,2)))</f>
        <v/>
      </c>
      <c r="L1967" s="395">
        <f>DATEVALUE(LEFT(F1967,10))</f>
        <v/>
      </c>
      <c r="M1967" s="396">
        <f>TIMEVALUE(MID(F1967,12,8))</f>
        <v/>
      </c>
      <c r="N1967" s="395">
        <f>DATEVALUE(LEFT(G1967,10))</f>
        <v/>
      </c>
      <c r="O1967" s="396">
        <f>TIMEVALUE(MID(G1967,12,8))</f>
        <v/>
      </c>
      <c r="P1967" s="396">
        <f>IFERROR(_xlfn.MINIFS($M:$M,$E:$E,$E1967,$K:$K,$K1967,$M:$M,"&gt;"&amp;$O1967),"")</f>
        <v/>
      </c>
      <c r="Q1967" s="396">
        <f>IF($P1967="","",$P1967-$O1967)</f>
        <v/>
      </c>
    </row>
    <row r="1968" ht="15" customHeight="1" s="231">
      <c r="A1968" s="397" t="n"/>
      <c r="B1968" s="397" t="n"/>
      <c r="C1968" s="397" t="n"/>
      <c r="D1968" s="397" t="n"/>
      <c r="E1968" s="397" t="n"/>
      <c r="F1968" s="397" t="n"/>
      <c r="G1968" s="397" t="n"/>
      <c r="I1968" s="397" t="n"/>
      <c r="J1968" s="397" t="n"/>
      <c r="K1968" s="395">
        <f>DATE(VALUE(LEFT(A1968,4)),VALUE(MID(A1968,5,2)),VALUE(RIGHT(A1968,2)))</f>
        <v/>
      </c>
      <c r="L1968" s="395">
        <f>DATEVALUE(LEFT(F1968,10))</f>
        <v/>
      </c>
      <c r="M1968" s="396">
        <f>TIMEVALUE(MID(F1968,12,8))</f>
        <v/>
      </c>
      <c r="N1968" s="395">
        <f>DATEVALUE(LEFT(G1968,10))</f>
        <v/>
      </c>
      <c r="O1968" s="396">
        <f>TIMEVALUE(MID(G1968,12,8))</f>
        <v/>
      </c>
      <c r="P1968" s="396">
        <f>IFERROR(_xlfn.MINIFS($M:$M,$E:$E,$E1968,$K:$K,$K1968,$M:$M,"&gt;"&amp;$O1968),"")</f>
        <v/>
      </c>
      <c r="Q1968" s="396">
        <f>IF($P1968="","",$P1968-$O1968)</f>
        <v/>
      </c>
    </row>
    <row r="1969" ht="15" customHeight="1" s="231">
      <c r="A1969" s="397" t="n"/>
      <c r="B1969" s="397" t="n"/>
      <c r="C1969" s="397" t="n"/>
      <c r="D1969" s="397" t="n"/>
      <c r="E1969" s="397" t="n"/>
      <c r="F1969" s="397" t="n"/>
      <c r="G1969" s="397" t="n"/>
      <c r="I1969" s="397" t="n"/>
      <c r="J1969" s="397" t="n"/>
      <c r="K1969" s="395">
        <f>DATE(VALUE(LEFT(A1969,4)),VALUE(MID(A1969,5,2)),VALUE(RIGHT(A1969,2)))</f>
        <v/>
      </c>
      <c r="L1969" s="395">
        <f>DATEVALUE(LEFT(F1969,10))</f>
        <v/>
      </c>
      <c r="M1969" s="396">
        <f>TIMEVALUE(MID(F1969,12,8))</f>
        <v/>
      </c>
      <c r="N1969" s="395">
        <f>DATEVALUE(LEFT(G1969,10))</f>
        <v/>
      </c>
      <c r="O1969" s="396">
        <f>TIMEVALUE(MID(G1969,12,8))</f>
        <v/>
      </c>
      <c r="P1969" s="396">
        <f>IFERROR(_xlfn.MINIFS($M:$M,$E:$E,$E1969,$K:$K,$K1969,$M:$M,"&gt;"&amp;$O1969),"")</f>
        <v/>
      </c>
      <c r="Q1969" s="396">
        <f>IF($P1969="","",$P1969-$O1969)</f>
        <v/>
      </c>
    </row>
    <row r="1970" ht="15" customHeight="1" s="231">
      <c r="A1970" s="397" t="n"/>
      <c r="B1970" s="397" t="n"/>
      <c r="C1970" s="397" t="n"/>
      <c r="D1970" s="397" t="n"/>
      <c r="E1970" s="397" t="n"/>
      <c r="F1970" s="397" t="n"/>
      <c r="G1970" s="397" t="n"/>
      <c r="I1970" s="397" t="n"/>
      <c r="J1970" s="397" t="n"/>
      <c r="K1970" s="395">
        <f>DATE(VALUE(LEFT(A1970,4)),VALUE(MID(A1970,5,2)),VALUE(RIGHT(A1970,2)))</f>
        <v/>
      </c>
      <c r="L1970" s="395">
        <f>DATEVALUE(LEFT(F1970,10))</f>
        <v/>
      </c>
      <c r="M1970" s="396">
        <f>TIMEVALUE(MID(F1970,12,8))</f>
        <v/>
      </c>
      <c r="N1970" s="395">
        <f>DATEVALUE(LEFT(G1970,10))</f>
        <v/>
      </c>
      <c r="O1970" s="396">
        <f>TIMEVALUE(MID(G1970,12,8))</f>
        <v/>
      </c>
      <c r="P1970" s="396">
        <f>IFERROR(_xlfn.MINIFS($M:$M,$E:$E,$E1970,$K:$K,$K1970,$M:$M,"&gt;"&amp;$O1970),"")</f>
        <v/>
      </c>
      <c r="Q1970" s="396">
        <f>IF($P1970="","",$P1970-$O1970)</f>
        <v/>
      </c>
    </row>
    <row r="1971" ht="15" customHeight="1" s="231">
      <c r="A1971" s="397" t="n"/>
      <c r="B1971" s="397" t="n"/>
      <c r="C1971" s="397" t="n"/>
      <c r="D1971" s="397" t="n"/>
      <c r="E1971" s="397" t="n"/>
      <c r="F1971" s="397" t="n"/>
      <c r="G1971" s="397" t="n"/>
      <c r="I1971" s="397" t="n"/>
      <c r="J1971" s="397" t="n"/>
      <c r="K1971" s="395">
        <f>DATE(VALUE(LEFT(A1971,4)),VALUE(MID(A1971,5,2)),VALUE(RIGHT(A1971,2)))</f>
        <v/>
      </c>
      <c r="L1971" s="395">
        <f>DATEVALUE(LEFT(F1971,10))</f>
        <v/>
      </c>
      <c r="M1971" s="396">
        <f>TIMEVALUE(MID(F1971,12,8))</f>
        <v/>
      </c>
      <c r="N1971" s="395">
        <f>DATEVALUE(LEFT(G1971,10))</f>
        <v/>
      </c>
      <c r="O1971" s="396">
        <f>TIMEVALUE(MID(G1971,12,8))</f>
        <v/>
      </c>
      <c r="P1971" s="396">
        <f>IFERROR(_xlfn.MINIFS($M:$M,$E:$E,$E1971,$K:$K,$K1971,$M:$M,"&gt;"&amp;$O1971),"")</f>
        <v/>
      </c>
      <c r="Q1971" s="396">
        <f>IF($P1971="","",$P1971-$O1971)</f>
        <v/>
      </c>
    </row>
    <row r="1972" ht="15" customHeight="1" s="231">
      <c r="A1972" s="397" t="n"/>
      <c r="B1972" s="397" t="n"/>
      <c r="C1972" s="397" t="n"/>
      <c r="D1972" s="397" t="n"/>
      <c r="E1972" s="397" t="n"/>
      <c r="F1972" s="397" t="n"/>
      <c r="G1972" s="397" t="n"/>
      <c r="I1972" s="397" t="n"/>
      <c r="J1972" s="397" t="n"/>
      <c r="K1972" s="395">
        <f>DATE(VALUE(LEFT(A1972,4)),VALUE(MID(A1972,5,2)),VALUE(RIGHT(A1972,2)))</f>
        <v/>
      </c>
      <c r="L1972" s="395">
        <f>DATEVALUE(LEFT(F1972,10))</f>
        <v/>
      </c>
      <c r="M1972" s="396">
        <f>TIMEVALUE(MID(F1972,12,8))</f>
        <v/>
      </c>
      <c r="N1972" s="395">
        <f>DATEVALUE(LEFT(G1972,10))</f>
        <v/>
      </c>
      <c r="O1972" s="396">
        <f>TIMEVALUE(MID(G1972,12,8))</f>
        <v/>
      </c>
      <c r="P1972" s="396">
        <f>IFERROR(_xlfn.MINIFS($M:$M,$E:$E,$E1972,$K:$K,$K1972,$M:$M,"&gt;"&amp;$O1972),"")</f>
        <v/>
      </c>
      <c r="Q1972" s="396">
        <f>IF($P1972="","",$P1972-$O1972)</f>
        <v/>
      </c>
    </row>
    <row r="1973" ht="15" customHeight="1" s="231">
      <c r="A1973" s="397" t="n"/>
      <c r="B1973" s="397" t="n"/>
      <c r="C1973" s="397" t="n"/>
      <c r="D1973" s="397" t="n"/>
      <c r="E1973" s="397" t="n"/>
      <c r="F1973" s="397" t="n"/>
      <c r="G1973" s="397" t="n"/>
      <c r="I1973" s="397" t="n"/>
      <c r="J1973" s="397" t="n"/>
      <c r="K1973" s="395">
        <f>DATE(VALUE(LEFT(A1973,4)),VALUE(MID(A1973,5,2)),VALUE(RIGHT(A1973,2)))</f>
        <v/>
      </c>
      <c r="L1973" s="395">
        <f>DATEVALUE(LEFT(F1973,10))</f>
        <v/>
      </c>
      <c r="M1973" s="396">
        <f>TIMEVALUE(MID(F1973,12,8))</f>
        <v/>
      </c>
      <c r="N1973" s="395">
        <f>DATEVALUE(LEFT(G1973,10))</f>
        <v/>
      </c>
      <c r="O1973" s="396">
        <f>TIMEVALUE(MID(G1973,12,8))</f>
        <v/>
      </c>
      <c r="P1973" s="396">
        <f>IFERROR(_xlfn.MINIFS($M:$M,$E:$E,$E1973,$K:$K,$K1973,$M:$M,"&gt;"&amp;$O1973),"")</f>
        <v/>
      </c>
      <c r="Q1973" s="396">
        <f>IF($P1973="","",$P1973-$O1973)</f>
        <v/>
      </c>
    </row>
    <row r="1974" ht="15" customHeight="1" s="231">
      <c r="A1974" s="397" t="n"/>
      <c r="B1974" s="397" t="n"/>
      <c r="C1974" s="397" t="n"/>
      <c r="D1974" s="397" t="n"/>
      <c r="E1974" s="397" t="n"/>
      <c r="F1974" s="397" t="n"/>
      <c r="G1974" s="397" t="n"/>
      <c r="I1974" s="397" t="n"/>
      <c r="J1974" s="397" t="n"/>
      <c r="K1974" s="395">
        <f>DATE(VALUE(LEFT(A1974,4)),VALUE(MID(A1974,5,2)),VALUE(RIGHT(A1974,2)))</f>
        <v/>
      </c>
      <c r="L1974" s="395">
        <f>DATEVALUE(LEFT(F1974,10))</f>
        <v/>
      </c>
      <c r="M1974" s="396">
        <f>TIMEVALUE(MID(F1974,12,8))</f>
        <v/>
      </c>
      <c r="N1974" s="395">
        <f>DATEVALUE(LEFT(G1974,10))</f>
        <v/>
      </c>
      <c r="O1974" s="396">
        <f>TIMEVALUE(MID(G1974,12,8))</f>
        <v/>
      </c>
      <c r="P1974" s="396">
        <f>IFERROR(_xlfn.MINIFS($M:$M,$E:$E,$E1974,$K:$K,$K1974,$M:$M,"&gt;"&amp;$O1974),"")</f>
        <v/>
      </c>
      <c r="Q1974" s="396">
        <f>IF($P1974="","",$P1974-$O1974)</f>
        <v/>
      </c>
    </row>
    <row r="1975" ht="15" customHeight="1" s="231">
      <c r="A1975" s="397" t="n"/>
      <c r="B1975" s="397" t="n"/>
      <c r="C1975" s="397" t="n"/>
      <c r="D1975" s="397" t="n"/>
      <c r="E1975" s="397" t="n"/>
      <c r="F1975" s="397" t="n"/>
      <c r="G1975" s="397" t="n"/>
      <c r="I1975" s="397" t="n"/>
      <c r="J1975" s="397" t="n"/>
      <c r="K1975" s="395">
        <f>DATE(VALUE(LEFT(A1975,4)),VALUE(MID(A1975,5,2)),VALUE(RIGHT(A1975,2)))</f>
        <v/>
      </c>
      <c r="L1975" s="395">
        <f>DATEVALUE(LEFT(F1975,10))</f>
        <v/>
      </c>
      <c r="M1975" s="396">
        <f>TIMEVALUE(MID(F1975,12,8))</f>
        <v/>
      </c>
      <c r="N1975" s="395">
        <f>DATEVALUE(LEFT(G1975,10))</f>
        <v/>
      </c>
      <c r="O1975" s="396">
        <f>TIMEVALUE(MID(G1975,12,8))</f>
        <v/>
      </c>
      <c r="P1975" s="396">
        <f>IFERROR(_xlfn.MINIFS($M:$M,$E:$E,$E1975,$K:$K,$K1975,$M:$M,"&gt;"&amp;$O1975),"")</f>
        <v/>
      </c>
      <c r="Q1975" s="396">
        <f>IF($P1975="","",$P1975-$O1975)</f>
        <v/>
      </c>
    </row>
    <row r="1976" ht="15" customHeight="1" s="231">
      <c r="A1976" s="397" t="n"/>
      <c r="B1976" s="397" t="n"/>
      <c r="C1976" s="397" t="n"/>
      <c r="D1976" s="397" t="n"/>
      <c r="E1976" s="397" t="n"/>
      <c r="F1976" s="397" t="n"/>
      <c r="G1976" s="397" t="n"/>
      <c r="I1976" s="397" t="n"/>
      <c r="J1976" s="397" t="n"/>
      <c r="K1976" s="395">
        <f>DATE(VALUE(LEFT(A1976,4)),VALUE(MID(A1976,5,2)),VALUE(RIGHT(A1976,2)))</f>
        <v/>
      </c>
      <c r="L1976" s="395">
        <f>DATEVALUE(LEFT(F1976,10))</f>
        <v/>
      </c>
      <c r="M1976" s="396">
        <f>TIMEVALUE(MID(F1976,12,8))</f>
        <v/>
      </c>
      <c r="N1976" s="395">
        <f>DATEVALUE(LEFT(G1976,10))</f>
        <v/>
      </c>
      <c r="O1976" s="396">
        <f>TIMEVALUE(MID(G1976,12,8))</f>
        <v/>
      </c>
      <c r="P1976" s="396">
        <f>IFERROR(_xlfn.MINIFS($M:$M,$E:$E,$E1976,$K:$K,$K1976,$M:$M,"&gt;"&amp;$O1976),"")</f>
        <v/>
      </c>
      <c r="Q1976" s="396">
        <f>IF($P1976="","",$P1976-$O1976)</f>
        <v/>
      </c>
    </row>
    <row r="1977" ht="15" customHeight="1" s="231">
      <c r="A1977" s="397" t="n"/>
      <c r="B1977" s="397" t="n"/>
      <c r="C1977" s="397" t="n"/>
      <c r="D1977" s="397" t="n"/>
      <c r="E1977" s="397" t="n"/>
      <c r="F1977" s="397" t="n"/>
      <c r="G1977" s="397" t="n"/>
      <c r="I1977" s="397" t="n"/>
      <c r="J1977" s="397" t="n"/>
      <c r="K1977" s="395">
        <f>DATE(VALUE(LEFT(A1977,4)),VALUE(MID(A1977,5,2)),VALUE(RIGHT(A1977,2)))</f>
        <v/>
      </c>
      <c r="L1977" s="395">
        <f>DATEVALUE(LEFT(F1977,10))</f>
        <v/>
      </c>
      <c r="M1977" s="396">
        <f>TIMEVALUE(MID(F1977,12,8))</f>
        <v/>
      </c>
      <c r="N1977" s="395">
        <f>DATEVALUE(LEFT(G1977,10))</f>
        <v/>
      </c>
      <c r="O1977" s="396">
        <f>TIMEVALUE(MID(G1977,12,8))</f>
        <v/>
      </c>
      <c r="P1977" s="396">
        <f>IFERROR(_xlfn.MINIFS($M:$M,$E:$E,$E1977,$K:$K,$K1977,$M:$M,"&gt;"&amp;$O1977),"")</f>
        <v/>
      </c>
      <c r="Q1977" s="396">
        <f>IF($P1977="","",$P1977-$O1977)</f>
        <v/>
      </c>
    </row>
    <row r="1978" ht="15" customHeight="1" s="231">
      <c r="A1978" s="397" t="n"/>
      <c r="B1978" s="397" t="n"/>
      <c r="C1978" s="397" t="n"/>
      <c r="D1978" s="397" t="n"/>
      <c r="E1978" s="397" t="n"/>
      <c r="F1978" s="397" t="n"/>
      <c r="G1978" s="397" t="n"/>
      <c r="I1978" s="397" t="n"/>
      <c r="J1978" s="397" t="n"/>
      <c r="K1978" s="395">
        <f>DATE(VALUE(LEFT(A1978,4)),VALUE(MID(A1978,5,2)),VALUE(RIGHT(A1978,2)))</f>
        <v/>
      </c>
      <c r="L1978" s="395">
        <f>DATEVALUE(LEFT(F1978,10))</f>
        <v/>
      </c>
      <c r="M1978" s="396">
        <f>TIMEVALUE(MID(F1978,12,8))</f>
        <v/>
      </c>
      <c r="N1978" s="395">
        <f>DATEVALUE(LEFT(G1978,10))</f>
        <v/>
      </c>
      <c r="O1978" s="396">
        <f>TIMEVALUE(MID(G1978,12,8))</f>
        <v/>
      </c>
      <c r="P1978" s="396">
        <f>IFERROR(_xlfn.MINIFS($M:$M,$E:$E,$E1978,$K:$K,$K1978,$M:$M,"&gt;"&amp;$O1978),"")</f>
        <v/>
      </c>
      <c r="Q1978" s="396">
        <f>IF($P1978="","",$P1978-$O1978)</f>
        <v/>
      </c>
    </row>
    <row r="1979" ht="15" customHeight="1" s="231">
      <c r="A1979" s="397" t="n"/>
      <c r="B1979" s="397" t="n"/>
      <c r="C1979" s="397" t="n"/>
      <c r="D1979" s="397" t="n"/>
      <c r="E1979" s="397" t="n"/>
      <c r="F1979" s="397" t="n"/>
      <c r="G1979" s="397" t="n"/>
      <c r="I1979" s="397" t="n"/>
      <c r="J1979" s="397" t="n"/>
      <c r="K1979" s="395">
        <f>DATE(VALUE(LEFT(A1979,4)),VALUE(MID(A1979,5,2)),VALUE(RIGHT(A1979,2)))</f>
        <v/>
      </c>
      <c r="L1979" s="395">
        <f>DATEVALUE(LEFT(F1979,10))</f>
        <v/>
      </c>
      <c r="M1979" s="396">
        <f>TIMEVALUE(MID(F1979,12,8))</f>
        <v/>
      </c>
      <c r="N1979" s="395">
        <f>DATEVALUE(LEFT(G1979,10))</f>
        <v/>
      </c>
      <c r="O1979" s="396">
        <f>TIMEVALUE(MID(G1979,12,8))</f>
        <v/>
      </c>
      <c r="P1979" s="396">
        <f>IFERROR(_xlfn.MINIFS($M:$M,$E:$E,$E1979,$K:$K,$K1979,$M:$M,"&gt;"&amp;$O1979),"")</f>
        <v/>
      </c>
      <c r="Q1979" s="396">
        <f>IF($P1979="","",$P1979-$O1979)</f>
        <v/>
      </c>
    </row>
    <row r="1980" ht="15" customHeight="1" s="231">
      <c r="A1980" s="397" t="n"/>
      <c r="B1980" s="397" t="n"/>
      <c r="C1980" s="397" t="n"/>
      <c r="D1980" s="397" t="n"/>
      <c r="E1980" s="397" t="n"/>
      <c r="F1980" s="397" t="n"/>
      <c r="G1980" s="397" t="n"/>
      <c r="I1980" s="397" t="n"/>
      <c r="J1980" s="397" t="n"/>
      <c r="K1980" s="395">
        <f>DATE(VALUE(LEFT(A1980,4)),VALUE(MID(A1980,5,2)),VALUE(RIGHT(A1980,2)))</f>
        <v/>
      </c>
      <c r="L1980" s="395">
        <f>DATEVALUE(LEFT(F1980,10))</f>
        <v/>
      </c>
      <c r="M1980" s="396">
        <f>TIMEVALUE(MID(F1980,12,8))</f>
        <v/>
      </c>
      <c r="N1980" s="395">
        <f>DATEVALUE(LEFT(G1980,10))</f>
        <v/>
      </c>
      <c r="O1980" s="396">
        <f>TIMEVALUE(MID(G1980,12,8))</f>
        <v/>
      </c>
      <c r="P1980" s="396">
        <f>IFERROR(_xlfn.MINIFS($M:$M,$E:$E,$E1980,$K:$K,$K1980,$M:$M,"&gt;"&amp;$O1980),"")</f>
        <v/>
      </c>
      <c r="Q1980" s="396">
        <f>IF($P1980="","",$P1980-$O1980)</f>
        <v/>
      </c>
    </row>
    <row r="1981" ht="15" customHeight="1" s="231">
      <c r="A1981" s="397" t="n"/>
      <c r="B1981" s="397" t="n"/>
      <c r="C1981" s="397" t="n"/>
      <c r="D1981" s="397" t="n"/>
      <c r="E1981" s="397" t="n"/>
      <c r="F1981" s="397" t="n"/>
      <c r="G1981" s="397" t="n"/>
      <c r="I1981" s="397" t="n"/>
      <c r="J1981" s="397" t="n"/>
      <c r="K1981" s="395">
        <f>DATE(VALUE(LEFT(A1981,4)),VALUE(MID(A1981,5,2)),VALUE(RIGHT(A1981,2)))</f>
        <v/>
      </c>
      <c r="L1981" s="395">
        <f>DATEVALUE(LEFT(F1981,10))</f>
        <v/>
      </c>
      <c r="M1981" s="396">
        <f>TIMEVALUE(MID(F1981,12,8))</f>
        <v/>
      </c>
      <c r="N1981" s="395">
        <f>DATEVALUE(LEFT(G1981,10))</f>
        <v/>
      </c>
      <c r="O1981" s="396">
        <f>TIMEVALUE(MID(G1981,12,8))</f>
        <v/>
      </c>
      <c r="P1981" s="396">
        <f>IFERROR(_xlfn.MINIFS($M:$M,$E:$E,$E1981,$K:$K,$K1981,$M:$M,"&gt;"&amp;$O1981),"")</f>
        <v/>
      </c>
      <c r="Q1981" s="396">
        <f>IF($P1981="","",$P1981-$O1981)</f>
        <v/>
      </c>
    </row>
    <row r="1982" ht="15" customHeight="1" s="231">
      <c r="A1982" s="397" t="n"/>
      <c r="B1982" s="397" t="n"/>
      <c r="C1982" s="397" t="n"/>
      <c r="D1982" s="397" t="n"/>
      <c r="E1982" s="397" t="n"/>
      <c r="F1982" s="397" t="n"/>
      <c r="G1982" s="397" t="n"/>
      <c r="I1982" s="397" t="n"/>
      <c r="J1982" s="397" t="n"/>
      <c r="K1982" s="395">
        <f>DATE(VALUE(LEFT(A1982,4)),VALUE(MID(A1982,5,2)),VALUE(RIGHT(A1982,2)))</f>
        <v/>
      </c>
      <c r="L1982" s="395">
        <f>DATEVALUE(LEFT(F1982,10))</f>
        <v/>
      </c>
      <c r="M1982" s="396">
        <f>TIMEVALUE(MID(F1982,12,8))</f>
        <v/>
      </c>
      <c r="N1982" s="395">
        <f>DATEVALUE(LEFT(G1982,10))</f>
        <v/>
      </c>
      <c r="O1982" s="396">
        <f>TIMEVALUE(MID(G1982,12,8))</f>
        <v/>
      </c>
      <c r="P1982" s="396">
        <f>IFERROR(_xlfn.MINIFS($M:$M,$E:$E,$E1982,$K:$K,$K1982,$M:$M,"&gt;"&amp;$O1982),"")</f>
        <v/>
      </c>
      <c r="Q1982" s="396">
        <f>IF($P1982="","",$P1982-$O1982)</f>
        <v/>
      </c>
    </row>
    <row r="1983" ht="15" customHeight="1" s="231">
      <c r="A1983" s="397" t="n"/>
      <c r="B1983" s="397" t="n"/>
      <c r="C1983" s="397" t="n"/>
      <c r="D1983" s="397" t="n"/>
      <c r="E1983" s="397" t="n"/>
      <c r="F1983" s="397" t="n"/>
      <c r="G1983" s="397" t="n"/>
      <c r="I1983" s="397" t="n"/>
      <c r="J1983" s="397" t="n"/>
      <c r="K1983" s="395">
        <f>DATE(VALUE(LEFT(A1983,4)),VALUE(MID(A1983,5,2)),VALUE(RIGHT(A1983,2)))</f>
        <v/>
      </c>
      <c r="L1983" s="395">
        <f>DATEVALUE(LEFT(F1983,10))</f>
        <v/>
      </c>
      <c r="M1983" s="396">
        <f>TIMEVALUE(MID(F1983,12,8))</f>
        <v/>
      </c>
      <c r="N1983" s="395">
        <f>DATEVALUE(LEFT(G1983,10))</f>
        <v/>
      </c>
      <c r="O1983" s="396">
        <f>TIMEVALUE(MID(G1983,12,8))</f>
        <v/>
      </c>
      <c r="P1983" s="396">
        <f>IFERROR(_xlfn.MINIFS($M:$M,$E:$E,$E1983,$K:$K,$K1983,$M:$M,"&gt;"&amp;$O1983),"")</f>
        <v/>
      </c>
      <c r="Q1983" s="396">
        <f>IF($P1983="","",$P1983-$O1983)</f>
        <v/>
      </c>
    </row>
    <row r="1984" ht="15" customHeight="1" s="231">
      <c r="A1984" s="397" t="n"/>
      <c r="B1984" s="397" t="n"/>
      <c r="C1984" s="397" t="n"/>
      <c r="D1984" s="397" t="n"/>
      <c r="E1984" s="397" t="n"/>
      <c r="F1984" s="397" t="n"/>
      <c r="G1984" s="397" t="n"/>
      <c r="I1984" s="397" t="n"/>
      <c r="J1984" s="397" t="n"/>
      <c r="K1984" s="395">
        <f>DATE(VALUE(LEFT(A1984,4)),VALUE(MID(A1984,5,2)),VALUE(RIGHT(A1984,2)))</f>
        <v/>
      </c>
      <c r="L1984" s="395">
        <f>DATEVALUE(LEFT(F1984,10))</f>
        <v/>
      </c>
      <c r="M1984" s="396">
        <f>TIMEVALUE(MID(F1984,12,8))</f>
        <v/>
      </c>
      <c r="N1984" s="395">
        <f>DATEVALUE(LEFT(G1984,10))</f>
        <v/>
      </c>
      <c r="O1984" s="396">
        <f>TIMEVALUE(MID(G1984,12,8))</f>
        <v/>
      </c>
      <c r="P1984" s="396">
        <f>IFERROR(_xlfn.MINIFS($M:$M,$E:$E,$E1984,$K:$K,$K1984,$M:$M,"&gt;"&amp;$O1984),"")</f>
        <v/>
      </c>
      <c r="Q1984" s="396">
        <f>IF($P1984="","",$P1984-$O1984)</f>
        <v/>
      </c>
    </row>
    <row r="1985" ht="15" customHeight="1" s="231">
      <c r="A1985" s="397" t="n"/>
      <c r="B1985" s="397" t="n"/>
      <c r="C1985" s="397" t="n"/>
      <c r="D1985" s="397" t="n"/>
      <c r="E1985" s="397" t="n"/>
      <c r="F1985" s="397" t="n"/>
      <c r="G1985" s="397" t="n"/>
      <c r="I1985" s="397" t="n"/>
      <c r="J1985" s="397" t="n"/>
      <c r="K1985" s="395">
        <f>DATE(VALUE(LEFT(A1985,4)),VALUE(MID(A1985,5,2)),VALUE(RIGHT(A1985,2)))</f>
        <v/>
      </c>
      <c r="L1985" s="395">
        <f>DATEVALUE(LEFT(F1985,10))</f>
        <v/>
      </c>
      <c r="M1985" s="396">
        <f>TIMEVALUE(MID(F1985,12,8))</f>
        <v/>
      </c>
      <c r="N1985" s="395">
        <f>DATEVALUE(LEFT(G1985,10))</f>
        <v/>
      </c>
      <c r="O1985" s="396">
        <f>TIMEVALUE(MID(G1985,12,8))</f>
        <v/>
      </c>
      <c r="P1985" s="396">
        <f>IFERROR(_xlfn.MINIFS($M:$M,$E:$E,$E1985,$K:$K,$K1985,$M:$M,"&gt;"&amp;$O1985),"")</f>
        <v/>
      </c>
      <c r="Q1985" s="396">
        <f>IF($P1985="","",$P1985-$O1985)</f>
        <v/>
      </c>
    </row>
    <row r="1986" ht="15" customHeight="1" s="231">
      <c r="A1986" s="397" t="n"/>
      <c r="B1986" s="397" t="n"/>
      <c r="C1986" s="397" t="n"/>
      <c r="D1986" s="397" t="n"/>
      <c r="E1986" s="397" t="n"/>
      <c r="F1986" s="397" t="n"/>
      <c r="G1986" s="397" t="n"/>
      <c r="I1986" s="397" t="n"/>
      <c r="J1986" s="397" t="n"/>
      <c r="K1986" s="395">
        <f>DATE(VALUE(LEFT(A1986,4)),VALUE(MID(A1986,5,2)),VALUE(RIGHT(A1986,2)))</f>
        <v/>
      </c>
      <c r="L1986" s="395">
        <f>DATEVALUE(LEFT(F1986,10))</f>
        <v/>
      </c>
      <c r="M1986" s="396">
        <f>TIMEVALUE(MID(F1986,12,8))</f>
        <v/>
      </c>
      <c r="N1986" s="395">
        <f>DATEVALUE(LEFT(G1986,10))</f>
        <v/>
      </c>
      <c r="O1986" s="396">
        <f>TIMEVALUE(MID(G1986,12,8))</f>
        <v/>
      </c>
      <c r="P1986" s="396">
        <f>IFERROR(_xlfn.MINIFS($M:$M,$E:$E,$E1986,$K:$K,$K1986,$M:$M,"&gt;"&amp;$O1986),"")</f>
        <v/>
      </c>
      <c r="Q1986" s="396">
        <f>IF($P1986="","",$P1986-$O1986)</f>
        <v/>
      </c>
    </row>
    <row r="1987" ht="15" customHeight="1" s="231">
      <c r="A1987" s="397" t="n"/>
      <c r="B1987" s="397" t="n"/>
      <c r="C1987" s="397" t="n"/>
      <c r="D1987" s="397" t="n"/>
      <c r="E1987" s="397" t="n"/>
      <c r="F1987" s="397" t="n"/>
      <c r="G1987" s="397" t="n"/>
      <c r="I1987" s="397" t="n"/>
      <c r="J1987" s="397" t="n"/>
      <c r="K1987" s="395">
        <f>DATE(VALUE(LEFT(A1987,4)),VALUE(MID(A1987,5,2)),VALUE(RIGHT(A1987,2)))</f>
        <v/>
      </c>
      <c r="L1987" s="395">
        <f>DATEVALUE(LEFT(F1987,10))</f>
        <v/>
      </c>
      <c r="M1987" s="396">
        <f>TIMEVALUE(MID(F1987,12,8))</f>
        <v/>
      </c>
      <c r="N1987" s="395">
        <f>DATEVALUE(LEFT(G1987,10))</f>
        <v/>
      </c>
      <c r="O1987" s="396">
        <f>TIMEVALUE(MID(G1987,12,8))</f>
        <v/>
      </c>
      <c r="P1987" s="396">
        <f>IFERROR(_xlfn.MINIFS($M:$M,$E:$E,$E1987,$K:$K,$K1987,$M:$M,"&gt;"&amp;$O1987),"")</f>
        <v/>
      </c>
      <c r="Q1987" s="396">
        <f>IF($P1987="","",$P1987-$O1987)</f>
        <v/>
      </c>
    </row>
    <row r="1988" ht="15" customHeight="1" s="231">
      <c r="A1988" s="397" t="n"/>
      <c r="B1988" s="397" t="n"/>
      <c r="C1988" s="397" t="n"/>
      <c r="D1988" s="397" t="n"/>
      <c r="E1988" s="397" t="n"/>
      <c r="F1988" s="397" t="n"/>
      <c r="G1988" s="397" t="n"/>
      <c r="I1988" s="397" t="n"/>
      <c r="J1988" s="397" t="n"/>
      <c r="K1988" s="395">
        <f>DATE(VALUE(LEFT(A1988,4)),VALUE(MID(A1988,5,2)),VALUE(RIGHT(A1988,2)))</f>
        <v/>
      </c>
      <c r="L1988" s="395">
        <f>DATEVALUE(LEFT(F1988,10))</f>
        <v/>
      </c>
      <c r="M1988" s="396">
        <f>TIMEVALUE(MID(F1988,12,8))</f>
        <v/>
      </c>
      <c r="N1988" s="395">
        <f>DATEVALUE(LEFT(G1988,10))</f>
        <v/>
      </c>
      <c r="O1988" s="396">
        <f>TIMEVALUE(MID(G1988,12,8))</f>
        <v/>
      </c>
      <c r="P1988" s="396">
        <f>IFERROR(_xlfn.MINIFS($M:$M,$E:$E,$E1988,$K:$K,$K1988,$M:$M,"&gt;"&amp;$O1988),"")</f>
        <v/>
      </c>
      <c r="Q1988" s="396">
        <f>IF($P1988="","",$P1988-$O1988)</f>
        <v/>
      </c>
    </row>
    <row r="1989" ht="15" customHeight="1" s="231">
      <c r="A1989" s="397" t="n"/>
      <c r="B1989" s="397" t="n"/>
      <c r="C1989" s="397" t="n"/>
      <c r="D1989" s="397" t="n"/>
      <c r="E1989" s="397" t="n"/>
      <c r="F1989" s="397" t="n"/>
      <c r="G1989" s="397" t="n"/>
      <c r="I1989" s="397" t="n"/>
      <c r="J1989" s="397" t="n"/>
      <c r="K1989" s="395">
        <f>DATE(VALUE(LEFT(A1989,4)),VALUE(MID(A1989,5,2)),VALUE(RIGHT(A1989,2)))</f>
        <v/>
      </c>
      <c r="L1989" s="395">
        <f>DATEVALUE(LEFT(F1989,10))</f>
        <v/>
      </c>
      <c r="M1989" s="396">
        <f>TIMEVALUE(MID(F1989,12,8))</f>
        <v/>
      </c>
      <c r="N1989" s="395">
        <f>DATEVALUE(LEFT(G1989,10))</f>
        <v/>
      </c>
      <c r="O1989" s="396">
        <f>TIMEVALUE(MID(G1989,12,8))</f>
        <v/>
      </c>
      <c r="P1989" s="396">
        <f>IFERROR(_xlfn.MINIFS($M:$M,$E:$E,$E1989,$K:$K,$K1989,$M:$M,"&gt;"&amp;$O1989),"")</f>
        <v/>
      </c>
      <c r="Q1989" s="396">
        <f>IF($P1989="","",$P1989-$O1989)</f>
        <v/>
      </c>
    </row>
    <row r="1990" ht="15" customHeight="1" s="231">
      <c r="A1990" s="397" t="n"/>
      <c r="B1990" s="397" t="n"/>
      <c r="C1990" s="397" t="n"/>
      <c r="D1990" s="397" t="n"/>
      <c r="E1990" s="397" t="n"/>
      <c r="F1990" s="397" t="n"/>
      <c r="G1990" s="397" t="n"/>
      <c r="I1990" s="397" t="n"/>
      <c r="J1990" s="397" t="n"/>
      <c r="K1990" s="395">
        <f>DATE(VALUE(LEFT(A1990,4)),VALUE(MID(A1990,5,2)),VALUE(RIGHT(A1990,2)))</f>
        <v/>
      </c>
      <c r="L1990" s="395">
        <f>DATEVALUE(LEFT(F1990,10))</f>
        <v/>
      </c>
      <c r="M1990" s="396">
        <f>TIMEVALUE(MID(F1990,12,8))</f>
        <v/>
      </c>
      <c r="N1990" s="395">
        <f>DATEVALUE(LEFT(G1990,10))</f>
        <v/>
      </c>
      <c r="O1990" s="396">
        <f>TIMEVALUE(MID(G1990,12,8))</f>
        <v/>
      </c>
      <c r="P1990" s="396">
        <f>IFERROR(_xlfn.MINIFS($M:$M,$E:$E,$E1990,$K:$K,$K1990,$M:$M,"&gt;"&amp;$O1990),"")</f>
        <v/>
      </c>
      <c r="Q1990" s="396">
        <f>IF($P1990="","",$P1990-$O1990)</f>
        <v/>
      </c>
    </row>
    <row r="1991" ht="15" customHeight="1" s="231">
      <c r="A1991" s="397" t="n"/>
      <c r="B1991" s="397" t="n"/>
      <c r="C1991" s="397" t="n"/>
      <c r="D1991" s="397" t="n"/>
      <c r="E1991" s="397" t="n"/>
      <c r="F1991" s="397" t="n"/>
      <c r="G1991" s="397" t="n"/>
      <c r="I1991" s="397" t="n"/>
      <c r="J1991" s="397" t="n"/>
      <c r="K1991" s="395">
        <f>DATE(VALUE(LEFT(A1991,4)),VALUE(MID(A1991,5,2)),VALUE(RIGHT(A1991,2)))</f>
        <v/>
      </c>
      <c r="L1991" s="395">
        <f>DATEVALUE(LEFT(F1991,10))</f>
        <v/>
      </c>
      <c r="M1991" s="396">
        <f>TIMEVALUE(MID(F1991,12,8))</f>
        <v/>
      </c>
      <c r="N1991" s="395">
        <f>DATEVALUE(LEFT(G1991,10))</f>
        <v/>
      </c>
      <c r="O1991" s="396">
        <f>TIMEVALUE(MID(G1991,12,8))</f>
        <v/>
      </c>
      <c r="P1991" s="396">
        <f>IFERROR(_xlfn.MINIFS($M:$M,$E:$E,$E1991,$K:$K,$K1991,$M:$M,"&gt;"&amp;$O1991),"")</f>
        <v/>
      </c>
      <c r="Q1991" s="396">
        <f>IF($P1991="","",$P1991-$O1991)</f>
        <v/>
      </c>
    </row>
    <row r="1992" ht="15" customHeight="1" s="231">
      <c r="A1992" s="397" t="n"/>
      <c r="B1992" s="397" t="n"/>
      <c r="C1992" s="397" t="n"/>
      <c r="D1992" s="397" t="n"/>
      <c r="E1992" s="397" t="n"/>
      <c r="F1992" s="397" t="n"/>
      <c r="G1992" s="397" t="n"/>
      <c r="I1992" s="397" t="n"/>
      <c r="J1992" s="397" t="n"/>
      <c r="K1992" s="395">
        <f>DATE(VALUE(LEFT(A1992,4)),VALUE(MID(A1992,5,2)),VALUE(RIGHT(A1992,2)))</f>
        <v/>
      </c>
      <c r="L1992" s="395">
        <f>DATEVALUE(LEFT(F1992,10))</f>
        <v/>
      </c>
      <c r="M1992" s="396">
        <f>TIMEVALUE(MID(F1992,12,8))</f>
        <v/>
      </c>
      <c r="N1992" s="395">
        <f>DATEVALUE(LEFT(G1992,10))</f>
        <v/>
      </c>
      <c r="O1992" s="396">
        <f>TIMEVALUE(MID(G1992,12,8))</f>
        <v/>
      </c>
      <c r="P1992" s="396">
        <f>IFERROR(_xlfn.MINIFS($M:$M,$E:$E,$E1992,$K:$K,$K1992,$M:$M,"&gt;"&amp;$O1992),"")</f>
        <v/>
      </c>
      <c r="Q1992" s="396">
        <f>IF($P1992="","",$P1992-$O1992)</f>
        <v/>
      </c>
    </row>
    <row r="1993" ht="15" customHeight="1" s="231">
      <c r="A1993" s="397" t="n"/>
      <c r="B1993" s="397" t="n"/>
      <c r="C1993" s="397" t="n"/>
      <c r="D1993" s="397" t="n"/>
      <c r="E1993" s="397" t="n"/>
      <c r="F1993" s="397" t="n"/>
      <c r="G1993" s="397" t="n"/>
      <c r="I1993" s="397" t="n"/>
      <c r="J1993" s="397" t="n"/>
      <c r="K1993" s="395">
        <f>DATE(VALUE(LEFT(A1993,4)),VALUE(MID(A1993,5,2)),VALUE(RIGHT(A1993,2)))</f>
        <v/>
      </c>
      <c r="L1993" s="395">
        <f>DATEVALUE(LEFT(F1993,10))</f>
        <v/>
      </c>
      <c r="M1993" s="396">
        <f>TIMEVALUE(MID(F1993,12,8))</f>
        <v/>
      </c>
      <c r="N1993" s="395">
        <f>DATEVALUE(LEFT(G1993,10))</f>
        <v/>
      </c>
      <c r="O1993" s="396">
        <f>TIMEVALUE(MID(G1993,12,8))</f>
        <v/>
      </c>
      <c r="P1993" s="396">
        <f>IFERROR(_xlfn.MINIFS($M:$M,$E:$E,$E1993,$K:$K,$K1993,$M:$M,"&gt;"&amp;$O1993),"")</f>
        <v/>
      </c>
      <c r="Q1993" s="396">
        <f>IF($P1993="","",$P1993-$O1993)</f>
        <v/>
      </c>
    </row>
    <row r="1994" ht="15" customHeight="1" s="231">
      <c r="A1994" s="397" t="n"/>
      <c r="B1994" s="397" t="n"/>
      <c r="C1994" s="397" t="n"/>
      <c r="D1994" s="397" t="n"/>
      <c r="E1994" s="397" t="n"/>
      <c r="F1994" s="397" t="n"/>
      <c r="G1994" s="397" t="n"/>
      <c r="I1994" s="397" t="n"/>
      <c r="J1994" s="397" t="n"/>
      <c r="K1994" s="395">
        <f>DATE(VALUE(LEFT(A1994,4)),VALUE(MID(A1994,5,2)),VALUE(RIGHT(A1994,2)))</f>
        <v/>
      </c>
      <c r="L1994" s="395">
        <f>DATEVALUE(LEFT(F1994,10))</f>
        <v/>
      </c>
      <c r="M1994" s="396">
        <f>TIMEVALUE(MID(F1994,12,8))</f>
        <v/>
      </c>
      <c r="N1994" s="395">
        <f>DATEVALUE(LEFT(G1994,10))</f>
        <v/>
      </c>
      <c r="O1994" s="396">
        <f>TIMEVALUE(MID(G1994,12,8))</f>
        <v/>
      </c>
      <c r="P1994" s="396">
        <f>IFERROR(_xlfn.MINIFS($M:$M,$E:$E,$E1994,$K:$K,$K1994,$M:$M,"&gt;"&amp;$O1994),"")</f>
        <v/>
      </c>
      <c r="Q1994" s="396">
        <f>IF($P1994="","",$P1994-$O1994)</f>
        <v/>
      </c>
    </row>
    <row r="1995" ht="15" customHeight="1" s="231">
      <c r="A1995" s="397" t="n"/>
      <c r="B1995" s="397" t="n"/>
      <c r="C1995" s="397" t="n"/>
      <c r="D1995" s="397" t="n"/>
      <c r="E1995" s="397" t="n"/>
      <c r="F1995" s="397" t="n"/>
      <c r="G1995" s="397" t="n"/>
      <c r="I1995" s="397" t="n"/>
      <c r="J1995" s="397" t="n"/>
      <c r="K1995" s="395">
        <f>DATE(VALUE(LEFT(A1995,4)),VALUE(MID(A1995,5,2)),VALUE(RIGHT(A1995,2)))</f>
        <v/>
      </c>
      <c r="L1995" s="395">
        <f>DATEVALUE(LEFT(F1995,10))</f>
        <v/>
      </c>
      <c r="M1995" s="396">
        <f>TIMEVALUE(MID(F1995,12,8))</f>
        <v/>
      </c>
      <c r="N1995" s="395">
        <f>DATEVALUE(LEFT(G1995,10))</f>
        <v/>
      </c>
      <c r="O1995" s="396">
        <f>TIMEVALUE(MID(G1995,12,8))</f>
        <v/>
      </c>
      <c r="P1995" s="396">
        <f>IFERROR(_xlfn.MINIFS($M:$M,$E:$E,$E1995,$K:$K,$K1995,$M:$M,"&gt;"&amp;$O1995),"")</f>
        <v/>
      </c>
      <c r="Q1995" s="396">
        <f>IF($P1995="","",$P1995-$O1995)</f>
        <v/>
      </c>
    </row>
    <row r="1996" ht="15" customHeight="1" s="231">
      <c r="A1996" s="397" t="n"/>
      <c r="B1996" s="397" t="n"/>
      <c r="C1996" s="397" t="n"/>
      <c r="D1996" s="397" t="n"/>
      <c r="E1996" s="397" t="n"/>
      <c r="F1996" s="397" t="n"/>
      <c r="G1996" s="397" t="n"/>
      <c r="I1996" s="397" t="n"/>
      <c r="J1996" s="397" t="n"/>
      <c r="K1996" s="395">
        <f>DATE(VALUE(LEFT(A1996,4)),VALUE(MID(A1996,5,2)),VALUE(RIGHT(A1996,2)))</f>
        <v/>
      </c>
      <c r="L1996" s="395">
        <f>DATEVALUE(LEFT(F1996,10))</f>
        <v/>
      </c>
      <c r="M1996" s="396">
        <f>TIMEVALUE(MID(F1996,12,8))</f>
        <v/>
      </c>
      <c r="N1996" s="395">
        <f>DATEVALUE(LEFT(G1996,10))</f>
        <v/>
      </c>
      <c r="O1996" s="396">
        <f>TIMEVALUE(MID(G1996,12,8))</f>
        <v/>
      </c>
      <c r="P1996" s="396">
        <f>IFERROR(_xlfn.MINIFS($M:$M,$E:$E,$E1996,$K:$K,$K1996,$M:$M,"&gt;"&amp;$O1996),"")</f>
        <v/>
      </c>
      <c r="Q1996" s="396">
        <f>IF($P1996="","",$P1996-$O1996)</f>
        <v/>
      </c>
    </row>
    <row r="1997" ht="15" customHeight="1" s="231">
      <c r="A1997" s="397" t="n"/>
      <c r="B1997" s="397" t="n"/>
      <c r="C1997" s="397" t="n"/>
      <c r="D1997" s="397" t="n"/>
      <c r="E1997" s="397" t="n"/>
      <c r="F1997" s="397" t="n"/>
      <c r="G1997" s="397" t="n"/>
      <c r="I1997" s="397" t="n"/>
      <c r="J1997" s="397" t="n"/>
      <c r="K1997" s="395">
        <f>DATE(VALUE(LEFT(A1997,4)),VALUE(MID(A1997,5,2)),VALUE(RIGHT(A1997,2)))</f>
        <v/>
      </c>
      <c r="L1997" s="395">
        <f>DATEVALUE(LEFT(F1997,10))</f>
        <v/>
      </c>
      <c r="M1997" s="396">
        <f>TIMEVALUE(MID(F1997,12,8))</f>
        <v/>
      </c>
      <c r="N1997" s="395">
        <f>DATEVALUE(LEFT(G1997,10))</f>
        <v/>
      </c>
      <c r="O1997" s="396">
        <f>TIMEVALUE(MID(G1997,12,8))</f>
        <v/>
      </c>
      <c r="P1997" s="396">
        <f>IFERROR(_xlfn.MINIFS($M:$M,$E:$E,$E1997,$K:$K,$K1997,$M:$M,"&gt;"&amp;$O1997),"")</f>
        <v/>
      </c>
      <c r="Q1997" s="396">
        <f>IF($P1997="","",$P1997-$O1997)</f>
        <v/>
      </c>
    </row>
    <row r="1998" ht="15" customHeight="1" s="231">
      <c r="A1998" s="397" t="n"/>
      <c r="B1998" s="397" t="n"/>
      <c r="C1998" s="397" t="n"/>
      <c r="D1998" s="397" t="n"/>
      <c r="E1998" s="397" t="n"/>
      <c r="F1998" s="397" t="n"/>
      <c r="G1998" s="397" t="n"/>
      <c r="I1998" s="397" t="n"/>
      <c r="J1998" s="397" t="n"/>
      <c r="K1998" s="395">
        <f>DATE(VALUE(LEFT(A1998,4)),VALUE(MID(A1998,5,2)),VALUE(RIGHT(A1998,2)))</f>
        <v/>
      </c>
      <c r="L1998" s="395">
        <f>DATEVALUE(LEFT(F1998,10))</f>
        <v/>
      </c>
      <c r="M1998" s="396">
        <f>TIMEVALUE(MID(F1998,12,8))</f>
        <v/>
      </c>
      <c r="N1998" s="395">
        <f>DATEVALUE(LEFT(G1998,10))</f>
        <v/>
      </c>
      <c r="O1998" s="396">
        <f>TIMEVALUE(MID(G1998,12,8))</f>
        <v/>
      </c>
      <c r="P1998" s="396">
        <f>IFERROR(_xlfn.MINIFS($M:$M,$E:$E,$E1998,$K:$K,$K1998,$M:$M,"&gt;"&amp;$O1998),"")</f>
        <v/>
      </c>
      <c r="Q1998" s="396">
        <f>IF($P1998="","",$P1998-$O1998)</f>
        <v/>
      </c>
    </row>
    <row r="1999" ht="15" customHeight="1" s="231">
      <c r="A1999" s="397" t="n"/>
      <c r="B1999" s="397" t="n"/>
      <c r="C1999" s="397" t="n"/>
      <c r="D1999" s="397" t="n"/>
      <c r="E1999" s="397" t="n"/>
      <c r="F1999" s="397" t="n"/>
      <c r="G1999" s="397" t="n"/>
      <c r="I1999" s="397" t="n"/>
      <c r="J1999" s="397" t="n"/>
      <c r="K1999" s="395">
        <f>DATE(VALUE(LEFT(A1999,4)),VALUE(MID(A1999,5,2)),VALUE(RIGHT(A1999,2)))</f>
        <v/>
      </c>
      <c r="L1999" s="395">
        <f>DATEVALUE(LEFT(F1999,10))</f>
        <v/>
      </c>
      <c r="M1999" s="396">
        <f>TIMEVALUE(MID(F1999,12,8))</f>
        <v/>
      </c>
      <c r="N1999" s="395">
        <f>DATEVALUE(LEFT(G1999,10))</f>
        <v/>
      </c>
      <c r="O1999" s="396">
        <f>TIMEVALUE(MID(G1999,12,8))</f>
        <v/>
      </c>
      <c r="P1999" s="396">
        <f>IFERROR(_xlfn.MINIFS($M:$M,$E:$E,$E1999,$K:$K,$K1999,$M:$M,"&gt;"&amp;$O1999),"")</f>
        <v/>
      </c>
      <c r="Q1999" s="396">
        <f>IF($P1999="","",$P1999-$O1999)</f>
        <v/>
      </c>
    </row>
    <row r="2000" ht="15" customHeight="1" s="231">
      <c r="A2000" s="397" t="n"/>
      <c r="B2000" s="397" t="n"/>
      <c r="C2000" s="397" t="n"/>
      <c r="D2000" s="397" t="n"/>
      <c r="E2000" s="397" t="n"/>
      <c r="F2000" s="397" t="n"/>
      <c r="G2000" s="397" t="n"/>
      <c r="I2000" s="397" t="n"/>
      <c r="J2000" s="397" t="n"/>
      <c r="K2000" s="395">
        <f>DATE(VALUE(LEFT(A2000,4)),VALUE(MID(A2000,5,2)),VALUE(RIGHT(A2000,2)))</f>
        <v/>
      </c>
      <c r="L2000" s="395">
        <f>DATEVALUE(LEFT(F2000,10))</f>
        <v/>
      </c>
      <c r="M2000" s="396">
        <f>TIMEVALUE(MID(F2000,12,8))</f>
        <v/>
      </c>
      <c r="N2000" s="395">
        <f>DATEVALUE(LEFT(G2000,10))</f>
        <v/>
      </c>
      <c r="O2000" s="396">
        <f>TIMEVALUE(MID(G2000,12,8))</f>
        <v/>
      </c>
      <c r="P2000" s="396">
        <f>IFERROR(_xlfn.MINIFS($M:$M,$E:$E,$E2000,$K:$K,$K2000,$M:$M,"&gt;"&amp;$O2000),"")</f>
        <v/>
      </c>
      <c r="Q2000" s="396">
        <f>IF($P2000="","",$P2000-$O2000)</f>
        <v/>
      </c>
    </row>
    <row r="2001" ht="15" customHeight="1" s="231">
      <c r="A2001" s="397" t="n"/>
      <c r="B2001" s="397" t="n"/>
      <c r="C2001" s="397" t="n"/>
      <c r="D2001" s="397" t="n"/>
      <c r="E2001" s="397" t="n"/>
      <c r="F2001" s="397" t="n"/>
      <c r="G2001" s="397" t="n"/>
      <c r="I2001" s="397" t="n"/>
      <c r="J2001" s="397" t="n"/>
      <c r="K2001" s="395">
        <f>DATE(VALUE(LEFT(A2001,4)),VALUE(MID(A2001,5,2)),VALUE(RIGHT(A2001,2)))</f>
        <v/>
      </c>
      <c r="L2001" s="395">
        <f>DATEVALUE(LEFT(F2001,10))</f>
        <v/>
      </c>
      <c r="M2001" s="396">
        <f>TIMEVALUE(MID(F2001,12,8))</f>
        <v/>
      </c>
      <c r="N2001" s="395">
        <f>DATEVALUE(LEFT(G2001,10))</f>
        <v/>
      </c>
      <c r="O2001" s="396">
        <f>TIMEVALUE(MID(G2001,12,8))</f>
        <v/>
      </c>
      <c r="P2001" s="396">
        <f>IFERROR(_xlfn.MINIFS($M:$M,$E:$E,$E2001,$K:$K,$K2001,$M:$M,"&gt;"&amp;$O2001),"")</f>
        <v/>
      </c>
      <c r="Q2001" s="396">
        <f>IF($P2001="","",$P2001-$O2001)</f>
        <v/>
      </c>
    </row>
    <row r="2002" ht="15" customHeight="1" s="231">
      <c r="A2002" s="397" t="n"/>
      <c r="B2002" s="397" t="n"/>
      <c r="C2002" s="397" t="n"/>
      <c r="D2002" s="397" t="n"/>
      <c r="E2002" s="397" t="n"/>
      <c r="F2002" s="397" t="n"/>
      <c r="G2002" s="397" t="n"/>
      <c r="I2002" s="397" t="n"/>
      <c r="J2002" s="397" t="n"/>
      <c r="K2002" s="395">
        <f>DATE(VALUE(LEFT(A2002,4)),VALUE(MID(A2002,5,2)),VALUE(RIGHT(A2002,2)))</f>
        <v/>
      </c>
      <c r="L2002" s="395">
        <f>DATEVALUE(LEFT(F2002,10))</f>
        <v/>
      </c>
      <c r="M2002" s="396">
        <f>TIMEVALUE(MID(F2002,12,8))</f>
        <v/>
      </c>
      <c r="N2002" s="395">
        <f>DATEVALUE(LEFT(G2002,10))</f>
        <v/>
      </c>
      <c r="O2002" s="396">
        <f>TIMEVALUE(MID(G2002,12,8))</f>
        <v/>
      </c>
      <c r="P2002" s="396">
        <f>IFERROR(_xlfn.MINIFS($M:$M,$E:$E,$E2002,$K:$K,$K2002,$M:$M,"&gt;"&amp;$O2002),"")</f>
        <v/>
      </c>
      <c r="Q2002" s="396">
        <f>IF($P2002="","",$P2002-$O2002)</f>
        <v/>
      </c>
    </row>
    <row r="2003" ht="15" customHeight="1" s="231">
      <c r="A2003" s="397" t="n"/>
      <c r="B2003" s="397" t="n"/>
      <c r="C2003" s="397" t="n"/>
      <c r="D2003" s="397" t="n"/>
      <c r="E2003" s="397" t="n"/>
      <c r="F2003" s="397" t="n"/>
      <c r="G2003" s="397" t="n"/>
      <c r="I2003" s="397" t="n"/>
      <c r="J2003" s="397" t="n"/>
      <c r="K2003" s="395">
        <f>DATE(VALUE(LEFT(A2003,4)),VALUE(MID(A2003,5,2)),VALUE(RIGHT(A2003,2)))</f>
        <v/>
      </c>
      <c r="L2003" s="395">
        <f>DATEVALUE(LEFT(F2003,10))</f>
        <v/>
      </c>
      <c r="M2003" s="396">
        <f>TIMEVALUE(MID(F2003,12,8))</f>
        <v/>
      </c>
      <c r="N2003" s="395">
        <f>DATEVALUE(LEFT(G2003,10))</f>
        <v/>
      </c>
      <c r="O2003" s="396">
        <f>TIMEVALUE(MID(G2003,12,8))</f>
        <v/>
      </c>
      <c r="P2003" s="396">
        <f>IFERROR(_xlfn.MINIFS($M:$M,$E:$E,$E2003,$K:$K,$K2003,$M:$M,"&gt;"&amp;$O2003),"")</f>
        <v/>
      </c>
      <c r="Q2003" s="396">
        <f>IF($P2003="","",$P2003-$O2003)</f>
        <v/>
      </c>
    </row>
    <row r="2004" ht="15" customHeight="1" s="231">
      <c r="A2004" s="397" t="n"/>
      <c r="B2004" s="397" t="n"/>
      <c r="C2004" s="397" t="n"/>
      <c r="D2004" s="397" t="n"/>
      <c r="E2004" s="397" t="n"/>
      <c r="F2004" s="397" t="n"/>
      <c r="G2004" s="397" t="n"/>
      <c r="I2004" s="397" t="n"/>
      <c r="J2004" s="397" t="n"/>
      <c r="K2004" s="395">
        <f>DATE(VALUE(LEFT(A2004,4)),VALUE(MID(A2004,5,2)),VALUE(RIGHT(A2004,2)))</f>
        <v/>
      </c>
      <c r="L2004" s="395">
        <f>DATEVALUE(LEFT(F2004,10))</f>
        <v/>
      </c>
      <c r="M2004" s="396">
        <f>TIMEVALUE(MID(F2004,12,8))</f>
        <v/>
      </c>
      <c r="N2004" s="395">
        <f>DATEVALUE(LEFT(G2004,10))</f>
        <v/>
      </c>
      <c r="O2004" s="396">
        <f>TIMEVALUE(MID(G2004,12,8))</f>
        <v/>
      </c>
      <c r="P2004" s="396">
        <f>IFERROR(_xlfn.MINIFS($M:$M,$E:$E,$E2004,$K:$K,$K2004,$M:$M,"&gt;"&amp;$O2004),"")</f>
        <v/>
      </c>
      <c r="Q2004" s="396">
        <f>IF($P2004="","",$P2004-$O2004)</f>
        <v/>
      </c>
    </row>
    <row r="2005" ht="15" customHeight="1" s="231">
      <c r="A2005" s="397" t="n"/>
      <c r="B2005" s="397" t="n"/>
      <c r="C2005" s="397" t="n"/>
      <c r="D2005" s="397" t="n"/>
      <c r="E2005" s="397" t="n"/>
      <c r="F2005" s="397" t="n"/>
      <c r="G2005" s="397" t="n"/>
      <c r="I2005" s="397" t="n"/>
      <c r="J2005" s="397" t="n"/>
      <c r="K2005" s="395">
        <f>DATE(VALUE(LEFT(A2005,4)),VALUE(MID(A2005,5,2)),VALUE(RIGHT(A2005,2)))</f>
        <v/>
      </c>
      <c r="L2005" s="395">
        <f>DATEVALUE(LEFT(F2005,10))</f>
        <v/>
      </c>
      <c r="M2005" s="396">
        <f>TIMEVALUE(MID(F2005,12,8))</f>
        <v/>
      </c>
      <c r="N2005" s="395">
        <f>DATEVALUE(LEFT(G2005,10))</f>
        <v/>
      </c>
      <c r="O2005" s="396">
        <f>TIMEVALUE(MID(G2005,12,8))</f>
        <v/>
      </c>
      <c r="P2005" s="396">
        <f>IFERROR(_xlfn.MINIFS($M:$M,$E:$E,$E2005,$K:$K,$K2005,$M:$M,"&gt;"&amp;$O2005),"")</f>
        <v/>
      </c>
      <c r="Q2005" s="396">
        <f>IF($P2005="","",$P2005-$O2005)</f>
        <v/>
      </c>
    </row>
    <row r="2006" ht="15" customHeight="1" s="231">
      <c r="A2006" s="397" t="n"/>
      <c r="B2006" s="397" t="n"/>
      <c r="C2006" s="397" t="n"/>
      <c r="D2006" s="397" t="n"/>
      <c r="E2006" s="397" t="n"/>
      <c r="F2006" s="397" t="n"/>
      <c r="G2006" s="397" t="n"/>
      <c r="I2006" s="397" t="n"/>
      <c r="J2006" s="397" t="n"/>
      <c r="K2006" s="395">
        <f>DATE(VALUE(LEFT(A2006,4)),VALUE(MID(A2006,5,2)),VALUE(RIGHT(A2006,2)))</f>
        <v/>
      </c>
      <c r="L2006" s="395">
        <f>DATEVALUE(LEFT(F2006,10))</f>
        <v/>
      </c>
      <c r="M2006" s="396">
        <f>TIMEVALUE(MID(F2006,12,8))</f>
        <v/>
      </c>
      <c r="N2006" s="395">
        <f>DATEVALUE(LEFT(G2006,10))</f>
        <v/>
      </c>
      <c r="O2006" s="396">
        <f>TIMEVALUE(MID(G2006,12,8))</f>
        <v/>
      </c>
      <c r="P2006" s="396">
        <f>IFERROR(_xlfn.MINIFS($M:$M,$E:$E,$E2006,$K:$K,$K2006,$M:$M,"&gt;"&amp;$O2006),"")</f>
        <v/>
      </c>
      <c r="Q2006" s="396">
        <f>IF($P2006="","",$P2006-$O2006)</f>
        <v/>
      </c>
    </row>
    <row r="2007" ht="15" customHeight="1" s="231">
      <c r="A2007" s="397" t="n"/>
      <c r="B2007" s="397" t="n"/>
      <c r="C2007" s="397" t="n"/>
      <c r="D2007" s="397" t="n"/>
      <c r="E2007" s="397" t="n"/>
      <c r="F2007" s="397" t="n"/>
      <c r="G2007" s="397" t="n"/>
      <c r="I2007" s="397" t="n"/>
      <c r="J2007" s="397" t="n"/>
      <c r="K2007" s="395">
        <f>DATE(VALUE(LEFT(A2007,4)),VALUE(MID(A2007,5,2)),VALUE(RIGHT(A2007,2)))</f>
        <v/>
      </c>
      <c r="L2007" s="395">
        <f>DATEVALUE(LEFT(F2007,10))</f>
        <v/>
      </c>
      <c r="M2007" s="396">
        <f>TIMEVALUE(MID(F2007,12,8))</f>
        <v/>
      </c>
      <c r="N2007" s="395">
        <f>DATEVALUE(LEFT(G2007,10))</f>
        <v/>
      </c>
      <c r="O2007" s="396">
        <f>TIMEVALUE(MID(G2007,12,8))</f>
        <v/>
      </c>
      <c r="P2007" s="396">
        <f>IFERROR(_xlfn.MINIFS($M:$M,$E:$E,$E2007,$K:$K,$K2007,$M:$M,"&gt;"&amp;$O2007),"")</f>
        <v/>
      </c>
      <c r="Q2007" s="396">
        <f>IF($P2007="","",$P2007-$O2007)</f>
        <v/>
      </c>
    </row>
    <row r="2008" ht="15" customHeight="1" s="231">
      <c r="A2008" s="397" t="n"/>
      <c r="B2008" s="397" t="n"/>
      <c r="C2008" s="397" t="n"/>
      <c r="D2008" s="397" t="n"/>
      <c r="E2008" s="397" t="n"/>
      <c r="F2008" s="397" t="n"/>
      <c r="G2008" s="397" t="n"/>
      <c r="I2008" s="397" t="n"/>
      <c r="J2008" s="397" t="n"/>
      <c r="K2008" s="395">
        <f>DATE(VALUE(LEFT(A2008,4)),VALUE(MID(A2008,5,2)),VALUE(RIGHT(A2008,2)))</f>
        <v/>
      </c>
      <c r="L2008" s="395">
        <f>DATEVALUE(LEFT(F2008,10))</f>
        <v/>
      </c>
      <c r="M2008" s="396">
        <f>TIMEVALUE(MID(F2008,12,8))</f>
        <v/>
      </c>
      <c r="N2008" s="395">
        <f>DATEVALUE(LEFT(G2008,10))</f>
        <v/>
      </c>
      <c r="O2008" s="396">
        <f>TIMEVALUE(MID(G2008,12,8))</f>
        <v/>
      </c>
      <c r="P2008" s="396">
        <f>IFERROR(_xlfn.MINIFS($M:$M,$E:$E,$E2008,$K:$K,$K2008,$M:$M,"&gt;"&amp;$O2008),"")</f>
        <v/>
      </c>
      <c r="Q2008" s="396">
        <f>IF($P2008="","",$P2008-$O2008)</f>
        <v/>
      </c>
    </row>
    <row r="2009" ht="15" customHeight="1" s="231">
      <c r="A2009" s="397" t="n"/>
      <c r="B2009" s="397" t="n"/>
      <c r="C2009" s="397" t="n"/>
      <c r="D2009" s="397" t="n"/>
      <c r="E2009" s="397" t="n"/>
      <c r="F2009" s="397" t="n"/>
      <c r="G2009" s="397" t="n"/>
      <c r="I2009" s="397" t="n"/>
      <c r="J2009" s="397" t="n"/>
      <c r="K2009" s="395">
        <f>DATE(VALUE(LEFT(A2009,4)),VALUE(MID(A2009,5,2)),VALUE(RIGHT(A2009,2)))</f>
        <v/>
      </c>
      <c r="L2009" s="395">
        <f>DATEVALUE(LEFT(F2009,10))</f>
        <v/>
      </c>
      <c r="M2009" s="396">
        <f>TIMEVALUE(MID(F2009,12,8))</f>
        <v/>
      </c>
      <c r="N2009" s="395">
        <f>DATEVALUE(LEFT(G2009,10))</f>
        <v/>
      </c>
      <c r="O2009" s="396">
        <f>TIMEVALUE(MID(G2009,12,8))</f>
        <v/>
      </c>
      <c r="P2009" s="396">
        <f>IFERROR(_xlfn.MINIFS($M:$M,$E:$E,$E2009,$K:$K,$K2009,$M:$M,"&gt;"&amp;$O2009),"")</f>
        <v/>
      </c>
      <c r="Q2009" s="396">
        <f>IF($P2009="","",$P2009-$O2009)</f>
        <v/>
      </c>
    </row>
    <row r="2010" ht="15" customHeight="1" s="231">
      <c r="A2010" s="397" t="n"/>
      <c r="B2010" s="397" t="n"/>
      <c r="C2010" s="397" t="n"/>
      <c r="D2010" s="397" t="n"/>
      <c r="E2010" s="397" t="n"/>
      <c r="F2010" s="397" t="n"/>
      <c r="G2010" s="397" t="n"/>
      <c r="I2010" s="397" t="n"/>
      <c r="J2010" s="397" t="n"/>
      <c r="K2010" s="395">
        <f>DATE(VALUE(LEFT(A2010,4)),VALUE(MID(A2010,5,2)),VALUE(RIGHT(A2010,2)))</f>
        <v/>
      </c>
      <c r="L2010" s="395">
        <f>DATEVALUE(LEFT(F2010,10))</f>
        <v/>
      </c>
      <c r="M2010" s="396">
        <f>TIMEVALUE(MID(F2010,12,8))</f>
        <v/>
      </c>
      <c r="N2010" s="395">
        <f>DATEVALUE(LEFT(G2010,10))</f>
        <v/>
      </c>
      <c r="O2010" s="396">
        <f>TIMEVALUE(MID(G2010,12,8))</f>
        <v/>
      </c>
      <c r="P2010" s="396">
        <f>IFERROR(_xlfn.MINIFS($M:$M,$E:$E,$E2010,$K:$K,$K2010,$M:$M,"&gt;"&amp;$O2010),"")</f>
        <v/>
      </c>
      <c r="Q2010" s="396">
        <f>IF($P2010="","",$P2010-$O2010)</f>
        <v/>
      </c>
    </row>
    <row r="2011" ht="15" customHeight="1" s="231">
      <c r="A2011" s="397" t="n"/>
      <c r="B2011" s="397" t="n"/>
      <c r="C2011" s="397" t="n"/>
      <c r="D2011" s="397" t="n"/>
      <c r="E2011" s="397" t="n"/>
      <c r="F2011" s="397" t="n"/>
      <c r="G2011" s="397" t="n"/>
      <c r="I2011" s="397" t="n"/>
      <c r="J2011" s="397" t="n"/>
      <c r="K2011" s="395">
        <f>DATE(VALUE(LEFT(A2011,4)),VALUE(MID(A2011,5,2)),VALUE(RIGHT(A2011,2)))</f>
        <v/>
      </c>
      <c r="L2011" s="395">
        <f>DATEVALUE(LEFT(F2011,10))</f>
        <v/>
      </c>
      <c r="M2011" s="396">
        <f>TIMEVALUE(MID(F2011,12,8))</f>
        <v/>
      </c>
      <c r="N2011" s="395">
        <f>DATEVALUE(LEFT(G2011,10))</f>
        <v/>
      </c>
      <c r="O2011" s="396">
        <f>TIMEVALUE(MID(G2011,12,8))</f>
        <v/>
      </c>
      <c r="P2011" s="396">
        <f>IFERROR(_xlfn.MINIFS($M:$M,$E:$E,$E2011,$K:$K,$K2011,$M:$M,"&gt;"&amp;$O2011),"")</f>
        <v/>
      </c>
      <c r="Q2011" s="396">
        <f>IF($P2011="","",$P2011-$O2011)</f>
        <v/>
      </c>
    </row>
    <row r="2012" ht="15" customHeight="1" s="231">
      <c r="A2012" s="397" t="n"/>
      <c r="B2012" s="397" t="n"/>
      <c r="C2012" s="397" t="n"/>
      <c r="D2012" s="397" t="n"/>
      <c r="E2012" s="397" t="n"/>
      <c r="F2012" s="397" t="n"/>
      <c r="G2012" s="397" t="n"/>
      <c r="I2012" s="397" t="n"/>
      <c r="J2012" s="397" t="n"/>
      <c r="K2012" s="395">
        <f>DATE(VALUE(LEFT(A2012,4)),VALUE(MID(A2012,5,2)),VALUE(RIGHT(A2012,2)))</f>
        <v/>
      </c>
      <c r="L2012" s="395">
        <f>DATEVALUE(LEFT(F2012,10))</f>
        <v/>
      </c>
      <c r="M2012" s="396">
        <f>TIMEVALUE(MID(F2012,12,8))</f>
        <v/>
      </c>
      <c r="N2012" s="395">
        <f>DATEVALUE(LEFT(G2012,10))</f>
        <v/>
      </c>
      <c r="O2012" s="396">
        <f>TIMEVALUE(MID(G2012,12,8))</f>
        <v/>
      </c>
      <c r="P2012" s="396">
        <f>IFERROR(_xlfn.MINIFS($M:$M,$E:$E,$E2012,$K:$K,$K2012,$M:$M,"&gt;"&amp;$O2012),"")</f>
        <v/>
      </c>
      <c r="Q2012" s="396">
        <f>IF($P2012="","",$P2012-$O2012)</f>
        <v/>
      </c>
    </row>
    <row r="2013" ht="15" customHeight="1" s="231">
      <c r="A2013" s="397" t="n"/>
      <c r="B2013" s="397" t="n"/>
      <c r="C2013" s="397" t="n"/>
      <c r="D2013" s="397" t="n"/>
      <c r="E2013" s="397" t="n"/>
      <c r="F2013" s="397" t="n"/>
      <c r="G2013" s="397" t="n"/>
      <c r="I2013" s="397" t="n"/>
      <c r="J2013" s="397" t="n"/>
      <c r="K2013" s="395">
        <f>DATE(VALUE(LEFT(A2013,4)),VALUE(MID(A2013,5,2)),VALUE(RIGHT(A2013,2)))</f>
        <v/>
      </c>
      <c r="L2013" s="395">
        <f>DATEVALUE(LEFT(F2013,10))</f>
        <v/>
      </c>
      <c r="M2013" s="396">
        <f>TIMEVALUE(MID(F2013,12,8))</f>
        <v/>
      </c>
      <c r="N2013" s="395">
        <f>DATEVALUE(LEFT(G2013,10))</f>
        <v/>
      </c>
      <c r="O2013" s="396">
        <f>TIMEVALUE(MID(G2013,12,8))</f>
        <v/>
      </c>
      <c r="P2013" s="396">
        <f>IFERROR(_xlfn.MINIFS($M:$M,$E:$E,$E2013,$K:$K,$K2013,$M:$M,"&gt;"&amp;$O2013),"")</f>
        <v/>
      </c>
      <c r="Q2013" s="396">
        <f>IF($P2013="","",$P2013-$O2013)</f>
        <v/>
      </c>
    </row>
    <row r="2014" ht="15" customHeight="1" s="231">
      <c r="A2014" s="397" t="n"/>
      <c r="B2014" s="397" t="n"/>
      <c r="C2014" s="397" t="n"/>
      <c r="D2014" s="397" t="n"/>
      <c r="E2014" s="397" t="n"/>
      <c r="F2014" s="397" t="n"/>
      <c r="G2014" s="397" t="n"/>
      <c r="I2014" s="397" t="n"/>
      <c r="J2014" s="397" t="n"/>
      <c r="K2014" s="395">
        <f>DATE(VALUE(LEFT(A2014,4)),VALUE(MID(A2014,5,2)),VALUE(RIGHT(A2014,2)))</f>
        <v/>
      </c>
      <c r="L2014" s="395">
        <f>DATEVALUE(LEFT(F2014,10))</f>
        <v/>
      </c>
      <c r="M2014" s="396">
        <f>TIMEVALUE(MID(F2014,12,8))</f>
        <v/>
      </c>
      <c r="N2014" s="395">
        <f>DATEVALUE(LEFT(G2014,10))</f>
        <v/>
      </c>
      <c r="O2014" s="396">
        <f>TIMEVALUE(MID(G2014,12,8))</f>
        <v/>
      </c>
      <c r="P2014" s="396">
        <f>IFERROR(_xlfn.MINIFS($M:$M,$E:$E,$E2014,$K:$K,$K2014,$M:$M,"&gt;"&amp;$O2014),"")</f>
        <v/>
      </c>
      <c r="Q2014" s="396">
        <f>IF($P2014="","",$P2014-$O2014)</f>
        <v/>
      </c>
    </row>
    <row r="2015" ht="15" customHeight="1" s="231">
      <c r="A2015" s="397" t="n"/>
      <c r="B2015" s="397" t="n"/>
      <c r="C2015" s="397" t="n"/>
      <c r="D2015" s="397" t="n"/>
      <c r="E2015" s="397" t="n"/>
      <c r="F2015" s="397" t="n"/>
      <c r="G2015" s="397" t="n"/>
      <c r="I2015" s="397" t="n"/>
      <c r="J2015" s="397" t="n"/>
      <c r="K2015" s="395">
        <f>DATE(VALUE(LEFT(A2015,4)),VALUE(MID(A2015,5,2)),VALUE(RIGHT(A2015,2)))</f>
        <v/>
      </c>
      <c r="L2015" s="395">
        <f>DATEVALUE(LEFT(F2015,10))</f>
        <v/>
      </c>
      <c r="M2015" s="396">
        <f>TIMEVALUE(MID(F2015,12,8))</f>
        <v/>
      </c>
      <c r="N2015" s="395">
        <f>DATEVALUE(LEFT(G2015,10))</f>
        <v/>
      </c>
      <c r="O2015" s="396">
        <f>TIMEVALUE(MID(G2015,12,8))</f>
        <v/>
      </c>
      <c r="P2015" s="396">
        <f>IFERROR(_xlfn.MINIFS($M:$M,$E:$E,$E2015,$K:$K,$K2015,$M:$M,"&gt;"&amp;$O2015),"")</f>
        <v/>
      </c>
      <c r="Q2015" s="396">
        <f>IF($P2015="","",$P2015-$O2015)</f>
        <v/>
      </c>
    </row>
    <row r="2016" ht="15" customHeight="1" s="231">
      <c r="A2016" s="397" t="n"/>
      <c r="B2016" s="397" t="n"/>
      <c r="C2016" s="397" t="n"/>
      <c r="D2016" s="397" t="n"/>
      <c r="E2016" s="397" t="n"/>
      <c r="F2016" s="397" t="n"/>
      <c r="G2016" s="397" t="n"/>
      <c r="I2016" s="397" t="n"/>
      <c r="J2016" s="397" t="n"/>
      <c r="K2016" s="395">
        <f>DATE(VALUE(LEFT(A2016,4)),VALUE(MID(A2016,5,2)),VALUE(RIGHT(A2016,2)))</f>
        <v/>
      </c>
      <c r="L2016" s="395">
        <f>DATEVALUE(LEFT(F2016,10))</f>
        <v/>
      </c>
      <c r="M2016" s="396">
        <f>TIMEVALUE(MID(F2016,12,8))</f>
        <v/>
      </c>
      <c r="N2016" s="395">
        <f>DATEVALUE(LEFT(G2016,10))</f>
        <v/>
      </c>
      <c r="O2016" s="396">
        <f>TIMEVALUE(MID(G2016,12,8))</f>
        <v/>
      </c>
      <c r="P2016" s="396">
        <f>IFERROR(_xlfn.MINIFS($M:$M,$E:$E,$E2016,$K:$K,$K2016,$M:$M,"&gt;"&amp;$O2016),"")</f>
        <v/>
      </c>
      <c r="Q2016" s="396">
        <f>IF($P2016="","",$P2016-$O2016)</f>
        <v/>
      </c>
    </row>
    <row r="2017" ht="15" customHeight="1" s="231">
      <c r="A2017" s="397" t="n"/>
      <c r="B2017" s="397" t="n"/>
      <c r="C2017" s="397" t="n"/>
      <c r="D2017" s="397" t="n"/>
      <c r="E2017" s="397" t="n"/>
      <c r="F2017" s="397" t="n"/>
      <c r="G2017" s="397" t="n"/>
      <c r="I2017" s="397" t="n"/>
      <c r="J2017" s="397" t="n"/>
      <c r="K2017" s="395">
        <f>DATE(VALUE(LEFT(A2017,4)),VALUE(MID(A2017,5,2)),VALUE(RIGHT(A2017,2)))</f>
        <v/>
      </c>
      <c r="L2017" s="395">
        <f>DATEVALUE(LEFT(F2017,10))</f>
        <v/>
      </c>
      <c r="M2017" s="396">
        <f>TIMEVALUE(MID(F2017,12,8))</f>
        <v/>
      </c>
      <c r="N2017" s="395">
        <f>DATEVALUE(LEFT(G2017,10))</f>
        <v/>
      </c>
      <c r="O2017" s="396">
        <f>TIMEVALUE(MID(G2017,12,8))</f>
        <v/>
      </c>
      <c r="P2017" s="396">
        <f>IFERROR(_xlfn.MINIFS($M:$M,$E:$E,$E2017,$K:$K,$K2017,$M:$M,"&gt;"&amp;$O2017),"")</f>
        <v/>
      </c>
      <c r="Q2017" s="396">
        <f>IF($P2017="","",$P2017-$O2017)</f>
        <v/>
      </c>
    </row>
    <row r="2018" ht="15" customHeight="1" s="231">
      <c r="A2018" s="397" t="n"/>
      <c r="B2018" s="397" t="n"/>
      <c r="C2018" s="397" t="n"/>
      <c r="D2018" s="397" t="n"/>
      <c r="E2018" s="397" t="n"/>
      <c r="F2018" s="397" t="n"/>
      <c r="G2018" s="397" t="n"/>
      <c r="I2018" s="397" t="n"/>
      <c r="J2018" s="397" t="n"/>
      <c r="K2018" s="395">
        <f>DATE(VALUE(LEFT(A2018,4)),VALUE(MID(A2018,5,2)),VALUE(RIGHT(A2018,2)))</f>
        <v/>
      </c>
      <c r="L2018" s="395">
        <f>DATEVALUE(LEFT(F2018,10))</f>
        <v/>
      </c>
      <c r="M2018" s="396">
        <f>TIMEVALUE(MID(F2018,12,8))</f>
        <v/>
      </c>
      <c r="N2018" s="395">
        <f>DATEVALUE(LEFT(G2018,10))</f>
        <v/>
      </c>
      <c r="O2018" s="396">
        <f>TIMEVALUE(MID(G2018,12,8))</f>
        <v/>
      </c>
      <c r="P2018" s="396">
        <f>IFERROR(_xlfn.MINIFS($M:$M,$E:$E,$E2018,$K:$K,$K2018,$M:$M,"&gt;"&amp;$O2018),"")</f>
        <v/>
      </c>
      <c r="Q2018" s="396">
        <f>IF($P2018="","",$P2018-$O2018)</f>
        <v/>
      </c>
    </row>
    <row r="2019" ht="15" customHeight="1" s="231">
      <c r="A2019" s="397" t="n"/>
      <c r="B2019" s="397" t="n"/>
      <c r="C2019" s="397" t="n"/>
      <c r="D2019" s="397" t="n"/>
      <c r="E2019" s="397" t="n"/>
      <c r="F2019" s="397" t="n"/>
      <c r="G2019" s="397" t="n"/>
      <c r="I2019" s="397" t="n"/>
      <c r="J2019" s="397" t="n"/>
      <c r="K2019" s="395">
        <f>DATE(VALUE(LEFT(A2019,4)),VALUE(MID(A2019,5,2)),VALUE(RIGHT(A2019,2)))</f>
        <v/>
      </c>
      <c r="L2019" s="395">
        <f>DATEVALUE(LEFT(F2019,10))</f>
        <v/>
      </c>
      <c r="M2019" s="396">
        <f>TIMEVALUE(MID(F2019,12,8))</f>
        <v/>
      </c>
      <c r="N2019" s="395">
        <f>DATEVALUE(LEFT(G2019,10))</f>
        <v/>
      </c>
      <c r="O2019" s="396">
        <f>TIMEVALUE(MID(G2019,12,8))</f>
        <v/>
      </c>
      <c r="P2019" s="396">
        <f>IFERROR(_xlfn.MINIFS($M:$M,$E:$E,$E2019,$K:$K,$K2019,$M:$M,"&gt;"&amp;$O2019),"")</f>
        <v/>
      </c>
      <c r="Q2019" s="396">
        <f>IF($P2019="","",$P2019-$O2019)</f>
        <v/>
      </c>
    </row>
    <row r="2020" ht="15" customHeight="1" s="231">
      <c r="A2020" s="397" t="n"/>
      <c r="B2020" s="397" t="n"/>
      <c r="C2020" s="397" t="n"/>
      <c r="D2020" s="397" t="n"/>
      <c r="E2020" s="397" t="n"/>
      <c r="F2020" s="397" t="n"/>
      <c r="G2020" s="397" t="n"/>
      <c r="I2020" s="397" t="n"/>
      <c r="J2020" s="397" t="n"/>
      <c r="K2020" s="395">
        <f>DATE(VALUE(LEFT(A2020,4)),VALUE(MID(A2020,5,2)),VALUE(RIGHT(A2020,2)))</f>
        <v/>
      </c>
      <c r="L2020" s="395">
        <f>DATEVALUE(LEFT(F2020,10))</f>
        <v/>
      </c>
      <c r="M2020" s="396">
        <f>TIMEVALUE(MID(F2020,12,8))</f>
        <v/>
      </c>
      <c r="N2020" s="395">
        <f>DATEVALUE(LEFT(G2020,10))</f>
        <v/>
      </c>
      <c r="O2020" s="396">
        <f>TIMEVALUE(MID(G2020,12,8))</f>
        <v/>
      </c>
      <c r="P2020" s="396">
        <f>IFERROR(_xlfn.MINIFS($M:$M,$E:$E,$E2020,$K:$K,$K2020,$M:$M,"&gt;"&amp;$O2020),"")</f>
        <v/>
      </c>
      <c r="Q2020" s="396">
        <f>IF($P2020="","",$P2020-$O2020)</f>
        <v/>
      </c>
    </row>
    <row r="2021" ht="15" customHeight="1" s="231">
      <c r="A2021" s="397" t="n"/>
      <c r="B2021" s="397" t="n"/>
      <c r="C2021" s="397" t="n"/>
      <c r="D2021" s="397" t="n"/>
      <c r="E2021" s="397" t="n"/>
      <c r="F2021" s="397" t="n"/>
      <c r="G2021" s="397" t="n"/>
      <c r="I2021" s="397" t="n"/>
      <c r="J2021" s="397" t="n"/>
      <c r="K2021" s="395">
        <f>DATE(VALUE(LEFT(A2021,4)),VALUE(MID(A2021,5,2)),VALUE(RIGHT(A2021,2)))</f>
        <v/>
      </c>
      <c r="L2021" s="395">
        <f>DATEVALUE(LEFT(F2021,10))</f>
        <v/>
      </c>
      <c r="M2021" s="396">
        <f>TIMEVALUE(MID(F2021,12,8))</f>
        <v/>
      </c>
      <c r="N2021" s="395">
        <f>DATEVALUE(LEFT(G2021,10))</f>
        <v/>
      </c>
      <c r="O2021" s="396">
        <f>TIMEVALUE(MID(G2021,12,8))</f>
        <v/>
      </c>
      <c r="P2021" s="396">
        <f>IFERROR(_xlfn.MINIFS($M:$M,$E:$E,$E2021,$K:$K,$K2021,$M:$M,"&gt;"&amp;$O2021),"")</f>
        <v/>
      </c>
      <c r="Q2021" s="396">
        <f>IF($P2021="","",$P2021-$O2021)</f>
        <v/>
      </c>
    </row>
    <row r="2022" ht="15" customHeight="1" s="231">
      <c r="A2022" s="397" t="n"/>
      <c r="B2022" s="397" t="n"/>
      <c r="C2022" s="397" t="n"/>
      <c r="D2022" s="397" t="n"/>
      <c r="E2022" s="397" t="n"/>
      <c r="F2022" s="397" t="n"/>
      <c r="G2022" s="397" t="n"/>
      <c r="I2022" s="397" t="n"/>
      <c r="J2022" s="397" t="n"/>
      <c r="K2022" s="395">
        <f>DATE(VALUE(LEFT(A2022,4)),VALUE(MID(A2022,5,2)),VALUE(RIGHT(A2022,2)))</f>
        <v/>
      </c>
      <c r="L2022" s="395">
        <f>DATEVALUE(LEFT(F2022,10))</f>
        <v/>
      </c>
      <c r="M2022" s="396">
        <f>TIMEVALUE(MID(F2022,12,8))</f>
        <v/>
      </c>
      <c r="N2022" s="395">
        <f>DATEVALUE(LEFT(G2022,10))</f>
        <v/>
      </c>
      <c r="O2022" s="396">
        <f>TIMEVALUE(MID(G2022,12,8))</f>
        <v/>
      </c>
      <c r="P2022" s="396">
        <f>IFERROR(_xlfn.MINIFS($M:$M,$E:$E,$E2022,$K:$K,$K2022,$M:$M,"&gt;"&amp;$O2022),"")</f>
        <v/>
      </c>
      <c r="Q2022" s="396">
        <f>IF($P2022="","",$P2022-$O2022)</f>
        <v/>
      </c>
    </row>
    <row r="2023" ht="15" customHeight="1" s="231">
      <c r="A2023" s="397" t="n"/>
      <c r="B2023" s="397" t="n"/>
      <c r="C2023" s="397" t="n"/>
      <c r="D2023" s="397" t="n"/>
      <c r="E2023" s="397" t="n"/>
      <c r="F2023" s="397" t="n"/>
      <c r="G2023" s="397" t="n"/>
      <c r="I2023" s="397" t="n"/>
      <c r="J2023" s="397" t="n"/>
      <c r="K2023" s="395">
        <f>DATE(VALUE(LEFT(A2023,4)),VALUE(MID(A2023,5,2)),VALUE(RIGHT(A2023,2)))</f>
        <v/>
      </c>
      <c r="L2023" s="395">
        <f>DATEVALUE(LEFT(F2023,10))</f>
        <v/>
      </c>
      <c r="M2023" s="396">
        <f>TIMEVALUE(MID(F2023,12,8))</f>
        <v/>
      </c>
      <c r="N2023" s="395">
        <f>DATEVALUE(LEFT(G2023,10))</f>
        <v/>
      </c>
      <c r="O2023" s="396">
        <f>TIMEVALUE(MID(G2023,12,8))</f>
        <v/>
      </c>
      <c r="P2023" s="396">
        <f>IFERROR(_xlfn.MINIFS($M:$M,$E:$E,$E2023,$K:$K,$K2023,$M:$M,"&gt;"&amp;$O2023),"")</f>
        <v/>
      </c>
      <c r="Q2023" s="396">
        <f>IF($P2023="","",$P2023-$O2023)</f>
        <v/>
      </c>
    </row>
    <row r="2024" ht="15" customHeight="1" s="231">
      <c r="A2024" s="397" t="n"/>
      <c r="B2024" s="397" t="n"/>
      <c r="C2024" s="397" t="n"/>
      <c r="D2024" s="397" t="n"/>
      <c r="E2024" s="397" t="n"/>
      <c r="F2024" s="397" t="n"/>
      <c r="G2024" s="397" t="n"/>
      <c r="I2024" s="397" t="n"/>
      <c r="J2024" s="397" t="n"/>
      <c r="K2024" s="395">
        <f>DATE(VALUE(LEFT(A2024,4)),VALUE(MID(A2024,5,2)),VALUE(RIGHT(A2024,2)))</f>
        <v/>
      </c>
      <c r="L2024" s="395">
        <f>DATEVALUE(LEFT(F2024,10))</f>
        <v/>
      </c>
      <c r="M2024" s="396">
        <f>TIMEVALUE(MID(F2024,12,8))</f>
        <v/>
      </c>
      <c r="N2024" s="395">
        <f>DATEVALUE(LEFT(G2024,10))</f>
        <v/>
      </c>
      <c r="O2024" s="396">
        <f>TIMEVALUE(MID(G2024,12,8))</f>
        <v/>
      </c>
      <c r="P2024" s="396">
        <f>IFERROR(_xlfn.MINIFS($M:$M,$E:$E,$E2024,$K:$K,$K2024,$M:$M,"&gt;"&amp;$O2024),"")</f>
        <v/>
      </c>
      <c r="Q2024" s="396">
        <f>IF($P2024="","",$P2024-$O2024)</f>
        <v/>
      </c>
    </row>
    <row r="2025" ht="15" customHeight="1" s="231">
      <c r="A2025" s="397" t="n"/>
      <c r="B2025" s="397" t="n"/>
      <c r="C2025" s="397" t="n"/>
      <c r="D2025" s="397" t="n"/>
      <c r="E2025" s="397" t="n"/>
      <c r="F2025" s="397" t="n"/>
      <c r="G2025" s="397" t="n"/>
      <c r="I2025" s="397" t="n"/>
      <c r="J2025" s="397" t="n"/>
      <c r="K2025" s="395">
        <f>DATE(VALUE(LEFT(A2025,4)),VALUE(MID(A2025,5,2)),VALUE(RIGHT(A2025,2)))</f>
        <v/>
      </c>
      <c r="L2025" s="395">
        <f>DATEVALUE(LEFT(F2025,10))</f>
        <v/>
      </c>
      <c r="M2025" s="396">
        <f>TIMEVALUE(MID(F2025,12,8))</f>
        <v/>
      </c>
      <c r="N2025" s="395">
        <f>DATEVALUE(LEFT(G2025,10))</f>
        <v/>
      </c>
      <c r="O2025" s="396">
        <f>TIMEVALUE(MID(G2025,12,8))</f>
        <v/>
      </c>
      <c r="P2025" s="396">
        <f>IFERROR(_xlfn.MINIFS($M:$M,$E:$E,$E2025,$K:$K,$K2025,$M:$M,"&gt;"&amp;$O2025),"")</f>
        <v/>
      </c>
      <c r="Q2025" s="396">
        <f>IF($P2025="","",$P2025-$O2025)</f>
        <v/>
      </c>
    </row>
    <row r="2026" ht="15" customHeight="1" s="231">
      <c r="A2026" s="397" t="n"/>
      <c r="B2026" s="397" t="n"/>
      <c r="C2026" s="397" t="n"/>
      <c r="D2026" s="397" t="n"/>
      <c r="E2026" s="397" t="n"/>
      <c r="F2026" s="397" t="n"/>
      <c r="G2026" s="397" t="n"/>
      <c r="I2026" s="397" t="n"/>
      <c r="J2026" s="397" t="n"/>
      <c r="K2026" s="395">
        <f>DATE(VALUE(LEFT(A2026,4)),VALUE(MID(A2026,5,2)),VALUE(RIGHT(A2026,2)))</f>
        <v/>
      </c>
      <c r="L2026" s="395">
        <f>DATEVALUE(LEFT(F2026,10))</f>
        <v/>
      </c>
      <c r="M2026" s="396">
        <f>TIMEVALUE(MID(F2026,12,8))</f>
        <v/>
      </c>
      <c r="N2026" s="395">
        <f>DATEVALUE(LEFT(G2026,10))</f>
        <v/>
      </c>
      <c r="O2026" s="396">
        <f>TIMEVALUE(MID(G2026,12,8))</f>
        <v/>
      </c>
      <c r="P2026" s="396">
        <f>IFERROR(_xlfn.MINIFS($M:$M,$E:$E,$E2026,$K:$K,$K2026,$M:$M,"&gt;"&amp;$O2026),"")</f>
        <v/>
      </c>
      <c r="Q2026" s="396">
        <f>IF($P2026="","",$P2026-$O2026)</f>
        <v/>
      </c>
    </row>
    <row r="2027" ht="15" customHeight="1" s="231">
      <c r="A2027" s="397" t="n"/>
      <c r="B2027" s="397" t="n"/>
      <c r="C2027" s="397" t="n"/>
      <c r="D2027" s="397" t="n"/>
      <c r="E2027" s="397" t="n"/>
      <c r="F2027" s="397" t="n"/>
      <c r="G2027" s="397" t="n"/>
      <c r="I2027" s="397" t="n"/>
      <c r="J2027" s="397" t="n"/>
      <c r="K2027" s="395">
        <f>DATE(VALUE(LEFT(A2027,4)),VALUE(MID(A2027,5,2)),VALUE(RIGHT(A2027,2)))</f>
        <v/>
      </c>
      <c r="L2027" s="395">
        <f>DATEVALUE(LEFT(F2027,10))</f>
        <v/>
      </c>
      <c r="M2027" s="396">
        <f>TIMEVALUE(MID(F2027,12,8))</f>
        <v/>
      </c>
      <c r="N2027" s="395">
        <f>DATEVALUE(LEFT(G2027,10))</f>
        <v/>
      </c>
      <c r="O2027" s="396">
        <f>TIMEVALUE(MID(G2027,12,8))</f>
        <v/>
      </c>
      <c r="P2027" s="396">
        <f>IFERROR(_xlfn.MINIFS($M:$M,$E:$E,$E2027,$K:$K,$K2027,$M:$M,"&gt;"&amp;$O2027),"")</f>
        <v/>
      </c>
      <c r="Q2027" s="396">
        <f>IF($P2027="","",$P2027-$O2027)</f>
        <v/>
      </c>
    </row>
    <row r="2028" ht="15" customHeight="1" s="231">
      <c r="A2028" s="397" t="n"/>
      <c r="B2028" s="397" t="n"/>
      <c r="C2028" s="397" t="n"/>
      <c r="D2028" s="397" t="n"/>
      <c r="E2028" s="397" t="n"/>
      <c r="F2028" s="397" t="n"/>
      <c r="G2028" s="397" t="n"/>
      <c r="I2028" s="397" t="n"/>
      <c r="J2028" s="397" t="n"/>
      <c r="K2028" s="395">
        <f>DATE(VALUE(LEFT(A2028,4)),VALUE(MID(A2028,5,2)),VALUE(RIGHT(A2028,2)))</f>
        <v/>
      </c>
      <c r="L2028" s="395">
        <f>DATEVALUE(LEFT(F2028,10))</f>
        <v/>
      </c>
      <c r="M2028" s="396">
        <f>TIMEVALUE(MID(F2028,12,8))</f>
        <v/>
      </c>
      <c r="N2028" s="395">
        <f>DATEVALUE(LEFT(G2028,10))</f>
        <v/>
      </c>
      <c r="O2028" s="396">
        <f>TIMEVALUE(MID(G2028,12,8))</f>
        <v/>
      </c>
      <c r="P2028" s="396">
        <f>IFERROR(_xlfn.MINIFS($M:$M,$E:$E,$E2028,$K:$K,$K2028,$M:$M,"&gt;"&amp;$O2028),"")</f>
        <v/>
      </c>
      <c r="Q2028" s="396">
        <f>IF($P2028="","",$P2028-$O2028)</f>
        <v/>
      </c>
    </row>
    <row r="2029" ht="15" customHeight="1" s="231">
      <c r="A2029" s="397" t="n"/>
      <c r="B2029" s="397" t="n"/>
      <c r="C2029" s="397" t="n"/>
      <c r="D2029" s="397" t="n"/>
      <c r="E2029" s="397" t="n"/>
      <c r="F2029" s="397" t="n"/>
      <c r="G2029" s="397" t="n"/>
      <c r="I2029" s="397" t="n"/>
      <c r="J2029" s="397" t="n"/>
      <c r="K2029" s="395">
        <f>DATE(VALUE(LEFT(A2029,4)),VALUE(MID(A2029,5,2)),VALUE(RIGHT(A2029,2)))</f>
        <v/>
      </c>
      <c r="L2029" s="395">
        <f>DATEVALUE(LEFT(F2029,10))</f>
        <v/>
      </c>
      <c r="M2029" s="396">
        <f>TIMEVALUE(MID(F2029,12,8))</f>
        <v/>
      </c>
      <c r="N2029" s="395">
        <f>DATEVALUE(LEFT(G2029,10))</f>
        <v/>
      </c>
      <c r="O2029" s="396">
        <f>TIMEVALUE(MID(G2029,12,8))</f>
        <v/>
      </c>
      <c r="P2029" s="396">
        <f>IFERROR(_xlfn.MINIFS($M:$M,$E:$E,$E2029,$K:$K,$K2029,$M:$M,"&gt;"&amp;$O2029),"")</f>
        <v/>
      </c>
      <c r="Q2029" s="396">
        <f>IF($P2029="","",$P2029-$O2029)</f>
        <v/>
      </c>
    </row>
    <row r="2030" ht="15" customHeight="1" s="231">
      <c r="A2030" s="397" t="n"/>
      <c r="B2030" s="397" t="n"/>
      <c r="C2030" s="397" t="n"/>
      <c r="D2030" s="397" t="n"/>
      <c r="E2030" s="397" t="n"/>
      <c r="F2030" s="397" t="n"/>
      <c r="G2030" s="397" t="n"/>
      <c r="I2030" s="397" t="n"/>
      <c r="J2030" s="397" t="n"/>
      <c r="K2030" s="395">
        <f>DATE(VALUE(LEFT(A2030,4)),VALUE(MID(A2030,5,2)),VALUE(RIGHT(A2030,2)))</f>
        <v/>
      </c>
      <c r="L2030" s="395">
        <f>DATEVALUE(LEFT(F2030,10))</f>
        <v/>
      </c>
      <c r="M2030" s="396">
        <f>TIMEVALUE(MID(F2030,12,8))</f>
        <v/>
      </c>
      <c r="N2030" s="395">
        <f>DATEVALUE(LEFT(G2030,10))</f>
        <v/>
      </c>
      <c r="O2030" s="396">
        <f>TIMEVALUE(MID(G2030,12,8))</f>
        <v/>
      </c>
      <c r="P2030" s="396">
        <f>IFERROR(_xlfn.MINIFS($M:$M,$E:$E,$E2030,$K:$K,$K2030,$M:$M,"&gt;"&amp;$O2030),"")</f>
        <v/>
      </c>
      <c r="Q2030" s="396">
        <f>IF($P2030="","",$P2030-$O2030)</f>
        <v/>
      </c>
    </row>
    <row r="2031" ht="15" customHeight="1" s="231">
      <c r="A2031" s="397" t="n"/>
      <c r="B2031" s="397" t="n"/>
      <c r="C2031" s="397" t="n"/>
      <c r="D2031" s="397" t="n"/>
      <c r="E2031" s="397" t="n"/>
      <c r="F2031" s="397" t="n"/>
      <c r="G2031" s="397" t="n"/>
      <c r="I2031" s="397" t="n"/>
      <c r="J2031" s="397" t="n"/>
      <c r="K2031" s="395">
        <f>DATE(VALUE(LEFT(A2031,4)),VALUE(MID(A2031,5,2)),VALUE(RIGHT(A2031,2)))</f>
        <v/>
      </c>
      <c r="L2031" s="395">
        <f>DATEVALUE(LEFT(F2031,10))</f>
        <v/>
      </c>
      <c r="M2031" s="396">
        <f>TIMEVALUE(MID(F2031,12,8))</f>
        <v/>
      </c>
      <c r="N2031" s="395">
        <f>DATEVALUE(LEFT(G2031,10))</f>
        <v/>
      </c>
      <c r="O2031" s="396">
        <f>TIMEVALUE(MID(G2031,12,8))</f>
        <v/>
      </c>
      <c r="P2031" s="396">
        <f>IFERROR(_xlfn.MINIFS($M:$M,$E:$E,$E2031,$K:$K,$K2031,$M:$M,"&gt;"&amp;$O2031),"")</f>
        <v/>
      </c>
      <c r="Q2031" s="396">
        <f>IF($P2031="","",$P2031-$O2031)</f>
        <v/>
      </c>
    </row>
    <row r="2032" ht="15" customHeight="1" s="231">
      <c r="A2032" s="397" t="n"/>
      <c r="B2032" s="397" t="n"/>
      <c r="C2032" s="397" t="n"/>
      <c r="D2032" s="397" t="n"/>
      <c r="E2032" s="397" t="n"/>
      <c r="F2032" s="397" t="n"/>
      <c r="G2032" s="397" t="n"/>
      <c r="I2032" s="397" t="n"/>
      <c r="J2032" s="397" t="n"/>
      <c r="K2032" s="395">
        <f>DATE(VALUE(LEFT(A2032,4)),VALUE(MID(A2032,5,2)),VALUE(RIGHT(A2032,2)))</f>
        <v/>
      </c>
      <c r="L2032" s="395">
        <f>DATEVALUE(LEFT(F2032,10))</f>
        <v/>
      </c>
      <c r="M2032" s="396">
        <f>TIMEVALUE(MID(F2032,12,8))</f>
        <v/>
      </c>
      <c r="N2032" s="395">
        <f>DATEVALUE(LEFT(G2032,10))</f>
        <v/>
      </c>
      <c r="O2032" s="396">
        <f>TIMEVALUE(MID(G2032,12,8))</f>
        <v/>
      </c>
      <c r="P2032" s="396">
        <f>IFERROR(_xlfn.MINIFS($M:$M,$E:$E,$E2032,$K:$K,$K2032,$M:$M,"&gt;"&amp;$O2032),"")</f>
        <v/>
      </c>
      <c r="Q2032" s="396">
        <f>IF($P2032="","",$P2032-$O2032)</f>
        <v/>
      </c>
    </row>
    <row r="2033" ht="15" customHeight="1" s="231">
      <c r="A2033" s="397" t="n"/>
      <c r="B2033" s="397" t="n"/>
      <c r="C2033" s="397" t="n"/>
      <c r="D2033" s="397" t="n"/>
      <c r="E2033" s="397" t="n"/>
      <c r="F2033" s="397" t="n"/>
      <c r="G2033" s="397" t="n"/>
      <c r="I2033" s="397" t="n"/>
      <c r="J2033" s="397" t="n"/>
      <c r="K2033" s="395">
        <f>DATE(VALUE(LEFT(A2033,4)),VALUE(MID(A2033,5,2)),VALUE(RIGHT(A2033,2)))</f>
        <v/>
      </c>
      <c r="L2033" s="395">
        <f>DATEVALUE(LEFT(F2033,10))</f>
        <v/>
      </c>
      <c r="M2033" s="396">
        <f>TIMEVALUE(MID(F2033,12,8))</f>
        <v/>
      </c>
      <c r="N2033" s="395">
        <f>DATEVALUE(LEFT(G2033,10))</f>
        <v/>
      </c>
      <c r="O2033" s="396">
        <f>TIMEVALUE(MID(G2033,12,8))</f>
        <v/>
      </c>
      <c r="P2033" s="396">
        <f>IFERROR(_xlfn.MINIFS($M:$M,$E:$E,$E2033,$K:$K,$K2033,$M:$M,"&gt;"&amp;$O2033),"")</f>
        <v/>
      </c>
      <c r="Q2033" s="396">
        <f>IF($P2033="","",$P2033-$O2033)</f>
        <v/>
      </c>
    </row>
    <row r="2034" ht="15" customHeight="1" s="231">
      <c r="A2034" s="397" t="n"/>
      <c r="B2034" s="397" t="n"/>
      <c r="C2034" s="397" t="n"/>
      <c r="D2034" s="397" t="n"/>
      <c r="E2034" s="397" t="n"/>
      <c r="F2034" s="397" t="n"/>
      <c r="G2034" s="397" t="n"/>
      <c r="I2034" s="397" t="n"/>
      <c r="J2034" s="397" t="n"/>
      <c r="K2034" s="395">
        <f>DATE(VALUE(LEFT(A2034,4)),VALUE(MID(A2034,5,2)),VALUE(RIGHT(A2034,2)))</f>
        <v/>
      </c>
      <c r="L2034" s="395">
        <f>DATEVALUE(LEFT(F2034,10))</f>
        <v/>
      </c>
      <c r="M2034" s="396">
        <f>TIMEVALUE(MID(F2034,12,8))</f>
        <v/>
      </c>
      <c r="N2034" s="395">
        <f>DATEVALUE(LEFT(G2034,10))</f>
        <v/>
      </c>
      <c r="O2034" s="396">
        <f>TIMEVALUE(MID(G2034,12,8))</f>
        <v/>
      </c>
      <c r="P2034" s="396">
        <f>IFERROR(_xlfn.MINIFS($M:$M,$E:$E,$E2034,$K:$K,$K2034,$M:$M,"&gt;"&amp;$O2034),"")</f>
        <v/>
      </c>
      <c r="Q2034" s="396">
        <f>IF($P2034="","",$P2034-$O2034)</f>
        <v/>
      </c>
    </row>
    <row r="2035" ht="15" customHeight="1" s="231">
      <c r="A2035" s="397" t="n"/>
      <c r="B2035" s="397" t="n"/>
      <c r="C2035" s="397" t="n"/>
      <c r="D2035" s="397" t="n"/>
      <c r="E2035" s="397" t="n"/>
      <c r="F2035" s="397" t="n"/>
      <c r="G2035" s="397" t="n"/>
      <c r="I2035" s="397" t="n"/>
      <c r="J2035" s="397" t="n"/>
      <c r="K2035" s="395">
        <f>DATE(VALUE(LEFT(A2035,4)),VALUE(MID(A2035,5,2)),VALUE(RIGHT(A2035,2)))</f>
        <v/>
      </c>
      <c r="L2035" s="395">
        <f>DATEVALUE(LEFT(F2035,10))</f>
        <v/>
      </c>
      <c r="M2035" s="396">
        <f>TIMEVALUE(MID(F2035,12,8))</f>
        <v/>
      </c>
      <c r="N2035" s="395">
        <f>DATEVALUE(LEFT(G2035,10))</f>
        <v/>
      </c>
      <c r="O2035" s="396">
        <f>TIMEVALUE(MID(G2035,12,8))</f>
        <v/>
      </c>
      <c r="P2035" s="396">
        <f>IFERROR(_xlfn.MINIFS($M:$M,$E:$E,$E2035,$K:$K,$K2035,$M:$M,"&gt;"&amp;$O2035),"")</f>
        <v/>
      </c>
      <c r="Q2035" s="396">
        <f>IF($P2035="","",$P2035-$O2035)</f>
        <v/>
      </c>
    </row>
    <row r="2036" ht="15" customHeight="1" s="231">
      <c r="A2036" s="397" t="n"/>
      <c r="B2036" s="397" t="n"/>
      <c r="C2036" s="397" t="n"/>
      <c r="D2036" s="397" t="n"/>
      <c r="E2036" s="397" t="n"/>
      <c r="F2036" s="397" t="n"/>
      <c r="G2036" s="397" t="n"/>
      <c r="I2036" s="397" t="n"/>
      <c r="J2036" s="397" t="n"/>
      <c r="K2036" s="395">
        <f>DATE(VALUE(LEFT(A2036,4)),VALUE(MID(A2036,5,2)),VALUE(RIGHT(A2036,2)))</f>
        <v/>
      </c>
      <c r="L2036" s="395">
        <f>DATEVALUE(LEFT(F2036,10))</f>
        <v/>
      </c>
      <c r="M2036" s="396">
        <f>TIMEVALUE(MID(F2036,12,8))</f>
        <v/>
      </c>
      <c r="N2036" s="395">
        <f>DATEVALUE(LEFT(G2036,10))</f>
        <v/>
      </c>
      <c r="O2036" s="396">
        <f>TIMEVALUE(MID(G2036,12,8))</f>
        <v/>
      </c>
      <c r="P2036" s="396">
        <f>IFERROR(_xlfn.MINIFS($M:$M,$E:$E,$E2036,$K:$K,$K2036,$M:$M,"&gt;"&amp;$O2036),"")</f>
        <v/>
      </c>
      <c r="Q2036" s="396">
        <f>IF($P2036="","",$P2036-$O2036)</f>
        <v/>
      </c>
    </row>
    <row r="2037" ht="15" customHeight="1" s="231">
      <c r="A2037" s="397" t="n"/>
      <c r="B2037" s="397" t="n"/>
      <c r="C2037" s="397" t="n"/>
      <c r="D2037" s="397" t="n"/>
      <c r="E2037" s="397" t="n"/>
      <c r="F2037" s="397" t="n"/>
      <c r="G2037" s="397" t="n"/>
      <c r="I2037" s="397" t="n"/>
      <c r="J2037" s="397" t="n"/>
      <c r="K2037" s="395">
        <f>DATE(VALUE(LEFT(A2037,4)),VALUE(MID(A2037,5,2)),VALUE(RIGHT(A2037,2)))</f>
        <v/>
      </c>
      <c r="L2037" s="395">
        <f>DATEVALUE(LEFT(F2037,10))</f>
        <v/>
      </c>
      <c r="M2037" s="396">
        <f>TIMEVALUE(MID(F2037,12,8))</f>
        <v/>
      </c>
      <c r="N2037" s="395">
        <f>DATEVALUE(LEFT(G2037,10))</f>
        <v/>
      </c>
      <c r="O2037" s="396">
        <f>TIMEVALUE(MID(G2037,12,8))</f>
        <v/>
      </c>
      <c r="P2037" s="396">
        <f>IFERROR(_xlfn.MINIFS($M:$M,$E:$E,$E2037,$K:$K,$K2037,$M:$M,"&gt;"&amp;$O2037),"")</f>
        <v/>
      </c>
      <c r="Q2037" s="396">
        <f>IF($P2037="","",$P2037-$O2037)</f>
        <v/>
      </c>
    </row>
    <row r="2038" ht="15" customHeight="1" s="231">
      <c r="A2038" s="397" t="n"/>
      <c r="B2038" s="397" t="n"/>
      <c r="C2038" s="397" t="n"/>
      <c r="D2038" s="397" t="n"/>
      <c r="E2038" s="397" t="n"/>
      <c r="F2038" s="397" t="n"/>
      <c r="G2038" s="397" t="n"/>
      <c r="I2038" s="397" t="n"/>
      <c r="J2038" s="397" t="n"/>
      <c r="K2038" s="395">
        <f>DATE(VALUE(LEFT(A2038,4)),VALUE(MID(A2038,5,2)),VALUE(RIGHT(A2038,2)))</f>
        <v/>
      </c>
      <c r="L2038" s="395">
        <f>DATEVALUE(LEFT(F2038,10))</f>
        <v/>
      </c>
      <c r="M2038" s="396">
        <f>TIMEVALUE(MID(F2038,12,8))</f>
        <v/>
      </c>
      <c r="N2038" s="395">
        <f>DATEVALUE(LEFT(G2038,10))</f>
        <v/>
      </c>
      <c r="O2038" s="396">
        <f>TIMEVALUE(MID(G2038,12,8))</f>
        <v/>
      </c>
      <c r="P2038" s="396">
        <f>IFERROR(_xlfn.MINIFS($M:$M,$E:$E,$E2038,$K:$K,$K2038,$M:$M,"&gt;"&amp;$O2038),"")</f>
        <v/>
      </c>
      <c r="Q2038" s="396">
        <f>IF($P2038="","",$P2038-$O2038)</f>
        <v/>
      </c>
    </row>
    <row r="2039" ht="15" customHeight="1" s="231">
      <c r="A2039" s="397" t="n"/>
      <c r="B2039" s="397" t="n"/>
      <c r="C2039" s="397" t="n"/>
      <c r="D2039" s="397" t="n"/>
      <c r="E2039" s="397" t="n"/>
      <c r="F2039" s="397" t="n"/>
      <c r="G2039" s="397" t="n"/>
      <c r="I2039" s="397" t="n"/>
      <c r="J2039" s="397" t="n"/>
      <c r="K2039" s="395">
        <f>DATE(VALUE(LEFT(A2039,4)),VALUE(MID(A2039,5,2)),VALUE(RIGHT(A2039,2)))</f>
        <v/>
      </c>
      <c r="L2039" s="395">
        <f>DATEVALUE(LEFT(F2039,10))</f>
        <v/>
      </c>
      <c r="M2039" s="396">
        <f>TIMEVALUE(MID(F2039,12,8))</f>
        <v/>
      </c>
      <c r="N2039" s="395">
        <f>DATEVALUE(LEFT(G2039,10))</f>
        <v/>
      </c>
      <c r="O2039" s="396">
        <f>TIMEVALUE(MID(G2039,12,8))</f>
        <v/>
      </c>
      <c r="P2039" s="396">
        <f>IFERROR(_xlfn.MINIFS($M:$M,$E:$E,$E2039,$K:$K,$K2039,$M:$M,"&gt;"&amp;$O2039),"")</f>
        <v/>
      </c>
      <c r="Q2039" s="396">
        <f>IF($P2039="","",$P2039-$O2039)</f>
        <v/>
      </c>
    </row>
    <row r="2040" ht="15" customHeight="1" s="231">
      <c r="A2040" s="397" t="n"/>
      <c r="B2040" s="397" t="n"/>
      <c r="C2040" s="397" t="n"/>
      <c r="D2040" s="397" t="n"/>
      <c r="E2040" s="397" t="n"/>
      <c r="F2040" s="397" t="n"/>
      <c r="G2040" s="397" t="n"/>
      <c r="I2040" s="397" t="n"/>
      <c r="J2040" s="397" t="n"/>
      <c r="K2040" s="395">
        <f>DATE(VALUE(LEFT(A2040,4)),VALUE(MID(A2040,5,2)),VALUE(RIGHT(A2040,2)))</f>
        <v/>
      </c>
      <c r="L2040" s="395">
        <f>DATEVALUE(LEFT(F2040,10))</f>
        <v/>
      </c>
      <c r="M2040" s="396">
        <f>TIMEVALUE(MID(F2040,12,8))</f>
        <v/>
      </c>
      <c r="N2040" s="395">
        <f>DATEVALUE(LEFT(G2040,10))</f>
        <v/>
      </c>
      <c r="O2040" s="396">
        <f>TIMEVALUE(MID(G2040,12,8))</f>
        <v/>
      </c>
      <c r="P2040" s="396">
        <f>IFERROR(_xlfn.MINIFS($M:$M,$E:$E,$E2040,$K:$K,$K2040,$M:$M,"&gt;"&amp;$O2040),"")</f>
        <v/>
      </c>
      <c r="Q2040" s="396">
        <f>IF($P2040="","",$P2040-$O2040)</f>
        <v/>
      </c>
    </row>
    <row r="2041" ht="15" customHeight="1" s="231">
      <c r="A2041" s="397" t="n"/>
      <c r="B2041" s="397" t="n"/>
      <c r="C2041" s="397" t="n"/>
      <c r="D2041" s="397" t="n"/>
      <c r="E2041" s="397" t="n"/>
      <c r="F2041" s="397" t="n"/>
      <c r="G2041" s="397" t="n"/>
      <c r="I2041" s="397" t="n"/>
      <c r="J2041" s="397" t="n"/>
      <c r="K2041" s="395">
        <f>DATE(VALUE(LEFT(A2041,4)),VALUE(MID(A2041,5,2)),VALUE(RIGHT(A2041,2)))</f>
        <v/>
      </c>
      <c r="L2041" s="395">
        <f>DATEVALUE(LEFT(F2041,10))</f>
        <v/>
      </c>
      <c r="M2041" s="396">
        <f>TIMEVALUE(MID(F2041,12,8))</f>
        <v/>
      </c>
      <c r="N2041" s="395">
        <f>DATEVALUE(LEFT(G2041,10))</f>
        <v/>
      </c>
      <c r="O2041" s="396">
        <f>TIMEVALUE(MID(G2041,12,8))</f>
        <v/>
      </c>
      <c r="P2041" s="396">
        <f>IFERROR(_xlfn.MINIFS($M:$M,$E:$E,$E2041,$K:$K,$K2041,$M:$M,"&gt;"&amp;$O2041),"")</f>
        <v/>
      </c>
      <c r="Q2041" s="396">
        <f>IF($P2041="","",$P2041-$O2041)</f>
        <v/>
      </c>
    </row>
    <row r="2042" ht="15" customHeight="1" s="231">
      <c r="A2042" s="397" t="n"/>
      <c r="B2042" s="397" t="n"/>
      <c r="C2042" s="397" t="n"/>
      <c r="D2042" s="397" t="n"/>
      <c r="E2042" s="397" t="n"/>
      <c r="F2042" s="397" t="n"/>
      <c r="G2042" s="397" t="n"/>
      <c r="I2042" s="397" t="n"/>
      <c r="J2042" s="397" t="n"/>
      <c r="K2042" s="395">
        <f>DATE(VALUE(LEFT(A2042,4)),VALUE(MID(A2042,5,2)),VALUE(RIGHT(A2042,2)))</f>
        <v/>
      </c>
      <c r="L2042" s="395">
        <f>DATEVALUE(LEFT(F2042,10))</f>
        <v/>
      </c>
      <c r="M2042" s="396">
        <f>TIMEVALUE(MID(F2042,12,8))</f>
        <v/>
      </c>
      <c r="N2042" s="395">
        <f>DATEVALUE(LEFT(G2042,10))</f>
        <v/>
      </c>
      <c r="O2042" s="396">
        <f>TIMEVALUE(MID(G2042,12,8))</f>
        <v/>
      </c>
      <c r="P2042" s="396">
        <f>IFERROR(_xlfn.MINIFS($M:$M,$E:$E,$E2042,$K:$K,$K2042,$M:$M,"&gt;"&amp;$O2042),"")</f>
        <v/>
      </c>
      <c r="Q2042" s="396">
        <f>IF($P2042="","",$P2042-$O2042)</f>
        <v/>
      </c>
    </row>
    <row r="2043" ht="15" customHeight="1" s="231">
      <c r="A2043" s="397" t="n"/>
      <c r="B2043" s="397" t="n"/>
      <c r="C2043" s="397" t="n"/>
      <c r="D2043" s="397" t="n"/>
      <c r="E2043" s="397" t="n"/>
      <c r="F2043" s="397" t="n"/>
      <c r="G2043" s="397" t="n"/>
      <c r="I2043" s="397" t="n"/>
      <c r="J2043" s="397" t="n"/>
      <c r="K2043" s="395">
        <f>DATE(VALUE(LEFT(A2043,4)),VALUE(MID(A2043,5,2)),VALUE(RIGHT(A2043,2)))</f>
        <v/>
      </c>
      <c r="L2043" s="395">
        <f>DATEVALUE(LEFT(F2043,10))</f>
        <v/>
      </c>
      <c r="M2043" s="396">
        <f>TIMEVALUE(MID(F2043,12,8))</f>
        <v/>
      </c>
      <c r="N2043" s="395">
        <f>DATEVALUE(LEFT(G2043,10))</f>
        <v/>
      </c>
      <c r="O2043" s="396">
        <f>TIMEVALUE(MID(G2043,12,8))</f>
        <v/>
      </c>
      <c r="P2043" s="396">
        <f>IFERROR(_xlfn.MINIFS($M:$M,$E:$E,$E2043,$K:$K,$K2043,$M:$M,"&gt;"&amp;$O2043),"")</f>
        <v/>
      </c>
      <c r="Q2043" s="396">
        <f>IF($P2043="","",$P2043-$O2043)</f>
        <v/>
      </c>
    </row>
    <row r="2044" ht="15" customHeight="1" s="231">
      <c r="A2044" s="397" t="n"/>
      <c r="B2044" s="397" t="n"/>
      <c r="C2044" s="397" t="n"/>
      <c r="D2044" s="397" t="n"/>
      <c r="E2044" s="397" t="n"/>
      <c r="F2044" s="397" t="n"/>
      <c r="G2044" s="397" t="n"/>
      <c r="I2044" s="397" t="n"/>
      <c r="J2044" s="397" t="n"/>
      <c r="K2044" s="395">
        <f>DATE(VALUE(LEFT(A2044,4)),VALUE(MID(A2044,5,2)),VALUE(RIGHT(A2044,2)))</f>
        <v/>
      </c>
      <c r="L2044" s="395">
        <f>DATEVALUE(LEFT(F2044,10))</f>
        <v/>
      </c>
      <c r="M2044" s="396">
        <f>TIMEVALUE(MID(F2044,12,8))</f>
        <v/>
      </c>
      <c r="N2044" s="395">
        <f>DATEVALUE(LEFT(G2044,10))</f>
        <v/>
      </c>
      <c r="O2044" s="396">
        <f>TIMEVALUE(MID(G2044,12,8))</f>
        <v/>
      </c>
      <c r="P2044" s="396">
        <f>IFERROR(_xlfn.MINIFS($M:$M,$E:$E,$E2044,$K:$K,$K2044,$M:$M,"&gt;"&amp;$O2044),"")</f>
        <v/>
      </c>
      <c r="Q2044" s="396">
        <f>IF($P2044="","",$P2044-$O2044)</f>
        <v/>
      </c>
    </row>
    <row r="2045" ht="15" customHeight="1" s="231">
      <c r="A2045" s="397" t="n"/>
      <c r="B2045" s="397" t="n"/>
      <c r="C2045" s="397" t="n"/>
      <c r="D2045" s="397" t="n"/>
      <c r="E2045" s="397" t="n"/>
      <c r="F2045" s="397" t="n"/>
      <c r="G2045" s="397" t="n"/>
      <c r="I2045" s="397" t="n"/>
      <c r="J2045" s="397" t="n"/>
      <c r="K2045" s="395">
        <f>DATE(VALUE(LEFT(A2045,4)),VALUE(MID(A2045,5,2)),VALUE(RIGHT(A2045,2)))</f>
        <v/>
      </c>
      <c r="L2045" s="395">
        <f>DATEVALUE(LEFT(F2045,10))</f>
        <v/>
      </c>
      <c r="M2045" s="396">
        <f>TIMEVALUE(MID(F2045,12,8))</f>
        <v/>
      </c>
      <c r="N2045" s="395">
        <f>DATEVALUE(LEFT(G2045,10))</f>
        <v/>
      </c>
      <c r="O2045" s="396">
        <f>TIMEVALUE(MID(G2045,12,8))</f>
        <v/>
      </c>
      <c r="P2045" s="396">
        <f>IFERROR(_xlfn.MINIFS($M:$M,$E:$E,$E2045,$K:$K,$K2045,$M:$M,"&gt;"&amp;$O2045),"")</f>
        <v/>
      </c>
      <c r="Q2045" s="396">
        <f>IF($P2045="","",$P2045-$O2045)</f>
        <v/>
      </c>
    </row>
    <row r="2046" ht="15" customHeight="1" s="231">
      <c r="A2046" s="397" t="n"/>
      <c r="B2046" s="397" t="n"/>
      <c r="C2046" s="397" t="n"/>
      <c r="D2046" s="397" t="n"/>
      <c r="E2046" s="397" t="n"/>
      <c r="F2046" s="397" t="n"/>
      <c r="G2046" s="397" t="n"/>
      <c r="I2046" s="397" t="n"/>
      <c r="J2046" s="397" t="n"/>
      <c r="K2046" s="395">
        <f>DATE(VALUE(LEFT(A2046,4)),VALUE(MID(A2046,5,2)),VALUE(RIGHT(A2046,2)))</f>
        <v/>
      </c>
      <c r="L2046" s="395">
        <f>DATEVALUE(LEFT(F2046,10))</f>
        <v/>
      </c>
      <c r="M2046" s="396">
        <f>TIMEVALUE(MID(F2046,12,8))</f>
        <v/>
      </c>
      <c r="N2046" s="395">
        <f>DATEVALUE(LEFT(G2046,10))</f>
        <v/>
      </c>
      <c r="O2046" s="396">
        <f>TIMEVALUE(MID(G2046,12,8))</f>
        <v/>
      </c>
      <c r="P2046" s="396">
        <f>IFERROR(_xlfn.MINIFS($M:$M,$E:$E,$E2046,$K:$K,$K2046,$M:$M,"&gt;"&amp;$O2046),"")</f>
        <v/>
      </c>
      <c r="Q2046" s="396">
        <f>IF($P2046="","",$P2046-$O2046)</f>
        <v/>
      </c>
    </row>
    <row r="2047" ht="15" customHeight="1" s="231">
      <c r="A2047" s="397" t="n"/>
      <c r="B2047" s="397" t="n"/>
      <c r="C2047" s="397" t="n"/>
      <c r="D2047" s="397" t="n"/>
      <c r="E2047" s="397" t="n"/>
      <c r="F2047" s="397" t="n"/>
      <c r="G2047" s="397" t="n"/>
      <c r="I2047" s="397" t="n"/>
      <c r="J2047" s="397" t="n"/>
      <c r="K2047" s="395">
        <f>DATE(VALUE(LEFT(A2047,4)),VALUE(MID(A2047,5,2)),VALUE(RIGHT(A2047,2)))</f>
        <v/>
      </c>
      <c r="L2047" s="395">
        <f>DATEVALUE(LEFT(F2047,10))</f>
        <v/>
      </c>
      <c r="M2047" s="396">
        <f>TIMEVALUE(MID(F2047,12,8))</f>
        <v/>
      </c>
      <c r="N2047" s="395">
        <f>DATEVALUE(LEFT(G2047,10))</f>
        <v/>
      </c>
      <c r="O2047" s="396">
        <f>TIMEVALUE(MID(G2047,12,8))</f>
        <v/>
      </c>
      <c r="P2047" s="396">
        <f>IFERROR(_xlfn.MINIFS($M:$M,$E:$E,$E2047,$K:$K,$K2047,$M:$M,"&gt;"&amp;$O2047),"")</f>
        <v/>
      </c>
      <c r="Q2047" s="396">
        <f>IF($P2047="","",$P2047-$O2047)</f>
        <v/>
      </c>
    </row>
    <row r="2048" ht="15" customHeight="1" s="231">
      <c r="A2048" s="397" t="n"/>
      <c r="B2048" s="397" t="n"/>
      <c r="C2048" s="397" t="n"/>
      <c r="D2048" s="397" t="n"/>
      <c r="E2048" s="397" t="n"/>
      <c r="F2048" s="397" t="n"/>
      <c r="G2048" s="397" t="n"/>
      <c r="I2048" s="397" t="n"/>
      <c r="J2048" s="397" t="n"/>
      <c r="K2048" s="395">
        <f>DATE(VALUE(LEFT(A2048,4)),VALUE(MID(A2048,5,2)),VALUE(RIGHT(A2048,2)))</f>
        <v/>
      </c>
      <c r="L2048" s="395">
        <f>DATEVALUE(LEFT(F2048,10))</f>
        <v/>
      </c>
      <c r="M2048" s="396">
        <f>TIMEVALUE(MID(F2048,12,8))</f>
        <v/>
      </c>
      <c r="N2048" s="395">
        <f>DATEVALUE(LEFT(G2048,10))</f>
        <v/>
      </c>
      <c r="O2048" s="396">
        <f>TIMEVALUE(MID(G2048,12,8))</f>
        <v/>
      </c>
      <c r="P2048" s="396">
        <f>IFERROR(_xlfn.MINIFS($M:$M,$E:$E,$E2048,$K:$K,$K2048,$M:$M,"&gt;"&amp;$O2048),"")</f>
        <v/>
      </c>
      <c r="Q2048" s="396">
        <f>IF($P2048="","",$P2048-$O2048)</f>
        <v/>
      </c>
    </row>
    <row r="2049" ht="15" customHeight="1" s="231">
      <c r="A2049" s="397" t="n"/>
      <c r="B2049" s="397" t="n"/>
      <c r="C2049" s="397" t="n"/>
      <c r="D2049" s="397" t="n"/>
      <c r="E2049" s="397" t="n"/>
      <c r="F2049" s="397" t="n"/>
      <c r="G2049" s="397" t="n"/>
      <c r="I2049" s="397" t="n"/>
      <c r="J2049" s="397" t="n"/>
      <c r="K2049" s="395">
        <f>DATE(VALUE(LEFT(A2049,4)),VALUE(MID(A2049,5,2)),VALUE(RIGHT(A2049,2)))</f>
        <v/>
      </c>
      <c r="L2049" s="395">
        <f>DATEVALUE(LEFT(F2049,10))</f>
        <v/>
      </c>
      <c r="M2049" s="396">
        <f>TIMEVALUE(MID(F2049,12,8))</f>
        <v/>
      </c>
      <c r="N2049" s="395">
        <f>DATEVALUE(LEFT(G2049,10))</f>
        <v/>
      </c>
      <c r="O2049" s="396">
        <f>TIMEVALUE(MID(G2049,12,8))</f>
        <v/>
      </c>
      <c r="P2049" s="396">
        <f>IFERROR(_xlfn.MINIFS($M:$M,$E:$E,$E2049,$K:$K,$K2049,$M:$M,"&gt;"&amp;$O2049),"")</f>
        <v/>
      </c>
      <c r="Q2049" s="396">
        <f>IF($P2049="","",$P2049-$O2049)</f>
        <v/>
      </c>
    </row>
    <row r="2050" ht="15" customHeight="1" s="231">
      <c r="A2050" s="397" t="n"/>
      <c r="B2050" s="397" t="n"/>
      <c r="C2050" s="397" t="n"/>
      <c r="D2050" s="397" t="n"/>
      <c r="E2050" s="397" t="n"/>
      <c r="F2050" s="397" t="n"/>
      <c r="G2050" s="397" t="n"/>
      <c r="I2050" s="397" t="n"/>
      <c r="J2050" s="397" t="n"/>
      <c r="K2050" s="395">
        <f>DATE(VALUE(LEFT(A2050,4)),VALUE(MID(A2050,5,2)),VALUE(RIGHT(A2050,2)))</f>
        <v/>
      </c>
      <c r="L2050" s="395">
        <f>DATEVALUE(LEFT(F2050,10))</f>
        <v/>
      </c>
      <c r="M2050" s="396">
        <f>TIMEVALUE(MID(F2050,12,8))</f>
        <v/>
      </c>
      <c r="N2050" s="395">
        <f>DATEVALUE(LEFT(G2050,10))</f>
        <v/>
      </c>
      <c r="O2050" s="396">
        <f>TIMEVALUE(MID(G2050,12,8))</f>
        <v/>
      </c>
      <c r="P2050" s="396">
        <f>IFERROR(_xlfn.MINIFS($M:$M,$E:$E,$E2050,$K:$K,$K2050,$M:$M,"&gt;"&amp;$O2050),"")</f>
        <v/>
      </c>
      <c r="Q2050" s="396">
        <f>IF($P2050="","",$P2050-$O2050)</f>
        <v/>
      </c>
    </row>
    <row r="2051" ht="15" customHeight="1" s="231">
      <c r="A2051" s="397" t="n"/>
      <c r="B2051" s="397" t="n"/>
      <c r="C2051" s="397" t="n"/>
      <c r="D2051" s="397" t="n"/>
      <c r="E2051" s="397" t="n"/>
      <c r="F2051" s="397" t="n"/>
      <c r="G2051" s="397" t="n"/>
      <c r="I2051" s="397" t="n"/>
      <c r="J2051" s="397" t="n"/>
      <c r="K2051" s="395">
        <f>DATE(VALUE(LEFT(A2051,4)),VALUE(MID(A2051,5,2)),VALUE(RIGHT(A2051,2)))</f>
        <v/>
      </c>
      <c r="L2051" s="395">
        <f>DATEVALUE(LEFT(F2051,10))</f>
        <v/>
      </c>
      <c r="M2051" s="396">
        <f>TIMEVALUE(MID(F2051,12,8))</f>
        <v/>
      </c>
      <c r="N2051" s="395">
        <f>DATEVALUE(LEFT(G2051,10))</f>
        <v/>
      </c>
      <c r="O2051" s="396">
        <f>TIMEVALUE(MID(G2051,12,8))</f>
        <v/>
      </c>
      <c r="P2051" s="396">
        <f>IFERROR(_xlfn.MINIFS($M:$M,$E:$E,$E2051,$K:$K,$K2051,$M:$M,"&gt;"&amp;$O2051),"")</f>
        <v/>
      </c>
      <c r="Q2051" s="396">
        <f>IF($P2051="","",$P2051-$O2051)</f>
        <v/>
      </c>
    </row>
    <row r="2052" ht="15" customHeight="1" s="231">
      <c r="A2052" s="397" t="n"/>
      <c r="B2052" s="397" t="n"/>
      <c r="C2052" s="397" t="n"/>
      <c r="D2052" s="397" t="n"/>
      <c r="E2052" s="397" t="n"/>
      <c r="F2052" s="397" t="n"/>
      <c r="G2052" s="397" t="n"/>
      <c r="I2052" s="397" t="n"/>
      <c r="J2052" s="397" t="n"/>
      <c r="K2052" s="395">
        <f>DATE(VALUE(LEFT(A2052,4)),VALUE(MID(A2052,5,2)),VALUE(RIGHT(A2052,2)))</f>
        <v/>
      </c>
      <c r="L2052" s="395">
        <f>DATEVALUE(LEFT(F2052,10))</f>
        <v/>
      </c>
      <c r="M2052" s="396">
        <f>TIMEVALUE(MID(F2052,12,8))</f>
        <v/>
      </c>
      <c r="N2052" s="395">
        <f>DATEVALUE(LEFT(G2052,10))</f>
        <v/>
      </c>
      <c r="O2052" s="396">
        <f>TIMEVALUE(MID(G2052,12,8))</f>
        <v/>
      </c>
      <c r="P2052" s="396">
        <f>IFERROR(_xlfn.MINIFS($M:$M,$E:$E,$E2052,$K:$K,$K2052,$M:$M,"&gt;"&amp;$O2052),"")</f>
        <v/>
      </c>
      <c r="Q2052" s="396">
        <f>IF($P2052="","",$P2052-$O2052)</f>
        <v/>
      </c>
    </row>
    <row r="2053" ht="15" customHeight="1" s="231">
      <c r="A2053" s="397" t="n"/>
      <c r="B2053" s="397" t="n"/>
      <c r="C2053" s="397" t="n"/>
      <c r="D2053" s="397" t="n"/>
      <c r="E2053" s="397" t="n"/>
      <c r="F2053" s="397" t="n"/>
      <c r="G2053" s="397" t="n"/>
      <c r="I2053" s="397" t="n"/>
      <c r="J2053" s="397" t="n"/>
      <c r="K2053" s="395">
        <f>DATE(VALUE(LEFT(A2053,4)),VALUE(MID(A2053,5,2)),VALUE(RIGHT(A2053,2)))</f>
        <v/>
      </c>
      <c r="L2053" s="395">
        <f>DATEVALUE(LEFT(F2053,10))</f>
        <v/>
      </c>
      <c r="M2053" s="396">
        <f>TIMEVALUE(MID(F2053,12,8))</f>
        <v/>
      </c>
      <c r="N2053" s="395">
        <f>DATEVALUE(LEFT(G2053,10))</f>
        <v/>
      </c>
      <c r="O2053" s="396">
        <f>TIMEVALUE(MID(G2053,12,8))</f>
        <v/>
      </c>
      <c r="P2053" s="396">
        <f>IFERROR(_xlfn.MINIFS($M:$M,$E:$E,$E2053,$K:$K,$K2053,$M:$M,"&gt;"&amp;$O2053),"")</f>
        <v/>
      </c>
      <c r="Q2053" s="396">
        <f>IF($P2053="","",$P2053-$O2053)</f>
        <v/>
      </c>
    </row>
    <row r="2054" ht="15" customHeight="1" s="231">
      <c r="A2054" s="397" t="n"/>
      <c r="B2054" s="397" t="n"/>
      <c r="C2054" s="397" t="n"/>
      <c r="D2054" s="397" t="n"/>
      <c r="E2054" s="397" t="n"/>
      <c r="F2054" s="397" t="n"/>
      <c r="G2054" s="397" t="n"/>
      <c r="I2054" s="397" t="n"/>
      <c r="J2054" s="397" t="n"/>
      <c r="K2054" s="395">
        <f>DATE(VALUE(LEFT(A2054,4)),VALUE(MID(A2054,5,2)),VALUE(RIGHT(A2054,2)))</f>
        <v/>
      </c>
      <c r="L2054" s="395">
        <f>DATEVALUE(LEFT(F2054,10))</f>
        <v/>
      </c>
      <c r="M2054" s="396">
        <f>TIMEVALUE(MID(F2054,12,8))</f>
        <v/>
      </c>
      <c r="N2054" s="395">
        <f>DATEVALUE(LEFT(G2054,10))</f>
        <v/>
      </c>
      <c r="O2054" s="396">
        <f>TIMEVALUE(MID(G2054,12,8))</f>
        <v/>
      </c>
      <c r="P2054" s="396">
        <f>IFERROR(_xlfn.MINIFS($M:$M,$E:$E,$E2054,$K:$K,$K2054,$M:$M,"&gt;"&amp;$O2054),"")</f>
        <v/>
      </c>
      <c r="Q2054" s="396">
        <f>IF($P2054="","",$P2054-$O2054)</f>
        <v/>
      </c>
    </row>
    <row r="2055" ht="15" customHeight="1" s="231">
      <c r="A2055" s="397" t="n"/>
      <c r="B2055" s="397" t="n"/>
      <c r="C2055" s="397" t="n"/>
      <c r="D2055" s="397" t="n"/>
      <c r="E2055" s="397" t="n"/>
      <c r="F2055" s="397" t="n"/>
      <c r="G2055" s="397" t="n"/>
      <c r="I2055" s="397" t="n"/>
      <c r="J2055" s="397" t="n"/>
      <c r="K2055" s="395">
        <f>DATE(VALUE(LEFT(A2055,4)),VALUE(MID(A2055,5,2)),VALUE(RIGHT(A2055,2)))</f>
        <v/>
      </c>
      <c r="L2055" s="395">
        <f>DATEVALUE(LEFT(F2055,10))</f>
        <v/>
      </c>
      <c r="M2055" s="396">
        <f>TIMEVALUE(MID(F2055,12,8))</f>
        <v/>
      </c>
      <c r="N2055" s="395">
        <f>DATEVALUE(LEFT(G2055,10))</f>
        <v/>
      </c>
      <c r="O2055" s="396">
        <f>TIMEVALUE(MID(G2055,12,8))</f>
        <v/>
      </c>
      <c r="P2055" s="396">
        <f>IFERROR(_xlfn.MINIFS($M:$M,$E:$E,$E2055,$K:$K,$K2055,$M:$M,"&gt;"&amp;$O2055),"")</f>
        <v/>
      </c>
      <c r="Q2055" s="396">
        <f>IF($P2055="","",$P2055-$O2055)</f>
        <v/>
      </c>
    </row>
    <row r="2056" ht="15" customHeight="1" s="231">
      <c r="A2056" s="397" t="n"/>
      <c r="B2056" s="397" t="n"/>
      <c r="C2056" s="397" t="n"/>
      <c r="D2056" s="397" t="n"/>
      <c r="E2056" s="397" t="n"/>
      <c r="F2056" s="397" t="n"/>
      <c r="G2056" s="397" t="n"/>
      <c r="I2056" s="397" t="n"/>
      <c r="J2056" s="397" t="n"/>
      <c r="K2056" s="395">
        <f>DATE(VALUE(LEFT(A2056,4)),VALUE(MID(A2056,5,2)),VALUE(RIGHT(A2056,2)))</f>
        <v/>
      </c>
      <c r="L2056" s="395">
        <f>DATEVALUE(LEFT(F2056,10))</f>
        <v/>
      </c>
      <c r="M2056" s="396">
        <f>TIMEVALUE(MID(F2056,12,8))</f>
        <v/>
      </c>
      <c r="N2056" s="395">
        <f>DATEVALUE(LEFT(G2056,10))</f>
        <v/>
      </c>
      <c r="O2056" s="396">
        <f>TIMEVALUE(MID(G2056,12,8))</f>
        <v/>
      </c>
      <c r="P2056" s="396">
        <f>IFERROR(_xlfn.MINIFS($M:$M,$E:$E,$E2056,$K:$K,$K2056,$M:$M,"&gt;"&amp;$O2056),"")</f>
        <v/>
      </c>
      <c r="Q2056" s="396">
        <f>IF($P2056="","",$P2056-$O2056)</f>
        <v/>
      </c>
    </row>
    <row r="2057" ht="15" customHeight="1" s="231">
      <c r="A2057" s="397" t="n"/>
      <c r="B2057" s="397" t="n"/>
      <c r="C2057" s="397" t="n"/>
      <c r="D2057" s="397" t="n"/>
      <c r="E2057" s="397" t="n"/>
      <c r="F2057" s="397" t="n"/>
      <c r="G2057" s="397" t="n"/>
      <c r="I2057" s="397" t="n"/>
      <c r="J2057" s="397" t="n"/>
      <c r="K2057" s="395">
        <f>DATE(VALUE(LEFT(A2057,4)),VALUE(MID(A2057,5,2)),VALUE(RIGHT(A2057,2)))</f>
        <v/>
      </c>
      <c r="L2057" s="395">
        <f>DATEVALUE(LEFT(F2057,10))</f>
        <v/>
      </c>
      <c r="M2057" s="396">
        <f>TIMEVALUE(MID(F2057,12,8))</f>
        <v/>
      </c>
      <c r="N2057" s="395">
        <f>DATEVALUE(LEFT(G2057,10))</f>
        <v/>
      </c>
      <c r="O2057" s="396">
        <f>TIMEVALUE(MID(G2057,12,8))</f>
        <v/>
      </c>
      <c r="P2057" s="396">
        <f>IFERROR(_xlfn.MINIFS($M:$M,$E:$E,$E2057,$K:$K,$K2057,$M:$M,"&gt;"&amp;$O2057),"")</f>
        <v/>
      </c>
      <c r="Q2057" s="396">
        <f>IF($P2057="","",$P2057-$O2057)</f>
        <v/>
      </c>
    </row>
    <row r="2058" ht="15" customHeight="1" s="231">
      <c r="A2058" s="397" t="n"/>
      <c r="B2058" s="397" t="n"/>
      <c r="C2058" s="397" t="n"/>
      <c r="D2058" s="397" t="n"/>
      <c r="E2058" s="397" t="n"/>
      <c r="F2058" s="397" t="n"/>
      <c r="G2058" s="397" t="n"/>
      <c r="I2058" s="397" t="n"/>
      <c r="J2058" s="397" t="n"/>
      <c r="K2058" s="395">
        <f>DATE(VALUE(LEFT(A2058,4)),VALUE(MID(A2058,5,2)),VALUE(RIGHT(A2058,2)))</f>
        <v/>
      </c>
      <c r="L2058" s="395">
        <f>DATEVALUE(LEFT(F2058,10))</f>
        <v/>
      </c>
      <c r="M2058" s="396">
        <f>TIMEVALUE(MID(F2058,12,8))</f>
        <v/>
      </c>
      <c r="N2058" s="395">
        <f>DATEVALUE(LEFT(G2058,10))</f>
        <v/>
      </c>
      <c r="O2058" s="396">
        <f>TIMEVALUE(MID(G2058,12,8))</f>
        <v/>
      </c>
      <c r="P2058" s="396">
        <f>IFERROR(_xlfn.MINIFS($M:$M,$E:$E,$E2058,$K:$K,$K2058,$M:$M,"&gt;"&amp;$O2058),"")</f>
        <v/>
      </c>
      <c r="Q2058" s="396">
        <f>IF($P2058="","",$P2058-$O2058)</f>
        <v/>
      </c>
    </row>
    <row r="2059" ht="15" customHeight="1" s="231">
      <c r="A2059" s="397" t="n"/>
      <c r="B2059" s="397" t="n"/>
      <c r="C2059" s="397" t="n"/>
      <c r="D2059" s="397" t="n"/>
      <c r="E2059" s="397" t="n"/>
      <c r="F2059" s="397" t="n"/>
      <c r="G2059" s="397" t="n"/>
      <c r="I2059" s="397" t="n"/>
      <c r="J2059" s="397" t="n"/>
      <c r="K2059" s="395">
        <f>DATE(VALUE(LEFT(A2059,4)),VALUE(MID(A2059,5,2)),VALUE(RIGHT(A2059,2)))</f>
        <v/>
      </c>
      <c r="L2059" s="395">
        <f>DATEVALUE(LEFT(F2059,10))</f>
        <v/>
      </c>
      <c r="M2059" s="396">
        <f>TIMEVALUE(MID(F2059,12,8))</f>
        <v/>
      </c>
      <c r="N2059" s="395">
        <f>DATEVALUE(LEFT(G2059,10))</f>
        <v/>
      </c>
      <c r="O2059" s="396">
        <f>TIMEVALUE(MID(G2059,12,8))</f>
        <v/>
      </c>
      <c r="P2059" s="396">
        <f>IFERROR(_xlfn.MINIFS($M:$M,$E:$E,$E2059,$K:$K,$K2059,$M:$M,"&gt;"&amp;$O2059),"")</f>
        <v/>
      </c>
      <c r="Q2059" s="396">
        <f>IF($P2059="","",$P2059-$O2059)</f>
        <v/>
      </c>
    </row>
    <row r="2060" ht="15" customHeight="1" s="231">
      <c r="A2060" s="397" t="n"/>
      <c r="B2060" s="397" t="n"/>
      <c r="C2060" s="397" t="n"/>
      <c r="D2060" s="397" t="n"/>
      <c r="E2060" s="397" t="n"/>
      <c r="F2060" s="397" t="n"/>
      <c r="G2060" s="397" t="n"/>
      <c r="I2060" s="397" t="n"/>
      <c r="J2060" s="397" t="n"/>
      <c r="K2060" s="395">
        <f>DATE(VALUE(LEFT(A2060,4)),VALUE(MID(A2060,5,2)),VALUE(RIGHT(A2060,2)))</f>
        <v/>
      </c>
      <c r="L2060" s="395">
        <f>DATEVALUE(LEFT(F2060,10))</f>
        <v/>
      </c>
      <c r="M2060" s="396">
        <f>TIMEVALUE(MID(F2060,12,8))</f>
        <v/>
      </c>
      <c r="N2060" s="395">
        <f>DATEVALUE(LEFT(G2060,10))</f>
        <v/>
      </c>
      <c r="O2060" s="396">
        <f>TIMEVALUE(MID(G2060,12,8))</f>
        <v/>
      </c>
      <c r="P2060" s="396">
        <f>IFERROR(_xlfn.MINIFS($M:$M,$E:$E,$E2060,$K:$K,$K2060,$M:$M,"&gt;"&amp;$O2060),"")</f>
        <v/>
      </c>
      <c r="Q2060" s="396">
        <f>IF($P2060="","",$P2060-$O2060)</f>
        <v/>
      </c>
    </row>
    <row r="2061" ht="15" customHeight="1" s="231">
      <c r="A2061" s="397" t="n"/>
      <c r="B2061" s="397" t="n"/>
      <c r="C2061" s="397" t="n"/>
      <c r="D2061" s="397" t="n"/>
      <c r="E2061" s="397" t="n"/>
      <c r="F2061" s="397" t="n"/>
      <c r="G2061" s="397" t="n"/>
      <c r="I2061" s="397" t="n"/>
      <c r="J2061" s="397" t="n"/>
      <c r="K2061" s="395">
        <f>DATE(VALUE(LEFT(A2061,4)),VALUE(MID(A2061,5,2)),VALUE(RIGHT(A2061,2)))</f>
        <v/>
      </c>
      <c r="L2061" s="395">
        <f>DATEVALUE(LEFT(F2061,10))</f>
        <v/>
      </c>
      <c r="M2061" s="396">
        <f>TIMEVALUE(MID(F2061,12,8))</f>
        <v/>
      </c>
      <c r="N2061" s="395">
        <f>DATEVALUE(LEFT(G2061,10))</f>
        <v/>
      </c>
      <c r="O2061" s="396">
        <f>TIMEVALUE(MID(G2061,12,8))</f>
        <v/>
      </c>
      <c r="P2061" s="396">
        <f>IFERROR(_xlfn.MINIFS($M:$M,$E:$E,$E2061,$K:$K,$K2061,$M:$M,"&gt;"&amp;$O2061),"")</f>
        <v/>
      </c>
      <c r="Q2061" s="396">
        <f>IF($P2061="","",$P2061-$O2061)</f>
        <v/>
      </c>
    </row>
    <row r="2062" ht="15" customHeight="1" s="231">
      <c r="A2062" s="397" t="n"/>
      <c r="B2062" s="397" t="n"/>
      <c r="C2062" s="397" t="n"/>
      <c r="D2062" s="397" t="n"/>
      <c r="E2062" s="397" t="n"/>
      <c r="F2062" s="397" t="n"/>
      <c r="G2062" s="397" t="n"/>
      <c r="I2062" s="397" t="n"/>
      <c r="J2062" s="397" t="n"/>
      <c r="K2062" s="395">
        <f>DATE(VALUE(LEFT(A2062,4)),VALUE(MID(A2062,5,2)),VALUE(RIGHT(A2062,2)))</f>
        <v/>
      </c>
      <c r="L2062" s="395">
        <f>DATEVALUE(LEFT(F2062,10))</f>
        <v/>
      </c>
      <c r="M2062" s="396">
        <f>TIMEVALUE(MID(F2062,12,8))</f>
        <v/>
      </c>
      <c r="N2062" s="395">
        <f>DATEVALUE(LEFT(G2062,10))</f>
        <v/>
      </c>
      <c r="O2062" s="396">
        <f>TIMEVALUE(MID(G2062,12,8))</f>
        <v/>
      </c>
      <c r="P2062" s="396">
        <f>IFERROR(_xlfn.MINIFS($M:$M,$E:$E,$E2062,$K:$K,$K2062,$M:$M,"&gt;"&amp;$O2062),"")</f>
        <v/>
      </c>
      <c r="Q2062" s="396">
        <f>IF($P2062="","",$P2062-$O2062)</f>
        <v/>
      </c>
    </row>
    <row r="2063" ht="15" customHeight="1" s="231">
      <c r="A2063" s="397" t="n"/>
      <c r="B2063" s="397" t="n"/>
      <c r="C2063" s="397" t="n"/>
      <c r="D2063" s="397" t="n"/>
      <c r="E2063" s="397" t="n"/>
      <c r="F2063" s="397" t="n"/>
      <c r="G2063" s="397" t="n"/>
      <c r="I2063" s="397" t="n"/>
      <c r="J2063" s="397" t="n"/>
      <c r="K2063" s="395">
        <f>DATE(VALUE(LEFT(A2063,4)),VALUE(MID(A2063,5,2)),VALUE(RIGHT(A2063,2)))</f>
        <v/>
      </c>
      <c r="L2063" s="395">
        <f>DATEVALUE(LEFT(F2063,10))</f>
        <v/>
      </c>
      <c r="M2063" s="396">
        <f>TIMEVALUE(MID(F2063,12,8))</f>
        <v/>
      </c>
      <c r="N2063" s="395">
        <f>DATEVALUE(LEFT(G2063,10))</f>
        <v/>
      </c>
      <c r="O2063" s="396">
        <f>TIMEVALUE(MID(G2063,12,8))</f>
        <v/>
      </c>
      <c r="P2063" s="396">
        <f>IFERROR(_xlfn.MINIFS($M:$M,$E:$E,$E2063,$K:$K,$K2063,$M:$M,"&gt;"&amp;$O2063),"")</f>
        <v/>
      </c>
      <c r="Q2063" s="396">
        <f>IF($P2063="","",$P2063-$O2063)</f>
        <v/>
      </c>
    </row>
    <row r="2064" ht="15" customHeight="1" s="231">
      <c r="A2064" s="397" t="n"/>
      <c r="B2064" s="397" t="n"/>
      <c r="C2064" s="397" t="n"/>
      <c r="D2064" s="397" t="n"/>
      <c r="E2064" s="397" t="n"/>
      <c r="F2064" s="397" t="n"/>
      <c r="G2064" s="397" t="n"/>
      <c r="I2064" s="397" t="n"/>
      <c r="J2064" s="397" t="n"/>
      <c r="K2064" s="395">
        <f>DATE(VALUE(LEFT(A2064,4)),VALUE(MID(A2064,5,2)),VALUE(RIGHT(A2064,2)))</f>
        <v/>
      </c>
      <c r="L2064" s="395">
        <f>DATEVALUE(LEFT(F2064,10))</f>
        <v/>
      </c>
      <c r="M2064" s="396">
        <f>TIMEVALUE(MID(F2064,12,8))</f>
        <v/>
      </c>
      <c r="N2064" s="395">
        <f>DATEVALUE(LEFT(G2064,10))</f>
        <v/>
      </c>
      <c r="O2064" s="396">
        <f>TIMEVALUE(MID(G2064,12,8))</f>
        <v/>
      </c>
      <c r="P2064" s="396">
        <f>IFERROR(_xlfn.MINIFS($M:$M,$E:$E,$E2064,$K:$K,$K2064,$M:$M,"&gt;"&amp;$O2064),"")</f>
        <v/>
      </c>
      <c r="Q2064" s="396">
        <f>IF($P2064="","",$P2064-$O2064)</f>
        <v/>
      </c>
    </row>
    <row r="2065" ht="15" customHeight="1" s="231">
      <c r="A2065" s="397" t="n"/>
      <c r="B2065" s="397" t="n"/>
      <c r="C2065" s="397" t="n"/>
      <c r="D2065" s="397" t="n"/>
      <c r="E2065" s="397" t="n"/>
      <c r="F2065" s="397" t="n"/>
      <c r="G2065" s="397" t="n"/>
      <c r="I2065" s="397" t="n"/>
      <c r="J2065" s="397" t="n"/>
      <c r="K2065" s="395">
        <f>DATE(VALUE(LEFT(A2065,4)),VALUE(MID(A2065,5,2)),VALUE(RIGHT(A2065,2)))</f>
        <v/>
      </c>
      <c r="L2065" s="395">
        <f>DATEVALUE(LEFT(F2065,10))</f>
        <v/>
      </c>
      <c r="M2065" s="396">
        <f>TIMEVALUE(MID(F2065,12,8))</f>
        <v/>
      </c>
      <c r="N2065" s="395">
        <f>DATEVALUE(LEFT(G2065,10))</f>
        <v/>
      </c>
      <c r="O2065" s="396">
        <f>TIMEVALUE(MID(G2065,12,8))</f>
        <v/>
      </c>
      <c r="P2065" s="396">
        <f>IFERROR(_xlfn.MINIFS($M:$M,$E:$E,$E2065,$K:$K,$K2065,$M:$M,"&gt;"&amp;$O2065),"")</f>
        <v/>
      </c>
      <c r="Q2065" s="396">
        <f>IF($P2065="","",$P2065-$O2065)</f>
        <v/>
      </c>
    </row>
    <row r="2066" ht="15" customHeight="1" s="231">
      <c r="A2066" s="397" t="n"/>
      <c r="B2066" s="397" t="n"/>
      <c r="C2066" s="397" t="n"/>
      <c r="D2066" s="397" t="n"/>
      <c r="E2066" s="397" t="n"/>
      <c r="F2066" s="397" t="n"/>
      <c r="G2066" s="397" t="n"/>
      <c r="I2066" s="397" t="n"/>
      <c r="J2066" s="397" t="n"/>
      <c r="K2066" s="395">
        <f>DATE(VALUE(LEFT(A2066,4)),VALUE(MID(A2066,5,2)),VALUE(RIGHT(A2066,2)))</f>
        <v/>
      </c>
      <c r="L2066" s="395">
        <f>DATEVALUE(LEFT(F2066,10))</f>
        <v/>
      </c>
      <c r="M2066" s="396">
        <f>TIMEVALUE(MID(F2066,12,8))</f>
        <v/>
      </c>
      <c r="N2066" s="395">
        <f>DATEVALUE(LEFT(G2066,10))</f>
        <v/>
      </c>
      <c r="O2066" s="396">
        <f>TIMEVALUE(MID(G2066,12,8))</f>
        <v/>
      </c>
      <c r="P2066" s="396">
        <f>IFERROR(_xlfn.MINIFS($M:$M,$E:$E,$E2066,$K:$K,$K2066,$M:$M,"&gt;"&amp;$O2066),"")</f>
        <v/>
      </c>
      <c r="Q2066" s="396">
        <f>IF($P2066="","",$P2066-$O2066)</f>
        <v/>
      </c>
    </row>
    <row r="2067" ht="15" customHeight="1" s="231">
      <c r="A2067" s="397" t="n"/>
      <c r="B2067" s="397" t="n"/>
      <c r="C2067" s="397" t="n"/>
      <c r="D2067" s="397" t="n"/>
      <c r="E2067" s="397" t="n"/>
      <c r="F2067" s="397" t="n"/>
      <c r="G2067" s="397" t="n"/>
      <c r="I2067" s="397" t="n"/>
      <c r="J2067" s="397" t="n"/>
      <c r="K2067" s="395">
        <f>DATE(VALUE(LEFT(A2067,4)),VALUE(MID(A2067,5,2)),VALUE(RIGHT(A2067,2)))</f>
        <v/>
      </c>
      <c r="L2067" s="395">
        <f>DATEVALUE(LEFT(F2067,10))</f>
        <v/>
      </c>
      <c r="M2067" s="396">
        <f>TIMEVALUE(MID(F2067,12,8))</f>
        <v/>
      </c>
      <c r="N2067" s="395">
        <f>DATEVALUE(LEFT(G2067,10))</f>
        <v/>
      </c>
      <c r="O2067" s="396">
        <f>TIMEVALUE(MID(G2067,12,8))</f>
        <v/>
      </c>
      <c r="P2067" s="396">
        <f>IFERROR(_xlfn.MINIFS($M:$M,$E:$E,$E2067,$K:$K,$K2067,$M:$M,"&gt;"&amp;$O2067),"")</f>
        <v/>
      </c>
      <c r="Q2067" s="396">
        <f>IF($P2067="","",$P2067-$O2067)</f>
        <v/>
      </c>
    </row>
    <row r="2068" ht="15" customHeight="1" s="231">
      <c r="A2068" s="397" t="n"/>
      <c r="B2068" s="397" t="n"/>
      <c r="C2068" s="397" t="n"/>
      <c r="D2068" s="397" t="n"/>
      <c r="E2068" s="397" t="n"/>
      <c r="F2068" s="397" t="n"/>
      <c r="G2068" s="397" t="n"/>
      <c r="I2068" s="397" t="n"/>
      <c r="J2068" s="397" t="n"/>
      <c r="K2068" s="395">
        <f>DATE(VALUE(LEFT(A2068,4)),VALUE(MID(A2068,5,2)),VALUE(RIGHT(A2068,2)))</f>
        <v/>
      </c>
      <c r="L2068" s="395">
        <f>DATEVALUE(LEFT(F2068,10))</f>
        <v/>
      </c>
      <c r="M2068" s="396">
        <f>TIMEVALUE(MID(F2068,12,8))</f>
        <v/>
      </c>
      <c r="N2068" s="395">
        <f>DATEVALUE(LEFT(G2068,10))</f>
        <v/>
      </c>
      <c r="O2068" s="396">
        <f>TIMEVALUE(MID(G2068,12,8))</f>
        <v/>
      </c>
      <c r="P2068" s="396">
        <f>IFERROR(_xlfn.MINIFS($M:$M,$E:$E,$E2068,$K:$K,$K2068,$M:$M,"&gt;"&amp;$O2068),"")</f>
        <v/>
      </c>
      <c r="Q2068" s="396">
        <f>IF($P2068="","",$P2068-$O2068)</f>
        <v/>
      </c>
    </row>
    <row r="2069" ht="15" customHeight="1" s="231">
      <c r="A2069" s="397" t="n"/>
      <c r="B2069" s="397" t="n"/>
      <c r="C2069" s="397" t="n"/>
      <c r="D2069" s="397" t="n"/>
      <c r="E2069" s="397" t="n"/>
      <c r="F2069" s="397" t="n"/>
      <c r="G2069" s="397" t="n"/>
      <c r="I2069" s="397" t="n"/>
      <c r="J2069" s="397" t="n"/>
      <c r="K2069" s="395">
        <f>DATE(VALUE(LEFT(A2069,4)),VALUE(MID(A2069,5,2)),VALUE(RIGHT(A2069,2)))</f>
        <v/>
      </c>
      <c r="L2069" s="395">
        <f>DATEVALUE(LEFT(F2069,10))</f>
        <v/>
      </c>
      <c r="M2069" s="396">
        <f>TIMEVALUE(MID(F2069,12,8))</f>
        <v/>
      </c>
      <c r="N2069" s="395">
        <f>DATEVALUE(LEFT(G2069,10))</f>
        <v/>
      </c>
      <c r="O2069" s="396">
        <f>TIMEVALUE(MID(G2069,12,8))</f>
        <v/>
      </c>
      <c r="P2069" s="396">
        <f>IFERROR(_xlfn.MINIFS($M:$M,$E:$E,$E2069,$K:$K,$K2069,$M:$M,"&gt;"&amp;$O2069),"")</f>
        <v/>
      </c>
      <c r="Q2069" s="396">
        <f>IF($P2069="","",$P2069-$O2069)</f>
        <v/>
      </c>
    </row>
    <row r="2070" ht="15" customHeight="1" s="231">
      <c r="A2070" s="397" t="n"/>
      <c r="B2070" s="397" t="n"/>
      <c r="C2070" s="397" t="n"/>
      <c r="D2070" s="397" t="n"/>
      <c r="E2070" s="397" t="n"/>
      <c r="F2070" s="397" t="n"/>
      <c r="G2070" s="397" t="n"/>
      <c r="I2070" s="397" t="n"/>
      <c r="J2070" s="397" t="n"/>
      <c r="K2070" s="395">
        <f>DATE(VALUE(LEFT(A2070,4)),VALUE(MID(A2070,5,2)),VALUE(RIGHT(A2070,2)))</f>
        <v/>
      </c>
      <c r="L2070" s="395">
        <f>DATEVALUE(LEFT(F2070,10))</f>
        <v/>
      </c>
      <c r="M2070" s="396">
        <f>TIMEVALUE(MID(F2070,12,8))</f>
        <v/>
      </c>
      <c r="N2070" s="395">
        <f>DATEVALUE(LEFT(G2070,10))</f>
        <v/>
      </c>
      <c r="O2070" s="396">
        <f>TIMEVALUE(MID(G2070,12,8))</f>
        <v/>
      </c>
      <c r="P2070" s="396">
        <f>IFERROR(_xlfn.MINIFS($M:$M,$E:$E,$E2070,$K:$K,$K2070,$M:$M,"&gt;"&amp;$O2070),"")</f>
        <v/>
      </c>
      <c r="Q2070" s="396">
        <f>IF($P2070="","",$P2070-$O2070)</f>
        <v/>
      </c>
    </row>
    <row r="2071" ht="15" customHeight="1" s="231">
      <c r="A2071" s="397" t="n"/>
      <c r="B2071" s="397" t="n"/>
      <c r="C2071" s="397" t="n"/>
      <c r="D2071" s="397" t="n"/>
      <c r="E2071" s="397" t="n"/>
      <c r="F2071" s="397" t="n"/>
      <c r="G2071" s="397" t="n"/>
      <c r="I2071" s="397" t="n"/>
      <c r="J2071" s="397" t="n"/>
      <c r="K2071" s="395">
        <f>DATE(VALUE(LEFT(A2071,4)),VALUE(MID(A2071,5,2)),VALUE(RIGHT(A2071,2)))</f>
        <v/>
      </c>
      <c r="L2071" s="395">
        <f>DATEVALUE(LEFT(F2071,10))</f>
        <v/>
      </c>
      <c r="M2071" s="396">
        <f>TIMEVALUE(MID(F2071,12,8))</f>
        <v/>
      </c>
      <c r="N2071" s="395">
        <f>DATEVALUE(LEFT(G2071,10))</f>
        <v/>
      </c>
      <c r="O2071" s="396">
        <f>TIMEVALUE(MID(G2071,12,8))</f>
        <v/>
      </c>
      <c r="P2071" s="396">
        <f>IFERROR(_xlfn.MINIFS($M:$M,$E:$E,$E2071,$K:$K,$K2071,$M:$M,"&gt;"&amp;$O2071),"")</f>
        <v/>
      </c>
      <c r="Q2071" s="396">
        <f>IF($P2071="","",$P2071-$O2071)</f>
        <v/>
      </c>
    </row>
    <row r="2072" ht="15" customHeight="1" s="231">
      <c r="A2072" s="397" t="n"/>
      <c r="B2072" s="397" t="n"/>
      <c r="C2072" s="397" t="n"/>
      <c r="D2072" s="397" t="n"/>
      <c r="E2072" s="397" t="n"/>
      <c r="F2072" s="397" t="n"/>
      <c r="G2072" s="397" t="n"/>
      <c r="I2072" s="397" t="n"/>
      <c r="J2072" s="397" t="n"/>
      <c r="K2072" s="395">
        <f>DATE(VALUE(LEFT(A2072,4)),VALUE(MID(A2072,5,2)),VALUE(RIGHT(A2072,2)))</f>
        <v/>
      </c>
      <c r="L2072" s="395">
        <f>DATEVALUE(LEFT(F2072,10))</f>
        <v/>
      </c>
      <c r="M2072" s="396">
        <f>TIMEVALUE(MID(F2072,12,8))</f>
        <v/>
      </c>
      <c r="N2072" s="395">
        <f>DATEVALUE(LEFT(G2072,10))</f>
        <v/>
      </c>
      <c r="O2072" s="396">
        <f>TIMEVALUE(MID(G2072,12,8))</f>
        <v/>
      </c>
      <c r="P2072" s="396">
        <f>IFERROR(_xlfn.MINIFS($M:$M,$E:$E,$E2072,$K:$K,$K2072,$M:$M,"&gt;"&amp;$O2072),"")</f>
        <v/>
      </c>
      <c r="Q2072" s="396">
        <f>IF($P2072="","",$P2072-$O2072)</f>
        <v/>
      </c>
    </row>
    <row r="2073" ht="15" customHeight="1" s="231">
      <c r="A2073" s="397" t="n"/>
      <c r="B2073" s="397" t="n"/>
      <c r="C2073" s="397" t="n"/>
      <c r="D2073" s="397" t="n"/>
      <c r="E2073" s="397" t="n"/>
      <c r="F2073" s="397" t="n"/>
      <c r="G2073" s="397" t="n"/>
      <c r="I2073" s="397" t="n"/>
      <c r="J2073" s="397" t="n"/>
      <c r="K2073" s="395">
        <f>DATE(VALUE(LEFT(A2073,4)),VALUE(MID(A2073,5,2)),VALUE(RIGHT(A2073,2)))</f>
        <v/>
      </c>
      <c r="L2073" s="395">
        <f>DATEVALUE(LEFT(F2073,10))</f>
        <v/>
      </c>
      <c r="M2073" s="396">
        <f>TIMEVALUE(MID(F2073,12,8))</f>
        <v/>
      </c>
      <c r="N2073" s="395">
        <f>DATEVALUE(LEFT(G2073,10))</f>
        <v/>
      </c>
      <c r="O2073" s="396">
        <f>TIMEVALUE(MID(G2073,12,8))</f>
        <v/>
      </c>
      <c r="P2073" s="396">
        <f>IFERROR(_xlfn.MINIFS($M:$M,$E:$E,$E2073,$K:$K,$K2073,$M:$M,"&gt;"&amp;$O2073),"")</f>
        <v/>
      </c>
      <c r="Q2073" s="396">
        <f>IF($P2073="","",$P2073-$O2073)</f>
        <v/>
      </c>
    </row>
    <row r="2074" ht="15" customHeight="1" s="231">
      <c r="A2074" s="397" t="n"/>
      <c r="B2074" s="397" t="n"/>
      <c r="C2074" s="397" t="n"/>
      <c r="D2074" s="397" t="n"/>
      <c r="E2074" s="397" t="n"/>
      <c r="F2074" s="397" t="n"/>
      <c r="G2074" s="397" t="n"/>
      <c r="I2074" s="397" t="n"/>
      <c r="J2074" s="397" t="n"/>
      <c r="K2074" s="395">
        <f>DATE(VALUE(LEFT(A2074,4)),VALUE(MID(A2074,5,2)),VALUE(RIGHT(A2074,2)))</f>
        <v/>
      </c>
      <c r="L2074" s="395">
        <f>DATEVALUE(LEFT(F2074,10))</f>
        <v/>
      </c>
      <c r="M2074" s="396">
        <f>TIMEVALUE(MID(F2074,12,8))</f>
        <v/>
      </c>
      <c r="N2074" s="395">
        <f>DATEVALUE(LEFT(G2074,10))</f>
        <v/>
      </c>
      <c r="O2074" s="396">
        <f>TIMEVALUE(MID(G2074,12,8))</f>
        <v/>
      </c>
      <c r="P2074" s="396">
        <f>IFERROR(_xlfn.MINIFS($M:$M,$E:$E,$E2074,$K:$K,$K2074,$M:$M,"&gt;"&amp;$O2074),"")</f>
        <v/>
      </c>
      <c r="Q2074" s="396">
        <f>IF($P2074="","",$P2074-$O2074)</f>
        <v/>
      </c>
    </row>
    <row r="2075" ht="15" customHeight="1" s="231">
      <c r="A2075" s="397" t="n"/>
      <c r="B2075" s="397" t="n"/>
      <c r="C2075" s="397" t="n"/>
      <c r="D2075" s="397" t="n"/>
      <c r="E2075" s="397" t="n"/>
      <c r="F2075" s="397" t="n"/>
      <c r="G2075" s="397" t="n"/>
      <c r="I2075" s="397" t="n"/>
      <c r="J2075" s="397" t="n"/>
      <c r="K2075" s="395">
        <f>DATE(VALUE(LEFT(A2075,4)),VALUE(MID(A2075,5,2)),VALUE(RIGHT(A2075,2)))</f>
        <v/>
      </c>
      <c r="L2075" s="395">
        <f>DATEVALUE(LEFT(F2075,10))</f>
        <v/>
      </c>
      <c r="M2075" s="396">
        <f>TIMEVALUE(MID(F2075,12,8))</f>
        <v/>
      </c>
      <c r="N2075" s="395">
        <f>DATEVALUE(LEFT(G2075,10))</f>
        <v/>
      </c>
      <c r="O2075" s="396">
        <f>TIMEVALUE(MID(G2075,12,8))</f>
        <v/>
      </c>
      <c r="P2075" s="396">
        <f>IFERROR(_xlfn.MINIFS($M:$M,$E:$E,$E2075,$K:$K,$K2075,$M:$M,"&gt;"&amp;$O2075),"")</f>
        <v/>
      </c>
      <c r="Q2075" s="396">
        <f>IF($P2075="","",$P2075-$O2075)</f>
        <v/>
      </c>
    </row>
    <row r="2076" ht="15" customHeight="1" s="231">
      <c r="A2076" s="397" t="n"/>
      <c r="B2076" s="397" t="n"/>
      <c r="C2076" s="397" t="n"/>
      <c r="D2076" s="397" t="n"/>
      <c r="E2076" s="397" t="n"/>
      <c r="F2076" s="397" t="n"/>
      <c r="G2076" s="397" t="n"/>
      <c r="I2076" s="397" t="n"/>
      <c r="J2076" s="397" t="n"/>
      <c r="K2076" s="395">
        <f>DATE(VALUE(LEFT(A2076,4)),VALUE(MID(A2076,5,2)),VALUE(RIGHT(A2076,2)))</f>
        <v/>
      </c>
      <c r="L2076" s="395">
        <f>DATEVALUE(LEFT(F2076,10))</f>
        <v/>
      </c>
      <c r="M2076" s="396">
        <f>TIMEVALUE(MID(F2076,12,8))</f>
        <v/>
      </c>
      <c r="N2076" s="395">
        <f>DATEVALUE(LEFT(G2076,10))</f>
        <v/>
      </c>
      <c r="O2076" s="396">
        <f>TIMEVALUE(MID(G2076,12,8))</f>
        <v/>
      </c>
      <c r="P2076" s="396">
        <f>IFERROR(_xlfn.MINIFS($M:$M,$E:$E,$E2076,$K:$K,$K2076,$M:$M,"&gt;"&amp;$O2076),"")</f>
        <v/>
      </c>
      <c r="Q2076" s="396">
        <f>IF($P2076="","",$P2076-$O2076)</f>
        <v/>
      </c>
    </row>
    <row r="2077" ht="15" customHeight="1" s="231">
      <c r="A2077" s="397" t="n"/>
      <c r="B2077" s="397" t="n"/>
      <c r="C2077" s="397" t="n"/>
      <c r="D2077" s="397" t="n"/>
      <c r="E2077" s="397" t="n"/>
      <c r="F2077" s="397" t="n"/>
      <c r="G2077" s="397" t="n"/>
      <c r="I2077" s="397" t="n"/>
      <c r="J2077" s="397" t="n"/>
      <c r="K2077" s="395">
        <f>DATE(VALUE(LEFT(A2077,4)),VALUE(MID(A2077,5,2)),VALUE(RIGHT(A2077,2)))</f>
        <v/>
      </c>
      <c r="L2077" s="395">
        <f>DATEVALUE(LEFT(F2077,10))</f>
        <v/>
      </c>
      <c r="M2077" s="396">
        <f>TIMEVALUE(MID(F2077,12,8))</f>
        <v/>
      </c>
      <c r="N2077" s="395">
        <f>DATEVALUE(LEFT(G2077,10))</f>
        <v/>
      </c>
      <c r="O2077" s="396">
        <f>TIMEVALUE(MID(G2077,12,8))</f>
        <v/>
      </c>
      <c r="P2077" s="396">
        <f>IFERROR(_xlfn.MINIFS($M:$M,$E:$E,$E2077,$K:$K,$K2077,$M:$M,"&gt;"&amp;$O2077),"")</f>
        <v/>
      </c>
      <c r="Q2077" s="396">
        <f>IF($P2077="","",$P2077-$O2077)</f>
        <v/>
      </c>
    </row>
    <row r="2078" ht="15" customHeight="1" s="231">
      <c r="A2078" s="397" t="n"/>
      <c r="B2078" s="397" t="n"/>
      <c r="C2078" s="397" t="n"/>
      <c r="D2078" s="397" t="n"/>
      <c r="E2078" s="397" t="n"/>
      <c r="F2078" s="397" t="n"/>
      <c r="G2078" s="397" t="n"/>
      <c r="I2078" s="397" t="n"/>
      <c r="J2078" s="397" t="n"/>
      <c r="K2078" s="395">
        <f>DATE(VALUE(LEFT(A2078,4)),VALUE(MID(A2078,5,2)),VALUE(RIGHT(A2078,2)))</f>
        <v/>
      </c>
      <c r="L2078" s="395">
        <f>DATEVALUE(LEFT(F2078,10))</f>
        <v/>
      </c>
      <c r="M2078" s="396">
        <f>TIMEVALUE(MID(F2078,12,8))</f>
        <v/>
      </c>
      <c r="N2078" s="395">
        <f>DATEVALUE(LEFT(G2078,10))</f>
        <v/>
      </c>
      <c r="O2078" s="396">
        <f>TIMEVALUE(MID(G2078,12,8))</f>
        <v/>
      </c>
      <c r="P2078" s="396">
        <f>IFERROR(_xlfn.MINIFS($M:$M,$E:$E,$E2078,$K:$K,$K2078,$M:$M,"&gt;"&amp;$O2078),"")</f>
        <v/>
      </c>
      <c r="Q2078" s="396">
        <f>IF($P2078="","",$P2078-$O2078)</f>
        <v/>
      </c>
    </row>
    <row r="2079" ht="15" customHeight="1" s="231">
      <c r="A2079" s="397" t="n"/>
      <c r="B2079" s="397" t="n"/>
      <c r="C2079" s="397" t="n"/>
      <c r="D2079" s="397" t="n"/>
      <c r="E2079" s="397" t="n"/>
      <c r="F2079" s="397" t="n"/>
      <c r="G2079" s="397" t="n"/>
      <c r="I2079" s="397" t="n"/>
      <c r="J2079" s="397" t="n"/>
      <c r="K2079" s="395">
        <f>DATE(VALUE(LEFT(A2079,4)),VALUE(MID(A2079,5,2)),VALUE(RIGHT(A2079,2)))</f>
        <v/>
      </c>
      <c r="L2079" s="395">
        <f>DATEVALUE(LEFT(F2079,10))</f>
        <v/>
      </c>
      <c r="M2079" s="396">
        <f>TIMEVALUE(MID(F2079,12,8))</f>
        <v/>
      </c>
      <c r="N2079" s="395">
        <f>DATEVALUE(LEFT(G2079,10))</f>
        <v/>
      </c>
      <c r="O2079" s="396">
        <f>TIMEVALUE(MID(G2079,12,8))</f>
        <v/>
      </c>
      <c r="P2079" s="396">
        <f>IFERROR(_xlfn.MINIFS($M:$M,$E:$E,$E2079,$K:$K,$K2079,$M:$M,"&gt;"&amp;$O2079),"")</f>
        <v/>
      </c>
      <c r="Q2079" s="396">
        <f>IF($P2079="","",$P2079-$O2079)</f>
        <v/>
      </c>
    </row>
    <row r="2080" ht="15" customHeight="1" s="231">
      <c r="A2080" s="397" t="n"/>
      <c r="B2080" s="397" t="n"/>
      <c r="C2080" s="397" t="n"/>
      <c r="D2080" s="397" t="n"/>
      <c r="E2080" s="397" t="n"/>
      <c r="F2080" s="397" t="n"/>
      <c r="G2080" s="397" t="n"/>
      <c r="I2080" s="397" t="n"/>
      <c r="J2080" s="397" t="n"/>
      <c r="K2080" s="395">
        <f>DATE(VALUE(LEFT(A2080,4)),VALUE(MID(A2080,5,2)),VALUE(RIGHT(A2080,2)))</f>
        <v/>
      </c>
      <c r="L2080" s="395">
        <f>DATEVALUE(LEFT(F2080,10))</f>
        <v/>
      </c>
      <c r="M2080" s="396">
        <f>TIMEVALUE(MID(F2080,12,8))</f>
        <v/>
      </c>
      <c r="N2080" s="395">
        <f>DATEVALUE(LEFT(G2080,10))</f>
        <v/>
      </c>
      <c r="O2080" s="396">
        <f>TIMEVALUE(MID(G2080,12,8))</f>
        <v/>
      </c>
      <c r="P2080" s="396">
        <f>IFERROR(_xlfn.MINIFS($M:$M,$E:$E,$E2080,$K:$K,$K2080,$M:$M,"&gt;"&amp;$O2080),"")</f>
        <v/>
      </c>
      <c r="Q2080" s="396">
        <f>IF($P2080="","",$P2080-$O2080)</f>
        <v/>
      </c>
    </row>
    <row r="2081" ht="15" customHeight="1" s="231">
      <c r="A2081" s="397" t="n"/>
      <c r="B2081" s="397" t="n"/>
      <c r="C2081" s="397" t="n"/>
      <c r="D2081" s="397" t="n"/>
      <c r="E2081" s="397" t="n"/>
      <c r="F2081" s="397" t="n"/>
      <c r="G2081" s="397" t="n"/>
      <c r="I2081" s="397" t="n"/>
      <c r="J2081" s="397" t="n"/>
      <c r="K2081" s="395">
        <f>DATE(VALUE(LEFT(A2081,4)),VALUE(MID(A2081,5,2)),VALUE(RIGHT(A2081,2)))</f>
        <v/>
      </c>
      <c r="L2081" s="395">
        <f>DATEVALUE(LEFT(F2081,10))</f>
        <v/>
      </c>
      <c r="M2081" s="396">
        <f>TIMEVALUE(MID(F2081,12,8))</f>
        <v/>
      </c>
      <c r="N2081" s="395">
        <f>DATEVALUE(LEFT(G2081,10))</f>
        <v/>
      </c>
      <c r="O2081" s="396">
        <f>TIMEVALUE(MID(G2081,12,8))</f>
        <v/>
      </c>
      <c r="P2081" s="396">
        <f>IFERROR(_xlfn.MINIFS($M:$M,$E:$E,$E2081,$K:$K,$K2081,$M:$M,"&gt;"&amp;$O2081),"")</f>
        <v/>
      </c>
      <c r="Q2081" s="396">
        <f>IF($P2081="","",$P2081-$O2081)</f>
        <v/>
      </c>
    </row>
    <row r="2082" ht="15" customHeight="1" s="231">
      <c r="A2082" s="397" t="n"/>
      <c r="B2082" s="397" t="n"/>
      <c r="C2082" s="397" t="n"/>
      <c r="D2082" s="397" t="n"/>
      <c r="E2082" s="397" t="n"/>
      <c r="F2082" s="397" t="n"/>
      <c r="G2082" s="397" t="n"/>
      <c r="I2082" s="397" t="n"/>
      <c r="J2082" s="397" t="n"/>
      <c r="K2082" s="395">
        <f>DATE(VALUE(LEFT(A2082,4)),VALUE(MID(A2082,5,2)),VALUE(RIGHT(A2082,2)))</f>
        <v/>
      </c>
      <c r="L2082" s="395">
        <f>DATEVALUE(LEFT(F2082,10))</f>
        <v/>
      </c>
      <c r="M2082" s="396">
        <f>TIMEVALUE(MID(F2082,12,8))</f>
        <v/>
      </c>
      <c r="N2082" s="395">
        <f>DATEVALUE(LEFT(G2082,10))</f>
        <v/>
      </c>
      <c r="O2082" s="396">
        <f>TIMEVALUE(MID(G2082,12,8))</f>
        <v/>
      </c>
      <c r="P2082" s="396">
        <f>IFERROR(_xlfn.MINIFS($M:$M,$E:$E,$E2082,$K:$K,$K2082,$M:$M,"&gt;"&amp;$O2082),"")</f>
        <v/>
      </c>
      <c r="Q2082" s="396">
        <f>IF($P2082="","",$P2082-$O2082)</f>
        <v/>
      </c>
    </row>
    <row r="2083" ht="15" customHeight="1" s="231">
      <c r="A2083" s="397" t="n"/>
      <c r="B2083" s="397" t="n"/>
      <c r="C2083" s="397" t="n"/>
      <c r="D2083" s="397" t="n"/>
      <c r="E2083" s="397" t="n"/>
      <c r="F2083" s="397" t="n"/>
      <c r="G2083" s="397" t="n"/>
      <c r="I2083" s="397" t="n"/>
      <c r="J2083" s="397" t="n"/>
      <c r="K2083" s="395">
        <f>DATE(VALUE(LEFT(A2083,4)),VALUE(MID(A2083,5,2)),VALUE(RIGHT(A2083,2)))</f>
        <v/>
      </c>
      <c r="L2083" s="395">
        <f>DATEVALUE(LEFT(F2083,10))</f>
        <v/>
      </c>
      <c r="M2083" s="396">
        <f>TIMEVALUE(MID(F2083,12,8))</f>
        <v/>
      </c>
      <c r="N2083" s="395">
        <f>DATEVALUE(LEFT(G2083,10))</f>
        <v/>
      </c>
      <c r="O2083" s="396">
        <f>TIMEVALUE(MID(G2083,12,8))</f>
        <v/>
      </c>
      <c r="P2083" s="396">
        <f>IFERROR(_xlfn.MINIFS($M:$M,$E:$E,$E2083,$K:$K,$K2083,$M:$M,"&gt;"&amp;$O2083),"")</f>
        <v/>
      </c>
      <c r="Q2083" s="396">
        <f>IF($P2083="","",$P2083-$O2083)</f>
        <v/>
      </c>
    </row>
    <row r="2084" ht="15" customHeight="1" s="231">
      <c r="A2084" s="397" t="n"/>
      <c r="B2084" s="397" t="n"/>
      <c r="C2084" s="397" t="n"/>
      <c r="D2084" s="397" t="n"/>
      <c r="E2084" s="397" t="n"/>
      <c r="F2084" s="397" t="n"/>
      <c r="G2084" s="397" t="n"/>
      <c r="I2084" s="397" t="n"/>
      <c r="J2084" s="397" t="n"/>
      <c r="K2084" s="395">
        <f>DATE(VALUE(LEFT(A2084,4)),VALUE(MID(A2084,5,2)),VALUE(RIGHT(A2084,2)))</f>
        <v/>
      </c>
      <c r="L2084" s="395">
        <f>DATEVALUE(LEFT(F2084,10))</f>
        <v/>
      </c>
      <c r="M2084" s="396">
        <f>TIMEVALUE(MID(F2084,12,8))</f>
        <v/>
      </c>
      <c r="N2084" s="395">
        <f>DATEVALUE(LEFT(G2084,10))</f>
        <v/>
      </c>
      <c r="O2084" s="396">
        <f>TIMEVALUE(MID(G2084,12,8))</f>
        <v/>
      </c>
      <c r="P2084" s="396">
        <f>IFERROR(_xlfn.MINIFS($M:$M,$E:$E,$E2084,$K:$K,$K2084,$M:$M,"&gt;"&amp;$O2084),"")</f>
        <v/>
      </c>
      <c r="Q2084" s="396">
        <f>IF($P2084="","",$P2084-$O2084)</f>
        <v/>
      </c>
    </row>
    <row r="2085" ht="15" customHeight="1" s="231">
      <c r="A2085" s="397" t="n"/>
      <c r="B2085" s="397" t="n"/>
      <c r="C2085" s="397" t="n"/>
      <c r="D2085" s="397" t="n"/>
      <c r="E2085" s="397" t="n"/>
      <c r="F2085" s="397" t="n"/>
      <c r="G2085" s="397" t="n"/>
      <c r="I2085" s="397" t="n"/>
      <c r="J2085" s="397" t="n"/>
      <c r="K2085" s="395">
        <f>DATE(VALUE(LEFT(A2085,4)),VALUE(MID(A2085,5,2)),VALUE(RIGHT(A2085,2)))</f>
        <v/>
      </c>
      <c r="L2085" s="395">
        <f>DATEVALUE(LEFT(F2085,10))</f>
        <v/>
      </c>
      <c r="M2085" s="396">
        <f>TIMEVALUE(MID(F2085,12,8))</f>
        <v/>
      </c>
      <c r="N2085" s="395">
        <f>DATEVALUE(LEFT(G2085,10))</f>
        <v/>
      </c>
      <c r="O2085" s="396">
        <f>TIMEVALUE(MID(G2085,12,8))</f>
        <v/>
      </c>
      <c r="P2085" s="396">
        <f>IFERROR(_xlfn.MINIFS($M:$M,$E:$E,$E2085,$K:$K,$K2085,$M:$M,"&gt;"&amp;$O2085),"")</f>
        <v/>
      </c>
      <c r="Q2085" s="396">
        <f>IF($P2085="","",$P2085-$O2085)</f>
        <v/>
      </c>
    </row>
    <row r="2086" ht="15" customHeight="1" s="231">
      <c r="A2086" s="397" t="n"/>
      <c r="B2086" s="397" t="n"/>
      <c r="C2086" s="397" t="n"/>
      <c r="D2086" s="397" t="n"/>
      <c r="E2086" s="397" t="n"/>
      <c r="F2086" s="397" t="n"/>
      <c r="G2086" s="397" t="n"/>
      <c r="I2086" s="397" t="n"/>
      <c r="J2086" s="397" t="n"/>
      <c r="K2086" s="395">
        <f>DATE(VALUE(LEFT(A2086,4)),VALUE(MID(A2086,5,2)),VALUE(RIGHT(A2086,2)))</f>
        <v/>
      </c>
      <c r="L2086" s="395">
        <f>DATEVALUE(LEFT(F2086,10))</f>
        <v/>
      </c>
      <c r="M2086" s="396">
        <f>TIMEVALUE(MID(F2086,12,8))</f>
        <v/>
      </c>
      <c r="N2086" s="395">
        <f>DATEVALUE(LEFT(G2086,10))</f>
        <v/>
      </c>
      <c r="O2086" s="396">
        <f>TIMEVALUE(MID(G2086,12,8))</f>
        <v/>
      </c>
      <c r="P2086" s="396">
        <f>IFERROR(_xlfn.MINIFS($M:$M,$E:$E,$E2086,$K:$K,$K2086,$M:$M,"&gt;"&amp;$O2086),"")</f>
        <v/>
      </c>
      <c r="Q2086" s="396">
        <f>IF($P2086="","",$P2086-$O2086)</f>
        <v/>
      </c>
    </row>
    <row r="2087" ht="15" customHeight="1" s="231">
      <c r="A2087" s="397" t="n"/>
      <c r="B2087" s="397" t="n"/>
      <c r="C2087" s="397" t="n"/>
      <c r="D2087" s="397" t="n"/>
      <c r="E2087" s="397" t="n"/>
      <c r="F2087" s="397" t="n"/>
      <c r="G2087" s="397" t="n"/>
      <c r="I2087" s="397" t="n"/>
      <c r="J2087" s="397" t="n"/>
      <c r="K2087" s="395">
        <f>DATE(VALUE(LEFT(A2087,4)),VALUE(MID(A2087,5,2)),VALUE(RIGHT(A2087,2)))</f>
        <v/>
      </c>
      <c r="L2087" s="395">
        <f>DATEVALUE(LEFT(F2087,10))</f>
        <v/>
      </c>
      <c r="M2087" s="396">
        <f>TIMEVALUE(MID(F2087,12,8))</f>
        <v/>
      </c>
      <c r="N2087" s="395">
        <f>DATEVALUE(LEFT(G2087,10))</f>
        <v/>
      </c>
      <c r="O2087" s="396">
        <f>TIMEVALUE(MID(G2087,12,8))</f>
        <v/>
      </c>
      <c r="P2087" s="396">
        <f>IFERROR(_xlfn.MINIFS($M:$M,$E:$E,$E2087,$K:$K,$K2087,$M:$M,"&gt;"&amp;$O2087),"")</f>
        <v/>
      </c>
      <c r="Q2087" s="396">
        <f>IF($P2087="","",$P2087-$O2087)</f>
        <v/>
      </c>
    </row>
    <row r="2088" ht="15" customHeight="1" s="231">
      <c r="A2088" s="397" t="n"/>
      <c r="B2088" s="397" t="n"/>
      <c r="C2088" s="397" t="n"/>
      <c r="D2088" s="397" t="n"/>
      <c r="E2088" s="397" t="n"/>
      <c r="F2088" s="397" t="n"/>
      <c r="G2088" s="397" t="n"/>
      <c r="I2088" s="397" t="n"/>
      <c r="J2088" s="397" t="n"/>
      <c r="K2088" s="395">
        <f>DATE(VALUE(LEFT(A2088,4)),VALUE(MID(A2088,5,2)),VALUE(RIGHT(A2088,2)))</f>
        <v/>
      </c>
      <c r="L2088" s="395">
        <f>DATEVALUE(LEFT(F2088,10))</f>
        <v/>
      </c>
      <c r="M2088" s="396">
        <f>TIMEVALUE(MID(F2088,12,8))</f>
        <v/>
      </c>
      <c r="N2088" s="395">
        <f>DATEVALUE(LEFT(G2088,10))</f>
        <v/>
      </c>
      <c r="O2088" s="396">
        <f>TIMEVALUE(MID(G2088,12,8))</f>
        <v/>
      </c>
      <c r="P2088" s="396">
        <f>IFERROR(_xlfn.MINIFS($M:$M,$E:$E,$E2088,$K:$K,$K2088,$M:$M,"&gt;"&amp;$O2088),"")</f>
        <v/>
      </c>
      <c r="Q2088" s="396">
        <f>IF($P2088="","",$P2088-$O2088)</f>
        <v/>
      </c>
    </row>
    <row r="2089" ht="15" customHeight="1" s="231">
      <c r="A2089" s="397" t="n"/>
      <c r="B2089" s="397" t="n"/>
      <c r="C2089" s="397" t="n"/>
      <c r="D2089" s="397" t="n"/>
      <c r="E2089" s="397" t="n"/>
      <c r="F2089" s="397" t="n"/>
      <c r="G2089" s="397" t="n"/>
      <c r="I2089" s="397" t="n"/>
      <c r="J2089" s="397" t="n"/>
      <c r="K2089" s="395">
        <f>DATE(VALUE(LEFT(A2089,4)),VALUE(MID(A2089,5,2)),VALUE(RIGHT(A2089,2)))</f>
        <v/>
      </c>
      <c r="L2089" s="395">
        <f>DATEVALUE(LEFT(F2089,10))</f>
        <v/>
      </c>
      <c r="M2089" s="396">
        <f>TIMEVALUE(MID(F2089,12,8))</f>
        <v/>
      </c>
      <c r="N2089" s="395">
        <f>DATEVALUE(LEFT(G2089,10))</f>
        <v/>
      </c>
      <c r="O2089" s="396">
        <f>TIMEVALUE(MID(G2089,12,8))</f>
        <v/>
      </c>
      <c r="P2089" s="396">
        <f>IFERROR(_xlfn.MINIFS($M:$M,$E:$E,$E2089,$K:$K,$K2089,$M:$M,"&gt;"&amp;$O2089),"")</f>
        <v/>
      </c>
      <c r="Q2089" s="396">
        <f>IF($P2089="","",$P2089-$O2089)</f>
        <v/>
      </c>
    </row>
    <row r="2090" ht="15" customHeight="1" s="231">
      <c r="A2090" s="397" t="n"/>
      <c r="B2090" s="397" t="n"/>
      <c r="C2090" s="397" t="n"/>
      <c r="D2090" s="397" t="n"/>
      <c r="E2090" s="397" t="n"/>
      <c r="F2090" s="397" t="n"/>
      <c r="G2090" s="397" t="n"/>
      <c r="I2090" s="397" t="n"/>
      <c r="J2090" s="397" t="n"/>
      <c r="K2090" s="395">
        <f>DATE(VALUE(LEFT(A2090,4)),VALUE(MID(A2090,5,2)),VALUE(RIGHT(A2090,2)))</f>
        <v/>
      </c>
      <c r="L2090" s="395">
        <f>DATEVALUE(LEFT(F2090,10))</f>
        <v/>
      </c>
      <c r="M2090" s="396">
        <f>TIMEVALUE(MID(F2090,12,8))</f>
        <v/>
      </c>
      <c r="N2090" s="395">
        <f>DATEVALUE(LEFT(G2090,10))</f>
        <v/>
      </c>
      <c r="O2090" s="396">
        <f>TIMEVALUE(MID(G2090,12,8))</f>
        <v/>
      </c>
      <c r="P2090" s="396">
        <f>IFERROR(_xlfn.MINIFS($M:$M,$E:$E,$E2090,$K:$K,$K2090,$M:$M,"&gt;"&amp;$O2090),"")</f>
        <v/>
      </c>
      <c r="Q2090" s="396">
        <f>IF($P2090="","",$P2090-$O2090)</f>
        <v/>
      </c>
    </row>
    <row r="2091" ht="15" customHeight="1" s="231">
      <c r="A2091" s="397" t="n"/>
      <c r="B2091" s="397" t="n"/>
      <c r="C2091" s="397" t="n"/>
      <c r="D2091" s="397" t="n"/>
      <c r="E2091" s="397" t="n"/>
      <c r="F2091" s="397" t="n"/>
      <c r="G2091" s="397" t="n"/>
      <c r="I2091" s="397" t="n"/>
      <c r="J2091" s="397" t="n"/>
      <c r="K2091" s="395">
        <f>DATE(VALUE(LEFT(A2091,4)),VALUE(MID(A2091,5,2)),VALUE(RIGHT(A2091,2)))</f>
        <v/>
      </c>
      <c r="L2091" s="395">
        <f>DATEVALUE(LEFT(F2091,10))</f>
        <v/>
      </c>
      <c r="M2091" s="396">
        <f>TIMEVALUE(MID(F2091,12,8))</f>
        <v/>
      </c>
      <c r="N2091" s="395">
        <f>DATEVALUE(LEFT(G2091,10))</f>
        <v/>
      </c>
      <c r="O2091" s="396">
        <f>TIMEVALUE(MID(G2091,12,8))</f>
        <v/>
      </c>
      <c r="P2091" s="396">
        <f>IFERROR(_xlfn.MINIFS($M:$M,$E:$E,$E2091,$K:$K,$K2091,$M:$M,"&gt;"&amp;$O2091),"")</f>
        <v/>
      </c>
      <c r="Q2091" s="396">
        <f>IF($P2091="","",$P2091-$O2091)</f>
        <v/>
      </c>
    </row>
    <row r="2092" ht="15" customHeight="1" s="231">
      <c r="A2092" s="397" t="n"/>
      <c r="B2092" s="397" t="n"/>
      <c r="C2092" s="397" t="n"/>
      <c r="D2092" s="397" t="n"/>
      <c r="E2092" s="397" t="n"/>
      <c r="F2092" s="397" t="n"/>
      <c r="G2092" s="397" t="n"/>
      <c r="I2092" s="397" t="n"/>
      <c r="J2092" s="397" t="n"/>
      <c r="K2092" s="395">
        <f>DATE(VALUE(LEFT(A2092,4)),VALUE(MID(A2092,5,2)),VALUE(RIGHT(A2092,2)))</f>
        <v/>
      </c>
      <c r="L2092" s="395">
        <f>DATEVALUE(LEFT(F2092,10))</f>
        <v/>
      </c>
      <c r="M2092" s="396">
        <f>TIMEVALUE(MID(F2092,12,8))</f>
        <v/>
      </c>
      <c r="N2092" s="395">
        <f>DATEVALUE(LEFT(G2092,10))</f>
        <v/>
      </c>
      <c r="O2092" s="396">
        <f>TIMEVALUE(MID(G2092,12,8))</f>
        <v/>
      </c>
      <c r="P2092" s="396">
        <f>IFERROR(_xlfn.MINIFS($M:$M,$E:$E,$E2092,$K:$K,$K2092,$M:$M,"&gt;"&amp;$O2092),"")</f>
        <v/>
      </c>
      <c r="Q2092" s="396">
        <f>IF($P2092="","",$P2092-$O2092)</f>
        <v/>
      </c>
    </row>
    <row r="2093" ht="15" customHeight="1" s="231">
      <c r="A2093" s="397" t="n"/>
      <c r="B2093" s="397" t="n"/>
      <c r="C2093" s="397" t="n"/>
      <c r="D2093" s="397" t="n"/>
      <c r="E2093" s="397" t="n"/>
      <c r="F2093" s="397" t="n"/>
      <c r="G2093" s="397" t="n"/>
      <c r="I2093" s="397" t="n"/>
      <c r="J2093" s="397" t="n"/>
      <c r="K2093" s="395">
        <f>DATE(VALUE(LEFT(A2093,4)),VALUE(MID(A2093,5,2)),VALUE(RIGHT(A2093,2)))</f>
        <v/>
      </c>
      <c r="L2093" s="395">
        <f>DATEVALUE(LEFT(F2093,10))</f>
        <v/>
      </c>
      <c r="M2093" s="396">
        <f>TIMEVALUE(MID(F2093,12,8))</f>
        <v/>
      </c>
      <c r="N2093" s="395">
        <f>DATEVALUE(LEFT(G2093,10))</f>
        <v/>
      </c>
      <c r="O2093" s="396">
        <f>TIMEVALUE(MID(G2093,12,8))</f>
        <v/>
      </c>
      <c r="P2093" s="396">
        <f>IFERROR(_xlfn.MINIFS($M:$M,$E:$E,$E2093,$K:$K,$K2093,$M:$M,"&gt;"&amp;$O2093),"")</f>
        <v/>
      </c>
      <c r="Q2093" s="396">
        <f>IF($P2093="","",$P2093-$O2093)</f>
        <v/>
      </c>
    </row>
    <row r="2094" ht="15" customHeight="1" s="231">
      <c r="A2094" s="397" t="n"/>
      <c r="B2094" s="397" t="n"/>
      <c r="C2094" s="397" t="n"/>
      <c r="D2094" s="397" t="n"/>
      <c r="E2094" s="397" t="n"/>
      <c r="F2094" s="397" t="n"/>
      <c r="G2094" s="397" t="n"/>
      <c r="I2094" s="397" t="n"/>
      <c r="J2094" s="397" t="n"/>
      <c r="K2094" s="395">
        <f>DATE(VALUE(LEFT(A2094,4)),VALUE(MID(A2094,5,2)),VALUE(RIGHT(A2094,2)))</f>
        <v/>
      </c>
      <c r="L2094" s="395">
        <f>DATEVALUE(LEFT(F2094,10))</f>
        <v/>
      </c>
      <c r="M2094" s="396">
        <f>TIMEVALUE(MID(F2094,12,8))</f>
        <v/>
      </c>
      <c r="N2094" s="395">
        <f>DATEVALUE(LEFT(G2094,10))</f>
        <v/>
      </c>
      <c r="O2094" s="396">
        <f>TIMEVALUE(MID(G2094,12,8))</f>
        <v/>
      </c>
      <c r="P2094" s="396">
        <f>IFERROR(_xlfn.MINIFS($M:$M,$E:$E,$E2094,$K:$K,$K2094,$M:$M,"&gt;"&amp;$O2094),"")</f>
        <v/>
      </c>
      <c r="Q2094" s="396">
        <f>IF($P2094="","",$P2094-$O2094)</f>
        <v/>
      </c>
    </row>
    <row r="2095" ht="15" customHeight="1" s="231">
      <c r="A2095" s="397" t="n"/>
      <c r="B2095" s="397" t="n"/>
      <c r="C2095" s="397" t="n"/>
      <c r="D2095" s="397" t="n"/>
      <c r="E2095" s="397" t="n"/>
      <c r="F2095" s="397" t="n"/>
      <c r="G2095" s="397" t="n"/>
      <c r="I2095" s="397" t="n"/>
      <c r="J2095" s="397" t="n"/>
      <c r="K2095" s="395">
        <f>DATE(VALUE(LEFT(A2095,4)),VALUE(MID(A2095,5,2)),VALUE(RIGHT(A2095,2)))</f>
        <v/>
      </c>
      <c r="L2095" s="395">
        <f>DATEVALUE(LEFT(F2095,10))</f>
        <v/>
      </c>
      <c r="M2095" s="396">
        <f>TIMEVALUE(MID(F2095,12,8))</f>
        <v/>
      </c>
      <c r="N2095" s="395">
        <f>DATEVALUE(LEFT(G2095,10))</f>
        <v/>
      </c>
      <c r="O2095" s="396">
        <f>TIMEVALUE(MID(G2095,12,8))</f>
        <v/>
      </c>
      <c r="P2095" s="396">
        <f>IFERROR(_xlfn.MINIFS($M:$M,$E:$E,$E2095,$K:$K,$K2095,$M:$M,"&gt;"&amp;$O2095),"")</f>
        <v/>
      </c>
      <c r="Q2095" s="396">
        <f>IF($P2095="","",$P2095-$O2095)</f>
        <v/>
      </c>
    </row>
    <row r="2096" ht="15" customHeight="1" s="231">
      <c r="A2096" s="397" t="n"/>
      <c r="B2096" s="397" t="n"/>
      <c r="C2096" s="397" t="n"/>
      <c r="D2096" s="397" t="n"/>
      <c r="E2096" s="397" t="n"/>
      <c r="F2096" s="397" t="n"/>
      <c r="G2096" s="397" t="n"/>
      <c r="I2096" s="397" t="n"/>
      <c r="J2096" s="397" t="n"/>
      <c r="K2096" s="395">
        <f>DATE(VALUE(LEFT(A2096,4)),VALUE(MID(A2096,5,2)),VALUE(RIGHT(A2096,2)))</f>
        <v/>
      </c>
      <c r="L2096" s="395">
        <f>DATEVALUE(LEFT(F2096,10))</f>
        <v/>
      </c>
      <c r="M2096" s="396">
        <f>TIMEVALUE(MID(F2096,12,8))</f>
        <v/>
      </c>
      <c r="N2096" s="395">
        <f>DATEVALUE(LEFT(G2096,10))</f>
        <v/>
      </c>
      <c r="O2096" s="396">
        <f>TIMEVALUE(MID(G2096,12,8))</f>
        <v/>
      </c>
      <c r="P2096" s="396">
        <f>IFERROR(_xlfn.MINIFS($M:$M,$E:$E,$E2096,$K:$K,$K2096,$M:$M,"&gt;"&amp;$O2096),"")</f>
        <v/>
      </c>
      <c r="Q2096" s="396">
        <f>IF($P2096="","",$P2096-$O2096)</f>
        <v/>
      </c>
    </row>
    <row r="2097" ht="15" customHeight="1" s="231">
      <c r="A2097" s="397" t="n"/>
      <c r="B2097" s="397" t="n"/>
      <c r="C2097" s="397" t="n"/>
      <c r="D2097" s="397" t="n"/>
      <c r="E2097" s="397" t="n"/>
      <c r="F2097" s="397" t="n"/>
      <c r="G2097" s="397" t="n"/>
      <c r="I2097" s="397" t="n"/>
      <c r="J2097" s="397" t="n"/>
      <c r="K2097" s="395">
        <f>DATE(VALUE(LEFT(A2097,4)),VALUE(MID(A2097,5,2)),VALUE(RIGHT(A2097,2)))</f>
        <v/>
      </c>
      <c r="L2097" s="395">
        <f>DATEVALUE(LEFT(F2097,10))</f>
        <v/>
      </c>
      <c r="M2097" s="396">
        <f>TIMEVALUE(MID(F2097,12,8))</f>
        <v/>
      </c>
      <c r="N2097" s="395">
        <f>DATEVALUE(LEFT(G2097,10))</f>
        <v/>
      </c>
      <c r="O2097" s="396">
        <f>TIMEVALUE(MID(G2097,12,8))</f>
        <v/>
      </c>
      <c r="P2097" s="396">
        <f>IFERROR(_xlfn.MINIFS($M:$M,$E:$E,$E2097,$K:$K,$K2097,$M:$M,"&gt;"&amp;$O2097),"")</f>
        <v/>
      </c>
      <c r="Q2097" s="396">
        <f>IF($P2097="","",$P2097-$O2097)</f>
        <v/>
      </c>
    </row>
    <row r="2098" ht="15" customHeight="1" s="231">
      <c r="A2098" s="397" t="n"/>
      <c r="B2098" s="397" t="n"/>
      <c r="C2098" s="397" t="n"/>
      <c r="D2098" s="397" t="n"/>
      <c r="E2098" s="397" t="n"/>
      <c r="F2098" s="397" t="n"/>
      <c r="G2098" s="397" t="n"/>
      <c r="I2098" s="397" t="n"/>
      <c r="J2098" s="397" t="n"/>
      <c r="K2098" s="395">
        <f>DATE(VALUE(LEFT(A2098,4)),VALUE(MID(A2098,5,2)),VALUE(RIGHT(A2098,2)))</f>
        <v/>
      </c>
      <c r="L2098" s="395">
        <f>DATEVALUE(LEFT(F2098,10))</f>
        <v/>
      </c>
      <c r="M2098" s="396">
        <f>TIMEVALUE(MID(F2098,12,8))</f>
        <v/>
      </c>
      <c r="N2098" s="395">
        <f>DATEVALUE(LEFT(G2098,10))</f>
        <v/>
      </c>
      <c r="O2098" s="396">
        <f>TIMEVALUE(MID(G2098,12,8))</f>
        <v/>
      </c>
      <c r="P2098" s="396">
        <f>IFERROR(_xlfn.MINIFS($M:$M,$E:$E,$E2098,$K:$K,$K2098,$M:$M,"&gt;"&amp;$O2098),"")</f>
        <v/>
      </c>
      <c r="Q2098" s="396">
        <f>IF($P2098="","",$P2098-$O2098)</f>
        <v/>
      </c>
    </row>
    <row r="2099" ht="15" customHeight="1" s="231">
      <c r="A2099" s="397" t="n"/>
      <c r="B2099" s="397" t="n"/>
      <c r="C2099" s="397" t="n"/>
      <c r="D2099" s="397" t="n"/>
      <c r="E2099" s="397" t="n"/>
      <c r="F2099" s="397" t="n"/>
      <c r="G2099" s="397" t="n"/>
      <c r="I2099" s="397" t="n"/>
      <c r="J2099" s="397" t="n"/>
      <c r="K2099" s="395">
        <f>DATE(VALUE(LEFT(A2099,4)),VALUE(MID(A2099,5,2)),VALUE(RIGHT(A2099,2)))</f>
        <v/>
      </c>
      <c r="L2099" s="395">
        <f>DATEVALUE(LEFT(F2099,10))</f>
        <v/>
      </c>
      <c r="M2099" s="396">
        <f>TIMEVALUE(MID(F2099,12,8))</f>
        <v/>
      </c>
      <c r="N2099" s="395">
        <f>DATEVALUE(LEFT(G2099,10))</f>
        <v/>
      </c>
      <c r="O2099" s="396">
        <f>TIMEVALUE(MID(G2099,12,8))</f>
        <v/>
      </c>
      <c r="P2099" s="396">
        <f>IFERROR(_xlfn.MINIFS($M:$M,$E:$E,$E2099,$K:$K,$K2099,$M:$M,"&gt;"&amp;$O2099),"")</f>
        <v/>
      </c>
      <c r="Q2099" s="396">
        <f>IF($P2099="","",$P2099-$O2099)</f>
        <v/>
      </c>
    </row>
    <row r="2100" ht="15" customHeight="1" s="231">
      <c r="A2100" s="397" t="n"/>
      <c r="B2100" s="397" t="n"/>
      <c r="C2100" s="397" t="n"/>
      <c r="D2100" s="397" t="n"/>
      <c r="E2100" s="397" t="n"/>
      <c r="F2100" s="397" t="n"/>
      <c r="G2100" s="397" t="n"/>
      <c r="I2100" s="397" t="n"/>
      <c r="J2100" s="397" t="n"/>
      <c r="K2100" s="395">
        <f>DATE(VALUE(LEFT(A2100,4)),VALUE(MID(A2100,5,2)),VALUE(RIGHT(A2100,2)))</f>
        <v/>
      </c>
      <c r="L2100" s="395">
        <f>DATEVALUE(LEFT(F2100,10))</f>
        <v/>
      </c>
      <c r="M2100" s="396">
        <f>TIMEVALUE(MID(F2100,12,8))</f>
        <v/>
      </c>
      <c r="N2100" s="395">
        <f>DATEVALUE(LEFT(G2100,10))</f>
        <v/>
      </c>
      <c r="O2100" s="396">
        <f>TIMEVALUE(MID(G2100,12,8))</f>
        <v/>
      </c>
      <c r="P2100" s="396">
        <f>IFERROR(_xlfn.MINIFS($M:$M,$E:$E,$E2100,$K:$K,$K2100,$M:$M,"&gt;"&amp;$O2100),"")</f>
        <v/>
      </c>
      <c r="Q2100" s="396">
        <f>IF($P2100="","",$P2100-$O2100)</f>
        <v/>
      </c>
    </row>
    <row r="2101" ht="15" customHeight="1" s="231">
      <c r="A2101" s="397" t="n"/>
      <c r="B2101" s="397" t="n"/>
      <c r="C2101" s="397" t="n"/>
      <c r="D2101" s="397" t="n"/>
      <c r="E2101" s="397" t="n"/>
      <c r="F2101" s="397" t="n"/>
      <c r="G2101" s="397" t="n"/>
      <c r="I2101" s="397" t="n"/>
      <c r="J2101" s="397" t="n"/>
      <c r="K2101" s="395">
        <f>DATE(VALUE(LEFT(A2101,4)),VALUE(MID(A2101,5,2)),VALUE(RIGHT(A2101,2)))</f>
        <v/>
      </c>
      <c r="L2101" s="395">
        <f>DATEVALUE(LEFT(F2101,10))</f>
        <v/>
      </c>
      <c r="M2101" s="396">
        <f>TIMEVALUE(MID(F2101,12,8))</f>
        <v/>
      </c>
      <c r="N2101" s="395">
        <f>DATEVALUE(LEFT(G2101,10))</f>
        <v/>
      </c>
      <c r="O2101" s="396">
        <f>TIMEVALUE(MID(G2101,12,8))</f>
        <v/>
      </c>
      <c r="P2101" s="396">
        <f>IFERROR(_xlfn.MINIFS($M:$M,$E:$E,$E2101,$K:$K,$K2101,$M:$M,"&gt;"&amp;$O2101),"")</f>
        <v/>
      </c>
      <c r="Q2101" s="396">
        <f>IF($P2101="","",$P2101-$O2101)</f>
        <v/>
      </c>
    </row>
    <row r="2102" ht="15" customHeight="1" s="231">
      <c r="A2102" s="397" t="n"/>
      <c r="B2102" s="397" t="n"/>
      <c r="C2102" s="397" t="n"/>
      <c r="D2102" s="397" t="n"/>
      <c r="E2102" s="397" t="n"/>
      <c r="F2102" s="397" t="n"/>
      <c r="G2102" s="397" t="n"/>
      <c r="I2102" s="397" t="n"/>
      <c r="J2102" s="397" t="n"/>
      <c r="K2102" s="395">
        <f>DATE(VALUE(LEFT(A2102,4)),VALUE(MID(A2102,5,2)),VALUE(RIGHT(A2102,2)))</f>
        <v/>
      </c>
      <c r="L2102" s="395">
        <f>DATEVALUE(LEFT(F2102,10))</f>
        <v/>
      </c>
      <c r="M2102" s="396">
        <f>TIMEVALUE(MID(F2102,12,8))</f>
        <v/>
      </c>
      <c r="N2102" s="395">
        <f>DATEVALUE(LEFT(G2102,10))</f>
        <v/>
      </c>
      <c r="O2102" s="396">
        <f>TIMEVALUE(MID(G2102,12,8))</f>
        <v/>
      </c>
      <c r="P2102" s="396">
        <f>IFERROR(_xlfn.MINIFS($M:$M,$E:$E,$E2102,$K:$K,$K2102,$M:$M,"&gt;"&amp;$O2102),"")</f>
        <v/>
      </c>
      <c r="Q2102" s="396">
        <f>IF($P2102="","",$P2102-$O2102)</f>
        <v/>
      </c>
    </row>
    <row r="2103" ht="15" customHeight="1" s="231">
      <c r="A2103" s="397" t="n"/>
      <c r="B2103" s="397" t="n"/>
      <c r="C2103" s="397" t="n"/>
      <c r="D2103" s="397" t="n"/>
      <c r="E2103" s="397" t="n"/>
      <c r="F2103" s="397" t="n"/>
      <c r="G2103" s="397" t="n"/>
      <c r="I2103" s="397" t="n"/>
      <c r="J2103" s="397" t="n"/>
      <c r="K2103" s="395">
        <f>DATE(VALUE(LEFT(A2103,4)),VALUE(MID(A2103,5,2)),VALUE(RIGHT(A2103,2)))</f>
        <v/>
      </c>
      <c r="L2103" s="395">
        <f>DATEVALUE(LEFT(F2103,10))</f>
        <v/>
      </c>
      <c r="M2103" s="396">
        <f>TIMEVALUE(MID(F2103,12,8))</f>
        <v/>
      </c>
      <c r="N2103" s="395">
        <f>DATEVALUE(LEFT(G2103,10))</f>
        <v/>
      </c>
      <c r="O2103" s="396">
        <f>TIMEVALUE(MID(G2103,12,8))</f>
        <v/>
      </c>
      <c r="P2103" s="396">
        <f>IFERROR(_xlfn.MINIFS($M:$M,$E:$E,$E2103,$K:$K,$K2103,$M:$M,"&gt;"&amp;$O2103),"")</f>
        <v/>
      </c>
      <c r="Q2103" s="396">
        <f>IF($P2103="","",$P2103-$O2103)</f>
        <v/>
      </c>
    </row>
    <row r="2104" ht="15" customHeight="1" s="231">
      <c r="A2104" s="397" t="n"/>
      <c r="B2104" s="397" t="n"/>
      <c r="C2104" s="397" t="n"/>
      <c r="D2104" s="397" t="n"/>
      <c r="E2104" s="397" t="n"/>
      <c r="F2104" s="397" t="n"/>
      <c r="G2104" s="397" t="n"/>
      <c r="I2104" s="397" t="n"/>
      <c r="J2104" s="397" t="n"/>
      <c r="K2104" s="395">
        <f>DATE(VALUE(LEFT(A2104,4)),VALUE(MID(A2104,5,2)),VALUE(RIGHT(A2104,2)))</f>
        <v/>
      </c>
      <c r="L2104" s="395">
        <f>DATEVALUE(LEFT(F2104,10))</f>
        <v/>
      </c>
      <c r="M2104" s="396">
        <f>TIMEVALUE(MID(F2104,12,8))</f>
        <v/>
      </c>
      <c r="N2104" s="395">
        <f>DATEVALUE(LEFT(G2104,10))</f>
        <v/>
      </c>
      <c r="O2104" s="396">
        <f>TIMEVALUE(MID(G2104,12,8))</f>
        <v/>
      </c>
      <c r="P2104" s="396">
        <f>IFERROR(_xlfn.MINIFS($M:$M,$E:$E,$E2104,$K:$K,$K2104,$M:$M,"&gt;"&amp;$O2104),"")</f>
        <v/>
      </c>
      <c r="Q2104" s="396">
        <f>IF($P2104="","",$P2104-$O2104)</f>
        <v/>
      </c>
    </row>
    <row r="2105" ht="15" customHeight="1" s="231">
      <c r="A2105" s="397" t="n"/>
      <c r="B2105" s="397" t="n"/>
      <c r="C2105" s="397" t="n"/>
      <c r="D2105" s="397" t="n"/>
      <c r="E2105" s="397" t="n"/>
      <c r="F2105" s="397" t="n"/>
      <c r="G2105" s="397" t="n"/>
      <c r="I2105" s="397" t="n"/>
      <c r="J2105" s="397" t="n"/>
      <c r="K2105" s="395">
        <f>DATE(VALUE(LEFT(A2105,4)),VALUE(MID(A2105,5,2)),VALUE(RIGHT(A2105,2)))</f>
        <v/>
      </c>
      <c r="L2105" s="395">
        <f>DATEVALUE(LEFT(F2105,10))</f>
        <v/>
      </c>
      <c r="M2105" s="396">
        <f>TIMEVALUE(MID(F2105,12,8))</f>
        <v/>
      </c>
      <c r="N2105" s="395">
        <f>DATEVALUE(LEFT(G2105,10))</f>
        <v/>
      </c>
      <c r="O2105" s="396">
        <f>TIMEVALUE(MID(G2105,12,8))</f>
        <v/>
      </c>
      <c r="P2105" s="396">
        <f>IFERROR(_xlfn.MINIFS($M:$M,$E:$E,$E2105,$K:$K,$K2105,$M:$M,"&gt;"&amp;$O2105),"")</f>
        <v/>
      </c>
      <c r="Q2105" s="396">
        <f>IF($P2105="","",$P2105-$O2105)</f>
        <v/>
      </c>
    </row>
    <row r="2106" ht="15" customHeight="1" s="231">
      <c r="A2106" s="397" t="n"/>
      <c r="B2106" s="397" t="n"/>
      <c r="C2106" s="397" t="n"/>
      <c r="D2106" s="397" t="n"/>
      <c r="E2106" s="397" t="n"/>
      <c r="F2106" s="397" t="n"/>
      <c r="G2106" s="397" t="n"/>
      <c r="I2106" s="397" t="n"/>
      <c r="J2106" s="397" t="n"/>
      <c r="K2106" s="395">
        <f>DATE(VALUE(LEFT(A2106,4)),VALUE(MID(A2106,5,2)),VALUE(RIGHT(A2106,2)))</f>
        <v/>
      </c>
      <c r="L2106" s="395">
        <f>DATEVALUE(LEFT(F2106,10))</f>
        <v/>
      </c>
      <c r="M2106" s="396">
        <f>TIMEVALUE(MID(F2106,12,8))</f>
        <v/>
      </c>
      <c r="N2106" s="395">
        <f>DATEVALUE(LEFT(G2106,10))</f>
        <v/>
      </c>
      <c r="O2106" s="396">
        <f>TIMEVALUE(MID(G2106,12,8))</f>
        <v/>
      </c>
      <c r="P2106" s="396">
        <f>IFERROR(_xlfn.MINIFS($M:$M,$E:$E,$E2106,$K:$K,$K2106,$M:$M,"&gt;"&amp;$O2106),"")</f>
        <v/>
      </c>
      <c r="Q2106" s="396">
        <f>IF($P2106="","",$P2106-$O2106)</f>
        <v/>
      </c>
    </row>
    <row r="2107" ht="15" customHeight="1" s="231">
      <c r="A2107" s="397" t="n"/>
      <c r="B2107" s="397" t="n"/>
      <c r="C2107" s="397" t="n"/>
      <c r="D2107" s="397" t="n"/>
      <c r="E2107" s="397" t="n"/>
      <c r="F2107" s="397" t="n"/>
      <c r="G2107" s="397" t="n"/>
      <c r="I2107" s="397" t="n"/>
      <c r="J2107" s="397" t="n"/>
      <c r="K2107" s="395">
        <f>DATE(VALUE(LEFT(A2107,4)),VALUE(MID(A2107,5,2)),VALUE(RIGHT(A2107,2)))</f>
        <v/>
      </c>
      <c r="L2107" s="395">
        <f>DATEVALUE(LEFT(F2107,10))</f>
        <v/>
      </c>
      <c r="M2107" s="396">
        <f>TIMEVALUE(MID(F2107,12,8))</f>
        <v/>
      </c>
      <c r="N2107" s="395">
        <f>DATEVALUE(LEFT(G2107,10))</f>
        <v/>
      </c>
      <c r="O2107" s="396">
        <f>TIMEVALUE(MID(G2107,12,8))</f>
        <v/>
      </c>
      <c r="P2107" s="396">
        <f>IFERROR(_xlfn.MINIFS($M:$M,$E:$E,$E2107,$K:$K,$K2107,$M:$M,"&gt;"&amp;$O2107),"")</f>
        <v/>
      </c>
      <c r="Q2107" s="396">
        <f>IF($P2107="","",$P2107-$O2107)</f>
        <v/>
      </c>
    </row>
    <row r="2108" ht="15" customHeight="1" s="231">
      <c r="A2108" s="397" t="n"/>
      <c r="B2108" s="397" t="n"/>
      <c r="C2108" s="397" t="n"/>
      <c r="D2108" s="397" t="n"/>
      <c r="E2108" s="397" t="n"/>
      <c r="F2108" s="397" t="n"/>
      <c r="G2108" s="397" t="n"/>
      <c r="I2108" s="397" t="n"/>
      <c r="J2108" s="397" t="n"/>
      <c r="K2108" s="395">
        <f>DATE(VALUE(LEFT(A2108,4)),VALUE(MID(A2108,5,2)),VALUE(RIGHT(A2108,2)))</f>
        <v/>
      </c>
      <c r="L2108" s="395">
        <f>DATEVALUE(LEFT(F2108,10))</f>
        <v/>
      </c>
      <c r="M2108" s="396">
        <f>TIMEVALUE(MID(F2108,12,8))</f>
        <v/>
      </c>
      <c r="N2108" s="395">
        <f>DATEVALUE(LEFT(G2108,10))</f>
        <v/>
      </c>
      <c r="O2108" s="396">
        <f>TIMEVALUE(MID(G2108,12,8))</f>
        <v/>
      </c>
      <c r="P2108" s="396">
        <f>IFERROR(_xlfn.MINIFS($M:$M,$E:$E,$E2108,$K:$K,$K2108,$M:$M,"&gt;"&amp;$O2108),"")</f>
        <v/>
      </c>
      <c r="Q2108" s="396">
        <f>IF($P2108="","",$P2108-$O2108)</f>
        <v/>
      </c>
    </row>
    <row r="2109" ht="15" customHeight="1" s="231">
      <c r="A2109" s="397" t="n"/>
      <c r="B2109" s="397" t="n"/>
      <c r="C2109" s="397" t="n"/>
      <c r="D2109" s="397" t="n"/>
      <c r="E2109" s="397" t="n"/>
      <c r="F2109" s="397" t="n"/>
      <c r="G2109" s="397" t="n"/>
      <c r="I2109" s="397" t="n"/>
      <c r="J2109" s="397" t="n"/>
      <c r="K2109" s="395">
        <f>DATE(VALUE(LEFT(A2109,4)),VALUE(MID(A2109,5,2)),VALUE(RIGHT(A2109,2)))</f>
        <v/>
      </c>
      <c r="L2109" s="395">
        <f>DATEVALUE(LEFT(F2109,10))</f>
        <v/>
      </c>
      <c r="M2109" s="396">
        <f>TIMEVALUE(MID(F2109,12,8))</f>
        <v/>
      </c>
      <c r="N2109" s="395">
        <f>DATEVALUE(LEFT(G2109,10))</f>
        <v/>
      </c>
      <c r="O2109" s="396">
        <f>TIMEVALUE(MID(G2109,12,8))</f>
        <v/>
      </c>
      <c r="P2109" s="396">
        <f>IFERROR(_xlfn.MINIFS($M:$M,$E:$E,$E2109,$K:$K,$K2109,$M:$M,"&gt;"&amp;$O2109),"")</f>
        <v/>
      </c>
      <c r="Q2109" s="396">
        <f>IF($P2109="","",$P2109-$O2109)</f>
        <v/>
      </c>
    </row>
    <row r="2110" ht="15" customHeight="1" s="231">
      <c r="A2110" s="397" t="n"/>
      <c r="B2110" s="397" t="n"/>
      <c r="C2110" s="397" t="n"/>
      <c r="D2110" s="397" t="n"/>
      <c r="E2110" s="397" t="n"/>
      <c r="F2110" s="397" t="n"/>
      <c r="G2110" s="397" t="n"/>
      <c r="I2110" s="397" t="n"/>
      <c r="J2110" s="397" t="n"/>
      <c r="K2110" s="395">
        <f>DATE(VALUE(LEFT(A2110,4)),VALUE(MID(A2110,5,2)),VALUE(RIGHT(A2110,2)))</f>
        <v/>
      </c>
      <c r="L2110" s="395">
        <f>DATEVALUE(LEFT(F2110,10))</f>
        <v/>
      </c>
      <c r="M2110" s="396">
        <f>TIMEVALUE(MID(F2110,12,8))</f>
        <v/>
      </c>
      <c r="N2110" s="395">
        <f>DATEVALUE(LEFT(G2110,10))</f>
        <v/>
      </c>
      <c r="O2110" s="396">
        <f>TIMEVALUE(MID(G2110,12,8))</f>
        <v/>
      </c>
      <c r="P2110" s="396">
        <f>IFERROR(_xlfn.MINIFS($M:$M,$E:$E,$E2110,$K:$K,$K2110,$M:$M,"&gt;"&amp;$O2110),"")</f>
        <v/>
      </c>
      <c r="Q2110" s="396">
        <f>IF($P2110="","",$P2110-$O2110)</f>
        <v/>
      </c>
    </row>
    <row r="2111" ht="15" customHeight="1" s="231">
      <c r="A2111" s="397" t="n"/>
      <c r="B2111" s="397" t="n"/>
      <c r="C2111" s="397" t="n"/>
      <c r="D2111" s="397" t="n"/>
      <c r="E2111" s="397" t="n"/>
      <c r="F2111" s="397" t="n"/>
      <c r="G2111" s="397" t="n"/>
      <c r="I2111" s="397" t="n"/>
      <c r="J2111" s="397" t="n"/>
      <c r="K2111" s="395">
        <f>DATE(VALUE(LEFT(A2111,4)),VALUE(MID(A2111,5,2)),VALUE(RIGHT(A2111,2)))</f>
        <v/>
      </c>
      <c r="L2111" s="395">
        <f>DATEVALUE(LEFT(F2111,10))</f>
        <v/>
      </c>
      <c r="M2111" s="396">
        <f>TIMEVALUE(MID(F2111,12,8))</f>
        <v/>
      </c>
      <c r="N2111" s="395">
        <f>DATEVALUE(LEFT(G2111,10))</f>
        <v/>
      </c>
      <c r="O2111" s="396">
        <f>TIMEVALUE(MID(G2111,12,8))</f>
        <v/>
      </c>
      <c r="P2111" s="396">
        <f>IFERROR(_xlfn.MINIFS($M:$M,$E:$E,$E2111,$K:$K,$K2111,$M:$M,"&gt;"&amp;$O2111),"")</f>
        <v/>
      </c>
      <c r="Q2111" s="396">
        <f>IF($P2111="","",$P2111-$O2111)</f>
        <v/>
      </c>
    </row>
    <row r="2112" ht="15" customHeight="1" s="231">
      <c r="A2112" s="397" t="n"/>
      <c r="B2112" s="397" t="n"/>
      <c r="C2112" s="397" t="n"/>
      <c r="D2112" s="397" t="n"/>
      <c r="E2112" s="397" t="n"/>
      <c r="F2112" s="397" t="n"/>
      <c r="G2112" s="397" t="n"/>
      <c r="I2112" s="397" t="n"/>
      <c r="J2112" s="397" t="n"/>
      <c r="K2112" s="395">
        <f>DATE(VALUE(LEFT(A2112,4)),VALUE(MID(A2112,5,2)),VALUE(RIGHT(A2112,2)))</f>
        <v/>
      </c>
      <c r="L2112" s="395">
        <f>DATEVALUE(LEFT(F2112,10))</f>
        <v/>
      </c>
      <c r="M2112" s="396">
        <f>TIMEVALUE(MID(F2112,12,8))</f>
        <v/>
      </c>
      <c r="N2112" s="395">
        <f>DATEVALUE(LEFT(G2112,10))</f>
        <v/>
      </c>
      <c r="O2112" s="396">
        <f>TIMEVALUE(MID(G2112,12,8))</f>
        <v/>
      </c>
      <c r="P2112" s="396">
        <f>IFERROR(_xlfn.MINIFS($M:$M,$E:$E,$E2112,$K:$K,$K2112,$M:$M,"&gt;"&amp;$O2112),"")</f>
        <v/>
      </c>
      <c r="Q2112" s="396">
        <f>IF($P2112="","",$P2112-$O2112)</f>
        <v/>
      </c>
    </row>
    <row r="2113" ht="15" customHeight="1" s="231">
      <c r="A2113" s="397" t="n"/>
      <c r="B2113" s="397" t="n"/>
      <c r="C2113" s="397" t="n"/>
      <c r="D2113" s="397" t="n"/>
      <c r="E2113" s="397" t="n"/>
      <c r="F2113" s="397" t="n"/>
      <c r="G2113" s="397" t="n"/>
      <c r="I2113" s="397" t="n"/>
      <c r="J2113" s="397" t="n"/>
      <c r="K2113" s="395">
        <f>DATE(VALUE(LEFT(A2113,4)),VALUE(MID(A2113,5,2)),VALUE(RIGHT(A2113,2)))</f>
        <v/>
      </c>
      <c r="L2113" s="395">
        <f>DATEVALUE(LEFT(F2113,10))</f>
        <v/>
      </c>
      <c r="M2113" s="396">
        <f>TIMEVALUE(MID(F2113,12,8))</f>
        <v/>
      </c>
      <c r="N2113" s="395">
        <f>DATEVALUE(LEFT(G2113,10))</f>
        <v/>
      </c>
      <c r="O2113" s="396">
        <f>TIMEVALUE(MID(G2113,12,8))</f>
        <v/>
      </c>
      <c r="P2113" s="396">
        <f>IFERROR(_xlfn.MINIFS($M:$M,$E:$E,$E2113,$K:$K,$K2113,$M:$M,"&gt;"&amp;$O2113),"")</f>
        <v/>
      </c>
      <c r="Q2113" s="396">
        <f>IF($P2113="","",$P2113-$O2113)</f>
        <v/>
      </c>
    </row>
    <row r="2114" ht="15" customHeight="1" s="231">
      <c r="A2114" s="397" t="n"/>
      <c r="B2114" s="397" t="n"/>
      <c r="C2114" s="397" t="n"/>
      <c r="D2114" s="397" t="n"/>
      <c r="E2114" s="397" t="n"/>
      <c r="F2114" s="397" t="n"/>
      <c r="G2114" s="397" t="n"/>
      <c r="I2114" s="397" t="n"/>
      <c r="J2114" s="397" t="n"/>
      <c r="K2114" s="395">
        <f>DATE(VALUE(LEFT(A2114,4)),VALUE(MID(A2114,5,2)),VALUE(RIGHT(A2114,2)))</f>
        <v/>
      </c>
      <c r="L2114" s="395">
        <f>DATEVALUE(LEFT(F2114,10))</f>
        <v/>
      </c>
      <c r="M2114" s="396">
        <f>TIMEVALUE(MID(F2114,12,8))</f>
        <v/>
      </c>
      <c r="N2114" s="395">
        <f>DATEVALUE(LEFT(G2114,10))</f>
        <v/>
      </c>
      <c r="O2114" s="396">
        <f>TIMEVALUE(MID(G2114,12,8))</f>
        <v/>
      </c>
      <c r="P2114" s="396">
        <f>IFERROR(_xlfn.MINIFS($M:$M,$E:$E,$E2114,$K:$K,$K2114,$M:$M,"&gt;"&amp;$O2114),"")</f>
        <v/>
      </c>
      <c r="Q2114" s="396">
        <f>IF($P2114="","",$P2114-$O2114)</f>
        <v/>
      </c>
    </row>
    <row r="2115" ht="15" customHeight="1" s="231">
      <c r="A2115" s="397" t="n"/>
      <c r="B2115" s="397" t="n"/>
      <c r="C2115" s="397" t="n"/>
      <c r="D2115" s="397" t="n"/>
      <c r="E2115" s="397" t="n"/>
      <c r="F2115" s="397" t="n"/>
      <c r="G2115" s="397" t="n"/>
      <c r="I2115" s="397" t="n"/>
      <c r="J2115" s="397" t="n"/>
      <c r="K2115" s="395">
        <f>DATE(VALUE(LEFT(A2115,4)),VALUE(MID(A2115,5,2)),VALUE(RIGHT(A2115,2)))</f>
        <v/>
      </c>
      <c r="L2115" s="395">
        <f>DATEVALUE(LEFT(F2115,10))</f>
        <v/>
      </c>
      <c r="M2115" s="396">
        <f>TIMEVALUE(MID(F2115,12,8))</f>
        <v/>
      </c>
      <c r="N2115" s="395">
        <f>DATEVALUE(LEFT(G2115,10))</f>
        <v/>
      </c>
      <c r="O2115" s="396">
        <f>TIMEVALUE(MID(G2115,12,8))</f>
        <v/>
      </c>
      <c r="P2115" s="396">
        <f>IFERROR(_xlfn.MINIFS($M:$M,$E:$E,$E2115,$K:$K,$K2115,$M:$M,"&gt;"&amp;$O2115),"")</f>
        <v/>
      </c>
      <c r="Q2115" s="396">
        <f>IF($P2115="","",$P2115-$O2115)</f>
        <v/>
      </c>
    </row>
    <row r="2116" ht="15" customHeight="1" s="231">
      <c r="A2116" s="397" t="n"/>
      <c r="B2116" s="397" t="n"/>
      <c r="C2116" s="397" t="n"/>
      <c r="D2116" s="397" t="n"/>
      <c r="E2116" s="397" t="n"/>
      <c r="F2116" s="397" t="n"/>
      <c r="G2116" s="397" t="n"/>
      <c r="I2116" s="397" t="n"/>
      <c r="J2116" s="397" t="n"/>
      <c r="K2116" s="395">
        <f>DATE(VALUE(LEFT(A2116,4)),VALUE(MID(A2116,5,2)),VALUE(RIGHT(A2116,2)))</f>
        <v/>
      </c>
      <c r="L2116" s="395">
        <f>DATEVALUE(LEFT(F2116,10))</f>
        <v/>
      </c>
      <c r="M2116" s="396">
        <f>TIMEVALUE(MID(F2116,12,8))</f>
        <v/>
      </c>
      <c r="N2116" s="395">
        <f>DATEVALUE(LEFT(G2116,10))</f>
        <v/>
      </c>
      <c r="O2116" s="396">
        <f>TIMEVALUE(MID(G2116,12,8))</f>
        <v/>
      </c>
      <c r="P2116" s="396">
        <f>IFERROR(_xlfn.MINIFS($M:$M,$E:$E,$E2116,$K:$K,$K2116,$M:$M,"&gt;"&amp;$O2116),"")</f>
        <v/>
      </c>
      <c r="Q2116" s="396">
        <f>IF($P2116="","",$P2116-$O2116)</f>
        <v/>
      </c>
    </row>
    <row r="2117" ht="15" customHeight="1" s="231">
      <c r="A2117" s="397" t="n"/>
      <c r="B2117" s="397" t="n"/>
      <c r="C2117" s="397" t="n"/>
      <c r="D2117" s="397" t="n"/>
      <c r="E2117" s="397" t="n"/>
      <c r="F2117" s="397" t="n"/>
      <c r="G2117" s="397" t="n"/>
      <c r="I2117" s="397" t="n"/>
      <c r="J2117" s="397" t="n"/>
      <c r="K2117" s="395">
        <f>DATE(VALUE(LEFT(A2117,4)),VALUE(MID(A2117,5,2)),VALUE(RIGHT(A2117,2)))</f>
        <v/>
      </c>
      <c r="L2117" s="395">
        <f>DATEVALUE(LEFT(F2117,10))</f>
        <v/>
      </c>
      <c r="M2117" s="396">
        <f>TIMEVALUE(MID(F2117,12,8))</f>
        <v/>
      </c>
      <c r="N2117" s="395">
        <f>DATEVALUE(LEFT(G2117,10))</f>
        <v/>
      </c>
      <c r="O2117" s="396">
        <f>TIMEVALUE(MID(G2117,12,8))</f>
        <v/>
      </c>
      <c r="P2117" s="396">
        <f>IFERROR(_xlfn.MINIFS($M:$M,$E:$E,$E2117,$K:$K,$K2117,$M:$M,"&gt;"&amp;$O2117),"")</f>
        <v/>
      </c>
      <c r="Q2117" s="396">
        <f>IF($P2117="","",$P2117-$O2117)</f>
        <v/>
      </c>
    </row>
    <row r="2118" ht="15" customHeight="1" s="231">
      <c r="A2118" s="397" t="n"/>
      <c r="B2118" s="397" t="n"/>
      <c r="C2118" s="397" t="n"/>
      <c r="D2118" s="397" t="n"/>
      <c r="E2118" s="397" t="n"/>
      <c r="F2118" s="397" t="n"/>
      <c r="G2118" s="397" t="n"/>
      <c r="I2118" s="397" t="n"/>
      <c r="J2118" s="397" t="n"/>
      <c r="K2118" s="395">
        <f>DATE(VALUE(LEFT(A2118,4)),VALUE(MID(A2118,5,2)),VALUE(RIGHT(A2118,2)))</f>
        <v/>
      </c>
      <c r="L2118" s="395">
        <f>DATEVALUE(LEFT(F2118,10))</f>
        <v/>
      </c>
      <c r="M2118" s="396">
        <f>TIMEVALUE(MID(F2118,12,8))</f>
        <v/>
      </c>
      <c r="N2118" s="395">
        <f>DATEVALUE(LEFT(G2118,10))</f>
        <v/>
      </c>
      <c r="O2118" s="396">
        <f>TIMEVALUE(MID(G2118,12,8))</f>
        <v/>
      </c>
      <c r="P2118" s="396">
        <f>IFERROR(_xlfn.MINIFS($M:$M,$E:$E,$E2118,$K:$K,$K2118,$M:$M,"&gt;"&amp;$O2118),"")</f>
        <v/>
      </c>
      <c r="Q2118" s="396">
        <f>IF($P2118="","",$P2118-$O2118)</f>
        <v/>
      </c>
    </row>
    <row r="2119" ht="15" customHeight="1" s="231">
      <c r="A2119" s="397" t="n"/>
      <c r="B2119" s="397" t="n"/>
      <c r="C2119" s="397" t="n"/>
      <c r="D2119" s="397" t="n"/>
      <c r="E2119" s="397" t="n"/>
      <c r="F2119" s="397" t="n"/>
      <c r="G2119" s="397" t="n"/>
      <c r="I2119" s="397" t="n"/>
      <c r="J2119" s="397" t="n"/>
      <c r="K2119" s="395">
        <f>DATE(VALUE(LEFT(A2119,4)),VALUE(MID(A2119,5,2)),VALUE(RIGHT(A2119,2)))</f>
        <v/>
      </c>
      <c r="L2119" s="395">
        <f>DATEVALUE(LEFT(F2119,10))</f>
        <v/>
      </c>
      <c r="M2119" s="396">
        <f>TIMEVALUE(MID(F2119,12,8))</f>
        <v/>
      </c>
      <c r="N2119" s="395">
        <f>DATEVALUE(LEFT(G2119,10))</f>
        <v/>
      </c>
      <c r="O2119" s="396">
        <f>TIMEVALUE(MID(G2119,12,8))</f>
        <v/>
      </c>
      <c r="P2119" s="396">
        <f>IFERROR(_xlfn.MINIFS($M:$M,$E:$E,$E2119,$K:$K,$K2119,$M:$M,"&gt;"&amp;$O2119),"")</f>
        <v/>
      </c>
      <c r="Q2119" s="396">
        <f>IF($P2119="","",$P2119-$O2119)</f>
        <v/>
      </c>
    </row>
    <row r="2120" ht="15" customHeight="1" s="231">
      <c r="A2120" s="397" t="n"/>
      <c r="B2120" s="397" t="n"/>
      <c r="C2120" s="397" t="n"/>
      <c r="D2120" s="397" t="n"/>
      <c r="E2120" s="397" t="n"/>
      <c r="F2120" s="397" t="n"/>
      <c r="G2120" s="397" t="n"/>
      <c r="I2120" s="397" t="n"/>
      <c r="J2120" s="397" t="n"/>
      <c r="K2120" s="395">
        <f>DATE(VALUE(LEFT(A2120,4)),VALUE(MID(A2120,5,2)),VALUE(RIGHT(A2120,2)))</f>
        <v/>
      </c>
      <c r="L2120" s="395">
        <f>DATEVALUE(LEFT(F2120,10))</f>
        <v/>
      </c>
      <c r="M2120" s="396">
        <f>TIMEVALUE(MID(F2120,12,8))</f>
        <v/>
      </c>
      <c r="N2120" s="395">
        <f>DATEVALUE(LEFT(G2120,10))</f>
        <v/>
      </c>
      <c r="O2120" s="396">
        <f>TIMEVALUE(MID(G2120,12,8))</f>
        <v/>
      </c>
      <c r="P2120" s="396">
        <f>IFERROR(_xlfn.MINIFS($M:$M,$E:$E,$E2120,$K:$K,$K2120,$M:$M,"&gt;"&amp;$O2120),"")</f>
        <v/>
      </c>
      <c r="Q2120" s="396">
        <f>IF($P2120="","",$P2120-$O2120)</f>
        <v/>
      </c>
    </row>
    <row r="2121" ht="15" customHeight="1" s="231">
      <c r="A2121" s="397" t="n"/>
      <c r="B2121" s="397" t="n"/>
      <c r="C2121" s="397" t="n"/>
      <c r="D2121" s="397" t="n"/>
      <c r="E2121" s="397" t="n"/>
      <c r="F2121" s="397" t="n"/>
      <c r="G2121" s="397" t="n"/>
      <c r="I2121" s="397" t="n"/>
      <c r="J2121" s="397" t="n"/>
      <c r="K2121" s="395">
        <f>DATE(VALUE(LEFT(A2121,4)),VALUE(MID(A2121,5,2)),VALUE(RIGHT(A2121,2)))</f>
        <v/>
      </c>
      <c r="L2121" s="395">
        <f>DATEVALUE(LEFT(F2121,10))</f>
        <v/>
      </c>
      <c r="M2121" s="396">
        <f>TIMEVALUE(MID(F2121,12,8))</f>
        <v/>
      </c>
      <c r="N2121" s="395">
        <f>DATEVALUE(LEFT(G2121,10))</f>
        <v/>
      </c>
      <c r="O2121" s="396">
        <f>TIMEVALUE(MID(G2121,12,8))</f>
        <v/>
      </c>
      <c r="P2121" s="396">
        <f>IFERROR(_xlfn.MINIFS($M:$M,$E:$E,$E2121,$K:$K,$K2121,$M:$M,"&gt;"&amp;$O2121),"")</f>
        <v/>
      </c>
      <c r="Q2121" s="396">
        <f>IF($P2121="","",$P2121-$O2121)</f>
        <v/>
      </c>
    </row>
    <row r="2122" ht="15" customHeight="1" s="231">
      <c r="A2122" s="397" t="n"/>
      <c r="B2122" s="397" t="n"/>
      <c r="C2122" s="397" t="n"/>
      <c r="D2122" s="397" t="n"/>
      <c r="E2122" s="397" t="n"/>
      <c r="F2122" s="397" t="n"/>
      <c r="G2122" s="397" t="n"/>
      <c r="I2122" s="397" t="n"/>
      <c r="J2122" s="397" t="n"/>
      <c r="K2122" s="395">
        <f>DATE(VALUE(LEFT(A2122,4)),VALUE(MID(A2122,5,2)),VALUE(RIGHT(A2122,2)))</f>
        <v/>
      </c>
      <c r="L2122" s="395">
        <f>DATEVALUE(LEFT(F2122,10))</f>
        <v/>
      </c>
      <c r="M2122" s="396">
        <f>TIMEVALUE(MID(F2122,12,8))</f>
        <v/>
      </c>
      <c r="N2122" s="395">
        <f>DATEVALUE(LEFT(G2122,10))</f>
        <v/>
      </c>
      <c r="O2122" s="396">
        <f>TIMEVALUE(MID(G2122,12,8))</f>
        <v/>
      </c>
      <c r="P2122" s="396">
        <f>IFERROR(_xlfn.MINIFS($M:$M,$E:$E,$E2122,$K:$K,$K2122,$M:$M,"&gt;"&amp;$O2122),"")</f>
        <v/>
      </c>
      <c r="Q2122" s="396">
        <f>IF($P2122="","",$P2122-$O2122)</f>
        <v/>
      </c>
    </row>
    <row r="2123" ht="15" customHeight="1" s="231">
      <c r="A2123" s="397" t="n"/>
      <c r="B2123" s="397" t="n"/>
      <c r="C2123" s="397" t="n"/>
      <c r="D2123" s="397" t="n"/>
      <c r="E2123" s="397" t="n"/>
      <c r="F2123" s="397" t="n"/>
      <c r="G2123" s="397" t="n"/>
      <c r="I2123" s="397" t="n"/>
      <c r="J2123" s="397" t="n"/>
      <c r="K2123" s="395">
        <f>DATE(VALUE(LEFT(A2123,4)),VALUE(MID(A2123,5,2)),VALUE(RIGHT(A2123,2)))</f>
        <v/>
      </c>
      <c r="L2123" s="395">
        <f>DATEVALUE(LEFT(F2123,10))</f>
        <v/>
      </c>
      <c r="M2123" s="396">
        <f>TIMEVALUE(MID(F2123,12,8))</f>
        <v/>
      </c>
      <c r="N2123" s="395">
        <f>DATEVALUE(LEFT(G2123,10))</f>
        <v/>
      </c>
      <c r="O2123" s="396">
        <f>TIMEVALUE(MID(G2123,12,8))</f>
        <v/>
      </c>
      <c r="P2123" s="396">
        <f>IFERROR(_xlfn.MINIFS($M:$M,$E:$E,$E2123,$K:$K,$K2123,$M:$M,"&gt;"&amp;$O2123),"")</f>
        <v/>
      </c>
      <c r="Q2123" s="396">
        <f>IF($P2123="","",$P2123-$O2123)</f>
        <v/>
      </c>
    </row>
    <row r="2124" ht="15" customHeight="1" s="231">
      <c r="A2124" s="397" t="n"/>
      <c r="B2124" s="397" t="n"/>
      <c r="C2124" s="397" t="n"/>
      <c r="D2124" s="397" t="n"/>
      <c r="E2124" s="397" t="n"/>
      <c r="F2124" s="397" t="n"/>
      <c r="G2124" s="397" t="n"/>
      <c r="I2124" s="397" t="n"/>
      <c r="J2124" s="397" t="n"/>
      <c r="K2124" s="395">
        <f>DATE(VALUE(LEFT(A2124,4)),VALUE(MID(A2124,5,2)),VALUE(RIGHT(A2124,2)))</f>
        <v/>
      </c>
      <c r="L2124" s="395">
        <f>DATEVALUE(LEFT(F2124,10))</f>
        <v/>
      </c>
      <c r="M2124" s="396">
        <f>TIMEVALUE(MID(F2124,12,8))</f>
        <v/>
      </c>
      <c r="N2124" s="395">
        <f>DATEVALUE(LEFT(G2124,10))</f>
        <v/>
      </c>
      <c r="O2124" s="396">
        <f>TIMEVALUE(MID(G2124,12,8))</f>
        <v/>
      </c>
      <c r="P2124" s="396">
        <f>IFERROR(_xlfn.MINIFS($M:$M,$E:$E,$E2124,$K:$K,$K2124,$M:$M,"&gt;"&amp;$O2124),"")</f>
        <v/>
      </c>
      <c r="Q2124" s="396">
        <f>IF($P2124="","",$P2124-$O2124)</f>
        <v/>
      </c>
    </row>
    <row r="2125" ht="15" customHeight="1" s="231">
      <c r="A2125" s="397" t="n"/>
      <c r="B2125" s="397" t="n"/>
      <c r="C2125" s="397" t="n"/>
      <c r="D2125" s="397" t="n"/>
      <c r="E2125" s="397" t="n"/>
      <c r="F2125" s="397" t="n"/>
      <c r="G2125" s="397" t="n"/>
      <c r="I2125" s="397" t="n"/>
      <c r="J2125" s="397" t="n"/>
      <c r="K2125" s="395">
        <f>DATE(VALUE(LEFT(A2125,4)),VALUE(MID(A2125,5,2)),VALUE(RIGHT(A2125,2)))</f>
        <v/>
      </c>
      <c r="L2125" s="395">
        <f>DATEVALUE(LEFT(F2125,10))</f>
        <v/>
      </c>
      <c r="M2125" s="396">
        <f>TIMEVALUE(MID(F2125,12,8))</f>
        <v/>
      </c>
      <c r="N2125" s="395">
        <f>DATEVALUE(LEFT(G2125,10))</f>
        <v/>
      </c>
      <c r="O2125" s="396">
        <f>TIMEVALUE(MID(G2125,12,8))</f>
        <v/>
      </c>
      <c r="P2125" s="396">
        <f>IFERROR(_xlfn.MINIFS($M:$M,$E:$E,$E2125,$K:$K,$K2125,$M:$M,"&gt;"&amp;$O2125),"")</f>
        <v/>
      </c>
      <c r="Q2125" s="396">
        <f>IF($P2125="","",$P2125-$O2125)</f>
        <v/>
      </c>
    </row>
    <row r="2126" ht="15" customHeight="1" s="231">
      <c r="A2126" s="397" t="n"/>
      <c r="B2126" s="397" t="n"/>
      <c r="C2126" s="397" t="n"/>
      <c r="D2126" s="397" t="n"/>
      <c r="E2126" s="397" t="n"/>
      <c r="F2126" s="397" t="n"/>
      <c r="G2126" s="397" t="n"/>
      <c r="I2126" s="397" t="n"/>
      <c r="J2126" s="397" t="n"/>
      <c r="K2126" s="395">
        <f>DATE(VALUE(LEFT(A2126,4)),VALUE(MID(A2126,5,2)),VALUE(RIGHT(A2126,2)))</f>
        <v/>
      </c>
      <c r="L2126" s="395">
        <f>DATEVALUE(LEFT(F2126,10))</f>
        <v/>
      </c>
      <c r="M2126" s="396">
        <f>TIMEVALUE(MID(F2126,12,8))</f>
        <v/>
      </c>
      <c r="N2126" s="395">
        <f>DATEVALUE(LEFT(G2126,10))</f>
        <v/>
      </c>
      <c r="O2126" s="396">
        <f>TIMEVALUE(MID(G2126,12,8))</f>
        <v/>
      </c>
      <c r="P2126" s="396">
        <f>IFERROR(_xlfn.MINIFS($M:$M,$E:$E,$E2126,$K:$K,$K2126,$M:$M,"&gt;"&amp;$O2126),"")</f>
        <v/>
      </c>
      <c r="Q2126" s="396">
        <f>IF($P2126="","",$P2126-$O2126)</f>
        <v/>
      </c>
    </row>
    <row r="2127" ht="15" customHeight="1" s="231">
      <c r="A2127" s="397" t="n"/>
      <c r="B2127" s="397" t="n"/>
      <c r="C2127" s="397" t="n"/>
      <c r="D2127" s="397" t="n"/>
      <c r="E2127" s="397" t="n"/>
      <c r="F2127" s="397" t="n"/>
      <c r="G2127" s="397" t="n"/>
      <c r="I2127" s="397" t="n"/>
      <c r="J2127" s="397" t="n"/>
      <c r="K2127" s="395">
        <f>DATE(VALUE(LEFT(A2127,4)),VALUE(MID(A2127,5,2)),VALUE(RIGHT(A2127,2)))</f>
        <v/>
      </c>
      <c r="L2127" s="395">
        <f>DATEVALUE(LEFT(F2127,10))</f>
        <v/>
      </c>
      <c r="M2127" s="396">
        <f>TIMEVALUE(MID(F2127,12,8))</f>
        <v/>
      </c>
      <c r="N2127" s="395">
        <f>DATEVALUE(LEFT(G2127,10))</f>
        <v/>
      </c>
      <c r="O2127" s="396">
        <f>TIMEVALUE(MID(G2127,12,8))</f>
        <v/>
      </c>
      <c r="P2127" s="396">
        <f>IFERROR(_xlfn.MINIFS($M:$M,$E:$E,$E2127,$K:$K,$K2127,$M:$M,"&gt;"&amp;$O2127),"")</f>
        <v/>
      </c>
      <c r="Q2127" s="396">
        <f>IF($P2127="","",$P2127-$O2127)</f>
        <v/>
      </c>
    </row>
    <row r="2128" ht="15" customHeight="1" s="231">
      <c r="A2128" s="397" t="n"/>
      <c r="B2128" s="397" t="n"/>
      <c r="C2128" s="397" t="n"/>
      <c r="D2128" s="397" t="n"/>
      <c r="E2128" s="397" t="n"/>
      <c r="F2128" s="397" t="n"/>
      <c r="G2128" s="397" t="n"/>
      <c r="I2128" s="397" t="n"/>
      <c r="J2128" s="397" t="n"/>
      <c r="K2128" s="395">
        <f>DATE(VALUE(LEFT(A2128,4)),VALUE(MID(A2128,5,2)),VALUE(RIGHT(A2128,2)))</f>
        <v/>
      </c>
      <c r="L2128" s="395">
        <f>DATEVALUE(LEFT(F2128,10))</f>
        <v/>
      </c>
      <c r="M2128" s="396">
        <f>TIMEVALUE(MID(F2128,12,8))</f>
        <v/>
      </c>
      <c r="N2128" s="395">
        <f>DATEVALUE(LEFT(G2128,10))</f>
        <v/>
      </c>
      <c r="O2128" s="396">
        <f>TIMEVALUE(MID(G2128,12,8))</f>
        <v/>
      </c>
      <c r="P2128" s="396">
        <f>IFERROR(_xlfn.MINIFS($M:$M,$E:$E,$E2128,$K:$K,$K2128,$M:$M,"&gt;"&amp;$O2128),"")</f>
        <v/>
      </c>
      <c r="Q2128" s="396">
        <f>IF($P2128="","",$P2128-$O2128)</f>
        <v/>
      </c>
    </row>
    <row r="2129" ht="15" customHeight="1" s="231">
      <c r="A2129" s="397" t="n"/>
      <c r="B2129" s="397" t="n"/>
      <c r="C2129" s="397" t="n"/>
      <c r="D2129" s="397" t="n"/>
      <c r="E2129" s="397" t="n"/>
      <c r="F2129" s="397" t="n"/>
      <c r="G2129" s="397" t="n"/>
      <c r="I2129" s="397" t="n"/>
      <c r="J2129" s="397" t="n"/>
      <c r="K2129" s="395">
        <f>DATE(VALUE(LEFT(A2129,4)),VALUE(MID(A2129,5,2)),VALUE(RIGHT(A2129,2)))</f>
        <v/>
      </c>
      <c r="L2129" s="395">
        <f>DATEVALUE(LEFT(F2129,10))</f>
        <v/>
      </c>
      <c r="M2129" s="396">
        <f>TIMEVALUE(MID(F2129,12,8))</f>
        <v/>
      </c>
      <c r="N2129" s="395">
        <f>DATEVALUE(LEFT(G2129,10))</f>
        <v/>
      </c>
      <c r="O2129" s="396">
        <f>TIMEVALUE(MID(G2129,12,8))</f>
        <v/>
      </c>
      <c r="P2129" s="396">
        <f>IFERROR(_xlfn.MINIFS($M:$M,$E:$E,$E2129,$K:$K,$K2129,$M:$M,"&gt;"&amp;$O2129),"")</f>
        <v/>
      </c>
      <c r="Q2129" s="396">
        <f>IF($P2129="","",$P2129-$O2129)</f>
        <v/>
      </c>
    </row>
    <row r="2130" ht="15" customHeight="1" s="231">
      <c r="A2130" s="397" t="n"/>
      <c r="B2130" s="397" t="n"/>
      <c r="C2130" s="397" t="n"/>
      <c r="D2130" s="397" t="n"/>
      <c r="E2130" s="397" t="n"/>
      <c r="F2130" s="397" t="n"/>
      <c r="G2130" s="397" t="n"/>
      <c r="I2130" s="397" t="n"/>
      <c r="J2130" s="397" t="n"/>
      <c r="K2130" s="395">
        <f>DATE(VALUE(LEFT(A2130,4)),VALUE(MID(A2130,5,2)),VALUE(RIGHT(A2130,2)))</f>
        <v/>
      </c>
      <c r="L2130" s="395">
        <f>DATEVALUE(LEFT(F2130,10))</f>
        <v/>
      </c>
      <c r="M2130" s="396">
        <f>TIMEVALUE(MID(F2130,12,8))</f>
        <v/>
      </c>
      <c r="N2130" s="395">
        <f>DATEVALUE(LEFT(G2130,10))</f>
        <v/>
      </c>
      <c r="O2130" s="396">
        <f>TIMEVALUE(MID(G2130,12,8))</f>
        <v/>
      </c>
      <c r="P2130" s="396">
        <f>IFERROR(_xlfn.MINIFS($M:$M,$E:$E,$E2130,$K:$K,$K2130,$M:$M,"&gt;"&amp;$O2130),"")</f>
        <v/>
      </c>
      <c r="Q2130" s="396">
        <f>IF($P2130="","",$P2130-$O2130)</f>
        <v/>
      </c>
    </row>
    <row r="2131" ht="15" customHeight="1" s="231">
      <c r="A2131" s="397" t="n"/>
      <c r="B2131" s="397" t="n"/>
      <c r="C2131" s="397" t="n"/>
      <c r="D2131" s="397" t="n"/>
      <c r="E2131" s="397" t="n"/>
      <c r="F2131" s="397" t="n"/>
      <c r="G2131" s="397" t="n"/>
      <c r="I2131" s="397" t="n"/>
      <c r="J2131" s="397" t="n"/>
      <c r="K2131" s="395">
        <f>DATE(VALUE(LEFT(A2131,4)),VALUE(MID(A2131,5,2)),VALUE(RIGHT(A2131,2)))</f>
        <v/>
      </c>
      <c r="L2131" s="395">
        <f>DATEVALUE(LEFT(F2131,10))</f>
        <v/>
      </c>
      <c r="M2131" s="396">
        <f>TIMEVALUE(MID(F2131,12,8))</f>
        <v/>
      </c>
      <c r="N2131" s="395">
        <f>DATEVALUE(LEFT(G2131,10))</f>
        <v/>
      </c>
      <c r="O2131" s="396">
        <f>TIMEVALUE(MID(G2131,12,8))</f>
        <v/>
      </c>
      <c r="P2131" s="396">
        <f>IFERROR(_xlfn.MINIFS($M:$M,$E:$E,$E2131,$K:$K,$K2131,$M:$M,"&gt;"&amp;$O2131),"")</f>
        <v/>
      </c>
      <c r="Q2131" s="396">
        <f>IF($P2131="","",$P2131-$O2131)</f>
        <v/>
      </c>
    </row>
    <row r="2132" ht="15" customHeight="1" s="231">
      <c r="A2132" s="397" t="n"/>
      <c r="B2132" s="397" t="n"/>
      <c r="C2132" s="397" t="n"/>
      <c r="D2132" s="397" t="n"/>
      <c r="E2132" s="397" t="n"/>
      <c r="F2132" s="397" t="n"/>
      <c r="G2132" s="397" t="n"/>
      <c r="I2132" s="397" t="n"/>
      <c r="J2132" s="397" t="n"/>
      <c r="K2132" s="395">
        <f>DATE(VALUE(LEFT(A2132,4)),VALUE(MID(A2132,5,2)),VALUE(RIGHT(A2132,2)))</f>
        <v/>
      </c>
      <c r="L2132" s="395">
        <f>DATEVALUE(LEFT(F2132,10))</f>
        <v/>
      </c>
      <c r="M2132" s="396">
        <f>TIMEVALUE(MID(F2132,12,8))</f>
        <v/>
      </c>
      <c r="N2132" s="395">
        <f>DATEVALUE(LEFT(G2132,10))</f>
        <v/>
      </c>
      <c r="O2132" s="396">
        <f>TIMEVALUE(MID(G2132,12,8))</f>
        <v/>
      </c>
      <c r="P2132" s="396">
        <f>IFERROR(_xlfn.MINIFS($M:$M,$E:$E,$E2132,$K:$K,$K2132,$M:$M,"&gt;"&amp;$O2132),"")</f>
        <v/>
      </c>
      <c r="Q2132" s="396">
        <f>IF($P2132="","",$P2132-$O2132)</f>
        <v/>
      </c>
    </row>
    <row r="2133" ht="15" customHeight="1" s="231">
      <c r="A2133" s="397" t="n"/>
      <c r="B2133" s="397" t="n"/>
      <c r="C2133" s="397" t="n"/>
      <c r="D2133" s="397" t="n"/>
      <c r="E2133" s="397" t="n"/>
      <c r="F2133" s="397" t="n"/>
      <c r="G2133" s="397" t="n"/>
      <c r="I2133" s="397" t="n"/>
      <c r="J2133" s="397" t="n"/>
      <c r="K2133" s="395">
        <f>DATE(VALUE(LEFT(A2133,4)),VALUE(MID(A2133,5,2)),VALUE(RIGHT(A2133,2)))</f>
        <v/>
      </c>
      <c r="L2133" s="395">
        <f>DATEVALUE(LEFT(F2133,10))</f>
        <v/>
      </c>
      <c r="M2133" s="396">
        <f>TIMEVALUE(MID(F2133,12,8))</f>
        <v/>
      </c>
      <c r="N2133" s="395">
        <f>DATEVALUE(LEFT(G2133,10))</f>
        <v/>
      </c>
      <c r="O2133" s="396">
        <f>TIMEVALUE(MID(G2133,12,8))</f>
        <v/>
      </c>
      <c r="P2133" s="396">
        <f>IFERROR(_xlfn.MINIFS($M:$M,$E:$E,$E2133,$K:$K,$K2133,$M:$M,"&gt;"&amp;$O2133),"")</f>
        <v/>
      </c>
      <c r="Q2133" s="396">
        <f>IF($P2133="","",$P2133-$O2133)</f>
        <v/>
      </c>
    </row>
    <row r="2134" ht="15" customHeight="1" s="231">
      <c r="A2134" s="397" t="n"/>
      <c r="B2134" s="397" t="n"/>
      <c r="C2134" s="397" t="n"/>
      <c r="D2134" s="397" t="n"/>
      <c r="E2134" s="397" t="n"/>
      <c r="F2134" s="397" t="n"/>
      <c r="G2134" s="397" t="n"/>
      <c r="I2134" s="397" t="n"/>
      <c r="J2134" s="397" t="n"/>
      <c r="K2134" s="395">
        <f>DATE(VALUE(LEFT(A2134,4)),VALUE(MID(A2134,5,2)),VALUE(RIGHT(A2134,2)))</f>
        <v/>
      </c>
      <c r="L2134" s="395">
        <f>DATEVALUE(LEFT(F2134,10))</f>
        <v/>
      </c>
      <c r="M2134" s="396">
        <f>TIMEVALUE(MID(F2134,12,8))</f>
        <v/>
      </c>
      <c r="N2134" s="395">
        <f>DATEVALUE(LEFT(G2134,10))</f>
        <v/>
      </c>
      <c r="O2134" s="396">
        <f>TIMEVALUE(MID(G2134,12,8))</f>
        <v/>
      </c>
      <c r="P2134" s="396">
        <f>IFERROR(_xlfn.MINIFS($M:$M,$E:$E,$E2134,$K:$K,$K2134,$M:$M,"&gt;"&amp;$O2134),"")</f>
        <v/>
      </c>
      <c r="Q2134" s="396">
        <f>IF($P2134="","",$P2134-$O2134)</f>
        <v/>
      </c>
    </row>
    <row r="2135" ht="15" customHeight="1" s="231">
      <c r="A2135" s="397" t="n"/>
      <c r="B2135" s="397" t="n"/>
      <c r="C2135" s="397" t="n"/>
      <c r="D2135" s="397" t="n"/>
      <c r="E2135" s="397" t="n"/>
      <c r="F2135" s="397" t="n"/>
      <c r="G2135" s="397" t="n"/>
      <c r="I2135" s="397" t="n"/>
      <c r="J2135" s="397" t="n"/>
      <c r="K2135" s="395">
        <f>DATE(VALUE(LEFT(A2135,4)),VALUE(MID(A2135,5,2)),VALUE(RIGHT(A2135,2)))</f>
        <v/>
      </c>
      <c r="L2135" s="395">
        <f>DATEVALUE(LEFT(F2135,10))</f>
        <v/>
      </c>
      <c r="M2135" s="396">
        <f>TIMEVALUE(MID(F2135,12,8))</f>
        <v/>
      </c>
      <c r="N2135" s="395">
        <f>DATEVALUE(LEFT(G2135,10))</f>
        <v/>
      </c>
      <c r="O2135" s="396">
        <f>TIMEVALUE(MID(G2135,12,8))</f>
        <v/>
      </c>
      <c r="P2135" s="396">
        <f>IFERROR(_xlfn.MINIFS($M:$M,$E:$E,$E2135,$K:$K,$K2135,$M:$M,"&gt;"&amp;$O2135),"")</f>
        <v/>
      </c>
      <c r="Q2135" s="396">
        <f>IF($P2135="","",$P2135-$O2135)</f>
        <v/>
      </c>
    </row>
    <row r="2136" ht="15" customHeight="1" s="231">
      <c r="A2136" s="397" t="n"/>
      <c r="B2136" s="397" t="n"/>
      <c r="C2136" s="397" t="n"/>
      <c r="D2136" s="397" t="n"/>
      <c r="E2136" s="397" t="n"/>
      <c r="F2136" s="397" t="n"/>
      <c r="G2136" s="397" t="n"/>
      <c r="I2136" s="397" t="n"/>
      <c r="J2136" s="397" t="n"/>
      <c r="K2136" s="395">
        <f>DATE(VALUE(LEFT(A2136,4)),VALUE(MID(A2136,5,2)),VALUE(RIGHT(A2136,2)))</f>
        <v/>
      </c>
      <c r="L2136" s="395">
        <f>DATEVALUE(LEFT(F2136,10))</f>
        <v/>
      </c>
      <c r="M2136" s="396">
        <f>TIMEVALUE(MID(F2136,12,8))</f>
        <v/>
      </c>
      <c r="N2136" s="395">
        <f>DATEVALUE(LEFT(G2136,10))</f>
        <v/>
      </c>
      <c r="O2136" s="396">
        <f>TIMEVALUE(MID(G2136,12,8))</f>
        <v/>
      </c>
      <c r="P2136" s="396">
        <f>IFERROR(_xlfn.MINIFS($M:$M,$E:$E,$E2136,$K:$K,$K2136,$M:$M,"&gt;"&amp;$O2136),"")</f>
        <v/>
      </c>
      <c r="Q2136" s="396">
        <f>IF($P2136="","",$P2136-$O2136)</f>
        <v/>
      </c>
    </row>
    <row r="2137" ht="15" customHeight="1" s="231">
      <c r="A2137" s="397" t="n"/>
      <c r="B2137" s="397" t="n"/>
      <c r="C2137" s="397" t="n"/>
      <c r="D2137" s="397" t="n"/>
      <c r="E2137" s="397" t="n"/>
      <c r="F2137" s="397" t="n"/>
      <c r="G2137" s="397" t="n"/>
      <c r="I2137" s="397" t="n"/>
      <c r="J2137" s="397" t="n"/>
      <c r="K2137" s="395">
        <f>DATE(VALUE(LEFT(A2137,4)),VALUE(MID(A2137,5,2)),VALUE(RIGHT(A2137,2)))</f>
        <v/>
      </c>
      <c r="L2137" s="395">
        <f>DATEVALUE(LEFT(F2137,10))</f>
        <v/>
      </c>
      <c r="M2137" s="396">
        <f>TIMEVALUE(MID(F2137,12,8))</f>
        <v/>
      </c>
      <c r="N2137" s="395">
        <f>DATEVALUE(LEFT(G2137,10))</f>
        <v/>
      </c>
      <c r="O2137" s="396">
        <f>TIMEVALUE(MID(G2137,12,8))</f>
        <v/>
      </c>
      <c r="P2137" s="396">
        <f>IFERROR(_xlfn.MINIFS($M:$M,$E:$E,$E2137,$K:$K,$K2137,$M:$M,"&gt;"&amp;$O2137),"")</f>
        <v/>
      </c>
      <c r="Q2137" s="396">
        <f>IF($P2137="","",$P2137-$O2137)</f>
        <v/>
      </c>
    </row>
    <row r="2138" ht="15" customHeight="1" s="231">
      <c r="A2138" s="397" t="n"/>
      <c r="B2138" s="397" t="n"/>
      <c r="C2138" s="397" t="n"/>
      <c r="D2138" s="397" t="n"/>
      <c r="E2138" s="397" t="n"/>
      <c r="F2138" s="397" t="n"/>
      <c r="G2138" s="397" t="n"/>
      <c r="I2138" s="397" t="n"/>
      <c r="J2138" s="397" t="n"/>
      <c r="K2138" s="395">
        <f>DATE(VALUE(LEFT(A2138,4)),VALUE(MID(A2138,5,2)),VALUE(RIGHT(A2138,2)))</f>
        <v/>
      </c>
      <c r="L2138" s="395">
        <f>DATEVALUE(LEFT(F2138,10))</f>
        <v/>
      </c>
      <c r="M2138" s="396">
        <f>TIMEVALUE(MID(F2138,12,8))</f>
        <v/>
      </c>
      <c r="N2138" s="395">
        <f>DATEVALUE(LEFT(G2138,10))</f>
        <v/>
      </c>
      <c r="O2138" s="396">
        <f>TIMEVALUE(MID(G2138,12,8))</f>
        <v/>
      </c>
      <c r="P2138" s="396">
        <f>IFERROR(_xlfn.MINIFS($M:$M,$E:$E,$E2138,$K:$K,$K2138,$M:$M,"&gt;"&amp;$O2138),"")</f>
        <v/>
      </c>
      <c r="Q2138" s="396">
        <f>IF($P2138="","",$P2138-$O2138)</f>
        <v/>
      </c>
    </row>
    <row r="2139" ht="15" customHeight="1" s="231">
      <c r="A2139" s="397" t="n"/>
      <c r="B2139" s="397" t="n"/>
      <c r="C2139" s="397" t="n"/>
      <c r="D2139" s="397" t="n"/>
      <c r="E2139" s="397" t="n"/>
      <c r="F2139" s="397" t="n"/>
      <c r="G2139" s="397" t="n"/>
      <c r="I2139" s="397" t="n"/>
      <c r="J2139" s="397" t="n"/>
      <c r="K2139" s="395">
        <f>DATE(VALUE(LEFT(A2139,4)),VALUE(MID(A2139,5,2)),VALUE(RIGHT(A2139,2)))</f>
        <v/>
      </c>
      <c r="L2139" s="395">
        <f>DATEVALUE(LEFT(F2139,10))</f>
        <v/>
      </c>
      <c r="M2139" s="396">
        <f>TIMEVALUE(MID(F2139,12,8))</f>
        <v/>
      </c>
      <c r="N2139" s="395">
        <f>DATEVALUE(LEFT(G2139,10))</f>
        <v/>
      </c>
      <c r="O2139" s="396">
        <f>TIMEVALUE(MID(G2139,12,8))</f>
        <v/>
      </c>
      <c r="P2139" s="396">
        <f>IFERROR(_xlfn.MINIFS($M:$M,$E:$E,$E2139,$K:$K,$K2139,$M:$M,"&gt;"&amp;$O2139),"")</f>
        <v/>
      </c>
      <c r="Q2139" s="396">
        <f>IF($P2139="","",$P2139-$O2139)</f>
        <v/>
      </c>
    </row>
    <row r="2140" ht="15" customHeight="1" s="231">
      <c r="A2140" s="397" t="n"/>
      <c r="B2140" s="397" t="n"/>
      <c r="C2140" s="397" t="n"/>
      <c r="D2140" s="397" t="n"/>
      <c r="E2140" s="397" t="n"/>
      <c r="F2140" s="397" t="n"/>
      <c r="G2140" s="397" t="n"/>
      <c r="I2140" s="397" t="n"/>
      <c r="J2140" s="397" t="n"/>
      <c r="K2140" s="395">
        <f>DATE(VALUE(LEFT(A2140,4)),VALUE(MID(A2140,5,2)),VALUE(RIGHT(A2140,2)))</f>
        <v/>
      </c>
      <c r="L2140" s="395">
        <f>DATEVALUE(LEFT(F2140,10))</f>
        <v/>
      </c>
      <c r="M2140" s="396">
        <f>TIMEVALUE(MID(F2140,12,8))</f>
        <v/>
      </c>
      <c r="N2140" s="395">
        <f>DATEVALUE(LEFT(G2140,10))</f>
        <v/>
      </c>
      <c r="O2140" s="396">
        <f>TIMEVALUE(MID(G2140,12,8))</f>
        <v/>
      </c>
      <c r="P2140" s="396">
        <f>IFERROR(_xlfn.MINIFS($M:$M,$E:$E,$E2140,$K:$K,$K2140,$M:$M,"&gt;"&amp;$O2140),"")</f>
        <v/>
      </c>
      <c r="Q2140" s="396">
        <f>IF($P2140="","",$P2140-$O2140)</f>
        <v/>
      </c>
    </row>
    <row r="2141" ht="15" customHeight="1" s="231">
      <c r="A2141" s="397" t="n"/>
      <c r="B2141" s="397" t="n"/>
      <c r="C2141" s="397" t="n"/>
      <c r="D2141" s="397" t="n"/>
      <c r="E2141" s="397" t="n"/>
      <c r="F2141" s="397" t="n"/>
      <c r="G2141" s="397" t="n"/>
      <c r="I2141" s="397" t="n"/>
      <c r="J2141" s="397" t="n"/>
      <c r="K2141" s="395">
        <f>DATE(VALUE(LEFT(A2141,4)),VALUE(MID(A2141,5,2)),VALUE(RIGHT(A2141,2)))</f>
        <v/>
      </c>
      <c r="L2141" s="395">
        <f>DATEVALUE(LEFT(F2141,10))</f>
        <v/>
      </c>
      <c r="M2141" s="396">
        <f>TIMEVALUE(MID(F2141,12,8))</f>
        <v/>
      </c>
      <c r="N2141" s="395">
        <f>DATEVALUE(LEFT(G2141,10))</f>
        <v/>
      </c>
      <c r="O2141" s="396">
        <f>TIMEVALUE(MID(G2141,12,8))</f>
        <v/>
      </c>
      <c r="P2141" s="396">
        <f>IFERROR(_xlfn.MINIFS($M:$M,$E:$E,$E2141,$K:$K,$K2141,$M:$M,"&gt;"&amp;$O2141),"")</f>
        <v/>
      </c>
      <c r="Q2141" s="396">
        <f>IF($P2141="","",$P2141-$O2141)</f>
        <v/>
      </c>
    </row>
    <row r="2142" ht="15" customHeight="1" s="231">
      <c r="A2142" s="397" t="n"/>
      <c r="B2142" s="397" t="n"/>
      <c r="C2142" s="397" t="n"/>
      <c r="D2142" s="397" t="n"/>
      <c r="E2142" s="397" t="n"/>
      <c r="F2142" s="397" t="n"/>
      <c r="G2142" s="397" t="n"/>
      <c r="I2142" s="397" t="n"/>
      <c r="J2142" s="397" t="n"/>
      <c r="K2142" s="395">
        <f>DATE(VALUE(LEFT(A2142,4)),VALUE(MID(A2142,5,2)),VALUE(RIGHT(A2142,2)))</f>
        <v/>
      </c>
      <c r="L2142" s="395">
        <f>DATEVALUE(LEFT(F2142,10))</f>
        <v/>
      </c>
      <c r="M2142" s="396">
        <f>TIMEVALUE(MID(F2142,12,8))</f>
        <v/>
      </c>
      <c r="N2142" s="395">
        <f>DATEVALUE(LEFT(G2142,10))</f>
        <v/>
      </c>
      <c r="O2142" s="396">
        <f>TIMEVALUE(MID(G2142,12,8))</f>
        <v/>
      </c>
      <c r="P2142" s="396">
        <f>IFERROR(_xlfn.MINIFS($M:$M,$E:$E,$E2142,$K:$K,$K2142,$M:$M,"&gt;"&amp;$O2142),"")</f>
        <v/>
      </c>
      <c r="Q2142" s="396">
        <f>IF($P2142="","",$P2142-$O2142)</f>
        <v/>
      </c>
    </row>
    <row r="2143" ht="15" customHeight="1" s="231">
      <c r="A2143" s="397" t="n"/>
      <c r="B2143" s="397" t="n"/>
      <c r="C2143" s="397" t="n"/>
      <c r="D2143" s="397" t="n"/>
      <c r="E2143" s="397" t="n"/>
      <c r="F2143" s="397" t="n"/>
      <c r="G2143" s="397" t="n"/>
      <c r="I2143" s="397" t="n"/>
      <c r="J2143" s="397" t="n"/>
      <c r="K2143" s="395">
        <f>DATE(VALUE(LEFT(A2143,4)),VALUE(MID(A2143,5,2)),VALUE(RIGHT(A2143,2)))</f>
        <v/>
      </c>
      <c r="L2143" s="395">
        <f>DATEVALUE(LEFT(F2143,10))</f>
        <v/>
      </c>
      <c r="M2143" s="396">
        <f>TIMEVALUE(MID(F2143,12,8))</f>
        <v/>
      </c>
      <c r="N2143" s="395">
        <f>DATEVALUE(LEFT(G2143,10))</f>
        <v/>
      </c>
      <c r="O2143" s="396">
        <f>TIMEVALUE(MID(G2143,12,8))</f>
        <v/>
      </c>
      <c r="P2143" s="396">
        <f>IFERROR(_xlfn.MINIFS($M:$M,$E:$E,$E2143,$K:$K,$K2143,$M:$M,"&gt;"&amp;$O2143),"")</f>
        <v/>
      </c>
      <c r="Q2143" s="396">
        <f>IF($P2143="","",$P2143-$O2143)</f>
        <v/>
      </c>
    </row>
    <row r="2144" ht="15" customHeight="1" s="231">
      <c r="A2144" s="397" t="n"/>
      <c r="B2144" s="397" t="n"/>
      <c r="C2144" s="397" t="n"/>
      <c r="D2144" s="397" t="n"/>
      <c r="E2144" s="397" t="n"/>
      <c r="F2144" s="397" t="n"/>
      <c r="G2144" s="397" t="n"/>
      <c r="I2144" s="397" t="n"/>
      <c r="J2144" s="397" t="n"/>
      <c r="K2144" s="395">
        <f>DATE(VALUE(LEFT(A2144,4)),VALUE(MID(A2144,5,2)),VALUE(RIGHT(A2144,2)))</f>
        <v/>
      </c>
      <c r="L2144" s="395">
        <f>DATEVALUE(LEFT(F2144,10))</f>
        <v/>
      </c>
      <c r="M2144" s="396">
        <f>TIMEVALUE(MID(F2144,12,8))</f>
        <v/>
      </c>
      <c r="N2144" s="395">
        <f>DATEVALUE(LEFT(G2144,10))</f>
        <v/>
      </c>
      <c r="O2144" s="396">
        <f>TIMEVALUE(MID(G2144,12,8))</f>
        <v/>
      </c>
      <c r="P2144" s="396">
        <f>IFERROR(_xlfn.MINIFS($M:$M,$E:$E,$E2144,$K:$K,$K2144,$M:$M,"&gt;"&amp;$O2144),"")</f>
        <v/>
      </c>
      <c r="Q2144" s="396">
        <f>IF($P2144="","",$P2144-$O2144)</f>
        <v/>
      </c>
    </row>
    <row r="2145" ht="15" customHeight="1" s="231">
      <c r="A2145" s="397" t="n"/>
      <c r="B2145" s="397" t="n"/>
      <c r="C2145" s="397" t="n"/>
      <c r="D2145" s="397" t="n"/>
      <c r="E2145" s="397" t="n"/>
      <c r="F2145" s="397" t="n"/>
      <c r="G2145" s="397" t="n"/>
      <c r="I2145" s="397" t="n"/>
      <c r="J2145" s="397" t="n"/>
      <c r="K2145" s="395">
        <f>DATE(VALUE(LEFT(A2145,4)),VALUE(MID(A2145,5,2)),VALUE(RIGHT(A2145,2)))</f>
        <v/>
      </c>
      <c r="L2145" s="395">
        <f>DATEVALUE(LEFT(F2145,10))</f>
        <v/>
      </c>
      <c r="M2145" s="396">
        <f>TIMEVALUE(MID(F2145,12,8))</f>
        <v/>
      </c>
      <c r="N2145" s="395">
        <f>DATEVALUE(LEFT(G2145,10))</f>
        <v/>
      </c>
      <c r="O2145" s="396">
        <f>TIMEVALUE(MID(G2145,12,8))</f>
        <v/>
      </c>
      <c r="P2145" s="396">
        <f>IFERROR(_xlfn.MINIFS($M:$M,$E:$E,$E2145,$K:$K,$K2145,$M:$M,"&gt;"&amp;$O2145),"")</f>
        <v/>
      </c>
      <c r="Q2145" s="396">
        <f>IF($P2145="","",$P2145-$O2145)</f>
        <v/>
      </c>
    </row>
    <row r="2146" ht="15" customHeight="1" s="231">
      <c r="A2146" s="397" t="n"/>
      <c r="B2146" s="397" t="n"/>
      <c r="C2146" s="397" t="n"/>
      <c r="D2146" s="397" t="n"/>
      <c r="E2146" s="397" t="n"/>
      <c r="F2146" s="397" t="n"/>
      <c r="G2146" s="397" t="n"/>
      <c r="I2146" s="397" t="n"/>
      <c r="J2146" s="397" t="n"/>
      <c r="K2146" s="395">
        <f>DATE(VALUE(LEFT(A2146,4)),VALUE(MID(A2146,5,2)),VALUE(RIGHT(A2146,2)))</f>
        <v/>
      </c>
      <c r="L2146" s="395">
        <f>DATEVALUE(LEFT(F2146,10))</f>
        <v/>
      </c>
      <c r="M2146" s="396">
        <f>TIMEVALUE(MID(F2146,12,8))</f>
        <v/>
      </c>
      <c r="N2146" s="395">
        <f>DATEVALUE(LEFT(G2146,10))</f>
        <v/>
      </c>
      <c r="O2146" s="396">
        <f>TIMEVALUE(MID(G2146,12,8))</f>
        <v/>
      </c>
      <c r="P2146" s="396">
        <f>IFERROR(_xlfn.MINIFS($M:$M,$E:$E,$E2146,$K:$K,$K2146,$M:$M,"&gt;"&amp;$O2146),"")</f>
        <v/>
      </c>
      <c r="Q2146" s="396">
        <f>IF($P2146="","",$P2146-$O2146)</f>
        <v/>
      </c>
    </row>
    <row r="2147" ht="15" customHeight="1" s="231">
      <c r="A2147" s="397" t="n"/>
      <c r="B2147" s="397" t="n"/>
      <c r="C2147" s="397" t="n"/>
      <c r="D2147" s="397" t="n"/>
      <c r="E2147" s="397" t="n"/>
      <c r="F2147" s="397" t="n"/>
      <c r="G2147" s="397" t="n"/>
      <c r="I2147" s="397" t="n"/>
      <c r="J2147" s="397" t="n"/>
      <c r="K2147" s="395">
        <f>DATE(VALUE(LEFT(A2147,4)),VALUE(MID(A2147,5,2)),VALUE(RIGHT(A2147,2)))</f>
        <v/>
      </c>
      <c r="L2147" s="395">
        <f>DATEVALUE(LEFT(F2147,10))</f>
        <v/>
      </c>
      <c r="M2147" s="396">
        <f>TIMEVALUE(MID(F2147,12,8))</f>
        <v/>
      </c>
      <c r="N2147" s="395">
        <f>DATEVALUE(LEFT(G2147,10))</f>
        <v/>
      </c>
      <c r="O2147" s="396">
        <f>TIMEVALUE(MID(G2147,12,8))</f>
        <v/>
      </c>
      <c r="P2147" s="396">
        <f>IFERROR(_xlfn.MINIFS($M:$M,$E:$E,$E2147,$K:$K,$K2147,$M:$M,"&gt;"&amp;$O2147),"")</f>
        <v/>
      </c>
      <c r="Q2147" s="396">
        <f>IF($P2147="","",$P2147-$O2147)</f>
        <v/>
      </c>
    </row>
    <row r="2148" ht="15" customHeight="1" s="231">
      <c r="A2148" s="397" t="n"/>
      <c r="B2148" s="397" t="n"/>
      <c r="C2148" s="397" t="n"/>
      <c r="D2148" s="397" t="n"/>
      <c r="E2148" s="397" t="n"/>
      <c r="F2148" s="397" t="n"/>
      <c r="G2148" s="397" t="n"/>
      <c r="I2148" s="397" t="n"/>
      <c r="J2148" s="397" t="n"/>
      <c r="K2148" s="395">
        <f>DATE(VALUE(LEFT(A2148,4)),VALUE(MID(A2148,5,2)),VALUE(RIGHT(A2148,2)))</f>
        <v/>
      </c>
      <c r="L2148" s="395">
        <f>DATEVALUE(LEFT(F2148,10))</f>
        <v/>
      </c>
      <c r="M2148" s="396">
        <f>TIMEVALUE(MID(F2148,12,8))</f>
        <v/>
      </c>
      <c r="N2148" s="395">
        <f>DATEVALUE(LEFT(G2148,10))</f>
        <v/>
      </c>
      <c r="O2148" s="396">
        <f>TIMEVALUE(MID(G2148,12,8))</f>
        <v/>
      </c>
      <c r="P2148" s="396">
        <f>IFERROR(_xlfn.MINIFS($M:$M,$E:$E,$E2148,$K:$K,$K2148,$M:$M,"&gt;"&amp;$O2148),"")</f>
        <v/>
      </c>
      <c r="Q2148" s="396">
        <f>IF($P2148="","",$P2148-$O2148)</f>
        <v/>
      </c>
    </row>
    <row r="2149" ht="15" customHeight="1" s="231">
      <c r="A2149" s="397" t="n"/>
      <c r="B2149" s="397" t="n"/>
      <c r="C2149" s="397" t="n"/>
      <c r="D2149" s="397" t="n"/>
      <c r="E2149" s="397" t="n"/>
      <c r="F2149" s="397" t="n"/>
      <c r="G2149" s="397" t="n"/>
      <c r="I2149" s="397" t="n"/>
      <c r="J2149" s="397" t="n"/>
      <c r="K2149" s="395">
        <f>DATE(VALUE(LEFT(A2149,4)),VALUE(MID(A2149,5,2)),VALUE(RIGHT(A2149,2)))</f>
        <v/>
      </c>
      <c r="L2149" s="395">
        <f>DATEVALUE(LEFT(F2149,10))</f>
        <v/>
      </c>
      <c r="M2149" s="396">
        <f>TIMEVALUE(MID(F2149,12,8))</f>
        <v/>
      </c>
      <c r="N2149" s="395">
        <f>DATEVALUE(LEFT(G2149,10))</f>
        <v/>
      </c>
      <c r="O2149" s="396">
        <f>TIMEVALUE(MID(G2149,12,8))</f>
        <v/>
      </c>
      <c r="P2149" s="396">
        <f>IFERROR(_xlfn.MINIFS($M:$M,$E:$E,$E2149,$K:$K,$K2149,$M:$M,"&gt;"&amp;$O2149),"")</f>
        <v/>
      </c>
      <c r="Q2149" s="396">
        <f>IF($P2149="","",$P2149-$O2149)</f>
        <v/>
      </c>
    </row>
    <row r="2150" ht="15" customHeight="1" s="231">
      <c r="A2150" s="397" t="n"/>
      <c r="B2150" s="397" t="n"/>
      <c r="C2150" s="397" t="n"/>
      <c r="D2150" s="397" t="n"/>
      <c r="E2150" s="397" t="n"/>
      <c r="F2150" s="397" t="n"/>
      <c r="G2150" s="397" t="n"/>
      <c r="I2150" s="397" t="n"/>
      <c r="J2150" s="397" t="n"/>
      <c r="K2150" s="395">
        <f>DATE(VALUE(LEFT(A2150,4)),VALUE(MID(A2150,5,2)),VALUE(RIGHT(A2150,2)))</f>
        <v/>
      </c>
      <c r="L2150" s="395">
        <f>DATEVALUE(LEFT(F2150,10))</f>
        <v/>
      </c>
      <c r="M2150" s="396">
        <f>TIMEVALUE(MID(F2150,12,8))</f>
        <v/>
      </c>
      <c r="N2150" s="395">
        <f>DATEVALUE(LEFT(G2150,10))</f>
        <v/>
      </c>
      <c r="O2150" s="396">
        <f>TIMEVALUE(MID(G2150,12,8))</f>
        <v/>
      </c>
      <c r="P2150" s="396">
        <f>IFERROR(_xlfn.MINIFS($M:$M,$E:$E,$E2150,$K:$K,$K2150,$M:$M,"&gt;"&amp;$O2150),"")</f>
        <v/>
      </c>
      <c r="Q2150" s="396">
        <f>IF($P2150="","",$P2150-$O2150)</f>
        <v/>
      </c>
    </row>
    <row r="2151" ht="15" customHeight="1" s="231">
      <c r="A2151" s="397" t="n"/>
      <c r="B2151" s="397" t="n"/>
      <c r="C2151" s="397" t="n"/>
      <c r="D2151" s="397" t="n"/>
      <c r="E2151" s="397" t="n"/>
      <c r="F2151" s="397" t="n"/>
      <c r="G2151" s="397" t="n"/>
      <c r="I2151" s="397" t="n"/>
      <c r="J2151" s="397" t="n"/>
      <c r="K2151" s="395">
        <f>DATE(VALUE(LEFT(A2151,4)),VALUE(MID(A2151,5,2)),VALUE(RIGHT(A2151,2)))</f>
        <v/>
      </c>
      <c r="L2151" s="395">
        <f>DATEVALUE(LEFT(F2151,10))</f>
        <v/>
      </c>
      <c r="M2151" s="396">
        <f>TIMEVALUE(MID(F2151,12,8))</f>
        <v/>
      </c>
      <c r="N2151" s="395">
        <f>DATEVALUE(LEFT(G2151,10))</f>
        <v/>
      </c>
      <c r="O2151" s="396">
        <f>TIMEVALUE(MID(G2151,12,8))</f>
        <v/>
      </c>
      <c r="P2151" s="396">
        <f>IFERROR(_xlfn.MINIFS($M:$M,$E:$E,$E2151,$K:$K,$K2151,$M:$M,"&gt;"&amp;$O2151),"")</f>
        <v/>
      </c>
      <c r="Q2151" s="396">
        <f>IF($P2151="","",$P2151-$O2151)</f>
        <v/>
      </c>
    </row>
    <row r="2152" ht="15" customHeight="1" s="231">
      <c r="A2152" s="397" t="n"/>
      <c r="B2152" s="397" t="n"/>
      <c r="C2152" s="397" t="n"/>
      <c r="D2152" s="397" t="n"/>
      <c r="E2152" s="397" t="n"/>
      <c r="F2152" s="397" t="n"/>
      <c r="G2152" s="397" t="n"/>
      <c r="I2152" s="397" t="n"/>
      <c r="J2152" s="397" t="n"/>
      <c r="K2152" s="395">
        <f>DATE(VALUE(LEFT(A2152,4)),VALUE(MID(A2152,5,2)),VALUE(RIGHT(A2152,2)))</f>
        <v/>
      </c>
      <c r="L2152" s="395">
        <f>DATEVALUE(LEFT(F2152,10))</f>
        <v/>
      </c>
      <c r="M2152" s="396">
        <f>TIMEVALUE(MID(F2152,12,8))</f>
        <v/>
      </c>
      <c r="N2152" s="395">
        <f>DATEVALUE(LEFT(G2152,10))</f>
        <v/>
      </c>
      <c r="O2152" s="396">
        <f>TIMEVALUE(MID(G2152,12,8))</f>
        <v/>
      </c>
      <c r="P2152" s="396">
        <f>IFERROR(_xlfn.MINIFS($M:$M,$E:$E,$E2152,$K:$K,$K2152,$M:$M,"&gt;"&amp;$O2152),"")</f>
        <v/>
      </c>
      <c r="Q2152" s="396">
        <f>IF($P2152="","",$P2152-$O2152)</f>
        <v/>
      </c>
    </row>
    <row r="2153" ht="15" customHeight="1" s="231">
      <c r="A2153" s="397" t="n"/>
      <c r="B2153" s="397" t="n"/>
      <c r="C2153" s="397" t="n"/>
      <c r="D2153" s="397" t="n"/>
      <c r="E2153" s="397" t="n"/>
      <c r="F2153" s="397" t="n"/>
      <c r="G2153" s="397" t="n"/>
      <c r="I2153" s="397" t="n"/>
      <c r="J2153" s="397" t="n"/>
      <c r="K2153" s="395">
        <f>DATE(VALUE(LEFT(A2153,4)),VALUE(MID(A2153,5,2)),VALUE(RIGHT(A2153,2)))</f>
        <v/>
      </c>
      <c r="L2153" s="395">
        <f>DATEVALUE(LEFT(F2153,10))</f>
        <v/>
      </c>
      <c r="M2153" s="396">
        <f>TIMEVALUE(MID(F2153,12,8))</f>
        <v/>
      </c>
      <c r="N2153" s="395">
        <f>DATEVALUE(LEFT(G2153,10))</f>
        <v/>
      </c>
      <c r="O2153" s="396">
        <f>TIMEVALUE(MID(G2153,12,8))</f>
        <v/>
      </c>
      <c r="P2153" s="396">
        <f>IFERROR(_xlfn.MINIFS($M:$M,$E:$E,$E2153,$K:$K,$K2153,$M:$M,"&gt;"&amp;$O2153),"")</f>
        <v/>
      </c>
      <c r="Q2153" s="396">
        <f>IF($P2153="","",$P2153-$O2153)</f>
        <v/>
      </c>
    </row>
    <row r="2154" ht="15" customHeight="1" s="231">
      <c r="A2154" s="397" t="n"/>
      <c r="B2154" s="397" t="n"/>
      <c r="C2154" s="397" t="n"/>
      <c r="D2154" s="397" t="n"/>
      <c r="E2154" s="397" t="n"/>
      <c r="F2154" s="397" t="n"/>
      <c r="G2154" s="397" t="n"/>
      <c r="I2154" s="397" t="n"/>
      <c r="J2154" s="397" t="n"/>
      <c r="K2154" s="395">
        <f>DATE(VALUE(LEFT(A2154,4)),VALUE(MID(A2154,5,2)),VALUE(RIGHT(A2154,2)))</f>
        <v/>
      </c>
      <c r="L2154" s="395">
        <f>DATEVALUE(LEFT(F2154,10))</f>
        <v/>
      </c>
      <c r="M2154" s="396">
        <f>TIMEVALUE(MID(F2154,12,8))</f>
        <v/>
      </c>
      <c r="N2154" s="395">
        <f>DATEVALUE(LEFT(G2154,10))</f>
        <v/>
      </c>
      <c r="O2154" s="396">
        <f>TIMEVALUE(MID(G2154,12,8))</f>
        <v/>
      </c>
      <c r="P2154" s="396">
        <f>IFERROR(_xlfn.MINIFS($M:$M,$E:$E,$E2154,$K:$K,$K2154,$M:$M,"&gt;"&amp;$O2154),"")</f>
        <v/>
      </c>
      <c r="Q2154" s="396">
        <f>IF($P2154="","",$P2154-$O2154)</f>
        <v/>
      </c>
    </row>
    <row r="2155" ht="15" customHeight="1" s="231">
      <c r="A2155" s="397" t="n"/>
      <c r="B2155" s="397" t="n"/>
      <c r="C2155" s="397" t="n"/>
      <c r="D2155" s="397" t="n"/>
      <c r="E2155" s="397" t="n"/>
      <c r="F2155" s="397" t="n"/>
      <c r="G2155" s="397" t="n"/>
      <c r="I2155" s="397" t="n"/>
      <c r="J2155" s="397" t="n"/>
      <c r="K2155" s="395">
        <f>DATE(VALUE(LEFT(A2155,4)),VALUE(MID(A2155,5,2)),VALUE(RIGHT(A2155,2)))</f>
        <v/>
      </c>
      <c r="L2155" s="395">
        <f>DATEVALUE(LEFT(F2155,10))</f>
        <v/>
      </c>
      <c r="M2155" s="396">
        <f>TIMEVALUE(MID(F2155,12,8))</f>
        <v/>
      </c>
      <c r="N2155" s="395">
        <f>DATEVALUE(LEFT(G2155,10))</f>
        <v/>
      </c>
      <c r="O2155" s="396">
        <f>TIMEVALUE(MID(G2155,12,8))</f>
        <v/>
      </c>
      <c r="P2155" s="396">
        <f>IFERROR(_xlfn.MINIFS($M:$M,$E:$E,$E2155,$K:$K,$K2155,$M:$M,"&gt;"&amp;$O2155),"")</f>
        <v/>
      </c>
      <c r="Q2155" s="396">
        <f>IF($P2155="","",$P2155-$O2155)</f>
        <v/>
      </c>
    </row>
    <row r="2156" ht="15" customHeight="1" s="231">
      <c r="A2156" s="397" t="n"/>
      <c r="B2156" s="397" t="n"/>
      <c r="C2156" s="397" t="n"/>
      <c r="D2156" s="397" t="n"/>
      <c r="E2156" s="397" t="n"/>
      <c r="F2156" s="397" t="n"/>
      <c r="G2156" s="397" t="n"/>
      <c r="I2156" s="397" t="n"/>
      <c r="J2156" s="397" t="n"/>
      <c r="K2156" s="395">
        <f>DATE(VALUE(LEFT(A2156,4)),VALUE(MID(A2156,5,2)),VALUE(RIGHT(A2156,2)))</f>
        <v/>
      </c>
      <c r="L2156" s="395">
        <f>DATEVALUE(LEFT(F2156,10))</f>
        <v/>
      </c>
      <c r="M2156" s="396">
        <f>TIMEVALUE(MID(F2156,12,8))</f>
        <v/>
      </c>
      <c r="N2156" s="395">
        <f>DATEVALUE(LEFT(G2156,10))</f>
        <v/>
      </c>
      <c r="O2156" s="396">
        <f>TIMEVALUE(MID(G2156,12,8))</f>
        <v/>
      </c>
      <c r="P2156" s="396">
        <f>IFERROR(_xlfn.MINIFS($M:$M,$E:$E,$E2156,$K:$K,$K2156,$M:$M,"&gt;"&amp;$O2156),"")</f>
        <v/>
      </c>
      <c r="Q2156" s="396">
        <f>IF($P2156="","",$P2156-$O2156)</f>
        <v/>
      </c>
    </row>
    <row r="2157" ht="15" customHeight="1" s="231">
      <c r="A2157" s="397" t="n"/>
      <c r="B2157" s="397" t="n"/>
      <c r="C2157" s="397" t="n"/>
      <c r="D2157" s="397" t="n"/>
      <c r="E2157" s="397" t="n"/>
      <c r="F2157" s="397" t="n"/>
      <c r="G2157" s="397" t="n"/>
      <c r="I2157" s="397" t="n"/>
      <c r="J2157" s="397" t="n"/>
      <c r="K2157" s="395">
        <f>DATE(VALUE(LEFT(A2157,4)),VALUE(MID(A2157,5,2)),VALUE(RIGHT(A2157,2)))</f>
        <v/>
      </c>
      <c r="L2157" s="395">
        <f>DATEVALUE(LEFT(F2157,10))</f>
        <v/>
      </c>
      <c r="M2157" s="396">
        <f>TIMEVALUE(MID(F2157,12,8))</f>
        <v/>
      </c>
      <c r="N2157" s="395">
        <f>DATEVALUE(LEFT(G2157,10))</f>
        <v/>
      </c>
      <c r="O2157" s="396">
        <f>TIMEVALUE(MID(G2157,12,8))</f>
        <v/>
      </c>
      <c r="P2157" s="396">
        <f>IFERROR(_xlfn.MINIFS($M:$M,$E:$E,$E2157,$K:$K,$K2157,$M:$M,"&gt;"&amp;$O2157),"")</f>
        <v/>
      </c>
      <c r="Q2157" s="396">
        <f>IF($P2157="","",$P2157-$O2157)</f>
        <v/>
      </c>
    </row>
    <row r="2158" ht="15" customHeight="1" s="231">
      <c r="A2158" s="397" t="n"/>
      <c r="B2158" s="397" t="n"/>
      <c r="C2158" s="397" t="n"/>
      <c r="D2158" s="397" t="n"/>
      <c r="E2158" s="397" t="n"/>
      <c r="F2158" s="397" t="n"/>
      <c r="G2158" s="397" t="n"/>
      <c r="I2158" s="397" t="n"/>
      <c r="J2158" s="397" t="n"/>
      <c r="K2158" s="395">
        <f>DATE(VALUE(LEFT(A2158,4)),VALUE(MID(A2158,5,2)),VALUE(RIGHT(A2158,2)))</f>
        <v/>
      </c>
      <c r="L2158" s="395">
        <f>DATEVALUE(LEFT(F2158,10))</f>
        <v/>
      </c>
      <c r="M2158" s="396">
        <f>TIMEVALUE(MID(F2158,12,8))</f>
        <v/>
      </c>
      <c r="N2158" s="395">
        <f>DATEVALUE(LEFT(G2158,10))</f>
        <v/>
      </c>
      <c r="O2158" s="396">
        <f>TIMEVALUE(MID(G2158,12,8))</f>
        <v/>
      </c>
      <c r="P2158" s="396">
        <f>IFERROR(_xlfn.MINIFS($M:$M,$E:$E,$E2158,$K:$K,$K2158,$M:$M,"&gt;"&amp;$O2158),"")</f>
        <v/>
      </c>
      <c r="Q2158" s="396">
        <f>IF($P2158="","",$P2158-$O2158)</f>
        <v/>
      </c>
    </row>
    <row r="2159" ht="15" customHeight="1" s="231">
      <c r="A2159" s="397" t="n"/>
      <c r="B2159" s="397" t="n"/>
      <c r="C2159" s="397" t="n"/>
      <c r="D2159" s="397" t="n"/>
      <c r="E2159" s="397" t="n"/>
      <c r="F2159" s="397" t="n"/>
      <c r="G2159" s="397" t="n"/>
      <c r="I2159" s="397" t="n"/>
      <c r="J2159" s="397" t="n"/>
      <c r="K2159" s="395">
        <f>DATE(VALUE(LEFT(A2159,4)),VALUE(MID(A2159,5,2)),VALUE(RIGHT(A2159,2)))</f>
        <v/>
      </c>
      <c r="L2159" s="395">
        <f>DATEVALUE(LEFT(F2159,10))</f>
        <v/>
      </c>
      <c r="M2159" s="396">
        <f>TIMEVALUE(MID(F2159,12,8))</f>
        <v/>
      </c>
      <c r="N2159" s="395">
        <f>DATEVALUE(LEFT(G2159,10))</f>
        <v/>
      </c>
      <c r="O2159" s="396">
        <f>TIMEVALUE(MID(G2159,12,8))</f>
        <v/>
      </c>
      <c r="P2159" s="396">
        <f>IFERROR(_xlfn.MINIFS($M:$M,$E:$E,$E2159,$K:$K,$K2159,$M:$M,"&gt;"&amp;$O2159),"")</f>
        <v/>
      </c>
      <c r="Q2159" s="396">
        <f>IF($P2159="","",$P2159-$O2159)</f>
        <v/>
      </c>
    </row>
    <row r="2160" ht="15" customHeight="1" s="231">
      <c r="A2160" s="397" t="n"/>
      <c r="B2160" s="397" t="n"/>
      <c r="C2160" s="397" t="n"/>
      <c r="D2160" s="397" t="n"/>
      <c r="E2160" s="397" t="n"/>
      <c r="F2160" s="397" t="n"/>
      <c r="G2160" s="397" t="n"/>
      <c r="I2160" s="397" t="n"/>
      <c r="J2160" s="397" t="n"/>
      <c r="K2160" s="395">
        <f>DATE(VALUE(LEFT(A2160,4)),VALUE(MID(A2160,5,2)),VALUE(RIGHT(A2160,2)))</f>
        <v/>
      </c>
      <c r="L2160" s="395">
        <f>DATEVALUE(LEFT(F2160,10))</f>
        <v/>
      </c>
      <c r="M2160" s="396">
        <f>TIMEVALUE(MID(F2160,12,8))</f>
        <v/>
      </c>
      <c r="N2160" s="395">
        <f>DATEVALUE(LEFT(G2160,10))</f>
        <v/>
      </c>
      <c r="O2160" s="396">
        <f>TIMEVALUE(MID(G2160,12,8))</f>
        <v/>
      </c>
      <c r="P2160" s="396">
        <f>IFERROR(_xlfn.MINIFS($M:$M,$E:$E,$E2160,$K:$K,$K2160,$M:$M,"&gt;"&amp;$O2160),"")</f>
        <v/>
      </c>
      <c r="Q2160" s="396">
        <f>IF($P2160="","",$P2160-$O2160)</f>
        <v/>
      </c>
    </row>
    <row r="2161" ht="15" customHeight="1" s="231">
      <c r="A2161" s="397" t="n"/>
      <c r="B2161" s="397" t="n"/>
      <c r="C2161" s="397" t="n"/>
      <c r="D2161" s="397" t="n"/>
      <c r="E2161" s="397" t="n"/>
      <c r="F2161" s="397" t="n"/>
      <c r="G2161" s="397" t="n"/>
      <c r="I2161" s="397" t="n"/>
      <c r="J2161" s="397" t="n"/>
      <c r="K2161" s="395">
        <f>DATE(VALUE(LEFT(A2161,4)),VALUE(MID(A2161,5,2)),VALUE(RIGHT(A2161,2)))</f>
        <v/>
      </c>
      <c r="L2161" s="395">
        <f>DATEVALUE(LEFT(F2161,10))</f>
        <v/>
      </c>
      <c r="M2161" s="396">
        <f>TIMEVALUE(MID(F2161,12,8))</f>
        <v/>
      </c>
      <c r="N2161" s="395">
        <f>DATEVALUE(LEFT(G2161,10))</f>
        <v/>
      </c>
      <c r="O2161" s="396">
        <f>TIMEVALUE(MID(G2161,12,8))</f>
        <v/>
      </c>
      <c r="P2161" s="396">
        <f>IFERROR(_xlfn.MINIFS($M:$M,$E:$E,$E2161,$K:$K,$K2161,$M:$M,"&gt;"&amp;$O2161),"")</f>
        <v/>
      </c>
      <c r="Q2161" s="396">
        <f>IF($P2161="","",$P2161-$O2161)</f>
        <v/>
      </c>
    </row>
    <row r="2162" ht="15" customHeight="1" s="231">
      <c r="A2162" s="397" t="n"/>
      <c r="B2162" s="397" t="n"/>
      <c r="C2162" s="397" t="n"/>
      <c r="D2162" s="397" t="n"/>
      <c r="E2162" s="397" t="n"/>
      <c r="F2162" s="397" t="n"/>
      <c r="G2162" s="397" t="n"/>
      <c r="I2162" s="397" t="n"/>
      <c r="J2162" s="397" t="n"/>
      <c r="K2162" s="395">
        <f>DATE(VALUE(LEFT(A2162,4)),VALUE(MID(A2162,5,2)),VALUE(RIGHT(A2162,2)))</f>
        <v/>
      </c>
      <c r="L2162" s="395">
        <f>DATEVALUE(LEFT(F2162,10))</f>
        <v/>
      </c>
      <c r="M2162" s="396">
        <f>TIMEVALUE(MID(F2162,12,8))</f>
        <v/>
      </c>
      <c r="N2162" s="395">
        <f>DATEVALUE(LEFT(G2162,10))</f>
        <v/>
      </c>
      <c r="O2162" s="396">
        <f>TIMEVALUE(MID(G2162,12,8))</f>
        <v/>
      </c>
      <c r="P2162" s="396">
        <f>IFERROR(_xlfn.MINIFS($M:$M,$E:$E,$E2162,$K:$K,$K2162,$M:$M,"&gt;"&amp;$O2162),"")</f>
        <v/>
      </c>
      <c r="Q2162" s="396">
        <f>IF($P2162="","",$P2162-$O2162)</f>
        <v/>
      </c>
    </row>
    <row r="2163" ht="15" customHeight="1" s="231">
      <c r="A2163" s="397" t="n"/>
      <c r="B2163" s="397" t="n"/>
      <c r="C2163" s="397" t="n"/>
      <c r="D2163" s="397" t="n"/>
      <c r="E2163" s="397" t="n"/>
      <c r="F2163" s="397" t="n"/>
      <c r="G2163" s="397" t="n"/>
      <c r="I2163" s="397" t="n"/>
      <c r="J2163" s="397" t="n"/>
      <c r="K2163" s="395">
        <f>DATE(VALUE(LEFT(A2163,4)),VALUE(MID(A2163,5,2)),VALUE(RIGHT(A2163,2)))</f>
        <v/>
      </c>
      <c r="L2163" s="395">
        <f>DATEVALUE(LEFT(F2163,10))</f>
        <v/>
      </c>
      <c r="M2163" s="396">
        <f>TIMEVALUE(MID(F2163,12,8))</f>
        <v/>
      </c>
      <c r="N2163" s="395">
        <f>DATEVALUE(LEFT(G2163,10))</f>
        <v/>
      </c>
      <c r="O2163" s="396">
        <f>TIMEVALUE(MID(G2163,12,8))</f>
        <v/>
      </c>
      <c r="P2163" s="396">
        <f>IFERROR(_xlfn.MINIFS($M:$M,$E:$E,$E2163,$K:$K,$K2163,$M:$M,"&gt;"&amp;$O2163),"")</f>
        <v/>
      </c>
      <c r="Q2163" s="396">
        <f>IF($P2163="","",$P2163-$O2163)</f>
        <v/>
      </c>
    </row>
    <row r="2164" ht="15" customHeight="1" s="231">
      <c r="A2164" s="397" t="n"/>
      <c r="B2164" s="397" t="n"/>
      <c r="C2164" s="397" t="n"/>
      <c r="D2164" s="397" t="n"/>
      <c r="E2164" s="397" t="n"/>
      <c r="F2164" s="397" t="n"/>
      <c r="G2164" s="397" t="n"/>
      <c r="I2164" s="397" t="n"/>
      <c r="J2164" s="397" t="n"/>
      <c r="K2164" s="395">
        <f>DATE(VALUE(LEFT(A2164,4)),VALUE(MID(A2164,5,2)),VALUE(RIGHT(A2164,2)))</f>
        <v/>
      </c>
      <c r="L2164" s="395">
        <f>DATEVALUE(LEFT(F2164,10))</f>
        <v/>
      </c>
      <c r="M2164" s="396">
        <f>TIMEVALUE(MID(F2164,12,8))</f>
        <v/>
      </c>
      <c r="N2164" s="395">
        <f>DATEVALUE(LEFT(G2164,10))</f>
        <v/>
      </c>
      <c r="O2164" s="396">
        <f>TIMEVALUE(MID(G2164,12,8))</f>
        <v/>
      </c>
      <c r="P2164" s="396">
        <f>IFERROR(_xlfn.MINIFS($M:$M,$E:$E,$E2164,$K:$K,$K2164,$M:$M,"&gt;"&amp;$O2164),"")</f>
        <v/>
      </c>
      <c r="Q2164" s="396">
        <f>IF($P2164="","",$P2164-$O2164)</f>
        <v/>
      </c>
    </row>
    <row r="2165" ht="15" customHeight="1" s="231">
      <c r="A2165" s="397" t="n"/>
      <c r="B2165" s="397" t="n"/>
      <c r="C2165" s="397" t="n"/>
      <c r="D2165" s="397" t="n"/>
      <c r="E2165" s="397" t="n"/>
      <c r="F2165" s="397" t="n"/>
      <c r="G2165" s="397" t="n"/>
      <c r="I2165" s="397" t="n"/>
      <c r="J2165" s="397" t="n"/>
      <c r="K2165" s="395">
        <f>DATE(VALUE(LEFT(A2165,4)),VALUE(MID(A2165,5,2)),VALUE(RIGHT(A2165,2)))</f>
        <v/>
      </c>
      <c r="L2165" s="395">
        <f>DATEVALUE(LEFT(F2165,10))</f>
        <v/>
      </c>
      <c r="M2165" s="396">
        <f>TIMEVALUE(MID(F2165,12,8))</f>
        <v/>
      </c>
      <c r="N2165" s="395">
        <f>DATEVALUE(LEFT(G2165,10))</f>
        <v/>
      </c>
      <c r="O2165" s="396">
        <f>TIMEVALUE(MID(G2165,12,8))</f>
        <v/>
      </c>
      <c r="P2165" s="396">
        <f>IFERROR(_xlfn.MINIFS($M:$M,$E:$E,$E2165,$K:$K,$K2165,$M:$M,"&gt;"&amp;$O2165),"")</f>
        <v/>
      </c>
      <c r="Q2165" s="396">
        <f>IF($P2165="","",$P2165-$O2165)</f>
        <v/>
      </c>
    </row>
    <row r="2166" ht="15" customHeight="1" s="231">
      <c r="A2166" s="397" t="n"/>
      <c r="B2166" s="397" t="n"/>
      <c r="C2166" s="397" t="n"/>
      <c r="D2166" s="397" t="n"/>
      <c r="E2166" s="397" t="n"/>
      <c r="F2166" s="397" t="n"/>
      <c r="G2166" s="397" t="n"/>
      <c r="I2166" s="397" t="n"/>
      <c r="J2166" s="397" t="n"/>
      <c r="K2166" s="395">
        <f>DATE(VALUE(LEFT(A2166,4)),VALUE(MID(A2166,5,2)),VALUE(RIGHT(A2166,2)))</f>
        <v/>
      </c>
      <c r="L2166" s="395">
        <f>DATEVALUE(LEFT(F2166,10))</f>
        <v/>
      </c>
      <c r="M2166" s="396">
        <f>TIMEVALUE(MID(F2166,12,8))</f>
        <v/>
      </c>
      <c r="N2166" s="395">
        <f>DATEVALUE(LEFT(G2166,10))</f>
        <v/>
      </c>
      <c r="O2166" s="396">
        <f>TIMEVALUE(MID(G2166,12,8))</f>
        <v/>
      </c>
      <c r="P2166" s="396">
        <f>IFERROR(_xlfn.MINIFS($M:$M,$E:$E,$E2166,$K:$K,$K2166,$M:$M,"&gt;"&amp;$O2166),"")</f>
        <v/>
      </c>
      <c r="Q2166" s="396">
        <f>IF($P2166="","",$P2166-$O2166)</f>
        <v/>
      </c>
    </row>
    <row r="2167" ht="15" customHeight="1" s="231">
      <c r="A2167" s="397" t="n"/>
      <c r="B2167" s="397" t="n"/>
      <c r="C2167" s="397" t="n"/>
      <c r="D2167" s="397" t="n"/>
      <c r="E2167" s="397" t="n"/>
      <c r="F2167" s="397" t="n"/>
      <c r="G2167" s="397" t="n"/>
      <c r="I2167" s="397" t="n"/>
      <c r="J2167" s="397" t="n"/>
      <c r="K2167" s="395">
        <f>DATE(VALUE(LEFT(A2167,4)),VALUE(MID(A2167,5,2)),VALUE(RIGHT(A2167,2)))</f>
        <v/>
      </c>
      <c r="L2167" s="395">
        <f>DATEVALUE(LEFT(F2167,10))</f>
        <v/>
      </c>
      <c r="M2167" s="396">
        <f>TIMEVALUE(MID(F2167,12,8))</f>
        <v/>
      </c>
      <c r="N2167" s="395">
        <f>DATEVALUE(LEFT(G2167,10))</f>
        <v/>
      </c>
      <c r="O2167" s="396">
        <f>TIMEVALUE(MID(G2167,12,8))</f>
        <v/>
      </c>
      <c r="P2167" s="396">
        <f>IFERROR(_xlfn.MINIFS($M:$M,$E:$E,$E2167,$K:$K,$K2167,$M:$M,"&gt;"&amp;$O2167),"")</f>
        <v/>
      </c>
      <c r="Q2167" s="396">
        <f>IF($P2167="","",$P2167-$O2167)</f>
        <v/>
      </c>
    </row>
    <row r="2168" ht="15" customHeight="1" s="231">
      <c r="A2168" s="397" t="n"/>
      <c r="B2168" s="397" t="n"/>
      <c r="C2168" s="397" t="n"/>
      <c r="D2168" s="397" t="n"/>
      <c r="E2168" s="397" t="n"/>
      <c r="F2168" s="397" t="n"/>
      <c r="G2168" s="397" t="n"/>
      <c r="I2168" s="397" t="n"/>
      <c r="J2168" s="397" t="n"/>
      <c r="K2168" s="395">
        <f>DATE(VALUE(LEFT(A2168,4)),VALUE(MID(A2168,5,2)),VALUE(RIGHT(A2168,2)))</f>
        <v/>
      </c>
      <c r="L2168" s="395">
        <f>DATEVALUE(LEFT(F2168,10))</f>
        <v/>
      </c>
      <c r="M2168" s="396">
        <f>TIMEVALUE(MID(F2168,12,8))</f>
        <v/>
      </c>
      <c r="N2168" s="395">
        <f>DATEVALUE(LEFT(G2168,10))</f>
        <v/>
      </c>
      <c r="O2168" s="396">
        <f>TIMEVALUE(MID(G2168,12,8))</f>
        <v/>
      </c>
      <c r="P2168" s="396">
        <f>IFERROR(_xlfn.MINIFS($M:$M,$E:$E,$E2168,$K:$K,$K2168,$M:$M,"&gt;"&amp;$O2168),"")</f>
        <v/>
      </c>
      <c r="Q2168" s="396">
        <f>IF($P2168="","",$P2168-$O2168)</f>
        <v/>
      </c>
    </row>
    <row r="2169" ht="15" customHeight="1" s="231">
      <c r="A2169" s="397" t="n"/>
      <c r="B2169" s="397" t="n"/>
      <c r="C2169" s="397" t="n"/>
      <c r="D2169" s="397" t="n"/>
      <c r="E2169" s="397" t="n"/>
      <c r="F2169" s="397" t="n"/>
      <c r="G2169" s="397" t="n"/>
      <c r="I2169" s="397" t="n"/>
      <c r="J2169" s="397" t="n"/>
      <c r="K2169" s="395">
        <f>DATE(VALUE(LEFT(A2169,4)),VALUE(MID(A2169,5,2)),VALUE(RIGHT(A2169,2)))</f>
        <v/>
      </c>
      <c r="L2169" s="395">
        <f>DATEVALUE(LEFT(F2169,10))</f>
        <v/>
      </c>
      <c r="M2169" s="396">
        <f>TIMEVALUE(MID(F2169,12,8))</f>
        <v/>
      </c>
      <c r="N2169" s="395">
        <f>DATEVALUE(LEFT(G2169,10))</f>
        <v/>
      </c>
      <c r="O2169" s="396">
        <f>TIMEVALUE(MID(G2169,12,8))</f>
        <v/>
      </c>
      <c r="P2169" s="396">
        <f>IFERROR(_xlfn.MINIFS($M:$M,$E:$E,$E2169,$K:$K,$K2169,$M:$M,"&gt;"&amp;$O2169),"")</f>
        <v/>
      </c>
      <c r="Q2169" s="396">
        <f>IF($P2169="","",$P2169-$O2169)</f>
        <v/>
      </c>
    </row>
    <row r="2170" ht="15" customHeight="1" s="231">
      <c r="A2170" s="397" t="n"/>
      <c r="B2170" s="397" t="n"/>
      <c r="C2170" s="397" t="n"/>
      <c r="D2170" s="397" t="n"/>
      <c r="E2170" s="397" t="n"/>
      <c r="F2170" s="397" t="n"/>
      <c r="G2170" s="397" t="n"/>
      <c r="I2170" s="397" t="n"/>
      <c r="J2170" s="397" t="n"/>
      <c r="K2170" s="395">
        <f>DATE(VALUE(LEFT(A2170,4)),VALUE(MID(A2170,5,2)),VALUE(RIGHT(A2170,2)))</f>
        <v/>
      </c>
      <c r="L2170" s="395">
        <f>DATEVALUE(LEFT(F2170,10))</f>
        <v/>
      </c>
      <c r="M2170" s="396">
        <f>TIMEVALUE(MID(F2170,12,8))</f>
        <v/>
      </c>
      <c r="N2170" s="395">
        <f>DATEVALUE(LEFT(G2170,10))</f>
        <v/>
      </c>
      <c r="O2170" s="396">
        <f>TIMEVALUE(MID(G2170,12,8))</f>
        <v/>
      </c>
      <c r="P2170" s="396">
        <f>IFERROR(_xlfn.MINIFS($M:$M,$E:$E,$E2170,$K:$K,$K2170,$M:$M,"&gt;"&amp;$O2170),"")</f>
        <v/>
      </c>
      <c r="Q2170" s="396">
        <f>IF($P2170="","",$P2170-$O2170)</f>
        <v/>
      </c>
    </row>
    <row r="2171" ht="15" customHeight="1" s="231">
      <c r="A2171" s="397" t="n"/>
      <c r="B2171" s="397" t="n"/>
      <c r="C2171" s="397" t="n"/>
      <c r="D2171" s="397" t="n"/>
      <c r="E2171" s="397" t="n"/>
      <c r="F2171" s="397" t="n"/>
      <c r="G2171" s="397" t="n"/>
      <c r="I2171" s="397" t="n"/>
      <c r="J2171" s="397" t="n"/>
      <c r="K2171" s="395">
        <f>DATE(VALUE(LEFT(A2171,4)),VALUE(MID(A2171,5,2)),VALUE(RIGHT(A2171,2)))</f>
        <v/>
      </c>
      <c r="L2171" s="395">
        <f>DATEVALUE(LEFT(F2171,10))</f>
        <v/>
      </c>
      <c r="M2171" s="396">
        <f>TIMEVALUE(MID(F2171,12,8))</f>
        <v/>
      </c>
      <c r="N2171" s="395">
        <f>DATEVALUE(LEFT(G2171,10))</f>
        <v/>
      </c>
      <c r="O2171" s="396">
        <f>TIMEVALUE(MID(G2171,12,8))</f>
        <v/>
      </c>
      <c r="P2171" s="396">
        <f>IFERROR(_xlfn.MINIFS($M:$M,$E:$E,$E2171,$K:$K,$K2171,$M:$M,"&gt;"&amp;$O2171),"")</f>
        <v/>
      </c>
      <c r="Q2171" s="396">
        <f>IF($P2171="","",$P2171-$O2171)</f>
        <v/>
      </c>
    </row>
    <row r="2172" ht="15" customHeight="1" s="231">
      <c r="A2172" s="397" t="n"/>
      <c r="B2172" s="397" t="n"/>
      <c r="C2172" s="397" t="n"/>
      <c r="D2172" s="397" t="n"/>
      <c r="E2172" s="397" t="n"/>
      <c r="F2172" s="397" t="n"/>
      <c r="G2172" s="397" t="n"/>
      <c r="I2172" s="397" t="n"/>
      <c r="J2172" s="397" t="n"/>
      <c r="K2172" s="395">
        <f>DATE(VALUE(LEFT(A2172,4)),VALUE(MID(A2172,5,2)),VALUE(RIGHT(A2172,2)))</f>
        <v/>
      </c>
      <c r="L2172" s="395">
        <f>DATEVALUE(LEFT(F2172,10))</f>
        <v/>
      </c>
      <c r="M2172" s="396">
        <f>TIMEVALUE(MID(F2172,12,8))</f>
        <v/>
      </c>
      <c r="N2172" s="395">
        <f>DATEVALUE(LEFT(G2172,10))</f>
        <v/>
      </c>
      <c r="O2172" s="396">
        <f>TIMEVALUE(MID(G2172,12,8))</f>
        <v/>
      </c>
      <c r="P2172" s="396">
        <f>IFERROR(_xlfn.MINIFS($M:$M,$E:$E,$E2172,$K:$K,$K2172,$M:$M,"&gt;"&amp;$O2172),"")</f>
        <v/>
      </c>
      <c r="Q2172" s="396">
        <f>IF($P2172="","",$P2172-$O2172)</f>
        <v/>
      </c>
    </row>
    <row r="2173" ht="15" customHeight="1" s="231">
      <c r="A2173" s="397" t="n"/>
      <c r="B2173" s="397" t="n"/>
      <c r="C2173" s="397" t="n"/>
      <c r="D2173" s="397" t="n"/>
      <c r="E2173" s="397" t="n"/>
      <c r="F2173" s="397" t="n"/>
      <c r="G2173" s="397" t="n"/>
      <c r="I2173" s="397" t="n"/>
      <c r="J2173" s="397" t="n"/>
      <c r="K2173" s="395">
        <f>DATE(VALUE(LEFT(A2173,4)),VALUE(MID(A2173,5,2)),VALUE(RIGHT(A2173,2)))</f>
        <v/>
      </c>
      <c r="L2173" s="395">
        <f>DATEVALUE(LEFT(F2173,10))</f>
        <v/>
      </c>
      <c r="M2173" s="396">
        <f>TIMEVALUE(MID(F2173,12,8))</f>
        <v/>
      </c>
      <c r="N2173" s="395">
        <f>DATEVALUE(LEFT(G2173,10))</f>
        <v/>
      </c>
      <c r="O2173" s="396">
        <f>TIMEVALUE(MID(G2173,12,8))</f>
        <v/>
      </c>
      <c r="P2173" s="396">
        <f>IFERROR(_xlfn.MINIFS($M:$M,$E:$E,$E2173,$K:$K,$K2173,$M:$M,"&gt;"&amp;$O2173),"")</f>
        <v/>
      </c>
      <c r="Q2173" s="396">
        <f>IF($P2173="","",$P2173-$O2173)</f>
        <v/>
      </c>
    </row>
    <row r="2174" ht="15" customHeight="1" s="231">
      <c r="A2174" s="397" t="n"/>
      <c r="B2174" s="397" t="n"/>
      <c r="C2174" s="397" t="n"/>
      <c r="D2174" s="397" t="n"/>
      <c r="E2174" s="397" t="n"/>
      <c r="F2174" s="397" t="n"/>
      <c r="G2174" s="397" t="n"/>
      <c r="I2174" s="397" t="n"/>
      <c r="J2174" s="397" t="n"/>
      <c r="K2174" s="395">
        <f>DATE(VALUE(LEFT(A2174,4)),VALUE(MID(A2174,5,2)),VALUE(RIGHT(A2174,2)))</f>
        <v/>
      </c>
      <c r="L2174" s="395">
        <f>DATEVALUE(LEFT(F2174,10))</f>
        <v/>
      </c>
      <c r="M2174" s="396">
        <f>TIMEVALUE(MID(F2174,12,8))</f>
        <v/>
      </c>
      <c r="N2174" s="395">
        <f>DATEVALUE(LEFT(G2174,10))</f>
        <v/>
      </c>
      <c r="O2174" s="396">
        <f>TIMEVALUE(MID(G2174,12,8))</f>
        <v/>
      </c>
      <c r="P2174" s="396">
        <f>IFERROR(_xlfn.MINIFS($M:$M,$E:$E,$E2174,$K:$K,$K2174,$M:$M,"&gt;"&amp;$O2174),"")</f>
        <v/>
      </c>
      <c r="Q2174" s="396">
        <f>IF($P2174="","",$P2174-$O2174)</f>
        <v/>
      </c>
    </row>
    <row r="2175" ht="15" customHeight="1" s="231">
      <c r="A2175" s="397" t="n"/>
      <c r="B2175" s="397" t="n"/>
      <c r="C2175" s="397" t="n"/>
      <c r="D2175" s="397" t="n"/>
      <c r="E2175" s="397" t="n"/>
      <c r="F2175" s="397" t="n"/>
      <c r="G2175" s="397" t="n"/>
      <c r="I2175" s="397" t="n"/>
      <c r="J2175" s="397" t="n"/>
      <c r="K2175" s="395">
        <f>DATE(VALUE(LEFT(A2175,4)),VALUE(MID(A2175,5,2)),VALUE(RIGHT(A2175,2)))</f>
        <v/>
      </c>
      <c r="L2175" s="395">
        <f>DATEVALUE(LEFT(F2175,10))</f>
        <v/>
      </c>
      <c r="M2175" s="396">
        <f>TIMEVALUE(MID(F2175,12,8))</f>
        <v/>
      </c>
      <c r="N2175" s="395">
        <f>DATEVALUE(LEFT(G2175,10))</f>
        <v/>
      </c>
      <c r="O2175" s="396">
        <f>TIMEVALUE(MID(G2175,12,8))</f>
        <v/>
      </c>
      <c r="P2175" s="396">
        <f>IFERROR(_xlfn.MINIFS($M:$M,$E:$E,$E2175,$K:$K,$K2175,$M:$M,"&gt;"&amp;$O2175),"")</f>
        <v/>
      </c>
      <c r="Q2175" s="396">
        <f>IF($P2175="","",$P2175-$O2175)</f>
        <v/>
      </c>
    </row>
    <row r="2176" ht="15" customHeight="1" s="231">
      <c r="A2176" s="397" t="n"/>
      <c r="B2176" s="397" t="n"/>
      <c r="C2176" s="397" t="n"/>
      <c r="D2176" s="397" t="n"/>
      <c r="E2176" s="397" t="n"/>
      <c r="F2176" s="397" t="n"/>
      <c r="G2176" s="397" t="n"/>
      <c r="I2176" s="397" t="n"/>
      <c r="J2176" s="397" t="n"/>
      <c r="K2176" s="395">
        <f>DATE(VALUE(LEFT(A2176,4)),VALUE(MID(A2176,5,2)),VALUE(RIGHT(A2176,2)))</f>
        <v/>
      </c>
      <c r="L2176" s="395">
        <f>DATEVALUE(LEFT(F2176,10))</f>
        <v/>
      </c>
      <c r="M2176" s="396">
        <f>TIMEVALUE(MID(F2176,12,8))</f>
        <v/>
      </c>
      <c r="N2176" s="395">
        <f>DATEVALUE(LEFT(G2176,10))</f>
        <v/>
      </c>
      <c r="O2176" s="396">
        <f>TIMEVALUE(MID(G2176,12,8))</f>
        <v/>
      </c>
      <c r="P2176" s="396">
        <f>IFERROR(_xlfn.MINIFS($M:$M,$E:$E,$E2176,$K:$K,$K2176,$M:$M,"&gt;"&amp;$O2176),"")</f>
        <v/>
      </c>
      <c r="Q2176" s="396">
        <f>IF($P2176="","",$P2176-$O2176)</f>
        <v/>
      </c>
    </row>
    <row r="2177" ht="15" customHeight="1" s="231">
      <c r="A2177" s="397" t="n"/>
      <c r="B2177" s="397" t="n"/>
      <c r="C2177" s="397" t="n"/>
      <c r="D2177" s="397" t="n"/>
      <c r="E2177" s="397" t="n"/>
      <c r="F2177" s="397" t="n"/>
      <c r="G2177" s="397" t="n"/>
      <c r="I2177" s="397" t="n"/>
      <c r="J2177" s="397" t="n"/>
      <c r="K2177" s="395">
        <f>DATE(VALUE(LEFT(A2177,4)),VALUE(MID(A2177,5,2)),VALUE(RIGHT(A2177,2)))</f>
        <v/>
      </c>
      <c r="L2177" s="395">
        <f>DATEVALUE(LEFT(F2177,10))</f>
        <v/>
      </c>
      <c r="M2177" s="396">
        <f>TIMEVALUE(MID(F2177,12,8))</f>
        <v/>
      </c>
      <c r="N2177" s="395">
        <f>DATEVALUE(LEFT(G2177,10))</f>
        <v/>
      </c>
      <c r="O2177" s="396">
        <f>TIMEVALUE(MID(G2177,12,8))</f>
        <v/>
      </c>
      <c r="P2177" s="396">
        <f>IFERROR(_xlfn.MINIFS($M:$M,$E:$E,$E2177,$K:$K,$K2177,$M:$M,"&gt;"&amp;$O2177),"")</f>
        <v/>
      </c>
      <c r="Q2177" s="396">
        <f>IF($P2177="","",$P2177-$O2177)</f>
        <v/>
      </c>
    </row>
    <row r="2178" ht="15" customHeight="1" s="231">
      <c r="A2178" s="397" t="n"/>
      <c r="B2178" s="397" t="n"/>
      <c r="C2178" s="397" t="n"/>
      <c r="D2178" s="397" t="n"/>
      <c r="E2178" s="397" t="n"/>
      <c r="F2178" s="397" t="n"/>
      <c r="G2178" s="397" t="n"/>
      <c r="I2178" s="397" t="n"/>
      <c r="J2178" s="397" t="n"/>
      <c r="K2178" s="395">
        <f>DATE(VALUE(LEFT(A2178,4)),VALUE(MID(A2178,5,2)),VALUE(RIGHT(A2178,2)))</f>
        <v/>
      </c>
      <c r="L2178" s="395">
        <f>DATEVALUE(LEFT(F2178,10))</f>
        <v/>
      </c>
      <c r="M2178" s="396">
        <f>TIMEVALUE(MID(F2178,12,8))</f>
        <v/>
      </c>
      <c r="N2178" s="395">
        <f>DATEVALUE(LEFT(G2178,10))</f>
        <v/>
      </c>
      <c r="O2178" s="396">
        <f>TIMEVALUE(MID(G2178,12,8))</f>
        <v/>
      </c>
      <c r="P2178" s="396">
        <f>IFERROR(_xlfn.MINIFS($M:$M,$E:$E,$E2178,$K:$K,$K2178,$M:$M,"&gt;"&amp;$O2178),"")</f>
        <v/>
      </c>
      <c r="Q2178" s="396">
        <f>IF($P2178="","",$P2178-$O2178)</f>
        <v/>
      </c>
    </row>
    <row r="2179" ht="15" customHeight="1" s="231">
      <c r="A2179" s="397" t="n"/>
      <c r="B2179" s="397" t="n"/>
      <c r="C2179" s="397" t="n"/>
      <c r="D2179" s="397" t="n"/>
      <c r="E2179" s="397" t="n"/>
      <c r="F2179" s="397" t="n"/>
      <c r="G2179" s="397" t="n"/>
      <c r="I2179" s="397" t="n"/>
      <c r="J2179" s="397" t="n"/>
      <c r="K2179" s="395">
        <f>DATE(VALUE(LEFT(A2179,4)),VALUE(MID(A2179,5,2)),VALUE(RIGHT(A2179,2)))</f>
        <v/>
      </c>
      <c r="L2179" s="395">
        <f>DATEVALUE(LEFT(F2179,10))</f>
        <v/>
      </c>
      <c r="M2179" s="396">
        <f>TIMEVALUE(MID(F2179,12,8))</f>
        <v/>
      </c>
      <c r="N2179" s="395">
        <f>DATEVALUE(LEFT(G2179,10))</f>
        <v/>
      </c>
      <c r="O2179" s="396">
        <f>TIMEVALUE(MID(G2179,12,8))</f>
        <v/>
      </c>
      <c r="P2179" s="396">
        <f>IFERROR(_xlfn.MINIFS($M:$M,$E:$E,$E2179,$K:$K,$K2179,$M:$M,"&gt;"&amp;$O2179),"")</f>
        <v/>
      </c>
      <c r="Q2179" s="396">
        <f>IF($P2179="","",$P2179-$O2179)</f>
        <v/>
      </c>
    </row>
    <row r="2180" ht="15" customHeight="1" s="231">
      <c r="A2180" s="397" t="n"/>
      <c r="B2180" s="397" t="n"/>
      <c r="C2180" s="397" t="n"/>
      <c r="D2180" s="397" t="n"/>
      <c r="E2180" s="397" t="n"/>
      <c r="F2180" s="397" t="n"/>
      <c r="G2180" s="397" t="n"/>
      <c r="I2180" s="397" t="n"/>
      <c r="J2180" s="397" t="n"/>
      <c r="K2180" s="395">
        <f>DATE(VALUE(LEFT(A2180,4)),VALUE(MID(A2180,5,2)),VALUE(RIGHT(A2180,2)))</f>
        <v/>
      </c>
      <c r="L2180" s="395">
        <f>DATEVALUE(LEFT(F2180,10))</f>
        <v/>
      </c>
      <c r="M2180" s="396">
        <f>TIMEVALUE(MID(F2180,12,8))</f>
        <v/>
      </c>
      <c r="N2180" s="395">
        <f>DATEVALUE(LEFT(G2180,10))</f>
        <v/>
      </c>
      <c r="O2180" s="396">
        <f>TIMEVALUE(MID(G2180,12,8))</f>
        <v/>
      </c>
      <c r="P2180" s="396">
        <f>IFERROR(_xlfn.MINIFS($M:$M,$E:$E,$E2180,$K:$K,$K2180,$M:$M,"&gt;"&amp;$O2180),"")</f>
        <v/>
      </c>
      <c r="Q2180" s="396">
        <f>IF($P2180="","",$P2180-$O2180)</f>
        <v/>
      </c>
    </row>
    <row r="2181" ht="15" customHeight="1" s="231">
      <c r="A2181" s="397" t="n"/>
      <c r="B2181" s="397" t="n"/>
      <c r="C2181" s="397" t="n"/>
      <c r="D2181" s="397" t="n"/>
      <c r="E2181" s="397" t="n"/>
      <c r="F2181" s="397" t="n"/>
      <c r="G2181" s="397" t="n"/>
      <c r="I2181" s="397" t="n"/>
      <c r="J2181" s="397" t="n"/>
      <c r="K2181" s="395">
        <f>DATE(VALUE(LEFT(A2181,4)),VALUE(MID(A2181,5,2)),VALUE(RIGHT(A2181,2)))</f>
        <v/>
      </c>
      <c r="L2181" s="395">
        <f>DATEVALUE(LEFT(F2181,10))</f>
        <v/>
      </c>
      <c r="M2181" s="396">
        <f>TIMEVALUE(MID(F2181,12,8))</f>
        <v/>
      </c>
      <c r="N2181" s="395">
        <f>DATEVALUE(LEFT(G2181,10))</f>
        <v/>
      </c>
      <c r="O2181" s="396">
        <f>TIMEVALUE(MID(G2181,12,8))</f>
        <v/>
      </c>
      <c r="P2181" s="396">
        <f>IFERROR(_xlfn.MINIFS($M:$M,$E:$E,$E2181,$K:$K,$K2181,$M:$M,"&gt;"&amp;$O2181),"")</f>
        <v/>
      </c>
      <c r="Q2181" s="396">
        <f>IF($P2181="","",$P2181-$O2181)</f>
        <v/>
      </c>
    </row>
    <row r="2182" ht="15" customHeight="1" s="231">
      <c r="A2182" s="397" t="n"/>
      <c r="B2182" s="397" t="n"/>
      <c r="C2182" s="397" t="n"/>
      <c r="D2182" s="397" t="n"/>
      <c r="E2182" s="397" t="n"/>
      <c r="F2182" s="397" t="n"/>
      <c r="G2182" s="397" t="n"/>
      <c r="I2182" s="397" t="n"/>
      <c r="J2182" s="397" t="n"/>
      <c r="K2182" s="395">
        <f>DATE(VALUE(LEFT(A2182,4)),VALUE(MID(A2182,5,2)),VALUE(RIGHT(A2182,2)))</f>
        <v/>
      </c>
      <c r="L2182" s="395">
        <f>DATEVALUE(LEFT(F2182,10))</f>
        <v/>
      </c>
      <c r="M2182" s="396">
        <f>TIMEVALUE(MID(F2182,12,8))</f>
        <v/>
      </c>
      <c r="N2182" s="395">
        <f>DATEVALUE(LEFT(G2182,10))</f>
        <v/>
      </c>
      <c r="O2182" s="396">
        <f>TIMEVALUE(MID(G2182,12,8))</f>
        <v/>
      </c>
      <c r="P2182" s="396">
        <f>IFERROR(_xlfn.MINIFS($M:$M,$E:$E,$E2182,$K:$K,$K2182,$M:$M,"&gt;"&amp;$O2182),"")</f>
        <v/>
      </c>
      <c r="Q2182" s="396">
        <f>IF($P2182="","",$P2182-$O2182)</f>
        <v/>
      </c>
    </row>
    <row r="2183" ht="15" customHeight="1" s="231">
      <c r="A2183" s="397" t="n"/>
      <c r="B2183" s="397" t="n"/>
      <c r="C2183" s="397" t="n"/>
      <c r="D2183" s="397" t="n"/>
      <c r="E2183" s="397" t="n"/>
      <c r="F2183" s="397" t="n"/>
      <c r="G2183" s="397" t="n"/>
      <c r="I2183" s="397" t="n"/>
      <c r="J2183" s="397" t="n"/>
      <c r="K2183" s="395">
        <f>DATE(VALUE(LEFT(A2183,4)),VALUE(MID(A2183,5,2)),VALUE(RIGHT(A2183,2)))</f>
        <v/>
      </c>
      <c r="L2183" s="395">
        <f>DATEVALUE(LEFT(F2183,10))</f>
        <v/>
      </c>
      <c r="M2183" s="396">
        <f>TIMEVALUE(MID(F2183,12,8))</f>
        <v/>
      </c>
      <c r="N2183" s="395">
        <f>DATEVALUE(LEFT(G2183,10))</f>
        <v/>
      </c>
      <c r="O2183" s="396">
        <f>TIMEVALUE(MID(G2183,12,8))</f>
        <v/>
      </c>
      <c r="P2183" s="396">
        <f>IFERROR(_xlfn.MINIFS($M:$M,$E:$E,$E2183,$K:$K,$K2183,$M:$M,"&gt;"&amp;$O2183),"")</f>
        <v/>
      </c>
      <c r="Q2183" s="396">
        <f>IF($P2183="","",$P2183-$O2183)</f>
        <v/>
      </c>
    </row>
    <row r="2184" ht="15" customHeight="1" s="231">
      <c r="A2184" s="397" t="n"/>
      <c r="B2184" s="397" t="n"/>
      <c r="C2184" s="397" t="n"/>
      <c r="D2184" s="397" t="n"/>
      <c r="E2184" s="397" t="n"/>
      <c r="F2184" s="397" t="n"/>
      <c r="G2184" s="397" t="n"/>
      <c r="I2184" s="397" t="n"/>
      <c r="J2184" s="397" t="n"/>
      <c r="K2184" s="395">
        <f>DATE(VALUE(LEFT(A2184,4)),VALUE(MID(A2184,5,2)),VALUE(RIGHT(A2184,2)))</f>
        <v/>
      </c>
      <c r="L2184" s="395">
        <f>DATEVALUE(LEFT(F2184,10))</f>
        <v/>
      </c>
      <c r="M2184" s="396">
        <f>TIMEVALUE(MID(F2184,12,8))</f>
        <v/>
      </c>
      <c r="N2184" s="395">
        <f>DATEVALUE(LEFT(G2184,10))</f>
        <v/>
      </c>
      <c r="O2184" s="396">
        <f>TIMEVALUE(MID(G2184,12,8))</f>
        <v/>
      </c>
      <c r="P2184" s="396">
        <f>IFERROR(_xlfn.MINIFS($M:$M,$E:$E,$E2184,$K:$K,$K2184,$M:$M,"&gt;"&amp;$O2184),"")</f>
        <v/>
      </c>
      <c r="Q2184" s="396">
        <f>IF($P2184="","",$P2184-$O2184)</f>
        <v/>
      </c>
    </row>
    <row r="2185" ht="15" customHeight="1" s="231">
      <c r="A2185" s="397" t="n"/>
      <c r="B2185" s="397" t="n"/>
      <c r="C2185" s="397" t="n"/>
      <c r="D2185" s="397" t="n"/>
      <c r="E2185" s="397" t="n"/>
      <c r="F2185" s="397" t="n"/>
      <c r="G2185" s="397" t="n"/>
      <c r="I2185" s="397" t="n"/>
      <c r="J2185" s="397" t="n"/>
      <c r="K2185" s="395">
        <f>DATE(VALUE(LEFT(A2185,4)),VALUE(MID(A2185,5,2)),VALUE(RIGHT(A2185,2)))</f>
        <v/>
      </c>
      <c r="L2185" s="395">
        <f>DATEVALUE(LEFT(F2185,10))</f>
        <v/>
      </c>
      <c r="M2185" s="396">
        <f>TIMEVALUE(MID(F2185,12,8))</f>
        <v/>
      </c>
      <c r="N2185" s="395">
        <f>DATEVALUE(LEFT(G2185,10))</f>
        <v/>
      </c>
      <c r="O2185" s="396">
        <f>TIMEVALUE(MID(G2185,12,8))</f>
        <v/>
      </c>
      <c r="P2185" s="396">
        <f>IFERROR(_xlfn.MINIFS($M:$M,$E:$E,$E2185,$K:$K,$K2185,$M:$M,"&gt;"&amp;$O2185),"")</f>
        <v/>
      </c>
      <c r="Q2185" s="396">
        <f>IF($P2185="","",$P2185-$O2185)</f>
        <v/>
      </c>
    </row>
    <row r="2186" ht="15" customHeight="1" s="231">
      <c r="A2186" s="397" t="n"/>
      <c r="B2186" s="397" t="n"/>
      <c r="C2186" s="397" t="n"/>
      <c r="D2186" s="397" t="n"/>
      <c r="E2186" s="397" t="n"/>
      <c r="F2186" s="397" t="n"/>
      <c r="G2186" s="397" t="n"/>
      <c r="I2186" s="397" t="n"/>
      <c r="J2186" s="397" t="n"/>
      <c r="K2186" s="395">
        <f>DATE(VALUE(LEFT(A2186,4)),VALUE(MID(A2186,5,2)),VALUE(RIGHT(A2186,2)))</f>
        <v/>
      </c>
      <c r="L2186" s="395">
        <f>DATEVALUE(LEFT(F2186,10))</f>
        <v/>
      </c>
      <c r="M2186" s="396">
        <f>TIMEVALUE(MID(F2186,12,8))</f>
        <v/>
      </c>
      <c r="N2186" s="395">
        <f>DATEVALUE(LEFT(G2186,10))</f>
        <v/>
      </c>
      <c r="O2186" s="396">
        <f>TIMEVALUE(MID(G2186,12,8))</f>
        <v/>
      </c>
      <c r="P2186" s="396">
        <f>IFERROR(_xlfn.MINIFS($M:$M,$E:$E,$E2186,$K:$K,$K2186,$M:$M,"&gt;"&amp;$O2186),"")</f>
        <v/>
      </c>
      <c r="Q2186" s="396">
        <f>IF($P2186="","",$P2186-$O2186)</f>
        <v/>
      </c>
    </row>
    <row r="2187" ht="15" customHeight="1" s="231">
      <c r="A2187" s="397" t="n"/>
      <c r="B2187" s="397" t="n"/>
      <c r="C2187" s="397" t="n"/>
      <c r="D2187" s="397" t="n"/>
      <c r="E2187" s="397" t="n"/>
      <c r="F2187" s="397" t="n"/>
      <c r="G2187" s="397" t="n"/>
      <c r="I2187" s="397" t="n"/>
      <c r="J2187" s="397" t="n"/>
      <c r="K2187" s="395">
        <f>DATE(VALUE(LEFT(A2187,4)),VALUE(MID(A2187,5,2)),VALUE(RIGHT(A2187,2)))</f>
        <v/>
      </c>
      <c r="L2187" s="395">
        <f>DATEVALUE(LEFT(F2187,10))</f>
        <v/>
      </c>
      <c r="M2187" s="396">
        <f>TIMEVALUE(MID(F2187,12,8))</f>
        <v/>
      </c>
      <c r="N2187" s="395">
        <f>DATEVALUE(LEFT(G2187,10))</f>
        <v/>
      </c>
      <c r="O2187" s="396">
        <f>TIMEVALUE(MID(G2187,12,8))</f>
        <v/>
      </c>
      <c r="P2187" s="396">
        <f>IFERROR(_xlfn.MINIFS($M:$M,$E:$E,$E2187,$K:$K,$K2187,$M:$M,"&gt;"&amp;$O2187),"")</f>
        <v/>
      </c>
      <c r="Q2187" s="396">
        <f>IF($P2187="","",$P2187-$O2187)</f>
        <v/>
      </c>
    </row>
    <row r="2188" ht="15" customHeight="1" s="231">
      <c r="A2188" s="397" t="n"/>
      <c r="B2188" s="397" t="n"/>
      <c r="C2188" s="397" t="n"/>
      <c r="D2188" s="397" t="n"/>
      <c r="E2188" s="397" t="n"/>
      <c r="F2188" s="397" t="n"/>
      <c r="G2188" s="397" t="n"/>
      <c r="I2188" s="397" t="n"/>
      <c r="J2188" s="397" t="n"/>
      <c r="K2188" s="395">
        <f>DATE(VALUE(LEFT(A2188,4)),VALUE(MID(A2188,5,2)),VALUE(RIGHT(A2188,2)))</f>
        <v/>
      </c>
      <c r="L2188" s="395">
        <f>DATEVALUE(LEFT(F2188,10))</f>
        <v/>
      </c>
      <c r="M2188" s="396">
        <f>TIMEVALUE(MID(F2188,12,8))</f>
        <v/>
      </c>
      <c r="N2188" s="395">
        <f>DATEVALUE(LEFT(G2188,10))</f>
        <v/>
      </c>
      <c r="O2188" s="396">
        <f>TIMEVALUE(MID(G2188,12,8))</f>
        <v/>
      </c>
      <c r="P2188" s="396">
        <f>IFERROR(_xlfn.MINIFS($M:$M,$E:$E,$E2188,$K:$K,$K2188,$M:$M,"&gt;"&amp;$O2188),"")</f>
        <v/>
      </c>
      <c r="Q2188" s="396">
        <f>IF($P2188="","",$P2188-$O2188)</f>
        <v/>
      </c>
    </row>
    <row r="2189" ht="15" customHeight="1" s="231">
      <c r="A2189" s="397" t="n"/>
      <c r="B2189" s="397" t="n"/>
      <c r="C2189" s="397" t="n"/>
      <c r="D2189" s="397" t="n"/>
      <c r="E2189" s="397" t="n"/>
      <c r="F2189" s="397" t="n"/>
      <c r="G2189" s="397" t="n"/>
      <c r="I2189" s="397" t="n"/>
      <c r="J2189" s="397" t="n"/>
      <c r="K2189" s="395">
        <f>DATE(VALUE(LEFT(A2189,4)),VALUE(MID(A2189,5,2)),VALUE(RIGHT(A2189,2)))</f>
        <v/>
      </c>
      <c r="L2189" s="395">
        <f>DATEVALUE(LEFT(F2189,10))</f>
        <v/>
      </c>
      <c r="M2189" s="396">
        <f>TIMEVALUE(MID(F2189,12,8))</f>
        <v/>
      </c>
      <c r="N2189" s="395">
        <f>DATEVALUE(LEFT(G2189,10))</f>
        <v/>
      </c>
      <c r="O2189" s="396">
        <f>TIMEVALUE(MID(G2189,12,8))</f>
        <v/>
      </c>
      <c r="P2189" s="396">
        <f>IFERROR(_xlfn.MINIFS($M:$M,$E:$E,$E2189,$K:$K,$K2189,$M:$M,"&gt;"&amp;$O2189),"")</f>
        <v/>
      </c>
      <c r="Q2189" s="396">
        <f>IF($P2189="","",$P2189-$O2189)</f>
        <v/>
      </c>
    </row>
    <row r="2190" ht="15" customHeight="1" s="231">
      <c r="A2190" s="397" t="n"/>
      <c r="B2190" s="397" t="n"/>
      <c r="C2190" s="397" t="n"/>
      <c r="D2190" s="397" t="n"/>
      <c r="E2190" s="397" t="n"/>
      <c r="F2190" s="397" t="n"/>
      <c r="G2190" s="397" t="n"/>
      <c r="I2190" s="397" t="n"/>
      <c r="J2190" s="397" t="n"/>
      <c r="K2190" s="395">
        <f>DATE(VALUE(LEFT(A2190,4)),VALUE(MID(A2190,5,2)),VALUE(RIGHT(A2190,2)))</f>
        <v/>
      </c>
      <c r="L2190" s="395">
        <f>DATEVALUE(LEFT(F2190,10))</f>
        <v/>
      </c>
      <c r="M2190" s="396">
        <f>TIMEVALUE(MID(F2190,12,8))</f>
        <v/>
      </c>
      <c r="N2190" s="395">
        <f>DATEVALUE(LEFT(G2190,10))</f>
        <v/>
      </c>
      <c r="O2190" s="396">
        <f>TIMEVALUE(MID(G2190,12,8))</f>
        <v/>
      </c>
      <c r="P2190" s="396">
        <f>IFERROR(_xlfn.MINIFS($M:$M,$E:$E,$E2190,$K:$K,$K2190,$M:$M,"&gt;"&amp;$O2190),"")</f>
        <v/>
      </c>
      <c r="Q2190" s="396">
        <f>IF($P2190="","",$P2190-$O2190)</f>
        <v/>
      </c>
    </row>
    <row r="2191" ht="15" customHeight="1" s="231">
      <c r="A2191" s="397" t="n"/>
      <c r="B2191" s="397" t="n"/>
      <c r="C2191" s="397" t="n"/>
      <c r="D2191" s="397" t="n"/>
      <c r="E2191" s="397" t="n"/>
      <c r="F2191" s="397" t="n"/>
      <c r="G2191" s="397" t="n"/>
      <c r="I2191" s="397" t="n"/>
      <c r="J2191" s="397" t="n"/>
      <c r="K2191" s="395">
        <f>DATE(VALUE(LEFT(A2191,4)),VALUE(MID(A2191,5,2)),VALUE(RIGHT(A2191,2)))</f>
        <v/>
      </c>
      <c r="L2191" s="395">
        <f>DATEVALUE(LEFT(F2191,10))</f>
        <v/>
      </c>
      <c r="M2191" s="396">
        <f>TIMEVALUE(MID(F2191,12,8))</f>
        <v/>
      </c>
      <c r="N2191" s="395">
        <f>DATEVALUE(LEFT(G2191,10))</f>
        <v/>
      </c>
      <c r="O2191" s="396">
        <f>TIMEVALUE(MID(G2191,12,8))</f>
        <v/>
      </c>
      <c r="P2191" s="396">
        <f>IFERROR(_xlfn.MINIFS($M:$M,$E:$E,$E2191,$K:$K,$K2191,$M:$M,"&gt;"&amp;$O2191),"")</f>
        <v/>
      </c>
      <c r="Q2191" s="396">
        <f>IF($P2191="","",$P2191-$O2191)</f>
        <v/>
      </c>
    </row>
    <row r="2192" ht="15" customHeight="1" s="231">
      <c r="A2192" s="397" t="n"/>
      <c r="B2192" s="397" t="n"/>
      <c r="C2192" s="397" t="n"/>
      <c r="D2192" s="397" t="n"/>
      <c r="E2192" s="397" t="n"/>
      <c r="F2192" s="397" t="n"/>
      <c r="G2192" s="397" t="n"/>
      <c r="I2192" s="397" t="n"/>
      <c r="J2192" s="397" t="n"/>
      <c r="K2192" s="395">
        <f>DATE(VALUE(LEFT(A2192,4)),VALUE(MID(A2192,5,2)),VALUE(RIGHT(A2192,2)))</f>
        <v/>
      </c>
      <c r="L2192" s="395">
        <f>DATEVALUE(LEFT(F2192,10))</f>
        <v/>
      </c>
      <c r="M2192" s="396">
        <f>TIMEVALUE(MID(F2192,12,8))</f>
        <v/>
      </c>
      <c r="N2192" s="395">
        <f>DATEVALUE(LEFT(G2192,10))</f>
        <v/>
      </c>
      <c r="O2192" s="396">
        <f>TIMEVALUE(MID(G2192,12,8))</f>
        <v/>
      </c>
      <c r="P2192" s="396">
        <f>IFERROR(_xlfn.MINIFS($M:$M,$E:$E,$E2192,$K:$K,$K2192,$M:$M,"&gt;"&amp;$O2192),"")</f>
        <v/>
      </c>
      <c r="Q2192" s="396">
        <f>IF($P2192="","",$P2192-$O2192)</f>
        <v/>
      </c>
    </row>
    <row r="2193" ht="15" customHeight="1" s="231">
      <c r="A2193" s="397" t="n"/>
      <c r="B2193" s="397" t="n"/>
      <c r="C2193" s="397" t="n"/>
      <c r="D2193" s="397" t="n"/>
      <c r="E2193" s="397" t="n"/>
      <c r="F2193" s="397" t="n"/>
      <c r="G2193" s="397" t="n"/>
      <c r="I2193" s="397" t="n"/>
      <c r="J2193" s="397" t="n"/>
      <c r="K2193" s="395">
        <f>DATE(VALUE(LEFT(A2193,4)),VALUE(MID(A2193,5,2)),VALUE(RIGHT(A2193,2)))</f>
        <v/>
      </c>
      <c r="L2193" s="395">
        <f>DATEVALUE(LEFT(F2193,10))</f>
        <v/>
      </c>
      <c r="M2193" s="396">
        <f>TIMEVALUE(MID(F2193,12,8))</f>
        <v/>
      </c>
      <c r="N2193" s="395">
        <f>DATEVALUE(LEFT(G2193,10))</f>
        <v/>
      </c>
      <c r="O2193" s="396">
        <f>TIMEVALUE(MID(G2193,12,8))</f>
        <v/>
      </c>
      <c r="P2193" s="396">
        <f>IFERROR(_xlfn.MINIFS($M:$M,$E:$E,$E2193,$K:$K,$K2193,$M:$M,"&gt;"&amp;$O2193),"")</f>
        <v/>
      </c>
      <c r="Q2193" s="396">
        <f>IF($P2193="","",$P2193-$O2193)</f>
        <v/>
      </c>
    </row>
    <row r="2194" ht="15" customHeight="1" s="231">
      <c r="A2194" s="397" t="n"/>
      <c r="B2194" s="397" t="n"/>
      <c r="C2194" s="397" t="n"/>
      <c r="D2194" s="397" t="n"/>
      <c r="E2194" s="397" t="n"/>
      <c r="F2194" s="397" t="n"/>
      <c r="G2194" s="397" t="n"/>
      <c r="I2194" s="397" t="n"/>
      <c r="J2194" s="397" t="n"/>
      <c r="K2194" s="395">
        <f>DATE(VALUE(LEFT(A2194,4)),VALUE(MID(A2194,5,2)),VALUE(RIGHT(A2194,2)))</f>
        <v/>
      </c>
      <c r="L2194" s="395">
        <f>DATEVALUE(LEFT(F2194,10))</f>
        <v/>
      </c>
      <c r="M2194" s="396">
        <f>TIMEVALUE(MID(F2194,12,8))</f>
        <v/>
      </c>
      <c r="N2194" s="395">
        <f>DATEVALUE(LEFT(G2194,10))</f>
        <v/>
      </c>
      <c r="O2194" s="396">
        <f>TIMEVALUE(MID(G2194,12,8))</f>
        <v/>
      </c>
      <c r="P2194" s="396">
        <f>IFERROR(_xlfn.MINIFS($M:$M,$E:$E,$E2194,$K:$K,$K2194,$M:$M,"&gt;"&amp;$O2194),"")</f>
        <v/>
      </c>
      <c r="Q2194" s="396">
        <f>IF($P2194="","",$P2194-$O2194)</f>
        <v/>
      </c>
    </row>
    <row r="2195" ht="15" customHeight="1" s="231">
      <c r="A2195" s="397" t="n"/>
      <c r="B2195" s="397" t="n"/>
      <c r="C2195" s="397" t="n"/>
      <c r="D2195" s="397" t="n"/>
      <c r="E2195" s="397" t="n"/>
      <c r="F2195" s="397" t="n"/>
      <c r="G2195" s="397" t="n"/>
      <c r="I2195" s="397" t="n"/>
      <c r="J2195" s="397" t="n"/>
      <c r="K2195" s="395">
        <f>DATE(VALUE(LEFT(A2195,4)),VALUE(MID(A2195,5,2)),VALUE(RIGHT(A2195,2)))</f>
        <v/>
      </c>
      <c r="L2195" s="395">
        <f>DATEVALUE(LEFT(F2195,10))</f>
        <v/>
      </c>
      <c r="M2195" s="396">
        <f>TIMEVALUE(MID(F2195,12,8))</f>
        <v/>
      </c>
      <c r="N2195" s="395">
        <f>DATEVALUE(LEFT(G2195,10))</f>
        <v/>
      </c>
      <c r="O2195" s="396">
        <f>TIMEVALUE(MID(G2195,12,8))</f>
        <v/>
      </c>
      <c r="P2195" s="396">
        <f>IFERROR(_xlfn.MINIFS($M:$M,$E:$E,$E2195,$K:$K,$K2195,$M:$M,"&gt;"&amp;$O2195),"")</f>
        <v/>
      </c>
      <c r="Q2195" s="396">
        <f>IF($P2195="","",$P2195-$O2195)</f>
        <v/>
      </c>
    </row>
    <row r="2196" ht="15" customHeight="1" s="231">
      <c r="A2196" s="397" t="n"/>
      <c r="B2196" s="397" t="n"/>
      <c r="C2196" s="397" t="n"/>
      <c r="D2196" s="397" t="n"/>
      <c r="E2196" s="397" t="n"/>
      <c r="F2196" s="397" t="n"/>
      <c r="G2196" s="397" t="n"/>
      <c r="I2196" s="397" t="n"/>
      <c r="J2196" s="397" t="n"/>
      <c r="K2196" s="395">
        <f>DATE(VALUE(LEFT(A2196,4)),VALUE(MID(A2196,5,2)),VALUE(RIGHT(A2196,2)))</f>
        <v/>
      </c>
      <c r="L2196" s="395">
        <f>DATEVALUE(LEFT(F2196,10))</f>
        <v/>
      </c>
      <c r="M2196" s="396">
        <f>TIMEVALUE(MID(F2196,12,8))</f>
        <v/>
      </c>
      <c r="N2196" s="395">
        <f>DATEVALUE(LEFT(G2196,10))</f>
        <v/>
      </c>
      <c r="O2196" s="396">
        <f>TIMEVALUE(MID(G2196,12,8))</f>
        <v/>
      </c>
      <c r="P2196" s="396">
        <f>IFERROR(_xlfn.MINIFS($M:$M,$E:$E,$E2196,$K:$K,$K2196,$M:$M,"&gt;"&amp;$O2196),"")</f>
        <v/>
      </c>
      <c r="Q2196" s="396">
        <f>IF($P2196="","",$P2196-$O2196)</f>
        <v/>
      </c>
    </row>
    <row r="2197" ht="15" customHeight="1" s="231">
      <c r="A2197" s="397" t="n"/>
      <c r="B2197" s="397" t="n"/>
      <c r="C2197" s="397" t="n"/>
      <c r="D2197" s="397" t="n"/>
      <c r="E2197" s="397" t="n"/>
      <c r="F2197" s="397" t="n"/>
      <c r="G2197" s="397" t="n"/>
      <c r="I2197" s="397" t="n"/>
      <c r="J2197" s="397" t="n"/>
      <c r="K2197" s="395">
        <f>DATE(VALUE(LEFT(A2197,4)),VALUE(MID(A2197,5,2)),VALUE(RIGHT(A2197,2)))</f>
        <v/>
      </c>
      <c r="L2197" s="395">
        <f>DATEVALUE(LEFT(F2197,10))</f>
        <v/>
      </c>
      <c r="M2197" s="396">
        <f>TIMEVALUE(MID(F2197,12,8))</f>
        <v/>
      </c>
      <c r="N2197" s="395">
        <f>DATEVALUE(LEFT(G2197,10))</f>
        <v/>
      </c>
      <c r="O2197" s="396">
        <f>TIMEVALUE(MID(G2197,12,8))</f>
        <v/>
      </c>
      <c r="P2197" s="396">
        <f>IFERROR(_xlfn.MINIFS($M:$M,$E:$E,$E2197,$K:$K,$K2197,$M:$M,"&gt;"&amp;$O2197),"")</f>
        <v/>
      </c>
      <c r="Q2197" s="396">
        <f>IF($P2197="","",$P2197-$O2197)</f>
        <v/>
      </c>
    </row>
    <row r="2198" ht="15" customHeight="1" s="231">
      <c r="A2198" s="397" t="n"/>
      <c r="B2198" s="397" t="n"/>
      <c r="C2198" s="397" t="n"/>
      <c r="D2198" s="397" t="n"/>
      <c r="E2198" s="397" t="n"/>
      <c r="F2198" s="397" t="n"/>
      <c r="G2198" s="397" t="n"/>
      <c r="I2198" s="397" t="n"/>
      <c r="J2198" s="397" t="n"/>
      <c r="K2198" s="395">
        <f>DATE(VALUE(LEFT(A2198,4)),VALUE(MID(A2198,5,2)),VALUE(RIGHT(A2198,2)))</f>
        <v/>
      </c>
      <c r="L2198" s="395">
        <f>DATEVALUE(LEFT(F2198,10))</f>
        <v/>
      </c>
      <c r="M2198" s="396">
        <f>TIMEVALUE(MID(F2198,12,8))</f>
        <v/>
      </c>
      <c r="N2198" s="395">
        <f>DATEVALUE(LEFT(G2198,10))</f>
        <v/>
      </c>
      <c r="O2198" s="396">
        <f>TIMEVALUE(MID(G2198,12,8))</f>
        <v/>
      </c>
      <c r="P2198" s="396">
        <f>IFERROR(_xlfn.MINIFS($M:$M,$E:$E,$E2198,$K:$K,$K2198,$M:$M,"&gt;"&amp;$O2198),"")</f>
        <v/>
      </c>
      <c r="Q2198" s="396">
        <f>IF($P2198="","",$P2198-$O2198)</f>
        <v/>
      </c>
    </row>
    <row r="2199" ht="15" customHeight="1" s="231">
      <c r="A2199" s="397" t="n"/>
      <c r="B2199" s="397" t="n"/>
      <c r="C2199" s="397" t="n"/>
      <c r="D2199" s="397" t="n"/>
      <c r="E2199" s="397" t="n"/>
      <c r="F2199" s="397" t="n"/>
      <c r="G2199" s="397" t="n"/>
      <c r="I2199" s="397" t="n"/>
      <c r="J2199" s="397" t="n"/>
      <c r="K2199" s="395">
        <f>DATE(VALUE(LEFT(A2199,4)),VALUE(MID(A2199,5,2)),VALUE(RIGHT(A2199,2)))</f>
        <v/>
      </c>
      <c r="L2199" s="395">
        <f>DATEVALUE(LEFT(F2199,10))</f>
        <v/>
      </c>
      <c r="M2199" s="396">
        <f>TIMEVALUE(MID(F2199,12,8))</f>
        <v/>
      </c>
      <c r="N2199" s="395">
        <f>DATEVALUE(LEFT(G2199,10))</f>
        <v/>
      </c>
      <c r="O2199" s="396">
        <f>TIMEVALUE(MID(G2199,12,8))</f>
        <v/>
      </c>
      <c r="P2199" s="396">
        <f>IFERROR(_xlfn.MINIFS($M:$M,$E:$E,$E2199,$K:$K,$K2199,$M:$M,"&gt;"&amp;$O2199),"")</f>
        <v/>
      </c>
      <c r="Q2199" s="396">
        <f>IF($P2199="","",$P2199-$O2199)</f>
        <v/>
      </c>
    </row>
    <row r="2200" ht="15" customHeight="1" s="231">
      <c r="A2200" s="397" t="n"/>
      <c r="B2200" s="397" t="n"/>
      <c r="C2200" s="397" t="n"/>
      <c r="D2200" s="397" t="n"/>
      <c r="E2200" s="397" t="n"/>
      <c r="F2200" s="397" t="n"/>
      <c r="G2200" s="397" t="n"/>
      <c r="I2200" s="397" t="n"/>
      <c r="J2200" s="397" t="n"/>
      <c r="K2200" s="395">
        <f>DATE(VALUE(LEFT(A2200,4)),VALUE(MID(A2200,5,2)),VALUE(RIGHT(A2200,2)))</f>
        <v/>
      </c>
      <c r="L2200" s="395">
        <f>DATEVALUE(LEFT(F2200,10))</f>
        <v/>
      </c>
      <c r="M2200" s="396">
        <f>TIMEVALUE(MID(F2200,12,8))</f>
        <v/>
      </c>
      <c r="N2200" s="395">
        <f>DATEVALUE(LEFT(G2200,10))</f>
        <v/>
      </c>
      <c r="O2200" s="396">
        <f>TIMEVALUE(MID(G2200,12,8))</f>
        <v/>
      </c>
      <c r="P2200" s="396">
        <f>IFERROR(_xlfn.MINIFS($M:$M,$E:$E,$E2200,$K:$K,$K2200,$M:$M,"&gt;"&amp;$O2200),"")</f>
        <v/>
      </c>
      <c r="Q2200" s="396">
        <f>IF($P2200="","",$P2200-$O2200)</f>
        <v/>
      </c>
    </row>
    <row r="2201" ht="15" customHeight="1" s="231">
      <c r="A2201" s="397" t="n"/>
      <c r="B2201" s="397" t="n"/>
      <c r="C2201" s="397" t="n"/>
      <c r="D2201" s="397" t="n"/>
      <c r="E2201" s="397" t="n"/>
      <c r="F2201" s="397" t="n"/>
      <c r="G2201" s="397" t="n"/>
      <c r="I2201" s="397" t="n"/>
      <c r="J2201" s="397" t="n"/>
      <c r="K2201" s="395">
        <f>DATE(VALUE(LEFT(A2201,4)),VALUE(MID(A2201,5,2)),VALUE(RIGHT(A2201,2)))</f>
        <v/>
      </c>
      <c r="L2201" s="395">
        <f>DATEVALUE(LEFT(F2201,10))</f>
        <v/>
      </c>
      <c r="M2201" s="396">
        <f>TIMEVALUE(MID(F2201,12,8))</f>
        <v/>
      </c>
      <c r="N2201" s="395">
        <f>DATEVALUE(LEFT(G2201,10))</f>
        <v/>
      </c>
      <c r="O2201" s="396">
        <f>TIMEVALUE(MID(G2201,12,8))</f>
        <v/>
      </c>
      <c r="P2201" s="396">
        <f>IFERROR(_xlfn.MINIFS($M:$M,$E:$E,$E2201,$K:$K,$K2201,$M:$M,"&gt;"&amp;$O2201),"")</f>
        <v/>
      </c>
      <c r="Q2201" s="396">
        <f>IF($P2201="","",$P2201-$O2201)</f>
        <v/>
      </c>
    </row>
    <row r="2202" ht="15" customHeight="1" s="231">
      <c r="A2202" s="397" t="n"/>
      <c r="B2202" s="397" t="n"/>
      <c r="C2202" s="397" t="n"/>
      <c r="D2202" s="397" t="n"/>
      <c r="E2202" s="397" t="n"/>
      <c r="F2202" s="397" t="n"/>
      <c r="G2202" s="397" t="n"/>
      <c r="I2202" s="397" t="n"/>
      <c r="J2202" s="397" t="n"/>
      <c r="K2202" s="395">
        <f>DATE(VALUE(LEFT(A2202,4)),VALUE(MID(A2202,5,2)),VALUE(RIGHT(A2202,2)))</f>
        <v/>
      </c>
      <c r="L2202" s="395">
        <f>DATEVALUE(LEFT(F2202,10))</f>
        <v/>
      </c>
      <c r="M2202" s="396">
        <f>TIMEVALUE(MID(F2202,12,8))</f>
        <v/>
      </c>
      <c r="N2202" s="395">
        <f>DATEVALUE(LEFT(G2202,10))</f>
        <v/>
      </c>
      <c r="O2202" s="396">
        <f>TIMEVALUE(MID(G2202,12,8))</f>
        <v/>
      </c>
      <c r="P2202" s="396">
        <f>IFERROR(_xlfn.MINIFS($M:$M,$E:$E,$E2202,$K:$K,$K2202,$M:$M,"&gt;"&amp;$O2202),"")</f>
        <v/>
      </c>
      <c r="Q2202" s="396">
        <f>IF($P2202="","",$P2202-$O2202)</f>
        <v/>
      </c>
    </row>
    <row r="2203" ht="15" customHeight="1" s="231">
      <c r="A2203" s="397" t="n"/>
      <c r="B2203" s="397" t="n"/>
      <c r="C2203" s="397" t="n"/>
      <c r="D2203" s="397" t="n"/>
      <c r="E2203" s="397" t="n"/>
      <c r="F2203" s="397" t="n"/>
      <c r="G2203" s="397" t="n"/>
      <c r="I2203" s="397" t="n"/>
      <c r="J2203" s="397" t="n"/>
      <c r="K2203" s="395">
        <f>DATE(VALUE(LEFT(A2203,4)),VALUE(MID(A2203,5,2)),VALUE(RIGHT(A2203,2)))</f>
        <v/>
      </c>
      <c r="L2203" s="395">
        <f>DATEVALUE(LEFT(F2203,10))</f>
        <v/>
      </c>
      <c r="M2203" s="396">
        <f>TIMEVALUE(MID(F2203,12,8))</f>
        <v/>
      </c>
      <c r="N2203" s="395">
        <f>DATEVALUE(LEFT(G2203,10))</f>
        <v/>
      </c>
      <c r="O2203" s="396">
        <f>TIMEVALUE(MID(G2203,12,8))</f>
        <v/>
      </c>
      <c r="P2203" s="396">
        <f>IFERROR(_xlfn.MINIFS($M:$M,$E:$E,$E2203,$K:$K,$K2203,$M:$M,"&gt;"&amp;$O2203),"")</f>
        <v/>
      </c>
      <c r="Q2203" s="396">
        <f>IF($P2203="","",$P2203-$O2203)</f>
        <v/>
      </c>
    </row>
    <row r="2204" ht="15" customHeight="1" s="231">
      <c r="A2204" s="397" t="n"/>
      <c r="B2204" s="397" t="n"/>
      <c r="C2204" s="397" t="n"/>
      <c r="D2204" s="397" t="n"/>
      <c r="E2204" s="397" t="n"/>
      <c r="F2204" s="397" t="n"/>
      <c r="G2204" s="397" t="n"/>
      <c r="I2204" s="397" t="n"/>
      <c r="J2204" s="397" t="n"/>
      <c r="K2204" s="395">
        <f>DATE(VALUE(LEFT(A2204,4)),VALUE(MID(A2204,5,2)),VALUE(RIGHT(A2204,2)))</f>
        <v/>
      </c>
      <c r="L2204" s="395">
        <f>DATEVALUE(LEFT(F2204,10))</f>
        <v/>
      </c>
      <c r="M2204" s="396">
        <f>TIMEVALUE(MID(F2204,12,8))</f>
        <v/>
      </c>
      <c r="N2204" s="395">
        <f>DATEVALUE(LEFT(G2204,10))</f>
        <v/>
      </c>
      <c r="O2204" s="396">
        <f>TIMEVALUE(MID(G2204,12,8))</f>
        <v/>
      </c>
      <c r="P2204" s="396">
        <f>IFERROR(_xlfn.MINIFS($M:$M,$E:$E,$E2204,$K:$K,$K2204,$M:$M,"&gt;"&amp;$O2204),"")</f>
        <v/>
      </c>
      <c r="Q2204" s="396">
        <f>IF($P2204="","",$P2204-$O2204)</f>
        <v/>
      </c>
    </row>
    <row r="2205" ht="15" customHeight="1" s="231">
      <c r="A2205" s="397" t="n"/>
      <c r="B2205" s="397" t="n"/>
      <c r="C2205" s="397" t="n"/>
      <c r="D2205" s="397" t="n"/>
      <c r="E2205" s="397" t="n"/>
      <c r="F2205" s="397" t="n"/>
      <c r="G2205" s="397" t="n"/>
      <c r="I2205" s="397" t="n"/>
      <c r="J2205" s="397" t="n"/>
      <c r="K2205" s="395">
        <f>DATE(VALUE(LEFT(A2205,4)),VALUE(MID(A2205,5,2)),VALUE(RIGHT(A2205,2)))</f>
        <v/>
      </c>
      <c r="L2205" s="395">
        <f>DATEVALUE(LEFT(F2205,10))</f>
        <v/>
      </c>
      <c r="M2205" s="396">
        <f>TIMEVALUE(MID(F2205,12,8))</f>
        <v/>
      </c>
      <c r="N2205" s="395">
        <f>DATEVALUE(LEFT(G2205,10))</f>
        <v/>
      </c>
      <c r="O2205" s="396">
        <f>TIMEVALUE(MID(G2205,12,8))</f>
        <v/>
      </c>
      <c r="P2205" s="396">
        <f>IFERROR(_xlfn.MINIFS($M:$M,$E:$E,$E2205,$K:$K,$K2205,$M:$M,"&gt;"&amp;$O2205),"")</f>
        <v/>
      </c>
      <c r="Q2205" s="396">
        <f>IF($P2205="","",$P2205-$O2205)</f>
        <v/>
      </c>
    </row>
    <row r="2206" ht="15" customHeight="1" s="231">
      <c r="A2206" s="397" t="n"/>
      <c r="B2206" s="397" t="n"/>
      <c r="C2206" s="397" t="n"/>
      <c r="D2206" s="397" t="n"/>
      <c r="E2206" s="397" t="n"/>
      <c r="F2206" s="397" t="n"/>
      <c r="G2206" s="397" t="n"/>
      <c r="I2206" s="397" t="n"/>
      <c r="J2206" s="397" t="n"/>
      <c r="K2206" s="395">
        <f>DATE(VALUE(LEFT(A2206,4)),VALUE(MID(A2206,5,2)),VALUE(RIGHT(A2206,2)))</f>
        <v/>
      </c>
      <c r="L2206" s="395">
        <f>DATEVALUE(LEFT(F2206,10))</f>
        <v/>
      </c>
      <c r="M2206" s="396">
        <f>TIMEVALUE(MID(F2206,12,8))</f>
        <v/>
      </c>
      <c r="N2206" s="395">
        <f>DATEVALUE(LEFT(G2206,10))</f>
        <v/>
      </c>
      <c r="O2206" s="396">
        <f>TIMEVALUE(MID(G2206,12,8))</f>
        <v/>
      </c>
      <c r="P2206" s="396">
        <f>IFERROR(_xlfn.MINIFS($M:$M,$E:$E,$E2206,$K:$K,$K2206,$M:$M,"&gt;"&amp;$O2206),"")</f>
        <v/>
      </c>
      <c r="Q2206" s="396">
        <f>IF($P2206="","",$P2206-$O2206)</f>
        <v/>
      </c>
    </row>
    <row r="2207" ht="15" customHeight="1" s="231">
      <c r="A2207" s="397" t="n"/>
      <c r="B2207" s="397" t="n"/>
      <c r="C2207" s="397" t="n"/>
      <c r="D2207" s="397" t="n"/>
      <c r="E2207" s="397" t="n"/>
      <c r="F2207" s="397" t="n"/>
      <c r="G2207" s="397" t="n"/>
      <c r="I2207" s="397" t="n"/>
      <c r="J2207" s="397" t="n"/>
      <c r="K2207" s="395">
        <f>DATE(VALUE(LEFT(A2207,4)),VALUE(MID(A2207,5,2)),VALUE(RIGHT(A2207,2)))</f>
        <v/>
      </c>
      <c r="L2207" s="395">
        <f>DATEVALUE(LEFT(F2207,10))</f>
        <v/>
      </c>
      <c r="M2207" s="396">
        <f>TIMEVALUE(MID(F2207,12,8))</f>
        <v/>
      </c>
      <c r="N2207" s="395">
        <f>DATEVALUE(LEFT(G2207,10))</f>
        <v/>
      </c>
      <c r="O2207" s="396">
        <f>TIMEVALUE(MID(G2207,12,8))</f>
        <v/>
      </c>
      <c r="P2207" s="396">
        <f>IFERROR(_xlfn.MINIFS($M:$M,$E:$E,$E2207,$K:$K,$K2207,$M:$M,"&gt;"&amp;$O2207),"")</f>
        <v/>
      </c>
      <c r="Q2207" s="396">
        <f>IF($P2207="","",$P2207-$O2207)</f>
        <v/>
      </c>
    </row>
    <row r="2208" ht="15" customHeight="1" s="231">
      <c r="A2208" s="397" t="n"/>
      <c r="B2208" s="397" t="n"/>
      <c r="C2208" s="397" t="n"/>
      <c r="D2208" s="397" t="n"/>
      <c r="E2208" s="397" t="n"/>
      <c r="F2208" s="397" t="n"/>
      <c r="G2208" s="397" t="n"/>
      <c r="I2208" s="397" t="n"/>
      <c r="J2208" s="397" t="n"/>
      <c r="K2208" s="395">
        <f>DATE(VALUE(LEFT(A2208,4)),VALUE(MID(A2208,5,2)),VALUE(RIGHT(A2208,2)))</f>
        <v/>
      </c>
      <c r="L2208" s="395">
        <f>DATEVALUE(LEFT(F2208,10))</f>
        <v/>
      </c>
      <c r="M2208" s="396">
        <f>TIMEVALUE(MID(F2208,12,8))</f>
        <v/>
      </c>
      <c r="N2208" s="395">
        <f>DATEVALUE(LEFT(G2208,10))</f>
        <v/>
      </c>
      <c r="O2208" s="396">
        <f>TIMEVALUE(MID(G2208,12,8))</f>
        <v/>
      </c>
      <c r="P2208" s="396">
        <f>IFERROR(_xlfn.MINIFS($M:$M,$E:$E,$E2208,$K:$K,$K2208,$M:$M,"&gt;"&amp;$O2208),"")</f>
        <v/>
      </c>
      <c r="Q2208" s="396">
        <f>IF($P2208="","",$P2208-$O2208)</f>
        <v/>
      </c>
    </row>
    <row r="2209" ht="15" customHeight="1" s="231">
      <c r="A2209" s="397" t="n"/>
      <c r="B2209" s="397" t="n"/>
      <c r="C2209" s="397" t="n"/>
      <c r="D2209" s="397" t="n"/>
      <c r="E2209" s="397" t="n"/>
      <c r="F2209" s="397" t="n"/>
      <c r="G2209" s="397" t="n"/>
      <c r="I2209" s="397" t="n"/>
      <c r="J2209" s="397" t="n"/>
      <c r="K2209" s="395">
        <f>DATE(VALUE(LEFT(A2209,4)),VALUE(MID(A2209,5,2)),VALUE(RIGHT(A2209,2)))</f>
        <v/>
      </c>
      <c r="L2209" s="395">
        <f>DATEVALUE(LEFT(F2209,10))</f>
        <v/>
      </c>
      <c r="M2209" s="396">
        <f>TIMEVALUE(MID(F2209,12,8))</f>
        <v/>
      </c>
      <c r="N2209" s="395">
        <f>DATEVALUE(LEFT(G2209,10))</f>
        <v/>
      </c>
      <c r="O2209" s="396">
        <f>TIMEVALUE(MID(G2209,12,8))</f>
        <v/>
      </c>
      <c r="P2209" s="396">
        <f>IFERROR(_xlfn.MINIFS($M:$M,$E:$E,$E2209,$K:$K,$K2209,$M:$M,"&gt;"&amp;$O2209),"")</f>
        <v/>
      </c>
      <c r="Q2209" s="396">
        <f>IF($P2209="","",$P2209-$O2209)</f>
        <v/>
      </c>
    </row>
    <row r="2210" ht="15" customHeight="1" s="231">
      <c r="A2210" s="397" t="n"/>
      <c r="B2210" s="397" t="n"/>
      <c r="C2210" s="397" t="n"/>
      <c r="D2210" s="397" t="n"/>
      <c r="E2210" s="397" t="n"/>
      <c r="F2210" s="397" t="n"/>
      <c r="G2210" s="397" t="n"/>
      <c r="I2210" s="397" t="n"/>
      <c r="J2210" s="397" t="n"/>
      <c r="K2210" s="395">
        <f>DATE(VALUE(LEFT(A2210,4)),VALUE(MID(A2210,5,2)),VALUE(RIGHT(A2210,2)))</f>
        <v/>
      </c>
      <c r="L2210" s="395">
        <f>DATEVALUE(LEFT(F2210,10))</f>
        <v/>
      </c>
      <c r="M2210" s="396">
        <f>TIMEVALUE(MID(F2210,12,8))</f>
        <v/>
      </c>
      <c r="N2210" s="395">
        <f>DATEVALUE(LEFT(G2210,10))</f>
        <v/>
      </c>
      <c r="O2210" s="396">
        <f>TIMEVALUE(MID(G2210,12,8))</f>
        <v/>
      </c>
      <c r="P2210" s="396">
        <f>IFERROR(_xlfn.MINIFS($M:$M,$E:$E,$E2210,$K:$K,$K2210,$M:$M,"&gt;"&amp;$O2210),"")</f>
        <v/>
      </c>
      <c r="Q2210" s="396">
        <f>IF($P2210="","",$P2210-$O2210)</f>
        <v/>
      </c>
    </row>
    <row r="2211" ht="15" customHeight="1" s="231">
      <c r="A2211" s="397" t="n"/>
      <c r="B2211" s="397" t="n"/>
      <c r="C2211" s="397" t="n"/>
      <c r="D2211" s="397" t="n"/>
      <c r="E2211" s="397" t="n"/>
      <c r="F2211" s="397" t="n"/>
      <c r="G2211" s="397" t="n"/>
      <c r="I2211" s="397" t="n"/>
      <c r="J2211" s="397" t="n"/>
      <c r="K2211" s="395">
        <f>DATE(VALUE(LEFT(A2211,4)),VALUE(MID(A2211,5,2)),VALUE(RIGHT(A2211,2)))</f>
        <v/>
      </c>
      <c r="L2211" s="395">
        <f>DATEVALUE(LEFT(F2211,10))</f>
        <v/>
      </c>
      <c r="M2211" s="396">
        <f>TIMEVALUE(MID(F2211,12,8))</f>
        <v/>
      </c>
      <c r="N2211" s="395">
        <f>DATEVALUE(LEFT(G2211,10))</f>
        <v/>
      </c>
      <c r="O2211" s="396">
        <f>TIMEVALUE(MID(G2211,12,8))</f>
        <v/>
      </c>
      <c r="P2211" s="396">
        <f>IFERROR(_xlfn.MINIFS($M:$M,$E:$E,$E2211,$K:$K,$K2211,$M:$M,"&gt;"&amp;$O2211),"")</f>
        <v/>
      </c>
      <c r="Q2211" s="396">
        <f>IF($P2211="","",$P2211-$O2211)</f>
        <v/>
      </c>
    </row>
    <row r="2212" ht="15" customHeight="1" s="231">
      <c r="A2212" s="397" t="n"/>
      <c r="B2212" s="397" t="n"/>
      <c r="C2212" s="397" t="n"/>
      <c r="D2212" s="397" t="n"/>
      <c r="E2212" s="397" t="n"/>
      <c r="F2212" s="397" t="n"/>
      <c r="G2212" s="397" t="n"/>
      <c r="I2212" s="397" t="n"/>
      <c r="J2212" s="397" t="n"/>
      <c r="K2212" s="395">
        <f>DATE(VALUE(LEFT(A2212,4)),VALUE(MID(A2212,5,2)),VALUE(RIGHT(A2212,2)))</f>
        <v/>
      </c>
      <c r="L2212" s="395">
        <f>DATEVALUE(LEFT(F2212,10))</f>
        <v/>
      </c>
      <c r="M2212" s="396">
        <f>TIMEVALUE(MID(F2212,12,8))</f>
        <v/>
      </c>
      <c r="N2212" s="395">
        <f>DATEVALUE(LEFT(G2212,10))</f>
        <v/>
      </c>
      <c r="O2212" s="396">
        <f>TIMEVALUE(MID(G2212,12,8))</f>
        <v/>
      </c>
      <c r="P2212" s="396">
        <f>IFERROR(_xlfn.MINIFS($M:$M,$E:$E,$E2212,$K:$K,$K2212,$M:$M,"&gt;"&amp;$O2212),"")</f>
        <v/>
      </c>
      <c r="Q2212" s="396">
        <f>IF($P2212="","",$P2212-$O2212)</f>
        <v/>
      </c>
    </row>
    <row r="2213" ht="15" customHeight="1" s="231">
      <c r="A2213" s="397" t="n"/>
      <c r="B2213" s="397" t="n"/>
      <c r="C2213" s="397" t="n"/>
      <c r="D2213" s="397" t="n"/>
      <c r="E2213" s="397" t="n"/>
      <c r="F2213" s="397" t="n"/>
      <c r="G2213" s="397" t="n"/>
      <c r="I2213" s="397" t="n"/>
      <c r="J2213" s="397" t="n"/>
      <c r="K2213" s="395">
        <f>DATE(VALUE(LEFT(A2213,4)),VALUE(MID(A2213,5,2)),VALUE(RIGHT(A2213,2)))</f>
        <v/>
      </c>
      <c r="L2213" s="395">
        <f>DATEVALUE(LEFT(F2213,10))</f>
        <v/>
      </c>
      <c r="M2213" s="396">
        <f>TIMEVALUE(MID(F2213,12,8))</f>
        <v/>
      </c>
      <c r="N2213" s="395">
        <f>DATEVALUE(LEFT(G2213,10))</f>
        <v/>
      </c>
      <c r="O2213" s="396">
        <f>TIMEVALUE(MID(G2213,12,8))</f>
        <v/>
      </c>
      <c r="P2213" s="396">
        <f>IFERROR(_xlfn.MINIFS($M:$M,$E:$E,$E2213,$K:$K,$K2213,$M:$M,"&gt;"&amp;$O2213),"")</f>
        <v/>
      </c>
      <c r="Q2213" s="396">
        <f>IF($P2213="","",$P2213-$O2213)</f>
        <v/>
      </c>
    </row>
    <row r="2214" ht="15" customHeight="1" s="231">
      <c r="A2214" s="397" t="n"/>
      <c r="B2214" s="397" t="n"/>
      <c r="C2214" s="397" t="n"/>
      <c r="D2214" s="397" t="n"/>
      <c r="E2214" s="397" t="n"/>
      <c r="F2214" s="397" t="n"/>
      <c r="G2214" s="397" t="n"/>
      <c r="I2214" s="397" t="n"/>
      <c r="J2214" s="397" t="n"/>
      <c r="K2214" s="395">
        <f>DATE(VALUE(LEFT(A2214,4)),VALUE(MID(A2214,5,2)),VALUE(RIGHT(A2214,2)))</f>
        <v/>
      </c>
      <c r="L2214" s="395">
        <f>DATEVALUE(LEFT(F2214,10))</f>
        <v/>
      </c>
      <c r="M2214" s="396">
        <f>TIMEVALUE(MID(F2214,12,8))</f>
        <v/>
      </c>
      <c r="N2214" s="395">
        <f>DATEVALUE(LEFT(G2214,10))</f>
        <v/>
      </c>
      <c r="O2214" s="396">
        <f>TIMEVALUE(MID(G2214,12,8))</f>
        <v/>
      </c>
      <c r="P2214" s="396">
        <f>IFERROR(_xlfn.MINIFS($M:$M,$E:$E,$E2214,$K:$K,$K2214,$M:$M,"&gt;"&amp;$O2214),"")</f>
        <v/>
      </c>
      <c r="Q2214" s="396">
        <f>IF($P2214="","",$P2214-$O2214)</f>
        <v/>
      </c>
    </row>
    <row r="2215" ht="15" customHeight="1" s="231">
      <c r="A2215" s="397" t="n"/>
      <c r="B2215" s="397" t="n"/>
      <c r="C2215" s="397" t="n"/>
      <c r="D2215" s="397" t="n"/>
      <c r="E2215" s="397" t="n"/>
      <c r="F2215" s="397" t="n"/>
      <c r="G2215" s="397" t="n"/>
      <c r="I2215" s="397" t="n"/>
      <c r="J2215" s="397" t="n"/>
      <c r="K2215" s="395">
        <f>DATE(VALUE(LEFT(A2215,4)),VALUE(MID(A2215,5,2)),VALUE(RIGHT(A2215,2)))</f>
        <v/>
      </c>
      <c r="L2215" s="395">
        <f>DATEVALUE(LEFT(F2215,10))</f>
        <v/>
      </c>
      <c r="M2215" s="396">
        <f>TIMEVALUE(MID(F2215,12,8))</f>
        <v/>
      </c>
      <c r="N2215" s="395">
        <f>DATEVALUE(LEFT(G2215,10))</f>
        <v/>
      </c>
      <c r="O2215" s="396">
        <f>TIMEVALUE(MID(G2215,12,8))</f>
        <v/>
      </c>
      <c r="P2215" s="396">
        <f>IFERROR(_xlfn.MINIFS($M:$M,$E:$E,$E2215,$K:$K,$K2215,$M:$M,"&gt;"&amp;$O2215),"")</f>
        <v/>
      </c>
      <c r="Q2215" s="396">
        <f>IF($P2215="","",$P2215-$O2215)</f>
        <v/>
      </c>
    </row>
    <row r="2216" ht="15" customHeight="1" s="231">
      <c r="A2216" s="397" t="n"/>
      <c r="B2216" s="397" t="n"/>
      <c r="C2216" s="397" t="n"/>
      <c r="D2216" s="397" t="n"/>
      <c r="E2216" s="397" t="n"/>
      <c r="F2216" s="397" t="n"/>
      <c r="G2216" s="397" t="n"/>
      <c r="I2216" s="397" t="n"/>
      <c r="J2216" s="397" t="n"/>
      <c r="K2216" s="395">
        <f>DATE(VALUE(LEFT(A2216,4)),VALUE(MID(A2216,5,2)),VALUE(RIGHT(A2216,2)))</f>
        <v/>
      </c>
      <c r="L2216" s="395">
        <f>DATEVALUE(LEFT(F2216,10))</f>
        <v/>
      </c>
      <c r="M2216" s="396">
        <f>TIMEVALUE(MID(F2216,12,8))</f>
        <v/>
      </c>
      <c r="N2216" s="395">
        <f>DATEVALUE(LEFT(G2216,10))</f>
        <v/>
      </c>
      <c r="O2216" s="396">
        <f>TIMEVALUE(MID(G2216,12,8))</f>
        <v/>
      </c>
      <c r="P2216" s="396">
        <f>IFERROR(_xlfn.MINIFS($M:$M,$E:$E,$E2216,$K:$K,$K2216,$M:$M,"&gt;"&amp;$O2216),"")</f>
        <v/>
      </c>
      <c r="Q2216" s="396">
        <f>IF($P2216="","",$P2216-$O2216)</f>
        <v/>
      </c>
    </row>
    <row r="2217" ht="15" customHeight="1" s="231">
      <c r="A2217" s="397" t="n"/>
      <c r="B2217" s="397" t="n"/>
      <c r="C2217" s="397" t="n"/>
      <c r="D2217" s="397" t="n"/>
      <c r="E2217" s="397" t="n"/>
      <c r="F2217" s="397" t="n"/>
      <c r="G2217" s="397" t="n"/>
      <c r="I2217" s="397" t="n"/>
      <c r="J2217" s="397" t="n"/>
      <c r="K2217" s="395">
        <f>DATE(VALUE(LEFT(A2217,4)),VALUE(MID(A2217,5,2)),VALUE(RIGHT(A2217,2)))</f>
        <v/>
      </c>
      <c r="L2217" s="395">
        <f>DATEVALUE(LEFT(F2217,10))</f>
        <v/>
      </c>
      <c r="M2217" s="396">
        <f>TIMEVALUE(MID(F2217,12,8))</f>
        <v/>
      </c>
      <c r="N2217" s="395">
        <f>DATEVALUE(LEFT(G2217,10))</f>
        <v/>
      </c>
      <c r="O2217" s="396">
        <f>TIMEVALUE(MID(G2217,12,8))</f>
        <v/>
      </c>
      <c r="P2217" s="396">
        <f>IFERROR(_xlfn.MINIFS($M:$M,$E:$E,$E2217,$K:$K,$K2217,$M:$M,"&gt;"&amp;$O2217),"")</f>
        <v/>
      </c>
      <c r="Q2217" s="396">
        <f>IF($P2217="","",$P2217-$O2217)</f>
        <v/>
      </c>
    </row>
    <row r="2218" ht="15" customHeight="1" s="231">
      <c r="A2218" s="397" t="n"/>
      <c r="B2218" s="397" t="n"/>
      <c r="C2218" s="397" t="n"/>
      <c r="D2218" s="397" t="n"/>
      <c r="E2218" s="397" t="n"/>
      <c r="F2218" s="397" t="n"/>
      <c r="G2218" s="397" t="n"/>
      <c r="I2218" s="397" t="n"/>
      <c r="J2218" s="397" t="n"/>
      <c r="K2218" s="395">
        <f>DATE(VALUE(LEFT(A2218,4)),VALUE(MID(A2218,5,2)),VALUE(RIGHT(A2218,2)))</f>
        <v/>
      </c>
      <c r="L2218" s="395">
        <f>DATEVALUE(LEFT(F2218,10))</f>
        <v/>
      </c>
      <c r="M2218" s="396">
        <f>TIMEVALUE(MID(F2218,12,8))</f>
        <v/>
      </c>
      <c r="N2218" s="395">
        <f>DATEVALUE(LEFT(G2218,10))</f>
        <v/>
      </c>
      <c r="O2218" s="396">
        <f>TIMEVALUE(MID(G2218,12,8))</f>
        <v/>
      </c>
      <c r="P2218" s="396">
        <f>IFERROR(_xlfn.MINIFS($M:$M,$E:$E,$E2218,$K:$K,$K2218,$M:$M,"&gt;"&amp;$O2218),"")</f>
        <v/>
      </c>
      <c r="Q2218" s="396">
        <f>IF($P2218="","",$P2218-$O2218)</f>
        <v/>
      </c>
    </row>
    <row r="2219" ht="15" customHeight="1" s="231">
      <c r="A2219" s="397" t="n"/>
      <c r="B2219" s="397" t="n"/>
      <c r="C2219" s="397" t="n"/>
      <c r="D2219" s="397" t="n"/>
      <c r="E2219" s="397" t="n"/>
      <c r="F2219" s="397" t="n"/>
      <c r="G2219" s="397" t="n"/>
      <c r="I2219" s="397" t="n"/>
      <c r="J2219" s="397" t="n"/>
      <c r="K2219" s="395">
        <f>DATE(VALUE(LEFT(A2219,4)),VALUE(MID(A2219,5,2)),VALUE(RIGHT(A2219,2)))</f>
        <v/>
      </c>
      <c r="L2219" s="395">
        <f>DATEVALUE(LEFT(F2219,10))</f>
        <v/>
      </c>
      <c r="M2219" s="396">
        <f>TIMEVALUE(MID(F2219,12,8))</f>
        <v/>
      </c>
      <c r="N2219" s="395">
        <f>DATEVALUE(LEFT(G2219,10))</f>
        <v/>
      </c>
      <c r="O2219" s="396">
        <f>TIMEVALUE(MID(G2219,12,8))</f>
        <v/>
      </c>
      <c r="P2219" s="396">
        <f>IFERROR(_xlfn.MINIFS($M:$M,$E:$E,$E2219,$K:$K,$K2219,$M:$M,"&gt;"&amp;$O2219),"")</f>
        <v/>
      </c>
      <c r="Q2219" s="396">
        <f>IF($P2219="","",$P2219-$O2219)</f>
        <v/>
      </c>
    </row>
    <row r="2220" ht="15" customHeight="1" s="231">
      <c r="A2220" s="397" t="n"/>
      <c r="B2220" s="397" t="n"/>
      <c r="C2220" s="397" t="n"/>
      <c r="D2220" s="397" t="n"/>
      <c r="E2220" s="397" t="n"/>
      <c r="F2220" s="397" t="n"/>
      <c r="G2220" s="397" t="n"/>
      <c r="I2220" s="397" t="n"/>
      <c r="J2220" s="397" t="n"/>
      <c r="K2220" s="395">
        <f>DATE(VALUE(LEFT(A2220,4)),VALUE(MID(A2220,5,2)),VALUE(RIGHT(A2220,2)))</f>
        <v/>
      </c>
      <c r="L2220" s="395">
        <f>DATEVALUE(LEFT(F2220,10))</f>
        <v/>
      </c>
      <c r="M2220" s="396">
        <f>TIMEVALUE(MID(F2220,12,8))</f>
        <v/>
      </c>
      <c r="N2220" s="395">
        <f>DATEVALUE(LEFT(G2220,10))</f>
        <v/>
      </c>
      <c r="O2220" s="396">
        <f>TIMEVALUE(MID(G2220,12,8))</f>
        <v/>
      </c>
      <c r="P2220" s="396">
        <f>IFERROR(_xlfn.MINIFS($M:$M,$E:$E,$E2220,$K:$K,$K2220,$M:$M,"&gt;"&amp;$O2220),"")</f>
        <v/>
      </c>
      <c r="Q2220" s="396">
        <f>IF($P2220="","",$P2220-$O2220)</f>
        <v/>
      </c>
    </row>
    <row r="2221" ht="15" customHeight="1" s="231">
      <c r="A2221" s="397" t="n"/>
      <c r="B2221" s="397" t="n"/>
      <c r="C2221" s="397" t="n"/>
      <c r="D2221" s="397" t="n"/>
      <c r="E2221" s="397" t="n"/>
      <c r="F2221" s="397" t="n"/>
      <c r="G2221" s="397" t="n"/>
      <c r="I2221" s="397" t="n"/>
      <c r="J2221" s="397" t="n"/>
      <c r="K2221" s="395">
        <f>DATE(VALUE(LEFT(A2221,4)),VALUE(MID(A2221,5,2)),VALUE(RIGHT(A2221,2)))</f>
        <v/>
      </c>
      <c r="L2221" s="395">
        <f>DATEVALUE(LEFT(F2221,10))</f>
        <v/>
      </c>
      <c r="M2221" s="396">
        <f>TIMEVALUE(MID(F2221,12,8))</f>
        <v/>
      </c>
      <c r="N2221" s="395">
        <f>DATEVALUE(LEFT(G2221,10))</f>
        <v/>
      </c>
      <c r="O2221" s="396">
        <f>TIMEVALUE(MID(G2221,12,8))</f>
        <v/>
      </c>
      <c r="P2221" s="396">
        <f>IFERROR(_xlfn.MINIFS($M:$M,$E:$E,$E2221,$K:$K,$K2221,$M:$M,"&gt;"&amp;$O2221),"")</f>
        <v/>
      </c>
      <c r="Q2221" s="396">
        <f>IF($P2221="","",$P2221-$O2221)</f>
        <v/>
      </c>
    </row>
    <row r="2222" ht="15" customHeight="1" s="231">
      <c r="A2222" s="397" t="n"/>
      <c r="B2222" s="397" t="n"/>
      <c r="C2222" s="397" t="n"/>
      <c r="D2222" s="397" t="n"/>
      <c r="E2222" s="397" t="n"/>
      <c r="F2222" s="397" t="n"/>
      <c r="G2222" s="397" t="n"/>
      <c r="I2222" s="397" t="n"/>
      <c r="J2222" s="397" t="n"/>
      <c r="K2222" s="395">
        <f>DATE(VALUE(LEFT(A2222,4)),VALUE(MID(A2222,5,2)),VALUE(RIGHT(A2222,2)))</f>
        <v/>
      </c>
      <c r="L2222" s="395">
        <f>DATEVALUE(LEFT(F2222,10))</f>
        <v/>
      </c>
      <c r="M2222" s="396">
        <f>TIMEVALUE(MID(F2222,12,8))</f>
        <v/>
      </c>
      <c r="N2222" s="395">
        <f>DATEVALUE(LEFT(G2222,10))</f>
        <v/>
      </c>
      <c r="O2222" s="396">
        <f>TIMEVALUE(MID(G2222,12,8))</f>
        <v/>
      </c>
      <c r="P2222" s="396">
        <f>IFERROR(_xlfn.MINIFS($M:$M,$E:$E,$E2222,$K:$K,$K2222,$M:$M,"&gt;"&amp;$O2222),"")</f>
        <v/>
      </c>
      <c r="Q2222" s="396">
        <f>IF($P2222="","",$P2222-$O2222)</f>
        <v/>
      </c>
    </row>
    <row r="2223" ht="15" customHeight="1" s="231">
      <c r="A2223" s="397" t="n"/>
      <c r="B2223" s="397" t="n"/>
      <c r="C2223" s="397" t="n"/>
      <c r="D2223" s="397" t="n"/>
      <c r="E2223" s="397" t="n"/>
      <c r="F2223" s="397" t="n"/>
      <c r="G2223" s="397" t="n"/>
      <c r="I2223" s="397" t="n"/>
      <c r="J2223" s="397" t="n"/>
      <c r="K2223" s="395">
        <f>DATE(VALUE(LEFT(A2223,4)),VALUE(MID(A2223,5,2)),VALUE(RIGHT(A2223,2)))</f>
        <v/>
      </c>
      <c r="L2223" s="395">
        <f>DATEVALUE(LEFT(F2223,10))</f>
        <v/>
      </c>
      <c r="M2223" s="396">
        <f>TIMEVALUE(MID(F2223,12,8))</f>
        <v/>
      </c>
      <c r="N2223" s="395">
        <f>DATEVALUE(LEFT(G2223,10))</f>
        <v/>
      </c>
      <c r="O2223" s="396">
        <f>TIMEVALUE(MID(G2223,12,8))</f>
        <v/>
      </c>
      <c r="P2223" s="396">
        <f>IFERROR(_xlfn.MINIFS($M:$M,$E:$E,$E2223,$K:$K,$K2223,$M:$M,"&gt;"&amp;$O2223),"")</f>
        <v/>
      </c>
      <c r="Q2223" s="396">
        <f>IF($P2223="","",$P2223-$O2223)</f>
        <v/>
      </c>
    </row>
    <row r="2224" ht="15" customHeight="1" s="231">
      <c r="A2224" s="397" t="n"/>
      <c r="B2224" s="397" t="n"/>
      <c r="C2224" s="397" t="n"/>
      <c r="D2224" s="397" t="n"/>
      <c r="E2224" s="397" t="n"/>
      <c r="F2224" s="397" t="n"/>
      <c r="G2224" s="397" t="n"/>
      <c r="I2224" s="397" t="n"/>
      <c r="J2224" s="397" t="n"/>
      <c r="K2224" s="395">
        <f>DATE(VALUE(LEFT(A2224,4)),VALUE(MID(A2224,5,2)),VALUE(RIGHT(A2224,2)))</f>
        <v/>
      </c>
      <c r="L2224" s="395">
        <f>DATEVALUE(LEFT(F2224,10))</f>
        <v/>
      </c>
      <c r="M2224" s="396">
        <f>TIMEVALUE(MID(F2224,12,8))</f>
        <v/>
      </c>
      <c r="N2224" s="395">
        <f>DATEVALUE(LEFT(G2224,10))</f>
        <v/>
      </c>
      <c r="O2224" s="396">
        <f>TIMEVALUE(MID(G2224,12,8))</f>
        <v/>
      </c>
      <c r="P2224" s="396">
        <f>IFERROR(_xlfn.MINIFS($M:$M,$E:$E,$E2224,$K:$K,$K2224,$M:$M,"&gt;"&amp;$O2224),"")</f>
        <v/>
      </c>
      <c r="Q2224" s="396">
        <f>IF($P2224="","",$P2224-$O2224)</f>
        <v/>
      </c>
    </row>
    <row r="2225" ht="15" customHeight="1" s="231">
      <c r="A2225" s="397" t="n"/>
      <c r="B2225" s="397" t="n"/>
      <c r="C2225" s="397" t="n"/>
      <c r="D2225" s="397" t="n"/>
      <c r="E2225" s="397" t="n"/>
      <c r="F2225" s="397" t="n"/>
      <c r="G2225" s="397" t="n"/>
      <c r="I2225" s="397" t="n"/>
      <c r="J2225" s="397" t="n"/>
      <c r="K2225" s="395">
        <f>DATE(VALUE(LEFT(A2225,4)),VALUE(MID(A2225,5,2)),VALUE(RIGHT(A2225,2)))</f>
        <v/>
      </c>
      <c r="L2225" s="395">
        <f>DATEVALUE(LEFT(F2225,10))</f>
        <v/>
      </c>
      <c r="M2225" s="396">
        <f>TIMEVALUE(MID(F2225,12,8))</f>
        <v/>
      </c>
      <c r="N2225" s="395">
        <f>DATEVALUE(LEFT(G2225,10))</f>
        <v/>
      </c>
      <c r="O2225" s="396">
        <f>TIMEVALUE(MID(G2225,12,8))</f>
        <v/>
      </c>
      <c r="P2225" s="396">
        <f>IFERROR(_xlfn.MINIFS($M:$M,$E:$E,$E2225,$K:$K,$K2225,$M:$M,"&gt;"&amp;$O2225),"")</f>
        <v/>
      </c>
      <c r="Q2225" s="396">
        <f>IF($P2225="","",$P2225-$O2225)</f>
        <v/>
      </c>
    </row>
    <row r="2226" ht="15" customHeight="1" s="231">
      <c r="A2226" s="397" t="n"/>
      <c r="B2226" s="397" t="n"/>
      <c r="C2226" s="397" t="n"/>
      <c r="D2226" s="397" t="n"/>
      <c r="E2226" s="397" t="n"/>
      <c r="F2226" s="397" t="n"/>
      <c r="G2226" s="397" t="n"/>
      <c r="I2226" s="397" t="n"/>
      <c r="J2226" s="397" t="n"/>
      <c r="K2226" s="395">
        <f>DATE(VALUE(LEFT(A2226,4)),VALUE(MID(A2226,5,2)),VALUE(RIGHT(A2226,2)))</f>
        <v/>
      </c>
      <c r="L2226" s="395">
        <f>DATEVALUE(LEFT(F2226,10))</f>
        <v/>
      </c>
      <c r="M2226" s="396">
        <f>TIMEVALUE(MID(F2226,12,8))</f>
        <v/>
      </c>
      <c r="N2226" s="395">
        <f>DATEVALUE(LEFT(G2226,10))</f>
        <v/>
      </c>
      <c r="O2226" s="396">
        <f>TIMEVALUE(MID(G2226,12,8))</f>
        <v/>
      </c>
      <c r="P2226" s="396">
        <f>IFERROR(_xlfn.MINIFS($M:$M,$E:$E,$E2226,$K:$K,$K2226,$M:$M,"&gt;"&amp;$O2226),"")</f>
        <v/>
      </c>
      <c r="Q2226" s="396">
        <f>IF($P2226="","",$P2226-$O2226)</f>
        <v/>
      </c>
    </row>
    <row r="2227" ht="15" customHeight="1" s="231">
      <c r="A2227" s="397" t="n"/>
      <c r="B2227" s="397" t="n"/>
      <c r="C2227" s="397" t="n"/>
      <c r="D2227" s="397" t="n"/>
      <c r="E2227" s="397" t="n"/>
      <c r="F2227" s="397" t="n"/>
      <c r="G2227" s="397" t="n"/>
      <c r="I2227" s="397" t="n"/>
      <c r="J2227" s="397" t="n"/>
      <c r="K2227" s="395">
        <f>DATE(VALUE(LEFT(A2227,4)),VALUE(MID(A2227,5,2)),VALUE(RIGHT(A2227,2)))</f>
        <v/>
      </c>
      <c r="L2227" s="395">
        <f>DATEVALUE(LEFT(F2227,10))</f>
        <v/>
      </c>
      <c r="M2227" s="396">
        <f>TIMEVALUE(MID(F2227,12,8))</f>
        <v/>
      </c>
      <c r="N2227" s="395">
        <f>DATEVALUE(LEFT(G2227,10))</f>
        <v/>
      </c>
      <c r="O2227" s="396">
        <f>TIMEVALUE(MID(G2227,12,8))</f>
        <v/>
      </c>
      <c r="P2227" s="396">
        <f>IFERROR(_xlfn.MINIFS($M:$M,$E:$E,$E2227,$K:$K,$K2227,$M:$M,"&gt;"&amp;$O2227),"")</f>
        <v/>
      </c>
      <c r="Q2227" s="396">
        <f>IF($P2227="","",$P2227-$O2227)</f>
        <v/>
      </c>
    </row>
    <row r="2228" ht="15" customHeight="1" s="231">
      <c r="A2228" s="397" t="n"/>
      <c r="B2228" s="397" t="n"/>
      <c r="C2228" s="397" t="n"/>
      <c r="D2228" s="397" t="n"/>
      <c r="E2228" s="397" t="n"/>
      <c r="F2228" s="397" t="n"/>
      <c r="G2228" s="397" t="n"/>
      <c r="I2228" s="397" t="n"/>
      <c r="J2228" s="397" t="n"/>
      <c r="K2228" s="395">
        <f>DATE(VALUE(LEFT(A2228,4)),VALUE(MID(A2228,5,2)),VALUE(RIGHT(A2228,2)))</f>
        <v/>
      </c>
      <c r="L2228" s="395">
        <f>DATEVALUE(LEFT(F2228,10))</f>
        <v/>
      </c>
      <c r="M2228" s="396">
        <f>TIMEVALUE(MID(F2228,12,8))</f>
        <v/>
      </c>
      <c r="N2228" s="395">
        <f>DATEVALUE(LEFT(G2228,10))</f>
        <v/>
      </c>
      <c r="O2228" s="396">
        <f>TIMEVALUE(MID(G2228,12,8))</f>
        <v/>
      </c>
      <c r="P2228" s="396">
        <f>IFERROR(_xlfn.MINIFS($M:$M,$E:$E,$E2228,$K:$K,$K2228,$M:$M,"&gt;"&amp;$O2228),"")</f>
        <v/>
      </c>
      <c r="Q2228" s="396">
        <f>IF($P2228="","",$P2228-$O2228)</f>
        <v/>
      </c>
    </row>
    <row r="2229" ht="15" customHeight="1" s="231">
      <c r="A2229" s="397" t="n"/>
      <c r="B2229" s="397" t="n"/>
      <c r="C2229" s="397" t="n"/>
      <c r="D2229" s="397" t="n"/>
      <c r="E2229" s="397" t="n"/>
      <c r="F2229" s="397" t="n"/>
      <c r="G2229" s="397" t="n"/>
      <c r="I2229" s="397" t="n"/>
      <c r="J2229" s="397" t="n"/>
      <c r="K2229" s="395">
        <f>DATE(VALUE(LEFT(A2229,4)),VALUE(MID(A2229,5,2)),VALUE(RIGHT(A2229,2)))</f>
        <v/>
      </c>
      <c r="L2229" s="395">
        <f>DATEVALUE(LEFT(F2229,10))</f>
        <v/>
      </c>
      <c r="M2229" s="396">
        <f>TIMEVALUE(MID(F2229,12,8))</f>
        <v/>
      </c>
      <c r="N2229" s="395">
        <f>DATEVALUE(LEFT(G2229,10))</f>
        <v/>
      </c>
      <c r="O2229" s="396">
        <f>TIMEVALUE(MID(G2229,12,8))</f>
        <v/>
      </c>
      <c r="P2229" s="396">
        <f>IFERROR(_xlfn.MINIFS($M:$M,$E:$E,$E2229,$K:$K,$K2229,$M:$M,"&gt;"&amp;$O2229),"")</f>
        <v/>
      </c>
      <c r="Q2229" s="396">
        <f>IF($P2229="","",$P2229-$O2229)</f>
        <v/>
      </c>
    </row>
    <row r="2230" ht="15" customHeight="1" s="231">
      <c r="A2230" s="397" t="n"/>
      <c r="B2230" s="397" t="n"/>
      <c r="C2230" s="397" t="n"/>
      <c r="D2230" s="397" t="n"/>
      <c r="E2230" s="397" t="n"/>
      <c r="F2230" s="397" t="n"/>
      <c r="G2230" s="397" t="n"/>
      <c r="I2230" s="397" t="n"/>
      <c r="J2230" s="397" t="n"/>
      <c r="K2230" s="395">
        <f>DATE(VALUE(LEFT(A2230,4)),VALUE(MID(A2230,5,2)),VALUE(RIGHT(A2230,2)))</f>
        <v/>
      </c>
      <c r="L2230" s="395">
        <f>DATEVALUE(LEFT(F2230,10))</f>
        <v/>
      </c>
      <c r="M2230" s="396">
        <f>TIMEVALUE(MID(F2230,12,8))</f>
        <v/>
      </c>
      <c r="N2230" s="395">
        <f>DATEVALUE(LEFT(G2230,10))</f>
        <v/>
      </c>
      <c r="O2230" s="396">
        <f>TIMEVALUE(MID(G2230,12,8))</f>
        <v/>
      </c>
      <c r="P2230" s="396">
        <f>IFERROR(_xlfn.MINIFS($M:$M,$E:$E,$E2230,$K:$K,$K2230,$M:$M,"&gt;"&amp;$O2230),"")</f>
        <v/>
      </c>
      <c r="Q2230" s="396">
        <f>IF($P2230="","",$P2230-$O2230)</f>
        <v/>
      </c>
    </row>
    <row r="2231" ht="15" customHeight="1" s="231">
      <c r="A2231" s="397" t="n"/>
      <c r="B2231" s="397" t="n"/>
      <c r="C2231" s="397" t="n"/>
      <c r="D2231" s="397" t="n"/>
      <c r="E2231" s="397" t="n"/>
      <c r="F2231" s="397" t="n"/>
      <c r="G2231" s="397" t="n"/>
      <c r="I2231" s="397" t="n"/>
      <c r="J2231" s="397" t="n"/>
      <c r="K2231" s="395">
        <f>DATE(VALUE(LEFT(A2231,4)),VALUE(MID(A2231,5,2)),VALUE(RIGHT(A2231,2)))</f>
        <v/>
      </c>
      <c r="L2231" s="395">
        <f>DATEVALUE(LEFT(F2231,10))</f>
        <v/>
      </c>
      <c r="M2231" s="396">
        <f>TIMEVALUE(MID(F2231,12,8))</f>
        <v/>
      </c>
      <c r="N2231" s="395">
        <f>DATEVALUE(LEFT(G2231,10))</f>
        <v/>
      </c>
      <c r="O2231" s="396">
        <f>TIMEVALUE(MID(G2231,12,8))</f>
        <v/>
      </c>
      <c r="P2231" s="396">
        <f>IFERROR(_xlfn.MINIFS($M:$M,$E:$E,$E2231,$K:$K,$K2231,$M:$M,"&gt;"&amp;$O2231),"")</f>
        <v/>
      </c>
      <c r="Q2231" s="396">
        <f>IF($P2231="","",$P2231-$O2231)</f>
        <v/>
      </c>
    </row>
    <row r="2232" ht="15" customHeight="1" s="231">
      <c r="A2232" s="397" t="n"/>
      <c r="B2232" s="397" t="n"/>
      <c r="C2232" s="397" t="n"/>
      <c r="D2232" s="397" t="n"/>
      <c r="E2232" s="397" t="n"/>
      <c r="F2232" s="397" t="n"/>
      <c r="G2232" s="397" t="n"/>
      <c r="I2232" s="397" t="n"/>
      <c r="J2232" s="397" t="n"/>
      <c r="K2232" s="395">
        <f>DATE(VALUE(LEFT(A2232,4)),VALUE(MID(A2232,5,2)),VALUE(RIGHT(A2232,2)))</f>
        <v/>
      </c>
      <c r="L2232" s="395">
        <f>DATEVALUE(LEFT(F2232,10))</f>
        <v/>
      </c>
      <c r="M2232" s="396">
        <f>TIMEVALUE(MID(F2232,12,8))</f>
        <v/>
      </c>
      <c r="N2232" s="395">
        <f>DATEVALUE(LEFT(G2232,10))</f>
        <v/>
      </c>
      <c r="O2232" s="396">
        <f>TIMEVALUE(MID(G2232,12,8))</f>
        <v/>
      </c>
      <c r="P2232" s="396">
        <f>IFERROR(_xlfn.MINIFS($M:$M,$E:$E,$E2232,$K:$K,$K2232,$M:$M,"&gt;"&amp;$O2232),"")</f>
        <v/>
      </c>
      <c r="Q2232" s="396">
        <f>IF($P2232="","",$P2232-$O2232)</f>
        <v/>
      </c>
    </row>
    <row r="2233" ht="15" customHeight="1" s="231">
      <c r="A2233" s="397" t="n"/>
      <c r="B2233" s="397" t="n"/>
      <c r="C2233" s="397" t="n"/>
      <c r="D2233" s="397" t="n"/>
      <c r="E2233" s="397" t="n"/>
      <c r="F2233" s="397" t="n"/>
      <c r="G2233" s="397" t="n"/>
      <c r="I2233" s="397" t="n"/>
      <c r="J2233" s="397" t="n"/>
      <c r="K2233" s="395">
        <f>DATE(VALUE(LEFT(A2233,4)),VALUE(MID(A2233,5,2)),VALUE(RIGHT(A2233,2)))</f>
        <v/>
      </c>
      <c r="L2233" s="395">
        <f>DATEVALUE(LEFT(F2233,10))</f>
        <v/>
      </c>
      <c r="M2233" s="396">
        <f>TIMEVALUE(MID(F2233,12,8))</f>
        <v/>
      </c>
      <c r="N2233" s="395">
        <f>DATEVALUE(LEFT(G2233,10))</f>
        <v/>
      </c>
      <c r="O2233" s="396">
        <f>TIMEVALUE(MID(G2233,12,8))</f>
        <v/>
      </c>
      <c r="P2233" s="396">
        <f>IFERROR(_xlfn.MINIFS($M:$M,$E:$E,$E2233,$K:$K,$K2233,$M:$M,"&gt;"&amp;$O2233),"")</f>
        <v/>
      </c>
      <c r="Q2233" s="396">
        <f>IF($P2233="","",$P2233-$O2233)</f>
        <v/>
      </c>
    </row>
    <row r="2234" ht="15" customHeight="1" s="231">
      <c r="A2234" s="397" t="n"/>
      <c r="B2234" s="397" t="n"/>
      <c r="C2234" s="397" t="n"/>
      <c r="D2234" s="397" t="n"/>
      <c r="E2234" s="397" t="n"/>
      <c r="F2234" s="397" t="n"/>
      <c r="G2234" s="397" t="n"/>
      <c r="I2234" s="397" t="n"/>
      <c r="J2234" s="397" t="n"/>
      <c r="K2234" s="395">
        <f>DATE(VALUE(LEFT(A2234,4)),VALUE(MID(A2234,5,2)),VALUE(RIGHT(A2234,2)))</f>
        <v/>
      </c>
      <c r="L2234" s="395">
        <f>DATEVALUE(LEFT(F2234,10))</f>
        <v/>
      </c>
      <c r="M2234" s="396">
        <f>TIMEVALUE(MID(F2234,12,8))</f>
        <v/>
      </c>
      <c r="N2234" s="395">
        <f>DATEVALUE(LEFT(G2234,10))</f>
        <v/>
      </c>
      <c r="O2234" s="396">
        <f>TIMEVALUE(MID(G2234,12,8))</f>
        <v/>
      </c>
      <c r="P2234" s="396">
        <f>IFERROR(_xlfn.MINIFS($M:$M,$E:$E,$E2234,$K:$K,$K2234,$M:$M,"&gt;"&amp;$O2234),"")</f>
        <v/>
      </c>
      <c r="Q2234" s="396">
        <f>IF($P2234="","",$P2234-$O2234)</f>
        <v/>
      </c>
    </row>
    <row r="2235" ht="15" customHeight="1" s="231">
      <c r="A2235" s="397" t="n"/>
      <c r="B2235" s="397" t="n"/>
      <c r="C2235" s="397" t="n"/>
      <c r="D2235" s="397" t="n"/>
      <c r="E2235" s="397" t="n"/>
      <c r="F2235" s="397" t="n"/>
      <c r="G2235" s="397" t="n"/>
      <c r="I2235" s="397" t="n"/>
      <c r="J2235" s="397" t="n"/>
      <c r="K2235" s="395">
        <f>DATE(VALUE(LEFT(A2235,4)),VALUE(MID(A2235,5,2)),VALUE(RIGHT(A2235,2)))</f>
        <v/>
      </c>
      <c r="L2235" s="395">
        <f>DATEVALUE(LEFT(F2235,10))</f>
        <v/>
      </c>
      <c r="M2235" s="396">
        <f>TIMEVALUE(MID(F2235,12,8))</f>
        <v/>
      </c>
      <c r="N2235" s="395">
        <f>DATEVALUE(LEFT(G2235,10))</f>
        <v/>
      </c>
      <c r="O2235" s="396">
        <f>TIMEVALUE(MID(G2235,12,8))</f>
        <v/>
      </c>
      <c r="P2235" s="396">
        <f>IFERROR(_xlfn.MINIFS($M:$M,$E:$E,$E2235,$K:$K,$K2235,$M:$M,"&gt;"&amp;$O2235),"")</f>
        <v/>
      </c>
      <c r="Q2235" s="396">
        <f>IF($P2235="","",$P2235-$O2235)</f>
        <v/>
      </c>
    </row>
    <row r="2236" ht="15" customHeight="1" s="231">
      <c r="A2236" s="397" t="n"/>
      <c r="B2236" s="397" t="n"/>
      <c r="C2236" s="397" t="n"/>
      <c r="D2236" s="397" t="n"/>
      <c r="E2236" s="397" t="n"/>
      <c r="F2236" s="397" t="n"/>
      <c r="G2236" s="397" t="n"/>
      <c r="I2236" s="397" t="n"/>
      <c r="J2236" s="397" t="n"/>
      <c r="K2236" s="395">
        <f>DATE(VALUE(LEFT(A2236,4)),VALUE(MID(A2236,5,2)),VALUE(RIGHT(A2236,2)))</f>
        <v/>
      </c>
      <c r="L2236" s="395">
        <f>DATEVALUE(LEFT(F2236,10))</f>
        <v/>
      </c>
      <c r="M2236" s="396">
        <f>TIMEVALUE(MID(F2236,12,8))</f>
        <v/>
      </c>
      <c r="N2236" s="395">
        <f>DATEVALUE(LEFT(G2236,10))</f>
        <v/>
      </c>
      <c r="O2236" s="396">
        <f>TIMEVALUE(MID(G2236,12,8))</f>
        <v/>
      </c>
      <c r="P2236" s="396">
        <f>IFERROR(_xlfn.MINIFS($M:$M,$E:$E,$E2236,$K:$K,$K2236,$M:$M,"&gt;"&amp;$O2236),"")</f>
        <v/>
      </c>
      <c r="Q2236" s="396">
        <f>IF($P2236="","",$P2236-$O2236)</f>
        <v/>
      </c>
    </row>
    <row r="2237" ht="15" customHeight="1" s="231">
      <c r="A2237" s="397" t="n"/>
      <c r="B2237" s="397" t="n"/>
      <c r="C2237" s="397" t="n"/>
      <c r="D2237" s="397" t="n"/>
      <c r="E2237" s="397" t="n"/>
      <c r="F2237" s="397" t="n"/>
      <c r="G2237" s="397" t="n"/>
      <c r="I2237" s="397" t="n"/>
      <c r="J2237" s="397" t="n"/>
      <c r="K2237" s="395">
        <f>DATE(VALUE(LEFT(A2237,4)),VALUE(MID(A2237,5,2)),VALUE(RIGHT(A2237,2)))</f>
        <v/>
      </c>
      <c r="L2237" s="395">
        <f>DATEVALUE(LEFT(F2237,10))</f>
        <v/>
      </c>
      <c r="M2237" s="396">
        <f>TIMEVALUE(MID(F2237,12,8))</f>
        <v/>
      </c>
      <c r="N2237" s="395">
        <f>DATEVALUE(LEFT(G2237,10))</f>
        <v/>
      </c>
      <c r="O2237" s="396">
        <f>TIMEVALUE(MID(G2237,12,8))</f>
        <v/>
      </c>
      <c r="P2237" s="396">
        <f>IFERROR(_xlfn.MINIFS($M:$M,$E:$E,$E2237,$K:$K,$K2237,$M:$M,"&gt;"&amp;$O2237),"")</f>
        <v/>
      </c>
      <c r="Q2237" s="396">
        <f>IF($P2237="","",$P2237-$O2237)</f>
        <v/>
      </c>
    </row>
    <row r="2238" ht="15" customHeight="1" s="231">
      <c r="A2238" s="397" t="n"/>
      <c r="B2238" s="397" t="n"/>
      <c r="C2238" s="397" t="n"/>
      <c r="D2238" s="397" t="n"/>
      <c r="E2238" s="397" t="n"/>
      <c r="F2238" s="397" t="n"/>
      <c r="G2238" s="397" t="n"/>
      <c r="I2238" s="397" t="n"/>
      <c r="J2238" s="397" t="n"/>
      <c r="K2238" s="395">
        <f>DATE(VALUE(LEFT(A2238,4)),VALUE(MID(A2238,5,2)),VALUE(RIGHT(A2238,2)))</f>
        <v/>
      </c>
      <c r="L2238" s="395">
        <f>DATEVALUE(LEFT(F2238,10))</f>
        <v/>
      </c>
      <c r="M2238" s="396">
        <f>TIMEVALUE(MID(F2238,12,8))</f>
        <v/>
      </c>
      <c r="N2238" s="395">
        <f>DATEVALUE(LEFT(G2238,10))</f>
        <v/>
      </c>
      <c r="O2238" s="396">
        <f>TIMEVALUE(MID(G2238,12,8))</f>
        <v/>
      </c>
      <c r="P2238" s="396">
        <f>IFERROR(_xlfn.MINIFS($M:$M,$E:$E,$E2238,$K:$K,$K2238,$M:$M,"&gt;"&amp;$O2238),"")</f>
        <v/>
      </c>
      <c r="Q2238" s="396">
        <f>IF($P2238="","",$P2238-$O2238)</f>
        <v/>
      </c>
    </row>
    <row r="2239" ht="15" customHeight="1" s="231">
      <c r="A2239" s="397" t="n"/>
      <c r="B2239" s="397" t="n"/>
      <c r="C2239" s="397" t="n"/>
      <c r="D2239" s="397" t="n"/>
      <c r="E2239" s="397" t="n"/>
      <c r="F2239" s="397" t="n"/>
      <c r="G2239" s="397" t="n"/>
      <c r="I2239" s="397" t="n"/>
      <c r="J2239" s="397" t="n"/>
      <c r="K2239" s="395">
        <f>DATE(VALUE(LEFT(A2239,4)),VALUE(MID(A2239,5,2)),VALUE(RIGHT(A2239,2)))</f>
        <v/>
      </c>
      <c r="L2239" s="395">
        <f>DATEVALUE(LEFT(F2239,10))</f>
        <v/>
      </c>
      <c r="M2239" s="396">
        <f>TIMEVALUE(MID(F2239,12,8))</f>
        <v/>
      </c>
      <c r="N2239" s="395">
        <f>DATEVALUE(LEFT(G2239,10))</f>
        <v/>
      </c>
      <c r="O2239" s="396">
        <f>TIMEVALUE(MID(G2239,12,8))</f>
        <v/>
      </c>
      <c r="P2239" s="396">
        <f>IFERROR(_xlfn.MINIFS($M:$M,$E:$E,$E2239,$K:$K,$K2239,$M:$M,"&gt;"&amp;$O2239),"")</f>
        <v/>
      </c>
      <c r="Q2239" s="396">
        <f>IF($P2239="","",$P2239-$O2239)</f>
        <v/>
      </c>
    </row>
    <row r="2240" ht="15" customHeight="1" s="231">
      <c r="A2240" s="397" t="n"/>
      <c r="B2240" s="397" t="n"/>
      <c r="C2240" s="397" t="n"/>
      <c r="D2240" s="397" t="n"/>
      <c r="E2240" s="397" t="n"/>
      <c r="F2240" s="397" t="n"/>
      <c r="G2240" s="397" t="n"/>
      <c r="I2240" s="397" t="n"/>
      <c r="J2240" s="397" t="n"/>
      <c r="K2240" s="395">
        <f>DATE(VALUE(LEFT(A2240,4)),VALUE(MID(A2240,5,2)),VALUE(RIGHT(A2240,2)))</f>
        <v/>
      </c>
      <c r="L2240" s="395">
        <f>DATEVALUE(LEFT(F2240,10))</f>
        <v/>
      </c>
      <c r="M2240" s="396">
        <f>TIMEVALUE(MID(F2240,12,8))</f>
        <v/>
      </c>
      <c r="N2240" s="395">
        <f>DATEVALUE(LEFT(G2240,10))</f>
        <v/>
      </c>
      <c r="O2240" s="396">
        <f>TIMEVALUE(MID(G2240,12,8))</f>
        <v/>
      </c>
      <c r="P2240" s="396">
        <f>IFERROR(_xlfn.MINIFS($M:$M,$E:$E,$E2240,$K:$K,$K2240,$M:$M,"&gt;"&amp;$O2240),"")</f>
        <v/>
      </c>
      <c r="Q2240" s="396">
        <f>IF($P2240="","",$P2240-$O2240)</f>
        <v/>
      </c>
    </row>
    <row r="2241" ht="15" customHeight="1" s="231">
      <c r="A2241" s="397" t="n"/>
      <c r="B2241" s="397" t="n"/>
      <c r="C2241" s="397" t="n"/>
      <c r="D2241" s="397" t="n"/>
      <c r="E2241" s="397" t="n"/>
      <c r="F2241" s="397" t="n"/>
      <c r="G2241" s="397" t="n"/>
      <c r="I2241" s="397" t="n"/>
      <c r="J2241" s="397" t="n"/>
      <c r="K2241" s="395">
        <f>DATE(VALUE(LEFT(A2241,4)),VALUE(MID(A2241,5,2)),VALUE(RIGHT(A2241,2)))</f>
        <v/>
      </c>
      <c r="L2241" s="395">
        <f>DATEVALUE(LEFT(F2241,10))</f>
        <v/>
      </c>
      <c r="M2241" s="396">
        <f>TIMEVALUE(MID(F2241,12,8))</f>
        <v/>
      </c>
      <c r="N2241" s="395">
        <f>DATEVALUE(LEFT(G2241,10))</f>
        <v/>
      </c>
      <c r="O2241" s="396">
        <f>TIMEVALUE(MID(G2241,12,8))</f>
        <v/>
      </c>
      <c r="P2241" s="396">
        <f>IFERROR(_xlfn.MINIFS($M:$M,$E:$E,$E2241,$K:$K,$K2241,$M:$M,"&gt;"&amp;$O2241),"")</f>
        <v/>
      </c>
      <c r="Q2241" s="396">
        <f>IF($P2241="","",$P2241-$O2241)</f>
        <v/>
      </c>
    </row>
    <row r="2242" ht="15" customHeight="1" s="231">
      <c r="A2242" s="397" t="n"/>
      <c r="B2242" s="397" t="n"/>
      <c r="C2242" s="397" t="n"/>
      <c r="D2242" s="397" t="n"/>
      <c r="E2242" s="397" t="n"/>
      <c r="F2242" s="397" t="n"/>
      <c r="G2242" s="397" t="n"/>
      <c r="I2242" s="397" t="n"/>
      <c r="J2242" s="397" t="n"/>
      <c r="K2242" s="395">
        <f>DATE(VALUE(LEFT(A2242,4)),VALUE(MID(A2242,5,2)),VALUE(RIGHT(A2242,2)))</f>
        <v/>
      </c>
      <c r="L2242" s="395">
        <f>DATEVALUE(LEFT(F2242,10))</f>
        <v/>
      </c>
      <c r="M2242" s="396">
        <f>TIMEVALUE(MID(F2242,12,8))</f>
        <v/>
      </c>
      <c r="N2242" s="395">
        <f>DATEVALUE(LEFT(G2242,10))</f>
        <v/>
      </c>
      <c r="O2242" s="396">
        <f>TIMEVALUE(MID(G2242,12,8))</f>
        <v/>
      </c>
      <c r="P2242" s="396">
        <f>IFERROR(_xlfn.MINIFS($M:$M,$E:$E,$E2242,$K:$K,$K2242,$M:$M,"&gt;"&amp;$O2242),"")</f>
        <v/>
      </c>
      <c r="Q2242" s="396">
        <f>IF($P2242="","",$P2242-$O2242)</f>
        <v/>
      </c>
    </row>
    <row r="2243" ht="15" customHeight="1" s="231">
      <c r="A2243" s="397" t="n"/>
      <c r="B2243" s="397" t="n"/>
      <c r="C2243" s="397" t="n"/>
      <c r="D2243" s="397" t="n"/>
      <c r="E2243" s="397" t="n"/>
      <c r="F2243" s="397" t="n"/>
      <c r="G2243" s="397" t="n"/>
      <c r="I2243" s="397" t="n"/>
      <c r="J2243" s="397" t="n"/>
      <c r="K2243" s="395">
        <f>DATE(VALUE(LEFT(A2243,4)),VALUE(MID(A2243,5,2)),VALUE(RIGHT(A2243,2)))</f>
        <v/>
      </c>
      <c r="L2243" s="395">
        <f>DATEVALUE(LEFT(F2243,10))</f>
        <v/>
      </c>
      <c r="M2243" s="396">
        <f>TIMEVALUE(MID(F2243,12,8))</f>
        <v/>
      </c>
      <c r="N2243" s="395">
        <f>DATEVALUE(LEFT(G2243,10))</f>
        <v/>
      </c>
      <c r="O2243" s="396">
        <f>TIMEVALUE(MID(G2243,12,8))</f>
        <v/>
      </c>
      <c r="P2243" s="396">
        <f>IFERROR(_xlfn.MINIFS($M:$M,$E:$E,$E2243,$K:$K,$K2243,$M:$M,"&gt;"&amp;$O2243),"")</f>
        <v/>
      </c>
      <c r="Q2243" s="396">
        <f>IF($P2243="","",$P2243-$O2243)</f>
        <v/>
      </c>
    </row>
    <row r="2244" ht="15" customHeight="1" s="231">
      <c r="A2244" s="397" t="n"/>
      <c r="B2244" s="397" t="n"/>
      <c r="C2244" s="397" t="n"/>
      <c r="D2244" s="397" t="n"/>
      <c r="E2244" s="397" t="n"/>
      <c r="F2244" s="397" t="n"/>
      <c r="G2244" s="397" t="n"/>
      <c r="I2244" s="397" t="n"/>
      <c r="J2244" s="397" t="n"/>
      <c r="K2244" s="395">
        <f>DATE(VALUE(LEFT(A2244,4)),VALUE(MID(A2244,5,2)),VALUE(RIGHT(A2244,2)))</f>
        <v/>
      </c>
      <c r="L2244" s="395">
        <f>DATEVALUE(LEFT(F2244,10))</f>
        <v/>
      </c>
      <c r="M2244" s="396">
        <f>TIMEVALUE(MID(F2244,12,8))</f>
        <v/>
      </c>
      <c r="N2244" s="395">
        <f>DATEVALUE(LEFT(G2244,10))</f>
        <v/>
      </c>
      <c r="O2244" s="396">
        <f>TIMEVALUE(MID(G2244,12,8))</f>
        <v/>
      </c>
      <c r="P2244" s="396">
        <f>IFERROR(_xlfn.MINIFS($M:$M,$E:$E,$E2244,$K:$K,$K2244,$M:$M,"&gt;"&amp;$O2244),"")</f>
        <v/>
      </c>
      <c r="Q2244" s="396">
        <f>IF($P2244="","",$P2244-$O2244)</f>
        <v/>
      </c>
    </row>
    <row r="2245" ht="15" customHeight="1" s="231">
      <c r="A2245" s="397" t="n"/>
      <c r="B2245" s="397" t="n"/>
      <c r="C2245" s="397" t="n"/>
      <c r="D2245" s="397" t="n"/>
      <c r="E2245" s="397" t="n"/>
      <c r="F2245" s="397" t="n"/>
      <c r="G2245" s="397" t="n"/>
      <c r="I2245" s="397" t="n"/>
      <c r="J2245" s="397" t="n"/>
      <c r="K2245" s="395">
        <f>DATE(VALUE(LEFT(A2245,4)),VALUE(MID(A2245,5,2)),VALUE(RIGHT(A2245,2)))</f>
        <v/>
      </c>
      <c r="L2245" s="395">
        <f>DATEVALUE(LEFT(F2245,10))</f>
        <v/>
      </c>
      <c r="M2245" s="396">
        <f>TIMEVALUE(MID(F2245,12,8))</f>
        <v/>
      </c>
      <c r="N2245" s="395">
        <f>DATEVALUE(LEFT(G2245,10))</f>
        <v/>
      </c>
      <c r="O2245" s="396">
        <f>TIMEVALUE(MID(G2245,12,8))</f>
        <v/>
      </c>
      <c r="P2245" s="396">
        <f>IFERROR(_xlfn.MINIFS($M:$M,$E:$E,$E2245,$K:$K,$K2245,$M:$M,"&gt;"&amp;$O2245),"")</f>
        <v/>
      </c>
      <c r="Q2245" s="396">
        <f>IF($P2245="","",$P2245-$O2245)</f>
        <v/>
      </c>
    </row>
    <row r="2246" ht="15" customHeight="1" s="231">
      <c r="A2246" s="397" t="n"/>
      <c r="B2246" s="397" t="n"/>
      <c r="C2246" s="397" t="n"/>
      <c r="D2246" s="397" t="n"/>
      <c r="E2246" s="397" t="n"/>
      <c r="F2246" s="397" t="n"/>
      <c r="G2246" s="397" t="n"/>
      <c r="I2246" s="397" t="n"/>
      <c r="J2246" s="397" t="n"/>
      <c r="K2246" s="395">
        <f>DATE(VALUE(LEFT(A2246,4)),VALUE(MID(A2246,5,2)),VALUE(RIGHT(A2246,2)))</f>
        <v/>
      </c>
      <c r="L2246" s="395">
        <f>DATEVALUE(LEFT(F2246,10))</f>
        <v/>
      </c>
      <c r="M2246" s="396">
        <f>TIMEVALUE(MID(F2246,12,8))</f>
        <v/>
      </c>
      <c r="N2246" s="395">
        <f>DATEVALUE(LEFT(G2246,10))</f>
        <v/>
      </c>
      <c r="O2246" s="396">
        <f>TIMEVALUE(MID(G2246,12,8))</f>
        <v/>
      </c>
      <c r="P2246" s="396">
        <f>IFERROR(_xlfn.MINIFS($M:$M,$E:$E,$E2246,$K:$K,$K2246,$M:$M,"&gt;"&amp;$O2246),"")</f>
        <v/>
      </c>
      <c r="Q2246" s="396">
        <f>IF($P2246="","",$P2246-$O2246)</f>
        <v/>
      </c>
    </row>
    <row r="2247" ht="15" customHeight="1" s="231">
      <c r="A2247" s="397" t="n"/>
      <c r="B2247" s="397" t="n"/>
      <c r="C2247" s="397" t="n"/>
      <c r="D2247" s="397" t="n"/>
      <c r="E2247" s="397" t="n"/>
      <c r="F2247" s="397" t="n"/>
      <c r="G2247" s="397" t="n"/>
      <c r="I2247" s="397" t="n"/>
      <c r="J2247" s="397" t="n"/>
      <c r="K2247" s="395">
        <f>DATE(VALUE(LEFT(A2247,4)),VALUE(MID(A2247,5,2)),VALUE(RIGHT(A2247,2)))</f>
        <v/>
      </c>
      <c r="L2247" s="395">
        <f>DATEVALUE(LEFT(F2247,10))</f>
        <v/>
      </c>
      <c r="M2247" s="396">
        <f>TIMEVALUE(MID(F2247,12,8))</f>
        <v/>
      </c>
      <c r="N2247" s="395">
        <f>DATEVALUE(LEFT(G2247,10))</f>
        <v/>
      </c>
      <c r="O2247" s="396">
        <f>TIMEVALUE(MID(G2247,12,8))</f>
        <v/>
      </c>
      <c r="P2247" s="396">
        <f>IFERROR(_xlfn.MINIFS($M:$M,$E:$E,$E2247,$K:$K,$K2247,$M:$M,"&gt;"&amp;$O2247),"")</f>
        <v/>
      </c>
      <c r="Q2247" s="396">
        <f>IF($P2247="","",$P2247-$O2247)</f>
        <v/>
      </c>
    </row>
    <row r="2248" ht="15" customHeight="1" s="231">
      <c r="A2248" s="397" t="n"/>
      <c r="B2248" s="397" t="n"/>
      <c r="C2248" s="397" t="n"/>
      <c r="D2248" s="397" t="n"/>
      <c r="E2248" s="397" t="n"/>
      <c r="F2248" s="397" t="n"/>
      <c r="G2248" s="397" t="n"/>
      <c r="I2248" s="397" t="n"/>
      <c r="J2248" s="397" t="n"/>
      <c r="K2248" s="395">
        <f>DATE(VALUE(LEFT(A2248,4)),VALUE(MID(A2248,5,2)),VALUE(RIGHT(A2248,2)))</f>
        <v/>
      </c>
      <c r="L2248" s="395">
        <f>DATEVALUE(LEFT(F2248,10))</f>
        <v/>
      </c>
      <c r="M2248" s="396">
        <f>TIMEVALUE(MID(F2248,12,8))</f>
        <v/>
      </c>
      <c r="N2248" s="395">
        <f>DATEVALUE(LEFT(G2248,10))</f>
        <v/>
      </c>
      <c r="O2248" s="396">
        <f>TIMEVALUE(MID(G2248,12,8))</f>
        <v/>
      </c>
      <c r="P2248" s="396">
        <f>IFERROR(_xlfn.MINIFS($M:$M,$E:$E,$E2248,$K:$K,$K2248,$M:$M,"&gt;"&amp;$O2248),"")</f>
        <v/>
      </c>
      <c r="Q2248" s="396">
        <f>IF($P2248="","",$P2248-$O2248)</f>
        <v/>
      </c>
    </row>
    <row r="2249" ht="15" customHeight="1" s="231">
      <c r="A2249" s="397" t="n"/>
      <c r="B2249" s="397" t="n"/>
      <c r="C2249" s="397" t="n"/>
      <c r="D2249" s="397" t="n"/>
      <c r="E2249" s="397" t="n"/>
      <c r="F2249" s="397" t="n"/>
      <c r="G2249" s="397" t="n"/>
      <c r="I2249" s="397" t="n"/>
      <c r="J2249" s="397" t="n"/>
      <c r="K2249" s="395">
        <f>DATE(VALUE(LEFT(A2249,4)),VALUE(MID(A2249,5,2)),VALUE(RIGHT(A2249,2)))</f>
        <v/>
      </c>
      <c r="L2249" s="395">
        <f>DATEVALUE(LEFT(F2249,10))</f>
        <v/>
      </c>
      <c r="M2249" s="396">
        <f>TIMEVALUE(MID(F2249,12,8))</f>
        <v/>
      </c>
      <c r="N2249" s="395">
        <f>DATEVALUE(LEFT(G2249,10))</f>
        <v/>
      </c>
      <c r="O2249" s="396">
        <f>TIMEVALUE(MID(G2249,12,8))</f>
        <v/>
      </c>
      <c r="P2249" s="396">
        <f>IFERROR(_xlfn.MINIFS($M:$M,$E:$E,$E2249,$K:$K,$K2249,$M:$M,"&gt;"&amp;$O2249),"")</f>
        <v/>
      </c>
      <c r="Q2249" s="396">
        <f>IF($P2249="","",$P2249-$O2249)</f>
        <v/>
      </c>
    </row>
    <row r="2250" ht="15" customHeight="1" s="231">
      <c r="A2250" s="397" t="n"/>
      <c r="B2250" s="397" t="n"/>
      <c r="C2250" s="397" t="n"/>
      <c r="D2250" s="397" t="n"/>
      <c r="E2250" s="397" t="n"/>
      <c r="F2250" s="397" t="n"/>
      <c r="G2250" s="397" t="n"/>
      <c r="I2250" s="397" t="n"/>
      <c r="J2250" s="397" t="n"/>
      <c r="K2250" s="395">
        <f>DATE(VALUE(LEFT(A2250,4)),VALUE(MID(A2250,5,2)),VALUE(RIGHT(A2250,2)))</f>
        <v/>
      </c>
      <c r="L2250" s="395">
        <f>DATEVALUE(LEFT(F2250,10))</f>
        <v/>
      </c>
      <c r="M2250" s="396">
        <f>TIMEVALUE(MID(F2250,12,8))</f>
        <v/>
      </c>
      <c r="N2250" s="395">
        <f>DATEVALUE(LEFT(G2250,10))</f>
        <v/>
      </c>
      <c r="O2250" s="396">
        <f>TIMEVALUE(MID(G2250,12,8))</f>
        <v/>
      </c>
      <c r="P2250" s="396">
        <f>IFERROR(_xlfn.MINIFS($M:$M,$E:$E,$E2250,$K:$K,$K2250,$M:$M,"&gt;"&amp;$O2250),"")</f>
        <v/>
      </c>
      <c r="Q2250" s="396">
        <f>IF($P2250="","",$P2250-$O2250)</f>
        <v/>
      </c>
    </row>
    <row r="2251" ht="15" customHeight="1" s="231">
      <c r="A2251" s="397" t="n"/>
      <c r="B2251" s="397" t="n"/>
      <c r="C2251" s="397" t="n"/>
      <c r="D2251" s="397" t="n"/>
      <c r="E2251" s="397" t="n"/>
      <c r="F2251" s="397" t="n"/>
      <c r="G2251" s="397" t="n"/>
      <c r="I2251" s="397" t="n"/>
      <c r="J2251" s="397" t="n"/>
      <c r="K2251" s="395">
        <f>DATE(VALUE(LEFT(A2251,4)),VALUE(MID(A2251,5,2)),VALUE(RIGHT(A2251,2)))</f>
        <v/>
      </c>
      <c r="L2251" s="395">
        <f>DATEVALUE(LEFT(F2251,10))</f>
        <v/>
      </c>
      <c r="M2251" s="396">
        <f>TIMEVALUE(MID(F2251,12,8))</f>
        <v/>
      </c>
      <c r="N2251" s="395">
        <f>DATEVALUE(LEFT(G2251,10))</f>
        <v/>
      </c>
      <c r="O2251" s="396">
        <f>TIMEVALUE(MID(G2251,12,8))</f>
        <v/>
      </c>
      <c r="P2251" s="396">
        <f>IFERROR(_xlfn.MINIFS($M:$M,$E:$E,$E2251,$K:$K,$K2251,$M:$M,"&gt;"&amp;$O2251),"")</f>
        <v/>
      </c>
      <c r="Q2251" s="396">
        <f>IF($P2251="","",$P2251-$O2251)</f>
        <v/>
      </c>
    </row>
    <row r="2252" ht="15" customHeight="1" s="231">
      <c r="A2252" s="397" t="n"/>
      <c r="B2252" s="397" t="n"/>
      <c r="C2252" s="397" t="n"/>
      <c r="D2252" s="397" t="n"/>
      <c r="E2252" s="397" t="n"/>
      <c r="F2252" s="397" t="n"/>
      <c r="G2252" s="397" t="n"/>
      <c r="I2252" s="397" t="n"/>
      <c r="J2252" s="397" t="n"/>
      <c r="K2252" s="395">
        <f>DATE(VALUE(LEFT(A2252,4)),VALUE(MID(A2252,5,2)),VALUE(RIGHT(A2252,2)))</f>
        <v/>
      </c>
      <c r="L2252" s="395">
        <f>DATEVALUE(LEFT(F2252,10))</f>
        <v/>
      </c>
      <c r="M2252" s="396">
        <f>TIMEVALUE(MID(F2252,12,8))</f>
        <v/>
      </c>
      <c r="N2252" s="395">
        <f>DATEVALUE(LEFT(G2252,10))</f>
        <v/>
      </c>
      <c r="O2252" s="396">
        <f>TIMEVALUE(MID(G2252,12,8))</f>
        <v/>
      </c>
      <c r="P2252" s="396">
        <f>IFERROR(_xlfn.MINIFS($M:$M,$E:$E,$E2252,$K:$K,$K2252,$M:$M,"&gt;"&amp;$O2252),"")</f>
        <v/>
      </c>
      <c r="Q2252" s="396">
        <f>IF($P2252="","",$P2252-$O2252)</f>
        <v/>
      </c>
    </row>
    <row r="2253" ht="15" customHeight="1" s="231">
      <c r="A2253" s="397" t="n"/>
      <c r="B2253" s="397" t="n"/>
      <c r="C2253" s="397" t="n"/>
      <c r="D2253" s="397" t="n"/>
      <c r="E2253" s="397" t="n"/>
      <c r="F2253" s="397" t="n"/>
      <c r="G2253" s="397" t="n"/>
      <c r="I2253" s="397" t="n"/>
      <c r="J2253" s="397" t="n"/>
      <c r="K2253" s="395">
        <f>DATE(VALUE(LEFT(A2253,4)),VALUE(MID(A2253,5,2)),VALUE(RIGHT(A2253,2)))</f>
        <v/>
      </c>
      <c r="L2253" s="395">
        <f>DATEVALUE(LEFT(F2253,10))</f>
        <v/>
      </c>
      <c r="M2253" s="396">
        <f>TIMEVALUE(MID(F2253,12,8))</f>
        <v/>
      </c>
      <c r="N2253" s="395">
        <f>DATEVALUE(LEFT(G2253,10))</f>
        <v/>
      </c>
      <c r="O2253" s="396">
        <f>TIMEVALUE(MID(G2253,12,8))</f>
        <v/>
      </c>
      <c r="P2253" s="396">
        <f>IFERROR(_xlfn.MINIFS($M:$M,$E:$E,$E2253,$K:$K,$K2253,$M:$M,"&gt;"&amp;$O2253),"")</f>
        <v/>
      </c>
      <c r="Q2253" s="396">
        <f>IF($P2253="","",$P2253-$O2253)</f>
        <v/>
      </c>
    </row>
    <row r="2254" ht="15" customHeight="1" s="231">
      <c r="A2254" s="397" t="n"/>
      <c r="B2254" s="397" t="n"/>
      <c r="C2254" s="397" t="n"/>
      <c r="D2254" s="397" t="n"/>
      <c r="E2254" s="397" t="n"/>
      <c r="F2254" s="397" t="n"/>
      <c r="G2254" s="397" t="n"/>
      <c r="I2254" s="397" t="n"/>
      <c r="J2254" s="397" t="n"/>
      <c r="K2254" s="395">
        <f>DATE(VALUE(LEFT(A2254,4)),VALUE(MID(A2254,5,2)),VALUE(RIGHT(A2254,2)))</f>
        <v/>
      </c>
      <c r="L2254" s="395">
        <f>DATEVALUE(LEFT(F2254,10))</f>
        <v/>
      </c>
      <c r="M2254" s="396">
        <f>TIMEVALUE(MID(F2254,12,8))</f>
        <v/>
      </c>
      <c r="N2254" s="395">
        <f>DATEVALUE(LEFT(G2254,10))</f>
        <v/>
      </c>
      <c r="O2254" s="396">
        <f>TIMEVALUE(MID(G2254,12,8))</f>
        <v/>
      </c>
      <c r="P2254" s="396">
        <f>IFERROR(_xlfn.MINIFS($M:$M,$E:$E,$E2254,$K:$K,$K2254,$M:$M,"&gt;"&amp;$O2254),"")</f>
        <v/>
      </c>
      <c r="Q2254" s="396">
        <f>IF($P2254="","",$P2254-$O2254)</f>
        <v/>
      </c>
    </row>
    <row r="2255" ht="15" customHeight="1" s="231">
      <c r="A2255" s="397" t="n"/>
      <c r="B2255" s="397" t="n"/>
      <c r="C2255" s="397" t="n"/>
      <c r="D2255" s="397" t="n"/>
      <c r="E2255" s="397" t="n"/>
      <c r="F2255" s="397" t="n"/>
      <c r="G2255" s="397" t="n"/>
      <c r="I2255" s="397" t="n"/>
      <c r="J2255" s="397" t="n"/>
      <c r="K2255" s="395">
        <f>DATE(VALUE(LEFT(A2255,4)),VALUE(MID(A2255,5,2)),VALUE(RIGHT(A2255,2)))</f>
        <v/>
      </c>
      <c r="L2255" s="395">
        <f>DATEVALUE(LEFT(F2255,10))</f>
        <v/>
      </c>
      <c r="M2255" s="396">
        <f>TIMEVALUE(MID(F2255,12,8))</f>
        <v/>
      </c>
      <c r="N2255" s="395">
        <f>DATEVALUE(LEFT(G2255,10))</f>
        <v/>
      </c>
      <c r="O2255" s="396">
        <f>TIMEVALUE(MID(G2255,12,8))</f>
        <v/>
      </c>
      <c r="P2255" s="396">
        <f>IFERROR(_xlfn.MINIFS($M:$M,$E:$E,$E2255,$K:$K,$K2255,$M:$M,"&gt;"&amp;$O2255),"")</f>
        <v/>
      </c>
      <c r="Q2255" s="396">
        <f>IF($P2255="","",$P2255-$O2255)</f>
        <v/>
      </c>
    </row>
    <row r="2256" ht="15" customHeight="1" s="231">
      <c r="A2256" s="397" t="n"/>
      <c r="B2256" s="397" t="n"/>
      <c r="C2256" s="397" t="n"/>
      <c r="D2256" s="397" t="n"/>
      <c r="E2256" s="397" t="n"/>
      <c r="F2256" s="397" t="n"/>
      <c r="G2256" s="397" t="n"/>
      <c r="I2256" s="397" t="n"/>
      <c r="J2256" s="397" t="n"/>
      <c r="K2256" s="395">
        <f>DATE(VALUE(LEFT(A2256,4)),VALUE(MID(A2256,5,2)),VALUE(RIGHT(A2256,2)))</f>
        <v/>
      </c>
      <c r="L2256" s="395">
        <f>DATEVALUE(LEFT(F2256,10))</f>
        <v/>
      </c>
      <c r="M2256" s="396">
        <f>TIMEVALUE(MID(F2256,12,8))</f>
        <v/>
      </c>
      <c r="N2256" s="395">
        <f>DATEVALUE(LEFT(G2256,10))</f>
        <v/>
      </c>
      <c r="O2256" s="396">
        <f>TIMEVALUE(MID(G2256,12,8))</f>
        <v/>
      </c>
      <c r="P2256" s="396">
        <f>IFERROR(_xlfn.MINIFS($M:$M,$E:$E,$E2256,$K:$K,$K2256,$M:$M,"&gt;"&amp;$O2256),"")</f>
        <v/>
      </c>
      <c r="Q2256" s="396">
        <f>IF($P2256="","",$P2256-$O2256)</f>
        <v/>
      </c>
    </row>
    <row r="2257" ht="15" customHeight="1" s="231">
      <c r="A2257" s="397" t="n"/>
      <c r="B2257" s="397" t="n"/>
      <c r="C2257" s="397" t="n"/>
      <c r="D2257" s="397" t="n"/>
      <c r="E2257" s="397" t="n"/>
      <c r="F2257" s="397" t="n"/>
      <c r="G2257" s="397" t="n"/>
      <c r="I2257" s="397" t="n"/>
      <c r="J2257" s="397" t="n"/>
      <c r="K2257" s="395">
        <f>DATE(VALUE(LEFT(A2257,4)),VALUE(MID(A2257,5,2)),VALUE(RIGHT(A2257,2)))</f>
        <v/>
      </c>
      <c r="L2257" s="395">
        <f>DATEVALUE(LEFT(F2257,10))</f>
        <v/>
      </c>
      <c r="M2257" s="396">
        <f>TIMEVALUE(MID(F2257,12,8))</f>
        <v/>
      </c>
      <c r="N2257" s="395">
        <f>DATEVALUE(LEFT(G2257,10))</f>
        <v/>
      </c>
      <c r="O2257" s="396">
        <f>TIMEVALUE(MID(G2257,12,8))</f>
        <v/>
      </c>
      <c r="P2257" s="396">
        <f>IFERROR(_xlfn.MINIFS($M:$M,$E:$E,$E2257,$K:$K,$K2257,$M:$M,"&gt;"&amp;$O2257),"")</f>
        <v/>
      </c>
      <c r="Q2257" s="396">
        <f>IF($P2257="","",$P2257-$O2257)</f>
        <v/>
      </c>
    </row>
    <row r="2258" ht="15" customHeight="1" s="231">
      <c r="A2258" s="397" t="n"/>
      <c r="B2258" s="397" t="n"/>
      <c r="C2258" s="397" t="n"/>
      <c r="D2258" s="397" t="n"/>
      <c r="E2258" s="397" t="n"/>
      <c r="F2258" s="397" t="n"/>
      <c r="G2258" s="397" t="n"/>
      <c r="I2258" s="397" t="n"/>
      <c r="J2258" s="397" t="n"/>
      <c r="K2258" s="395">
        <f>DATE(VALUE(LEFT(A2258,4)),VALUE(MID(A2258,5,2)),VALUE(RIGHT(A2258,2)))</f>
        <v/>
      </c>
      <c r="L2258" s="395">
        <f>DATEVALUE(LEFT(F2258,10))</f>
        <v/>
      </c>
      <c r="M2258" s="396">
        <f>TIMEVALUE(MID(F2258,12,8))</f>
        <v/>
      </c>
      <c r="N2258" s="395">
        <f>DATEVALUE(LEFT(G2258,10))</f>
        <v/>
      </c>
      <c r="O2258" s="396">
        <f>TIMEVALUE(MID(G2258,12,8))</f>
        <v/>
      </c>
      <c r="P2258" s="396">
        <f>IFERROR(_xlfn.MINIFS($M:$M,$E:$E,$E2258,$K:$K,$K2258,$M:$M,"&gt;"&amp;$O2258),"")</f>
        <v/>
      </c>
      <c r="Q2258" s="396">
        <f>IF($P2258="","",$P2258-$O2258)</f>
        <v/>
      </c>
    </row>
    <row r="2259" ht="15" customHeight="1" s="231">
      <c r="A2259" s="397" t="n"/>
      <c r="B2259" s="397" t="n"/>
      <c r="C2259" s="397" t="n"/>
      <c r="D2259" s="397" t="n"/>
      <c r="E2259" s="397" t="n"/>
      <c r="F2259" s="397" t="n"/>
      <c r="G2259" s="397" t="n"/>
      <c r="I2259" s="397" t="n"/>
      <c r="J2259" s="397" t="n"/>
      <c r="K2259" s="395">
        <f>DATE(VALUE(LEFT(A2259,4)),VALUE(MID(A2259,5,2)),VALUE(RIGHT(A2259,2)))</f>
        <v/>
      </c>
      <c r="L2259" s="395">
        <f>DATEVALUE(LEFT(F2259,10))</f>
        <v/>
      </c>
      <c r="M2259" s="396">
        <f>TIMEVALUE(MID(F2259,12,8))</f>
        <v/>
      </c>
      <c r="N2259" s="395">
        <f>DATEVALUE(LEFT(G2259,10))</f>
        <v/>
      </c>
      <c r="O2259" s="396">
        <f>TIMEVALUE(MID(G2259,12,8))</f>
        <v/>
      </c>
      <c r="P2259" s="396">
        <f>IFERROR(_xlfn.MINIFS($M:$M,$E:$E,$E2259,$K:$K,$K2259,$M:$M,"&gt;"&amp;$O2259),"")</f>
        <v/>
      </c>
      <c r="Q2259" s="396">
        <f>IF($P2259="","",$P2259-$O2259)</f>
        <v/>
      </c>
    </row>
    <row r="2260" ht="15" customHeight="1" s="231">
      <c r="A2260" s="397" t="n"/>
      <c r="B2260" s="397" t="n"/>
      <c r="C2260" s="397" t="n"/>
      <c r="D2260" s="397" t="n"/>
      <c r="E2260" s="397" t="n"/>
      <c r="F2260" s="397" t="n"/>
      <c r="G2260" s="397" t="n"/>
      <c r="I2260" s="397" t="n"/>
      <c r="J2260" s="397" t="n"/>
      <c r="K2260" s="395">
        <f>DATE(VALUE(LEFT(A2260,4)),VALUE(MID(A2260,5,2)),VALUE(RIGHT(A2260,2)))</f>
        <v/>
      </c>
      <c r="L2260" s="395">
        <f>DATEVALUE(LEFT(F2260,10))</f>
        <v/>
      </c>
      <c r="M2260" s="396">
        <f>TIMEVALUE(MID(F2260,12,8))</f>
        <v/>
      </c>
      <c r="N2260" s="395">
        <f>DATEVALUE(LEFT(G2260,10))</f>
        <v/>
      </c>
      <c r="O2260" s="396">
        <f>TIMEVALUE(MID(G2260,12,8))</f>
        <v/>
      </c>
      <c r="P2260" s="396">
        <f>IFERROR(_xlfn.MINIFS($M:$M,$E:$E,$E2260,$K:$K,$K2260,$M:$M,"&gt;"&amp;$O2260),"")</f>
        <v/>
      </c>
      <c r="Q2260" s="396">
        <f>IF($P2260="","",$P2260-$O2260)</f>
        <v/>
      </c>
    </row>
    <row r="2261" ht="15" customHeight="1" s="231">
      <c r="A2261" s="397" t="n"/>
      <c r="B2261" s="397" t="n"/>
      <c r="C2261" s="397" t="n"/>
      <c r="D2261" s="397" t="n"/>
      <c r="E2261" s="397" t="n"/>
      <c r="F2261" s="397" t="n"/>
      <c r="G2261" s="397" t="n"/>
      <c r="I2261" s="397" t="n"/>
      <c r="J2261" s="397" t="n"/>
      <c r="K2261" s="395">
        <f>DATE(VALUE(LEFT(A2261,4)),VALUE(MID(A2261,5,2)),VALUE(RIGHT(A2261,2)))</f>
        <v/>
      </c>
      <c r="L2261" s="395">
        <f>DATEVALUE(LEFT(F2261,10))</f>
        <v/>
      </c>
      <c r="M2261" s="396">
        <f>TIMEVALUE(MID(F2261,12,8))</f>
        <v/>
      </c>
      <c r="N2261" s="395">
        <f>DATEVALUE(LEFT(G2261,10))</f>
        <v/>
      </c>
      <c r="O2261" s="396">
        <f>TIMEVALUE(MID(G2261,12,8))</f>
        <v/>
      </c>
      <c r="P2261" s="396">
        <f>IFERROR(_xlfn.MINIFS($M:$M,$E:$E,$E2261,$K:$K,$K2261,$M:$M,"&gt;"&amp;$O2261),"")</f>
        <v/>
      </c>
      <c r="Q2261" s="396">
        <f>IF($P2261="","",$P2261-$O2261)</f>
        <v/>
      </c>
    </row>
    <row r="2262" ht="15" customHeight="1" s="231">
      <c r="A2262" s="397" t="n"/>
      <c r="B2262" s="397" t="n"/>
      <c r="C2262" s="397" t="n"/>
      <c r="D2262" s="397" t="n"/>
      <c r="E2262" s="397" t="n"/>
      <c r="F2262" s="397" t="n"/>
      <c r="G2262" s="397" t="n"/>
      <c r="I2262" s="397" t="n"/>
      <c r="J2262" s="397" t="n"/>
      <c r="K2262" s="395">
        <f>DATE(VALUE(LEFT(A2262,4)),VALUE(MID(A2262,5,2)),VALUE(RIGHT(A2262,2)))</f>
        <v/>
      </c>
      <c r="L2262" s="395">
        <f>DATEVALUE(LEFT(F2262,10))</f>
        <v/>
      </c>
      <c r="M2262" s="396">
        <f>TIMEVALUE(MID(F2262,12,8))</f>
        <v/>
      </c>
      <c r="N2262" s="395">
        <f>DATEVALUE(LEFT(G2262,10))</f>
        <v/>
      </c>
      <c r="O2262" s="396">
        <f>TIMEVALUE(MID(G2262,12,8))</f>
        <v/>
      </c>
      <c r="P2262" s="396">
        <f>IFERROR(_xlfn.MINIFS($M:$M,$E:$E,$E2262,$K:$K,$K2262,$M:$M,"&gt;"&amp;$O2262),"")</f>
        <v/>
      </c>
      <c r="Q2262" s="396">
        <f>IF($P2262="","",$P2262-$O2262)</f>
        <v/>
      </c>
    </row>
    <row r="2263" ht="15" customHeight="1" s="231">
      <c r="A2263" s="397" t="n"/>
      <c r="B2263" s="397" t="n"/>
      <c r="C2263" s="397" t="n"/>
      <c r="D2263" s="397" t="n"/>
      <c r="E2263" s="397" t="n"/>
      <c r="F2263" s="397" t="n"/>
      <c r="G2263" s="397" t="n"/>
      <c r="I2263" s="397" t="n"/>
      <c r="J2263" s="397" t="n"/>
      <c r="K2263" s="395">
        <f>DATE(VALUE(LEFT(A2263,4)),VALUE(MID(A2263,5,2)),VALUE(RIGHT(A2263,2)))</f>
        <v/>
      </c>
      <c r="L2263" s="395">
        <f>DATEVALUE(LEFT(F2263,10))</f>
        <v/>
      </c>
      <c r="M2263" s="396">
        <f>TIMEVALUE(MID(F2263,12,8))</f>
        <v/>
      </c>
      <c r="N2263" s="395">
        <f>DATEVALUE(LEFT(G2263,10))</f>
        <v/>
      </c>
      <c r="O2263" s="396">
        <f>TIMEVALUE(MID(G2263,12,8))</f>
        <v/>
      </c>
      <c r="P2263" s="396">
        <f>IFERROR(_xlfn.MINIFS($M:$M,$E:$E,$E2263,$K:$K,$K2263,$M:$M,"&gt;"&amp;$O2263),"")</f>
        <v/>
      </c>
      <c r="Q2263" s="396">
        <f>IF($P2263="","",$P2263-$O2263)</f>
        <v/>
      </c>
    </row>
    <row r="2264" ht="15" customHeight="1" s="231">
      <c r="A2264" s="397" t="n"/>
      <c r="B2264" s="397" t="n"/>
      <c r="C2264" s="397" t="n"/>
      <c r="D2264" s="397" t="n"/>
      <c r="E2264" s="397" t="n"/>
      <c r="F2264" s="397" t="n"/>
      <c r="G2264" s="397" t="n"/>
      <c r="I2264" s="397" t="n"/>
      <c r="J2264" s="397" t="n"/>
      <c r="K2264" s="395">
        <f>DATE(VALUE(LEFT(A2264,4)),VALUE(MID(A2264,5,2)),VALUE(RIGHT(A2264,2)))</f>
        <v/>
      </c>
      <c r="L2264" s="395">
        <f>DATEVALUE(LEFT(F2264,10))</f>
        <v/>
      </c>
      <c r="M2264" s="396">
        <f>TIMEVALUE(MID(F2264,12,8))</f>
        <v/>
      </c>
      <c r="N2264" s="395">
        <f>DATEVALUE(LEFT(G2264,10))</f>
        <v/>
      </c>
      <c r="O2264" s="396">
        <f>TIMEVALUE(MID(G2264,12,8))</f>
        <v/>
      </c>
      <c r="P2264" s="396">
        <f>IFERROR(_xlfn.MINIFS($M:$M,$E:$E,$E2264,$K:$K,$K2264,$M:$M,"&gt;"&amp;$O2264),"")</f>
        <v/>
      </c>
      <c r="Q2264" s="396">
        <f>IF($P2264="","",$P2264-$O2264)</f>
        <v/>
      </c>
    </row>
    <row r="2265" ht="15" customHeight="1" s="231">
      <c r="A2265" s="397" t="n"/>
      <c r="B2265" s="397" t="n"/>
      <c r="C2265" s="397" t="n"/>
      <c r="D2265" s="397" t="n"/>
      <c r="E2265" s="397" t="n"/>
      <c r="F2265" s="397" t="n"/>
      <c r="G2265" s="397" t="n"/>
      <c r="I2265" s="397" t="n"/>
      <c r="J2265" s="397" t="n"/>
      <c r="K2265" s="395">
        <f>DATE(VALUE(LEFT(A2265,4)),VALUE(MID(A2265,5,2)),VALUE(RIGHT(A2265,2)))</f>
        <v/>
      </c>
      <c r="L2265" s="395">
        <f>DATEVALUE(LEFT(F2265,10))</f>
        <v/>
      </c>
      <c r="M2265" s="396">
        <f>TIMEVALUE(MID(F2265,12,8))</f>
        <v/>
      </c>
      <c r="N2265" s="395">
        <f>DATEVALUE(LEFT(G2265,10))</f>
        <v/>
      </c>
      <c r="O2265" s="396">
        <f>TIMEVALUE(MID(G2265,12,8))</f>
        <v/>
      </c>
      <c r="P2265" s="396">
        <f>IFERROR(_xlfn.MINIFS($M:$M,$E:$E,$E2265,$K:$K,$K2265,$M:$M,"&gt;"&amp;$O2265),"")</f>
        <v/>
      </c>
      <c r="Q2265" s="396">
        <f>IF($P2265="","",$P2265-$O2265)</f>
        <v/>
      </c>
    </row>
    <row r="2266" ht="15" customHeight="1" s="231">
      <c r="A2266" s="397" t="n"/>
      <c r="B2266" s="397" t="n"/>
      <c r="C2266" s="397" t="n"/>
      <c r="D2266" s="397" t="n"/>
      <c r="E2266" s="397" t="n"/>
      <c r="F2266" s="397" t="n"/>
      <c r="G2266" s="397" t="n"/>
      <c r="I2266" s="397" t="n"/>
      <c r="J2266" s="397" t="n"/>
      <c r="K2266" s="395">
        <f>DATE(VALUE(LEFT(A2266,4)),VALUE(MID(A2266,5,2)),VALUE(RIGHT(A2266,2)))</f>
        <v/>
      </c>
      <c r="L2266" s="395">
        <f>DATEVALUE(LEFT(F2266,10))</f>
        <v/>
      </c>
      <c r="M2266" s="396">
        <f>TIMEVALUE(MID(F2266,12,8))</f>
        <v/>
      </c>
      <c r="N2266" s="395">
        <f>DATEVALUE(LEFT(G2266,10))</f>
        <v/>
      </c>
      <c r="O2266" s="396">
        <f>TIMEVALUE(MID(G2266,12,8))</f>
        <v/>
      </c>
      <c r="P2266" s="396">
        <f>IFERROR(_xlfn.MINIFS($M:$M,$E:$E,$E2266,$K:$K,$K2266,$M:$M,"&gt;"&amp;$O2266),"")</f>
        <v/>
      </c>
      <c r="Q2266" s="396">
        <f>IF($P2266="","",$P2266-$O2266)</f>
        <v/>
      </c>
    </row>
    <row r="2267" ht="15" customHeight="1" s="231">
      <c r="A2267" s="397" t="n"/>
      <c r="B2267" s="397" t="n"/>
      <c r="C2267" s="397" t="n"/>
      <c r="D2267" s="397" t="n"/>
      <c r="E2267" s="397" t="n"/>
      <c r="F2267" s="397" t="n"/>
      <c r="G2267" s="397" t="n"/>
      <c r="I2267" s="397" t="n"/>
      <c r="J2267" s="397" t="n"/>
      <c r="K2267" s="395">
        <f>DATE(VALUE(LEFT(A2267,4)),VALUE(MID(A2267,5,2)),VALUE(RIGHT(A2267,2)))</f>
        <v/>
      </c>
      <c r="L2267" s="395">
        <f>DATEVALUE(LEFT(F2267,10))</f>
        <v/>
      </c>
      <c r="M2267" s="396">
        <f>TIMEVALUE(MID(F2267,12,8))</f>
        <v/>
      </c>
      <c r="N2267" s="395">
        <f>DATEVALUE(LEFT(G2267,10))</f>
        <v/>
      </c>
      <c r="O2267" s="396">
        <f>TIMEVALUE(MID(G2267,12,8))</f>
        <v/>
      </c>
      <c r="P2267" s="396">
        <f>IFERROR(_xlfn.MINIFS($M:$M,$E:$E,$E2267,$K:$K,$K2267,$M:$M,"&gt;"&amp;$O2267),"")</f>
        <v/>
      </c>
      <c r="Q2267" s="396">
        <f>IF($P2267="","",$P2267-$O2267)</f>
        <v/>
      </c>
    </row>
    <row r="2268" ht="15" customHeight="1" s="231">
      <c r="A2268" s="397" t="n"/>
      <c r="B2268" s="397" t="n"/>
      <c r="C2268" s="397" t="n"/>
      <c r="D2268" s="397" t="n"/>
      <c r="E2268" s="397" t="n"/>
      <c r="F2268" s="397" t="n"/>
      <c r="G2268" s="397" t="n"/>
      <c r="I2268" s="397" t="n"/>
      <c r="J2268" s="397" t="n"/>
      <c r="K2268" s="395">
        <f>DATE(VALUE(LEFT(A2268,4)),VALUE(MID(A2268,5,2)),VALUE(RIGHT(A2268,2)))</f>
        <v/>
      </c>
      <c r="L2268" s="395">
        <f>DATEVALUE(LEFT(F2268,10))</f>
        <v/>
      </c>
      <c r="M2268" s="396">
        <f>TIMEVALUE(MID(F2268,12,8))</f>
        <v/>
      </c>
      <c r="N2268" s="395">
        <f>DATEVALUE(LEFT(G2268,10))</f>
        <v/>
      </c>
      <c r="O2268" s="396">
        <f>TIMEVALUE(MID(G2268,12,8))</f>
        <v/>
      </c>
      <c r="P2268" s="396">
        <f>IFERROR(_xlfn.MINIFS($M:$M,$E:$E,$E2268,$K:$K,$K2268,$M:$M,"&gt;"&amp;$O2268),"")</f>
        <v/>
      </c>
      <c r="Q2268" s="396">
        <f>IF($P2268="","",$P2268-$O2268)</f>
        <v/>
      </c>
    </row>
    <row r="2269" ht="15" customHeight="1" s="231">
      <c r="A2269" s="397" t="n"/>
      <c r="B2269" s="397" t="n"/>
      <c r="C2269" s="397" t="n"/>
      <c r="D2269" s="397" t="n"/>
      <c r="E2269" s="397" t="n"/>
      <c r="F2269" s="397" t="n"/>
      <c r="G2269" s="397" t="n"/>
      <c r="I2269" s="397" t="n"/>
      <c r="J2269" s="397" t="n"/>
      <c r="K2269" s="395">
        <f>DATE(VALUE(LEFT(A2269,4)),VALUE(MID(A2269,5,2)),VALUE(RIGHT(A2269,2)))</f>
        <v/>
      </c>
      <c r="L2269" s="395">
        <f>DATEVALUE(LEFT(F2269,10))</f>
        <v/>
      </c>
      <c r="M2269" s="396">
        <f>TIMEVALUE(MID(F2269,12,8))</f>
        <v/>
      </c>
      <c r="N2269" s="395">
        <f>DATEVALUE(LEFT(G2269,10))</f>
        <v/>
      </c>
      <c r="O2269" s="396">
        <f>TIMEVALUE(MID(G2269,12,8))</f>
        <v/>
      </c>
      <c r="P2269" s="396">
        <f>IFERROR(_xlfn.MINIFS($M:$M,$E:$E,$E2269,$K:$K,$K2269,$M:$M,"&gt;"&amp;$O2269),"")</f>
        <v/>
      </c>
      <c r="Q2269" s="396">
        <f>IF($P2269="","",$P2269-$O2269)</f>
        <v/>
      </c>
    </row>
    <row r="2270" ht="15" customHeight="1" s="231">
      <c r="A2270" s="397" t="n"/>
      <c r="B2270" s="397" t="n"/>
      <c r="C2270" s="397" t="n"/>
      <c r="D2270" s="397" t="n"/>
      <c r="E2270" s="397" t="n"/>
      <c r="F2270" s="397" t="n"/>
      <c r="G2270" s="397" t="n"/>
      <c r="I2270" s="397" t="n"/>
      <c r="J2270" s="397" t="n"/>
      <c r="K2270" s="395">
        <f>DATE(VALUE(LEFT(A2270,4)),VALUE(MID(A2270,5,2)),VALUE(RIGHT(A2270,2)))</f>
        <v/>
      </c>
      <c r="L2270" s="395">
        <f>DATEVALUE(LEFT(F2270,10))</f>
        <v/>
      </c>
      <c r="M2270" s="396">
        <f>TIMEVALUE(MID(F2270,12,8))</f>
        <v/>
      </c>
      <c r="N2270" s="395">
        <f>DATEVALUE(LEFT(G2270,10))</f>
        <v/>
      </c>
      <c r="O2270" s="396">
        <f>TIMEVALUE(MID(G2270,12,8))</f>
        <v/>
      </c>
      <c r="P2270" s="396">
        <f>IFERROR(_xlfn.MINIFS($M:$M,$E:$E,$E2270,$K:$K,$K2270,$M:$M,"&gt;"&amp;$O2270),"")</f>
        <v/>
      </c>
      <c r="Q2270" s="396">
        <f>IF($P2270="","",$P2270-$O2270)</f>
        <v/>
      </c>
    </row>
    <row r="2271" ht="15" customHeight="1" s="231">
      <c r="A2271" s="397" t="n"/>
      <c r="B2271" s="397" t="n"/>
      <c r="C2271" s="397" t="n"/>
      <c r="D2271" s="397" t="n"/>
      <c r="E2271" s="397" t="n"/>
      <c r="F2271" s="397" t="n"/>
      <c r="G2271" s="397" t="n"/>
      <c r="I2271" s="397" t="n"/>
      <c r="J2271" s="397" t="n"/>
      <c r="K2271" s="395">
        <f>DATE(VALUE(LEFT(A2271,4)),VALUE(MID(A2271,5,2)),VALUE(RIGHT(A2271,2)))</f>
        <v/>
      </c>
      <c r="L2271" s="395">
        <f>DATEVALUE(LEFT(F2271,10))</f>
        <v/>
      </c>
      <c r="M2271" s="396">
        <f>TIMEVALUE(MID(F2271,12,8))</f>
        <v/>
      </c>
      <c r="N2271" s="395">
        <f>DATEVALUE(LEFT(G2271,10))</f>
        <v/>
      </c>
      <c r="O2271" s="396">
        <f>TIMEVALUE(MID(G2271,12,8))</f>
        <v/>
      </c>
      <c r="P2271" s="396">
        <f>IFERROR(_xlfn.MINIFS($M:$M,$E:$E,$E2271,$K:$K,$K2271,$M:$M,"&gt;"&amp;$O2271),"")</f>
        <v/>
      </c>
      <c r="Q2271" s="396">
        <f>IF($P2271="","",$P2271-$O2271)</f>
        <v/>
      </c>
    </row>
    <row r="2272" ht="15" customHeight="1" s="231">
      <c r="A2272" s="397" t="n"/>
      <c r="B2272" s="397" t="n"/>
      <c r="C2272" s="397" t="n"/>
      <c r="D2272" s="397" t="n"/>
      <c r="E2272" s="397" t="n"/>
      <c r="F2272" s="397" t="n"/>
      <c r="G2272" s="397" t="n"/>
      <c r="I2272" s="397" t="n"/>
      <c r="J2272" s="397" t="n"/>
      <c r="K2272" s="395">
        <f>DATE(VALUE(LEFT(A2272,4)),VALUE(MID(A2272,5,2)),VALUE(RIGHT(A2272,2)))</f>
        <v/>
      </c>
      <c r="L2272" s="395">
        <f>DATEVALUE(LEFT(F2272,10))</f>
        <v/>
      </c>
      <c r="M2272" s="396">
        <f>TIMEVALUE(MID(F2272,12,8))</f>
        <v/>
      </c>
      <c r="N2272" s="395">
        <f>DATEVALUE(LEFT(G2272,10))</f>
        <v/>
      </c>
      <c r="O2272" s="396">
        <f>TIMEVALUE(MID(G2272,12,8))</f>
        <v/>
      </c>
      <c r="P2272" s="396">
        <f>IFERROR(_xlfn.MINIFS($M:$M,$E:$E,$E2272,$K:$K,$K2272,$M:$M,"&gt;"&amp;$O2272),"")</f>
        <v/>
      </c>
      <c r="Q2272" s="396">
        <f>IF($P2272="","",$P2272-$O2272)</f>
        <v/>
      </c>
    </row>
    <row r="2273" ht="15" customHeight="1" s="231">
      <c r="A2273" s="397" t="n"/>
      <c r="B2273" s="397" t="n"/>
      <c r="C2273" s="397" t="n"/>
      <c r="D2273" s="397" t="n"/>
      <c r="E2273" s="397" t="n"/>
      <c r="F2273" s="397" t="n"/>
      <c r="G2273" s="397" t="n"/>
      <c r="I2273" s="397" t="n"/>
      <c r="J2273" s="397" t="n"/>
      <c r="K2273" s="395">
        <f>DATE(VALUE(LEFT(A2273,4)),VALUE(MID(A2273,5,2)),VALUE(RIGHT(A2273,2)))</f>
        <v/>
      </c>
      <c r="L2273" s="395">
        <f>DATEVALUE(LEFT(F2273,10))</f>
        <v/>
      </c>
      <c r="M2273" s="396">
        <f>TIMEVALUE(MID(F2273,12,8))</f>
        <v/>
      </c>
      <c r="N2273" s="395">
        <f>DATEVALUE(LEFT(G2273,10))</f>
        <v/>
      </c>
      <c r="O2273" s="396">
        <f>TIMEVALUE(MID(G2273,12,8))</f>
        <v/>
      </c>
      <c r="P2273" s="396">
        <f>IFERROR(_xlfn.MINIFS($M:$M,$E:$E,$E2273,$K:$K,$K2273,$M:$M,"&gt;"&amp;$O2273),"")</f>
        <v/>
      </c>
      <c r="Q2273" s="396">
        <f>IF($P2273="","",$P2273-$O2273)</f>
        <v/>
      </c>
    </row>
    <row r="2274" ht="15" customHeight="1" s="231">
      <c r="A2274" s="397" t="n"/>
      <c r="B2274" s="397" t="n"/>
      <c r="C2274" s="397" t="n"/>
      <c r="D2274" s="397" t="n"/>
      <c r="E2274" s="397" t="n"/>
      <c r="F2274" s="397" t="n"/>
      <c r="G2274" s="397" t="n"/>
      <c r="I2274" s="397" t="n"/>
      <c r="J2274" s="397" t="n"/>
      <c r="K2274" s="395">
        <f>DATE(VALUE(LEFT(A2274,4)),VALUE(MID(A2274,5,2)),VALUE(RIGHT(A2274,2)))</f>
        <v/>
      </c>
      <c r="L2274" s="395">
        <f>DATEVALUE(LEFT(F2274,10))</f>
        <v/>
      </c>
      <c r="M2274" s="396">
        <f>TIMEVALUE(MID(F2274,12,8))</f>
        <v/>
      </c>
      <c r="N2274" s="395">
        <f>DATEVALUE(LEFT(G2274,10))</f>
        <v/>
      </c>
      <c r="O2274" s="396">
        <f>TIMEVALUE(MID(G2274,12,8))</f>
        <v/>
      </c>
      <c r="P2274" s="396">
        <f>IFERROR(_xlfn.MINIFS($M:$M,$E:$E,$E2274,$K:$K,$K2274,$M:$M,"&gt;"&amp;$O2274),"")</f>
        <v/>
      </c>
      <c r="Q2274" s="396">
        <f>IF($P2274="","",$P2274-$O2274)</f>
        <v/>
      </c>
    </row>
    <row r="2275" ht="15" customHeight="1" s="231">
      <c r="A2275" s="397" t="n"/>
      <c r="B2275" s="397" t="n"/>
      <c r="C2275" s="397" t="n"/>
      <c r="D2275" s="397" t="n"/>
      <c r="E2275" s="397" t="n"/>
      <c r="F2275" s="397" t="n"/>
      <c r="G2275" s="397" t="n"/>
      <c r="I2275" s="397" t="n"/>
      <c r="J2275" s="397" t="n"/>
      <c r="K2275" s="395">
        <f>DATE(VALUE(LEFT(A2275,4)),VALUE(MID(A2275,5,2)),VALUE(RIGHT(A2275,2)))</f>
        <v/>
      </c>
      <c r="L2275" s="395">
        <f>DATEVALUE(LEFT(F2275,10))</f>
        <v/>
      </c>
      <c r="M2275" s="396">
        <f>TIMEVALUE(MID(F2275,12,8))</f>
        <v/>
      </c>
      <c r="N2275" s="395">
        <f>DATEVALUE(LEFT(G2275,10))</f>
        <v/>
      </c>
      <c r="O2275" s="396">
        <f>TIMEVALUE(MID(G2275,12,8))</f>
        <v/>
      </c>
      <c r="P2275" s="396">
        <f>IFERROR(_xlfn.MINIFS($M:$M,$E:$E,$E2275,$K:$K,$K2275,$M:$M,"&gt;"&amp;$O2275),"")</f>
        <v/>
      </c>
      <c r="Q2275" s="396">
        <f>IF($P2275="","",$P2275-$O2275)</f>
        <v/>
      </c>
    </row>
    <row r="2276" ht="15" customHeight="1" s="231">
      <c r="A2276" s="397" t="n"/>
      <c r="B2276" s="397" t="n"/>
      <c r="C2276" s="397" t="n"/>
      <c r="D2276" s="397" t="n"/>
      <c r="E2276" s="397" t="n"/>
      <c r="F2276" s="397" t="n"/>
      <c r="G2276" s="397" t="n"/>
      <c r="I2276" s="397" t="n"/>
      <c r="J2276" s="397" t="n"/>
      <c r="K2276" s="395">
        <f>DATE(VALUE(LEFT(A2276,4)),VALUE(MID(A2276,5,2)),VALUE(RIGHT(A2276,2)))</f>
        <v/>
      </c>
      <c r="L2276" s="395">
        <f>DATEVALUE(LEFT(F2276,10))</f>
        <v/>
      </c>
      <c r="M2276" s="396">
        <f>TIMEVALUE(MID(F2276,12,8))</f>
        <v/>
      </c>
      <c r="N2276" s="395">
        <f>DATEVALUE(LEFT(G2276,10))</f>
        <v/>
      </c>
      <c r="O2276" s="396">
        <f>TIMEVALUE(MID(G2276,12,8))</f>
        <v/>
      </c>
      <c r="P2276" s="396">
        <f>IFERROR(_xlfn.MINIFS($M:$M,$E:$E,$E2276,$K:$K,$K2276,$M:$M,"&gt;"&amp;$O2276),"")</f>
        <v/>
      </c>
      <c r="Q2276" s="396">
        <f>IF($P2276="","",$P2276-$O2276)</f>
        <v/>
      </c>
    </row>
    <row r="2277" ht="15" customHeight="1" s="231">
      <c r="A2277" s="397" t="n"/>
      <c r="B2277" s="397" t="n"/>
      <c r="C2277" s="397" t="n"/>
      <c r="D2277" s="397" t="n"/>
      <c r="E2277" s="397" t="n"/>
      <c r="F2277" s="397" t="n"/>
      <c r="G2277" s="397" t="n"/>
      <c r="I2277" s="397" t="n"/>
      <c r="J2277" s="397" t="n"/>
      <c r="K2277" s="395">
        <f>DATE(VALUE(LEFT(A2277,4)),VALUE(MID(A2277,5,2)),VALUE(RIGHT(A2277,2)))</f>
        <v/>
      </c>
      <c r="L2277" s="395">
        <f>DATEVALUE(LEFT(F2277,10))</f>
        <v/>
      </c>
      <c r="M2277" s="396">
        <f>TIMEVALUE(MID(F2277,12,8))</f>
        <v/>
      </c>
      <c r="N2277" s="395">
        <f>DATEVALUE(LEFT(G2277,10))</f>
        <v/>
      </c>
      <c r="O2277" s="396">
        <f>TIMEVALUE(MID(G2277,12,8))</f>
        <v/>
      </c>
      <c r="P2277" s="396">
        <f>IFERROR(_xlfn.MINIFS($M:$M,$E:$E,$E2277,$K:$K,$K2277,$M:$M,"&gt;"&amp;$O2277),"")</f>
        <v/>
      </c>
      <c r="Q2277" s="396">
        <f>IF($P2277="","",$P2277-$O2277)</f>
        <v/>
      </c>
    </row>
    <row r="2278" ht="15" customHeight="1" s="231">
      <c r="A2278" s="397" t="n"/>
      <c r="B2278" s="397" t="n"/>
      <c r="C2278" s="397" t="n"/>
      <c r="D2278" s="397" t="n"/>
      <c r="E2278" s="397" t="n"/>
      <c r="F2278" s="397" t="n"/>
      <c r="G2278" s="397" t="n"/>
      <c r="I2278" s="397" t="n"/>
      <c r="J2278" s="397" t="n"/>
      <c r="K2278" s="395">
        <f>DATE(VALUE(LEFT(A2278,4)),VALUE(MID(A2278,5,2)),VALUE(RIGHT(A2278,2)))</f>
        <v/>
      </c>
      <c r="L2278" s="395">
        <f>DATEVALUE(LEFT(F2278,10))</f>
        <v/>
      </c>
      <c r="M2278" s="396">
        <f>TIMEVALUE(MID(F2278,12,8))</f>
        <v/>
      </c>
      <c r="N2278" s="395">
        <f>DATEVALUE(LEFT(G2278,10))</f>
        <v/>
      </c>
      <c r="O2278" s="396">
        <f>TIMEVALUE(MID(G2278,12,8))</f>
        <v/>
      </c>
      <c r="P2278" s="396">
        <f>IFERROR(_xlfn.MINIFS($M:$M,$E:$E,$E2278,$K:$K,$K2278,$M:$M,"&gt;"&amp;$O2278),"")</f>
        <v/>
      </c>
      <c r="Q2278" s="396">
        <f>IF($P2278="","",$P2278-$O2278)</f>
        <v/>
      </c>
    </row>
    <row r="2279" ht="15" customHeight="1" s="231">
      <c r="A2279" s="397" t="n"/>
      <c r="B2279" s="397" t="n"/>
      <c r="C2279" s="397" t="n"/>
      <c r="D2279" s="397" t="n"/>
      <c r="E2279" s="397" t="n"/>
      <c r="F2279" s="397" t="n"/>
      <c r="G2279" s="397" t="n"/>
      <c r="I2279" s="397" t="n"/>
      <c r="J2279" s="397" t="n"/>
      <c r="K2279" s="395">
        <f>DATE(VALUE(LEFT(A2279,4)),VALUE(MID(A2279,5,2)),VALUE(RIGHT(A2279,2)))</f>
        <v/>
      </c>
      <c r="L2279" s="395">
        <f>DATEVALUE(LEFT(F2279,10))</f>
        <v/>
      </c>
      <c r="M2279" s="396">
        <f>TIMEVALUE(MID(F2279,12,8))</f>
        <v/>
      </c>
      <c r="N2279" s="395">
        <f>DATEVALUE(LEFT(G2279,10))</f>
        <v/>
      </c>
      <c r="O2279" s="396">
        <f>TIMEVALUE(MID(G2279,12,8))</f>
        <v/>
      </c>
      <c r="P2279" s="396">
        <f>IFERROR(_xlfn.MINIFS($M:$M,$E:$E,$E2279,$K:$K,$K2279,$M:$M,"&gt;"&amp;$O2279),"")</f>
        <v/>
      </c>
      <c r="Q2279" s="396">
        <f>IF($P2279="","",$P2279-$O2279)</f>
        <v/>
      </c>
    </row>
    <row r="2280" ht="15" customHeight="1" s="231">
      <c r="A2280" s="397" t="n"/>
      <c r="B2280" s="397" t="n"/>
      <c r="C2280" s="397" t="n"/>
      <c r="D2280" s="397" t="n"/>
      <c r="E2280" s="397" t="n"/>
      <c r="F2280" s="397" t="n"/>
      <c r="G2280" s="397" t="n"/>
      <c r="I2280" s="397" t="n"/>
      <c r="J2280" s="397" t="n"/>
      <c r="K2280" s="395">
        <f>DATE(VALUE(LEFT(A2280,4)),VALUE(MID(A2280,5,2)),VALUE(RIGHT(A2280,2)))</f>
        <v/>
      </c>
      <c r="L2280" s="395">
        <f>DATEVALUE(LEFT(F2280,10))</f>
        <v/>
      </c>
      <c r="M2280" s="396">
        <f>TIMEVALUE(MID(F2280,12,8))</f>
        <v/>
      </c>
      <c r="N2280" s="395">
        <f>DATEVALUE(LEFT(G2280,10))</f>
        <v/>
      </c>
      <c r="O2280" s="396">
        <f>TIMEVALUE(MID(G2280,12,8))</f>
        <v/>
      </c>
      <c r="P2280" s="396">
        <f>IFERROR(_xlfn.MINIFS($M:$M,$E:$E,$E2280,$K:$K,$K2280,$M:$M,"&gt;"&amp;$O2280),"")</f>
        <v/>
      </c>
      <c r="Q2280" s="396">
        <f>IF($P2280="","",$P2280-$O2280)</f>
        <v/>
      </c>
    </row>
    <row r="2281" ht="15" customHeight="1" s="231">
      <c r="A2281" s="397" t="n"/>
      <c r="B2281" s="397" t="n"/>
      <c r="C2281" s="397" t="n"/>
      <c r="D2281" s="397" t="n"/>
      <c r="E2281" s="397" t="n"/>
      <c r="F2281" s="397" t="n"/>
      <c r="G2281" s="397" t="n"/>
      <c r="I2281" s="397" t="n"/>
      <c r="J2281" s="397" t="n"/>
      <c r="K2281" s="395">
        <f>DATE(VALUE(LEFT(A2281,4)),VALUE(MID(A2281,5,2)),VALUE(RIGHT(A2281,2)))</f>
        <v/>
      </c>
      <c r="L2281" s="395">
        <f>DATEVALUE(LEFT(F2281,10))</f>
        <v/>
      </c>
      <c r="M2281" s="396">
        <f>TIMEVALUE(MID(F2281,12,8))</f>
        <v/>
      </c>
      <c r="N2281" s="395">
        <f>DATEVALUE(LEFT(G2281,10))</f>
        <v/>
      </c>
      <c r="O2281" s="396">
        <f>TIMEVALUE(MID(G2281,12,8))</f>
        <v/>
      </c>
      <c r="P2281" s="396">
        <f>IFERROR(_xlfn.MINIFS($M:$M,$E:$E,$E2281,$K:$K,$K2281,$M:$M,"&gt;"&amp;$O2281),"")</f>
        <v/>
      </c>
      <c r="Q2281" s="396">
        <f>IF($P2281="","",$P2281-$O2281)</f>
        <v/>
      </c>
    </row>
    <row r="2282" ht="15" customHeight="1" s="231">
      <c r="A2282" s="397" t="n"/>
      <c r="B2282" s="397" t="n"/>
      <c r="C2282" s="397" t="n"/>
      <c r="D2282" s="397" t="n"/>
      <c r="E2282" s="397" t="n"/>
      <c r="F2282" s="397" t="n"/>
      <c r="G2282" s="397" t="n"/>
      <c r="I2282" s="397" t="n"/>
      <c r="J2282" s="397" t="n"/>
      <c r="K2282" s="395">
        <f>DATE(VALUE(LEFT(A2282,4)),VALUE(MID(A2282,5,2)),VALUE(RIGHT(A2282,2)))</f>
        <v/>
      </c>
      <c r="L2282" s="395">
        <f>DATEVALUE(LEFT(F2282,10))</f>
        <v/>
      </c>
      <c r="M2282" s="396">
        <f>TIMEVALUE(MID(F2282,12,8))</f>
        <v/>
      </c>
      <c r="N2282" s="395">
        <f>DATEVALUE(LEFT(G2282,10))</f>
        <v/>
      </c>
      <c r="O2282" s="396">
        <f>TIMEVALUE(MID(G2282,12,8))</f>
        <v/>
      </c>
      <c r="P2282" s="396">
        <f>IFERROR(_xlfn.MINIFS($M:$M,$E:$E,$E2282,$K:$K,$K2282,$M:$M,"&gt;"&amp;$O2282),"")</f>
        <v/>
      </c>
      <c r="Q2282" s="396">
        <f>IF($P2282="","",$P2282-$O2282)</f>
        <v/>
      </c>
    </row>
    <row r="2283" ht="15" customHeight="1" s="231">
      <c r="A2283" s="397" t="n"/>
      <c r="B2283" s="397" t="n"/>
      <c r="C2283" s="397" t="n"/>
      <c r="D2283" s="397" t="n"/>
      <c r="E2283" s="397" t="n"/>
      <c r="F2283" s="397" t="n"/>
      <c r="G2283" s="397" t="n"/>
      <c r="I2283" s="397" t="n"/>
      <c r="J2283" s="397" t="n"/>
      <c r="K2283" s="395">
        <f>DATE(VALUE(LEFT(A2283,4)),VALUE(MID(A2283,5,2)),VALUE(RIGHT(A2283,2)))</f>
        <v/>
      </c>
      <c r="L2283" s="395">
        <f>DATEVALUE(LEFT(F2283,10))</f>
        <v/>
      </c>
      <c r="M2283" s="396">
        <f>TIMEVALUE(MID(F2283,12,8))</f>
        <v/>
      </c>
      <c r="N2283" s="395">
        <f>DATEVALUE(LEFT(G2283,10))</f>
        <v/>
      </c>
      <c r="O2283" s="396">
        <f>TIMEVALUE(MID(G2283,12,8))</f>
        <v/>
      </c>
      <c r="P2283" s="396">
        <f>IFERROR(_xlfn.MINIFS($M:$M,$E:$E,$E2283,$K:$K,$K2283,$M:$M,"&gt;"&amp;$O2283),"")</f>
        <v/>
      </c>
      <c r="Q2283" s="396">
        <f>IF($P2283="","",$P2283-$O2283)</f>
        <v/>
      </c>
    </row>
    <row r="2284" ht="15" customHeight="1" s="231">
      <c r="A2284" s="397" t="n"/>
      <c r="B2284" s="397" t="n"/>
      <c r="C2284" s="397" t="n"/>
      <c r="D2284" s="397" t="n"/>
      <c r="E2284" s="397" t="n"/>
      <c r="F2284" s="397" t="n"/>
      <c r="G2284" s="397" t="n"/>
      <c r="I2284" s="397" t="n"/>
      <c r="J2284" s="397" t="n"/>
      <c r="K2284" s="395">
        <f>DATE(VALUE(LEFT(A2284,4)),VALUE(MID(A2284,5,2)),VALUE(RIGHT(A2284,2)))</f>
        <v/>
      </c>
      <c r="L2284" s="395">
        <f>DATEVALUE(LEFT(F2284,10))</f>
        <v/>
      </c>
      <c r="M2284" s="396">
        <f>TIMEVALUE(MID(F2284,12,8))</f>
        <v/>
      </c>
      <c r="N2284" s="395">
        <f>DATEVALUE(LEFT(G2284,10))</f>
        <v/>
      </c>
      <c r="O2284" s="396">
        <f>TIMEVALUE(MID(G2284,12,8))</f>
        <v/>
      </c>
      <c r="P2284" s="396">
        <f>IFERROR(_xlfn.MINIFS($M:$M,$E:$E,$E2284,$K:$K,$K2284,$M:$M,"&gt;"&amp;$O2284),"")</f>
        <v/>
      </c>
      <c r="Q2284" s="396">
        <f>IF($P2284="","",$P2284-$O2284)</f>
        <v/>
      </c>
    </row>
    <row r="2285" ht="15" customHeight="1" s="231">
      <c r="A2285" s="397" t="n"/>
      <c r="B2285" s="397" t="n"/>
      <c r="C2285" s="397" t="n"/>
      <c r="D2285" s="397" t="n"/>
      <c r="E2285" s="397" t="n"/>
      <c r="F2285" s="397" t="n"/>
      <c r="G2285" s="397" t="n"/>
      <c r="I2285" s="397" t="n"/>
      <c r="J2285" s="397" t="n"/>
      <c r="K2285" s="395">
        <f>DATE(VALUE(LEFT(A2285,4)),VALUE(MID(A2285,5,2)),VALUE(RIGHT(A2285,2)))</f>
        <v/>
      </c>
      <c r="L2285" s="395">
        <f>DATEVALUE(LEFT(F2285,10))</f>
        <v/>
      </c>
      <c r="M2285" s="396">
        <f>TIMEVALUE(MID(F2285,12,8))</f>
        <v/>
      </c>
      <c r="N2285" s="395">
        <f>DATEVALUE(LEFT(G2285,10))</f>
        <v/>
      </c>
      <c r="O2285" s="396">
        <f>TIMEVALUE(MID(G2285,12,8))</f>
        <v/>
      </c>
      <c r="P2285" s="396">
        <f>IFERROR(_xlfn.MINIFS($M:$M,$E:$E,$E2285,$K:$K,$K2285,$M:$M,"&gt;"&amp;$O2285),"")</f>
        <v/>
      </c>
      <c r="Q2285" s="396">
        <f>IF($P2285="","",$P2285-$O2285)</f>
        <v/>
      </c>
    </row>
    <row r="2286" ht="15" customHeight="1" s="231">
      <c r="A2286" s="397" t="n"/>
      <c r="B2286" s="397" t="n"/>
      <c r="C2286" s="397" t="n"/>
      <c r="D2286" s="397" t="n"/>
      <c r="E2286" s="397" t="n"/>
      <c r="F2286" s="397" t="n"/>
      <c r="G2286" s="397" t="n"/>
      <c r="I2286" s="397" t="n"/>
      <c r="J2286" s="397" t="n"/>
      <c r="K2286" s="395">
        <f>DATE(VALUE(LEFT(A2286,4)),VALUE(MID(A2286,5,2)),VALUE(RIGHT(A2286,2)))</f>
        <v/>
      </c>
      <c r="L2286" s="395">
        <f>DATEVALUE(LEFT(F2286,10))</f>
        <v/>
      </c>
      <c r="M2286" s="396">
        <f>TIMEVALUE(MID(F2286,12,8))</f>
        <v/>
      </c>
      <c r="N2286" s="395">
        <f>DATEVALUE(LEFT(G2286,10))</f>
        <v/>
      </c>
      <c r="O2286" s="396">
        <f>TIMEVALUE(MID(G2286,12,8))</f>
        <v/>
      </c>
      <c r="P2286" s="396">
        <f>IFERROR(_xlfn.MINIFS($M:$M,$E:$E,$E2286,$K:$K,$K2286,$M:$M,"&gt;"&amp;$O2286),"")</f>
        <v/>
      </c>
      <c r="Q2286" s="396">
        <f>IF($P2286="","",$P2286-$O2286)</f>
        <v/>
      </c>
    </row>
    <row r="2287" ht="15" customHeight="1" s="231">
      <c r="A2287" s="397" t="n"/>
      <c r="B2287" s="397" t="n"/>
      <c r="C2287" s="397" t="n"/>
      <c r="D2287" s="397" t="n"/>
      <c r="E2287" s="397" t="n"/>
      <c r="F2287" s="397" t="n"/>
      <c r="G2287" s="397" t="n"/>
      <c r="I2287" s="397" t="n"/>
      <c r="J2287" s="397" t="n"/>
      <c r="K2287" s="395">
        <f>DATE(VALUE(LEFT(A2287,4)),VALUE(MID(A2287,5,2)),VALUE(RIGHT(A2287,2)))</f>
        <v/>
      </c>
      <c r="L2287" s="395">
        <f>DATEVALUE(LEFT(F2287,10))</f>
        <v/>
      </c>
      <c r="M2287" s="396">
        <f>TIMEVALUE(MID(F2287,12,8))</f>
        <v/>
      </c>
      <c r="N2287" s="395">
        <f>DATEVALUE(LEFT(G2287,10))</f>
        <v/>
      </c>
      <c r="O2287" s="396">
        <f>TIMEVALUE(MID(G2287,12,8))</f>
        <v/>
      </c>
      <c r="P2287" s="396">
        <f>IFERROR(_xlfn.MINIFS($M:$M,$E:$E,$E2287,$K:$K,$K2287,$M:$M,"&gt;"&amp;$O2287),"")</f>
        <v/>
      </c>
      <c r="Q2287" s="396">
        <f>IF($P2287="","",$P2287-$O2287)</f>
        <v/>
      </c>
    </row>
    <row r="2288" ht="15" customHeight="1" s="231">
      <c r="A2288" s="397" t="n"/>
      <c r="B2288" s="397" t="n"/>
      <c r="C2288" s="397" t="n"/>
      <c r="D2288" s="397" t="n"/>
      <c r="E2288" s="397" t="n"/>
      <c r="F2288" s="397" t="n"/>
      <c r="G2288" s="397" t="n"/>
      <c r="I2288" s="397" t="n"/>
      <c r="J2288" s="397" t="n"/>
      <c r="K2288" s="395">
        <f>DATE(VALUE(LEFT(A2288,4)),VALUE(MID(A2288,5,2)),VALUE(RIGHT(A2288,2)))</f>
        <v/>
      </c>
      <c r="L2288" s="395">
        <f>DATEVALUE(LEFT(F2288,10))</f>
        <v/>
      </c>
      <c r="M2288" s="396">
        <f>TIMEVALUE(MID(F2288,12,8))</f>
        <v/>
      </c>
      <c r="N2288" s="395">
        <f>DATEVALUE(LEFT(G2288,10))</f>
        <v/>
      </c>
      <c r="O2288" s="396">
        <f>TIMEVALUE(MID(G2288,12,8))</f>
        <v/>
      </c>
      <c r="P2288" s="396">
        <f>IFERROR(_xlfn.MINIFS($M:$M,$E:$E,$E2288,$K:$K,$K2288,$M:$M,"&gt;"&amp;$O2288),"")</f>
        <v/>
      </c>
      <c r="Q2288" s="396">
        <f>IF($P2288="","",$P2288-$O2288)</f>
        <v/>
      </c>
    </row>
    <row r="2289" ht="15" customHeight="1" s="231">
      <c r="A2289" s="397" t="n"/>
      <c r="B2289" s="397" t="n"/>
      <c r="C2289" s="397" t="n"/>
      <c r="D2289" s="397" t="n"/>
      <c r="E2289" s="397" t="n"/>
      <c r="F2289" s="397" t="n"/>
      <c r="G2289" s="397" t="n"/>
      <c r="I2289" s="397" t="n"/>
      <c r="J2289" s="397" t="n"/>
      <c r="K2289" s="395">
        <f>DATE(VALUE(LEFT(A2289,4)),VALUE(MID(A2289,5,2)),VALUE(RIGHT(A2289,2)))</f>
        <v/>
      </c>
      <c r="L2289" s="395">
        <f>DATEVALUE(LEFT(F2289,10))</f>
        <v/>
      </c>
      <c r="M2289" s="396">
        <f>TIMEVALUE(MID(F2289,12,8))</f>
        <v/>
      </c>
      <c r="N2289" s="395">
        <f>DATEVALUE(LEFT(G2289,10))</f>
        <v/>
      </c>
      <c r="O2289" s="396">
        <f>TIMEVALUE(MID(G2289,12,8))</f>
        <v/>
      </c>
      <c r="P2289" s="396">
        <f>IFERROR(_xlfn.MINIFS($M:$M,$E:$E,$E2289,$K:$K,$K2289,$M:$M,"&gt;"&amp;$O2289),"")</f>
        <v/>
      </c>
      <c r="Q2289" s="396">
        <f>IF($P2289="","",$P2289-$O2289)</f>
        <v/>
      </c>
    </row>
    <row r="2290" ht="15" customHeight="1" s="231">
      <c r="A2290" s="397" t="n"/>
      <c r="B2290" s="397" t="n"/>
      <c r="C2290" s="397" t="n"/>
      <c r="D2290" s="397" t="n"/>
      <c r="E2290" s="397" t="n"/>
      <c r="F2290" s="397" t="n"/>
      <c r="G2290" s="397" t="n"/>
      <c r="I2290" s="397" t="n"/>
      <c r="J2290" s="397" t="n"/>
      <c r="K2290" s="395">
        <f>DATE(VALUE(LEFT(A2290,4)),VALUE(MID(A2290,5,2)),VALUE(RIGHT(A2290,2)))</f>
        <v/>
      </c>
      <c r="L2290" s="395">
        <f>DATEVALUE(LEFT(F2290,10))</f>
        <v/>
      </c>
      <c r="M2290" s="396">
        <f>TIMEVALUE(MID(F2290,12,8))</f>
        <v/>
      </c>
      <c r="N2290" s="395">
        <f>DATEVALUE(LEFT(G2290,10))</f>
        <v/>
      </c>
      <c r="O2290" s="396">
        <f>TIMEVALUE(MID(G2290,12,8))</f>
        <v/>
      </c>
      <c r="P2290" s="396">
        <f>IFERROR(_xlfn.MINIFS($M:$M,$E:$E,$E2290,$K:$K,$K2290,$M:$M,"&gt;"&amp;$O2290),"")</f>
        <v/>
      </c>
      <c r="Q2290" s="396">
        <f>IF($P2290="","",$P2290-$O2290)</f>
        <v/>
      </c>
    </row>
    <row r="2291" ht="15" customHeight="1" s="231">
      <c r="A2291" s="397" t="n"/>
      <c r="B2291" s="397" t="n"/>
      <c r="C2291" s="397" t="n"/>
      <c r="D2291" s="397" t="n"/>
      <c r="E2291" s="397" t="n"/>
      <c r="F2291" s="397" t="n"/>
      <c r="G2291" s="397" t="n"/>
      <c r="I2291" s="397" t="n"/>
      <c r="J2291" s="397" t="n"/>
      <c r="K2291" s="395">
        <f>DATE(VALUE(LEFT(A2291,4)),VALUE(MID(A2291,5,2)),VALUE(RIGHT(A2291,2)))</f>
        <v/>
      </c>
      <c r="L2291" s="395">
        <f>DATEVALUE(LEFT(F2291,10))</f>
        <v/>
      </c>
      <c r="M2291" s="396">
        <f>TIMEVALUE(MID(F2291,12,8))</f>
        <v/>
      </c>
      <c r="N2291" s="395">
        <f>DATEVALUE(LEFT(G2291,10))</f>
        <v/>
      </c>
      <c r="O2291" s="396">
        <f>TIMEVALUE(MID(G2291,12,8))</f>
        <v/>
      </c>
      <c r="P2291" s="396">
        <f>IFERROR(_xlfn.MINIFS($M:$M,$E:$E,$E2291,$K:$K,$K2291,$M:$M,"&gt;"&amp;$O2291),"")</f>
        <v/>
      </c>
      <c r="Q2291" s="396">
        <f>IF($P2291="","",$P2291-$O2291)</f>
        <v/>
      </c>
    </row>
    <row r="2292" ht="15" customHeight="1" s="231">
      <c r="A2292" s="397" t="n"/>
      <c r="B2292" s="397" t="n"/>
      <c r="C2292" s="397" t="n"/>
      <c r="D2292" s="397" t="n"/>
      <c r="E2292" s="397" t="n"/>
      <c r="F2292" s="397" t="n"/>
      <c r="G2292" s="397" t="n"/>
      <c r="I2292" s="397" t="n"/>
      <c r="J2292" s="397" t="n"/>
      <c r="K2292" s="395">
        <f>DATE(VALUE(LEFT(A2292,4)),VALUE(MID(A2292,5,2)),VALUE(RIGHT(A2292,2)))</f>
        <v/>
      </c>
      <c r="L2292" s="395">
        <f>DATEVALUE(LEFT(F2292,10))</f>
        <v/>
      </c>
      <c r="M2292" s="396">
        <f>TIMEVALUE(MID(F2292,12,8))</f>
        <v/>
      </c>
      <c r="N2292" s="395">
        <f>DATEVALUE(LEFT(G2292,10))</f>
        <v/>
      </c>
      <c r="O2292" s="396">
        <f>TIMEVALUE(MID(G2292,12,8))</f>
        <v/>
      </c>
      <c r="P2292" s="396">
        <f>IFERROR(_xlfn.MINIFS($M:$M,$E:$E,$E2292,$K:$K,$K2292,$M:$M,"&gt;"&amp;$O2292),"")</f>
        <v/>
      </c>
      <c r="Q2292" s="396">
        <f>IF($P2292="","",$P2292-$O2292)</f>
        <v/>
      </c>
    </row>
    <row r="2293" ht="15" customHeight="1" s="231">
      <c r="A2293" s="397" t="n"/>
      <c r="B2293" s="397" t="n"/>
      <c r="C2293" s="397" t="n"/>
      <c r="D2293" s="397" t="n"/>
      <c r="E2293" s="397" t="n"/>
      <c r="F2293" s="397" t="n"/>
      <c r="G2293" s="397" t="n"/>
      <c r="I2293" s="397" t="n"/>
      <c r="J2293" s="397" t="n"/>
      <c r="K2293" s="395">
        <f>DATE(VALUE(LEFT(A2293,4)),VALUE(MID(A2293,5,2)),VALUE(RIGHT(A2293,2)))</f>
        <v/>
      </c>
      <c r="L2293" s="395">
        <f>DATEVALUE(LEFT(F2293,10))</f>
        <v/>
      </c>
      <c r="M2293" s="396">
        <f>TIMEVALUE(MID(F2293,12,8))</f>
        <v/>
      </c>
      <c r="N2293" s="395">
        <f>DATEVALUE(LEFT(G2293,10))</f>
        <v/>
      </c>
      <c r="O2293" s="396">
        <f>TIMEVALUE(MID(G2293,12,8))</f>
        <v/>
      </c>
      <c r="P2293" s="396">
        <f>IFERROR(_xlfn.MINIFS($M:$M,$E:$E,$E2293,$K:$K,$K2293,$M:$M,"&gt;"&amp;$O2293),"")</f>
        <v/>
      </c>
      <c r="Q2293" s="396">
        <f>IF($P2293="","",$P2293-$O2293)</f>
        <v/>
      </c>
    </row>
    <row r="2294" ht="15" customHeight="1" s="231">
      <c r="A2294" s="397" t="n"/>
      <c r="B2294" s="397" t="n"/>
      <c r="C2294" s="397" t="n"/>
      <c r="D2294" s="397" t="n"/>
      <c r="E2294" s="397" t="n"/>
      <c r="F2294" s="397" t="n"/>
      <c r="G2294" s="397" t="n"/>
      <c r="I2294" s="397" t="n"/>
      <c r="J2294" s="397" t="n"/>
      <c r="K2294" s="395">
        <f>DATE(VALUE(LEFT(A2294,4)),VALUE(MID(A2294,5,2)),VALUE(RIGHT(A2294,2)))</f>
        <v/>
      </c>
      <c r="L2294" s="395">
        <f>DATEVALUE(LEFT(F2294,10))</f>
        <v/>
      </c>
      <c r="M2294" s="396">
        <f>TIMEVALUE(MID(F2294,12,8))</f>
        <v/>
      </c>
      <c r="N2294" s="395">
        <f>DATEVALUE(LEFT(G2294,10))</f>
        <v/>
      </c>
      <c r="O2294" s="396">
        <f>TIMEVALUE(MID(G2294,12,8))</f>
        <v/>
      </c>
      <c r="P2294" s="396">
        <f>IFERROR(_xlfn.MINIFS($M:$M,$E:$E,$E2294,$K:$K,$K2294,$M:$M,"&gt;"&amp;$O2294),"")</f>
        <v/>
      </c>
      <c r="Q2294" s="396">
        <f>IF($P2294="","",$P2294-$O2294)</f>
        <v/>
      </c>
    </row>
    <row r="2295" ht="15" customHeight="1" s="231">
      <c r="A2295" s="397" t="n"/>
      <c r="B2295" s="397" t="n"/>
      <c r="C2295" s="397" t="n"/>
      <c r="D2295" s="397" t="n"/>
      <c r="E2295" s="397" t="n"/>
      <c r="F2295" s="397" t="n"/>
      <c r="G2295" s="397" t="n"/>
      <c r="I2295" s="397" t="n"/>
      <c r="J2295" s="397" t="n"/>
      <c r="K2295" s="395">
        <f>DATE(VALUE(LEFT(A2295,4)),VALUE(MID(A2295,5,2)),VALUE(RIGHT(A2295,2)))</f>
        <v/>
      </c>
      <c r="L2295" s="395">
        <f>DATEVALUE(LEFT(F2295,10))</f>
        <v/>
      </c>
      <c r="M2295" s="396">
        <f>TIMEVALUE(MID(F2295,12,8))</f>
        <v/>
      </c>
      <c r="N2295" s="395">
        <f>DATEVALUE(LEFT(G2295,10))</f>
        <v/>
      </c>
      <c r="O2295" s="396">
        <f>TIMEVALUE(MID(G2295,12,8))</f>
        <v/>
      </c>
      <c r="P2295" s="396">
        <f>IFERROR(_xlfn.MINIFS($M:$M,$E:$E,$E2295,$K:$K,$K2295,$M:$M,"&gt;"&amp;$O2295),"")</f>
        <v/>
      </c>
      <c r="Q2295" s="396">
        <f>IF($P2295="","",$P2295-$O2295)</f>
        <v/>
      </c>
    </row>
    <row r="2296" ht="15" customHeight="1" s="231">
      <c r="A2296" s="397" t="n"/>
      <c r="B2296" s="397" t="n"/>
      <c r="C2296" s="397" t="n"/>
      <c r="D2296" s="397" t="n"/>
      <c r="E2296" s="397" t="n"/>
      <c r="F2296" s="397" t="n"/>
      <c r="G2296" s="397" t="n"/>
      <c r="I2296" s="397" t="n"/>
      <c r="J2296" s="397" t="n"/>
      <c r="K2296" s="395">
        <f>DATE(VALUE(LEFT(A2296,4)),VALUE(MID(A2296,5,2)),VALUE(RIGHT(A2296,2)))</f>
        <v/>
      </c>
      <c r="L2296" s="395">
        <f>DATEVALUE(LEFT(F2296,10))</f>
        <v/>
      </c>
      <c r="M2296" s="396">
        <f>TIMEVALUE(MID(F2296,12,8))</f>
        <v/>
      </c>
      <c r="N2296" s="395">
        <f>DATEVALUE(LEFT(G2296,10))</f>
        <v/>
      </c>
      <c r="O2296" s="396">
        <f>TIMEVALUE(MID(G2296,12,8))</f>
        <v/>
      </c>
      <c r="P2296" s="396">
        <f>IFERROR(_xlfn.MINIFS($M:$M,$E:$E,$E2296,$K:$K,$K2296,$M:$M,"&gt;"&amp;$O2296),"")</f>
        <v/>
      </c>
      <c r="Q2296" s="396">
        <f>IF($P2296="","",$P2296-$O2296)</f>
        <v/>
      </c>
    </row>
    <row r="2297" ht="15" customHeight="1" s="231">
      <c r="A2297" s="397" t="n"/>
      <c r="B2297" s="397" t="n"/>
      <c r="C2297" s="397" t="n"/>
      <c r="D2297" s="397" t="n"/>
      <c r="E2297" s="397" t="n"/>
      <c r="F2297" s="397" t="n"/>
      <c r="G2297" s="397" t="n"/>
      <c r="I2297" s="397" t="n"/>
      <c r="J2297" s="397" t="n"/>
      <c r="K2297" s="395">
        <f>DATE(VALUE(LEFT(A2297,4)),VALUE(MID(A2297,5,2)),VALUE(RIGHT(A2297,2)))</f>
        <v/>
      </c>
      <c r="L2297" s="395">
        <f>DATEVALUE(LEFT(F2297,10))</f>
        <v/>
      </c>
      <c r="M2297" s="396">
        <f>TIMEVALUE(MID(F2297,12,8))</f>
        <v/>
      </c>
      <c r="N2297" s="395">
        <f>DATEVALUE(LEFT(G2297,10))</f>
        <v/>
      </c>
      <c r="O2297" s="396">
        <f>TIMEVALUE(MID(G2297,12,8))</f>
        <v/>
      </c>
      <c r="P2297" s="396">
        <f>IFERROR(_xlfn.MINIFS($M:$M,$E:$E,$E2297,$K:$K,$K2297,$M:$M,"&gt;"&amp;$O2297),"")</f>
        <v/>
      </c>
      <c r="Q2297" s="396">
        <f>IF($P2297="","",$P2297-$O2297)</f>
        <v/>
      </c>
    </row>
    <row r="2298" ht="15" customHeight="1" s="231">
      <c r="A2298" s="397" t="n"/>
      <c r="B2298" s="397" t="n"/>
      <c r="C2298" s="397" t="n"/>
      <c r="D2298" s="397" t="n"/>
      <c r="E2298" s="397" t="n"/>
      <c r="F2298" s="397" t="n"/>
      <c r="G2298" s="397" t="n"/>
      <c r="I2298" s="397" t="n"/>
      <c r="J2298" s="397" t="n"/>
      <c r="K2298" s="395">
        <f>DATE(VALUE(LEFT(A2298,4)),VALUE(MID(A2298,5,2)),VALUE(RIGHT(A2298,2)))</f>
        <v/>
      </c>
      <c r="L2298" s="395">
        <f>DATEVALUE(LEFT(F2298,10))</f>
        <v/>
      </c>
      <c r="M2298" s="396">
        <f>TIMEVALUE(MID(F2298,12,8))</f>
        <v/>
      </c>
      <c r="N2298" s="395">
        <f>DATEVALUE(LEFT(G2298,10))</f>
        <v/>
      </c>
      <c r="O2298" s="396">
        <f>TIMEVALUE(MID(G2298,12,8))</f>
        <v/>
      </c>
      <c r="P2298" s="396">
        <f>IFERROR(_xlfn.MINIFS($M:$M,$E:$E,$E2298,$K:$K,$K2298,$M:$M,"&gt;"&amp;$O2298),"")</f>
        <v/>
      </c>
      <c r="Q2298" s="396">
        <f>IF($P2298="","",$P2298-$O2298)</f>
        <v/>
      </c>
    </row>
    <row r="2299" ht="15" customHeight="1" s="231">
      <c r="A2299" s="397" t="n"/>
      <c r="B2299" s="397" t="n"/>
      <c r="C2299" s="397" t="n"/>
      <c r="D2299" s="397" t="n"/>
      <c r="E2299" s="397" t="n"/>
      <c r="F2299" s="397" t="n"/>
      <c r="G2299" s="397" t="n"/>
      <c r="I2299" s="397" t="n"/>
      <c r="J2299" s="397" t="n"/>
      <c r="K2299" s="395">
        <f>DATE(VALUE(LEFT(A2299,4)),VALUE(MID(A2299,5,2)),VALUE(RIGHT(A2299,2)))</f>
        <v/>
      </c>
      <c r="L2299" s="395">
        <f>DATEVALUE(LEFT(F2299,10))</f>
        <v/>
      </c>
      <c r="M2299" s="396">
        <f>TIMEVALUE(MID(F2299,12,8))</f>
        <v/>
      </c>
      <c r="N2299" s="395">
        <f>DATEVALUE(LEFT(G2299,10))</f>
        <v/>
      </c>
      <c r="O2299" s="396">
        <f>TIMEVALUE(MID(G2299,12,8))</f>
        <v/>
      </c>
      <c r="P2299" s="396">
        <f>IFERROR(_xlfn.MINIFS($M:$M,$E:$E,$E2299,$K:$K,$K2299,$M:$M,"&gt;"&amp;$O2299),"")</f>
        <v/>
      </c>
      <c r="Q2299" s="396">
        <f>IF($P2299="","",$P2299-$O2299)</f>
        <v/>
      </c>
    </row>
    <row r="2300" ht="15" customHeight="1" s="231">
      <c r="A2300" s="397" t="n"/>
      <c r="B2300" s="397" t="n"/>
      <c r="C2300" s="397" t="n"/>
      <c r="D2300" s="397" t="n"/>
      <c r="E2300" s="397" t="n"/>
      <c r="F2300" s="397" t="n"/>
      <c r="G2300" s="397" t="n"/>
      <c r="I2300" s="397" t="n"/>
      <c r="J2300" s="397" t="n"/>
      <c r="K2300" s="395">
        <f>DATE(VALUE(LEFT(A2300,4)),VALUE(MID(A2300,5,2)),VALUE(RIGHT(A2300,2)))</f>
        <v/>
      </c>
      <c r="L2300" s="395">
        <f>DATEVALUE(LEFT(F2300,10))</f>
        <v/>
      </c>
      <c r="M2300" s="396">
        <f>TIMEVALUE(MID(F2300,12,8))</f>
        <v/>
      </c>
      <c r="N2300" s="395">
        <f>DATEVALUE(LEFT(G2300,10))</f>
        <v/>
      </c>
      <c r="O2300" s="396">
        <f>TIMEVALUE(MID(G2300,12,8))</f>
        <v/>
      </c>
      <c r="P2300" s="396">
        <f>IFERROR(_xlfn.MINIFS($M:$M,$E:$E,$E2300,$K:$K,$K2300,$M:$M,"&gt;"&amp;$O2300),"")</f>
        <v/>
      </c>
      <c r="Q2300" s="396">
        <f>IF($P2300="","",$P2300-$O2300)</f>
        <v/>
      </c>
    </row>
    <row r="2301" ht="15" customHeight="1" s="231">
      <c r="A2301" s="397" t="n"/>
      <c r="B2301" s="397" t="n"/>
      <c r="C2301" s="397" t="n"/>
      <c r="D2301" s="397" t="n"/>
      <c r="E2301" s="397" t="n"/>
      <c r="F2301" s="397" t="n"/>
      <c r="G2301" s="397" t="n"/>
      <c r="I2301" s="397" t="n"/>
      <c r="J2301" s="397" t="n"/>
      <c r="K2301" s="395">
        <f>DATE(VALUE(LEFT(A2301,4)),VALUE(MID(A2301,5,2)),VALUE(RIGHT(A2301,2)))</f>
        <v/>
      </c>
      <c r="L2301" s="395">
        <f>DATEVALUE(LEFT(F2301,10))</f>
        <v/>
      </c>
      <c r="M2301" s="396">
        <f>TIMEVALUE(MID(F2301,12,8))</f>
        <v/>
      </c>
      <c r="N2301" s="395">
        <f>DATEVALUE(LEFT(G2301,10))</f>
        <v/>
      </c>
      <c r="O2301" s="396">
        <f>TIMEVALUE(MID(G2301,12,8))</f>
        <v/>
      </c>
      <c r="P2301" s="396">
        <f>IFERROR(_xlfn.MINIFS($M:$M,$E:$E,$E2301,$K:$K,$K2301,$M:$M,"&gt;"&amp;$O2301),"")</f>
        <v/>
      </c>
      <c r="Q2301" s="396">
        <f>IF($P2301="","",$P2301-$O2301)</f>
        <v/>
      </c>
    </row>
    <row r="2302" ht="15" customHeight="1" s="231">
      <c r="A2302" s="397" t="n"/>
      <c r="B2302" s="397" t="n"/>
      <c r="C2302" s="397" t="n"/>
      <c r="D2302" s="397" t="n"/>
      <c r="E2302" s="397" t="n"/>
      <c r="F2302" s="397" t="n"/>
      <c r="G2302" s="397" t="n"/>
      <c r="I2302" s="397" t="n"/>
      <c r="J2302" s="397" t="n"/>
      <c r="K2302" s="395">
        <f>DATE(VALUE(LEFT(A2302,4)),VALUE(MID(A2302,5,2)),VALUE(RIGHT(A2302,2)))</f>
        <v/>
      </c>
      <c r="L2302" s="395">
        <f>DATEVALUE(LEFT(F2302,10))</f>
        <v/>
      </c>
      <c r="M2302" s="396">
        <f>TIMEVALUE(MID(F2302,12,8))</f>
        <v/>
      </c>
      <c r="N2302" s="395">
        <f>DATEVALUE(LEFT(G2302,10))</f>
        <v/>
      </c>
      <c r="O2302" s="396">
        <f>TIMEVALUE(MID(G2302,12,8))</f>
        <v/>
      </c>
      <c r="P2302" s="396">
        <f>IFERROR(_xlfn.MINIFS($M:$M,$E:$E,$E2302,$K:$K,$K2302,$M:$M,"&gt;"&amp;$O2302),"")</f>
        <v/>
      </c>
      <c r="Q2302" s="396">
        <f>IF($P2302="","",$P2302-$O2302)</f>
        <v/>
      </c>
    </row>
    <row r="2303" ht="15" customHeight="1" s="231">
      <c r="A2303" s="397" t="n"/>
      <c r="B2303" s="397" t="n"/>
      <c r="C2303" s="397" t="n"/>
      <c r="D2303" s="397" t="n"/>
      <c r="E2303" s="397" t="n"/>
      <c r="F2303" s="397" t="n"/>
      <c r="G2303" s="397" t="n"/>
      <c r="I2303" s="397" t="n"/>
      <c r="J2303" s="397" t="n"/>
      <c r="K2303" s="395">
        <f>DATE(VALUE(LEFT(A2303,4)),VALUE(MID(A2303,5,2)),VALUE(RIGHT(A2303,2)))</f>
        <v/>
      </c>
      <c r="L2303" s="395">
        <f>DATEVALUE(LEFT(F2303,10))</f>
        <v/>
      </c>
      <c r="M2303" s="396">
        <f>TIMEVALUE(MID(F2303,12,8))</f>
        <v/>
      </c>
      <c r="N2303" s="395">
        <f>DATEVALUE(LEFT(G2303,10))</f>
        <v/>
      </c>
      <c r="O2303" s="396">
        <f>TIMEVALUE(MID(G2303,12,8))</f>
        <v/>
      </c>
      <c r="P2303" s="396">
        <f>IFERROR(_xlfn.MINIFS($M:$M,$E:$E,$E2303,$K:$K,$K2303,$M:$M,"&gt;"&amp;$O2303),"")</f>
        <v/>
      </c>
      <c r="Q2303" s="396">
        <f>IF($P2303="","",$P2303-$O2303)</f>
        <v/>
      </c>
    </row>
    <row r="2304" ht="15" customHeight="1" s="231">
      <c r="A2304" s="397" t="n"/>
      <c r="B2304" s="397" t="n"/>
      <c r="C2304" s="397" t="n"/>
      <c r="D2304" s="397" t="n"/>
      <c r="E2304" s="397" t="n"/>
      <c r="F2304" s="397" t="n"/>
      <c r="G2304" s="397" t="n"/>
      <c r="I2304" s="397" t="n"/>
      <c r="J2304" s="397" t="n"/>
      <c r="K2304" s="395">
        <f>DATE(VALUE(LEFT(A2304,4)),VALUE(MID(A2304,5,2)),VALUE(RIGHT(A2304,2)))</f>
        <v/>
      </c>
      <c r="L2304" s="395">
        <f>DATEVALUE(LEFT(F2304,10))</f>
        <v/>
      </c>
      <c r="M2304" s="396">
        <f>TIMEVALUE(MID(F2304,12,8))</f>
        <v/>
      </c>
      <c r="N2304" s="395">
        <f>DATEVALUE(LEFT(G2304,10))</f>
        <v/>
      </c>
      <c r="O2304" s="396">
        <f>TIMEVALUE(MID(G2304,12,8))</f>
        <v/>
      </c>
      <c r="P2304" s="396">
        <f>IFERROR(_xlfn.MINIFS($M:$M,$E:$E,$E2304,$K:$K,$K2304,$M:$M,"&gt;"&amp;$O2304),"")</f>
        <v/>
      </c>
      <c r="Q2304" s="396">
        <f>IF($P2304="","",$P2304-$O2304)</f>
        <v/>
      </c>
    </row>
    <row r="2305" ht="15" customHeight="1" s="231">
      <c r="A2305" s="397" t="n"/>
      <c r="B2305" s="397" t="n"/>
      <c r="C2305" s="397" t="n"/>
      <c r="D2305" s="397" t="n"/>
      <c r="E2305" s="397" t="n"/>
      <c r="F2305" s="397" t="n"/>
      <c r="G2305" s="397" t="n"/>
      <c r="I2305" s="397" t="n"/>
      <c r="J2305" s="397" t="n"/>
      <c r="K2305" s="395">
        <f>DATE(VALUE(LEFT(A2305,4)),VALUE(MID(A2305,5,2)),VALUE(RIGHT(A2305,2)))</f>
        <v/>
      </c>
      <c r="L2305" s="395">
        <f>DATEVALUE(LEFT(F2305,10))</f>
        <v/>
      </c>
      <c r="M2305" s="396">
        <f>TIMEVALUE(MID(F2305,12,8))</f>
        <v/>
      </c>
      <c r="N2305" s="395">
        <f>DATEVALUE(LEFT(G2305,10))</f>
        <v/>
      </c>
      <c r="O2305" s="396">
        <f>TIMEVALUE(MID(G2305,12,8))</f>
        <v/>
      </c>
      <c r="P2305" s="396">
        <f>IFERROR(_xlfn.MINIFS($M:$M,$E:$E,$E2305,$K:$K,$K2305,$M:$M,"&gt;"&amp;$O2305),"")</f>
        <v/>
      </c>
      <c r="Q2305" s="396">
        <f>IF($P2305="","",$P2305-$O2305)</f>
        <v/>
      </c>
    </row>
    <row r="2306" ht="15" customHeight="1" s="231">
      <c r="A2306" s="397" t="n"/>
      <c r="B2306" s="397" t="n"/>
      <c r="C2306" s="397" t="n"/>
      <c r="D2306" s="397" t="n"/>
      <c r="E2306" s="397" t="n"/>
      <c r="F2306" s="397" t="n"/>
      <c r="G2306" s="397" t="n"/>
      <c r="I2306" s="397" t="n"/>
      <c r="J2306" s="397" t="n"/>
      <c r="K2306" s="395">
        <f>DATE(VALUE(LEFT(A2306,4)),VALUE(MID(A2306,5,2)),VALUE(RIGHT(A2306,2)))</f>
        <v/>
      </c>
      <c r="L2306" s="395">
        <f>DATEVALUE(LEFT(F2306,10))</f>
        <v/>
      </c>
      <c r="M2306" s="396">
        <f>TIMEVALUE(MID(F2306,12,8))</f>
        <v/>
      </c>
      <c r="N2306" s="395">
        <f>DATEVALUE(LEFT(G2306,10))</f>
        <v/>
      </c>
      <c r="O2306" s="396">
        <f>TIMEVALUE(MID(G2306,12,8))</f>
        <v/>
      </c>
      <c r="P2306" s="396">
        <f>IFERROR(_xlfn.MINIFS($M:$M,$E:$E,$E2306,$K:$K,$K2306,$M:$M,"&gt;"&amp;$O2306),"")</f>
        <v/>
      </c>
      <c r="Q2306" s="396">
        <f>IF($P2306="","",$P2306-$O2306)</f>
        <v/>
      </c>
    </row>
    <row r="2307" ht="15" customHeight="1" s="231">
      <c r="A2307" s="397" t="n"/>
      <c r="B2307" s="397" t="n"/>
      <c r="C2307" s="397" t="n"/>
      <c r="D2307" s="397" t="n"/>
      <c r="E2307" s="397" t="n"/>
      <c r="F2307" s="397" t="n"/>
      <c r="G2307" s="397" t="n"/>
      <c r="I2307" s="397" t="n"/>
      <c r="J2307" s="397" t="n"/>
      <c r="K2307" s="395">
        <f>DATE(VALUE(LEFT(A2307,4)),VALUE(MID(A2307,5,2)),VALUE(RIGHT(A2307,2)))</f>
        <v/>
      </c>
      <c r="L2307" s="395">
        <f>DATEVALUE(LEFT(F2307,10))</f>
        <v/>
      </c>
      <c r="M2307" s="396">
        <f>TIMEVALUE(MID(F2307,12,8))</f>
        <v/>
      </c>
      <c r="N2307" s="395">
        <f>DATEVALUE(LEFT(G2307,10))</f>
        <v/>
      </c>
      <c r="O2307" s="396">
        <f>TIMEVALUE(MID(G2307,12,8))</f>
        <v/>
      </c>
      <c r="P2307" s="396">
        <f>IFERROR(_xlfn.MINIFS($M:$M,$E:$E,$E2307,$K:$K,$K2307,$M:$M,"&gt;"&amp;$O2307),"")</f>
        <v/>
      </c>
      <c r="Q2307" s="396">
        <f>IF($P2307="","",$P2307-$O2307)</f>
        <v/>
      </c>
    </row>
    <row r="2308" ht="15" customHeight="1" s="231">
      <c r="A2308" s="397" t="n"/>
      <c r="B2308" s="397" t="n"/>
      <c r="C2308" s="397" t="n"/>
      <c r="D2308" s="397" t="n"/>
      <c r="E2308" s="397" t="n"/>
      <c r="F2308" s="397" t="n"/>
      <c r="G2308" s="397" t="n"/>
      <c r="I2308" s="397" t="n"/>
      <c r="J2308" s="397" t="n"/>
      <c r="K2308" s="395">
        <f>DATE(VALUE(LEFT(A2308,4)),VALUE(MID(A2308,5,2)),VALUE(RIGHT(A2308,2)))</f>
        <v/>
      </c>
      <c r="L2308" s="395">
        <f>DATEVALUE(LEFT(F2308,10))</f>
        <v/>
      </c>
      <c r="M2308" s="396">
        <f>TIMEVALUE(MID(F2308,12,8))</f>
        <v/>
      </c>
      <c r="N2308" s="395">
        <f>DATEVALUE(LEFT(G2308,10))</f>
        <v/>
      </c>
      <c r="O2308" s="396">
        <f>TIMEVALUE(MID(G2308,12,8))</f>
        <v/>
      </c>
      <c r="P2308" s="396">
        <f>IFERROR(_xlfn.MINIFS($M:$M,$E:$E,$E2308,$K:$K,$K2308,$M:$M,"&gt;"&amp;$O2308),"")</f>
        <v/>
      </c>
      <c r="Q2308" s="396">
        <f>IF($P2308="","",$P2308-$O2308)</f>
        <v/>
      </c>
    </row>
    <row r="2309" ht="15" customHeight="1" s="231">
      <c r="A2309" s="397" t="n"/>
      <c r="B2309" s="397" t="n"/>
      <c r="C2309" s="397" t="n"/>
      <c r="D2309" s="397" t="n"/>
      <c r="E2309" s="397" t="n"/>
      <c r="F2309" s="397" t="n"/>
      <c r="G2309" s="397" t="n"/>
      <c r="I2309" s="397" t="n"/>
      <c r="J2309" s="397" t="n"/>
      <c r="K2309" s="395">
        <f>DATE(VALUE(LEFT(A2309,4)),VALUE(MID(A2309,5,2)),VALUE(RIGHT(A2309,2)))</f>
        <v/>
      </c>
      <c r="L2309" s="395">
        <f>DATEVALUE(LEFT(F2309,10))</f>
        <v/>
      </c>
      <c r="M2309" s="396">
        <f>TIMEVALUE(MID(F2309,12,8))</f>
        <v/>
      </c>
      <c r="N2309" s="395">
        <f>DATEVALUE(LEFT(G2309,10))</f>
        <v/>
      </c>
      <c r="O2309" s="396">
        <f>TIMEVALUE(MID(G2309,12,8))</f>
        <v/>
      </c>
      <c r="P2309" s="396">
        <f>IFERROR(_xlfn.MINIFS($M:$M,$E:$E,$E2309,$K:$K,$K2309,$M:$M,"&gt;"&amp;$O2309),"")</f>
        <v/>
      </c>
      <c r="Q2309" s="396">
        <f>IF($P2309="","",$P2309-$O2309)</f>
        <v/>
      </c>
    </row>
    <row r="2310" ht="15" customHeight="1" s="231">
      <c r="A2310" s="397" t="n"/>
      <c r="B2310" s="397" t="n"/>
      <c r="C2310" s="397" t="n"/>
      <c r="D2310" s="397" t="n"/>
      <c r="E2310" s="397" t="n"/>
      <c r="F2310" s="397" t="n"/>
      <c r="G2310" s="397" t="n"/>
      <c r="I2310" s="397" t="n"/>
      <c r="J2310" s="397" t="n"/>
      <c r="K2310" s="395">
        <f>DATE(VALUE(LEFT(A2310,4)),VALUE(MID(A2310,5,2)),VALUE(RIGHT(A2310,2)))</f>
        <v/>
      </c>
      <c r="L2310" s="395">
        <f>DATEVALUE(LEFT(F2310,10))</f>
        <v/>
      </c>
      <c r="M2310" s="396">
        <f>TIMEVALUE(MID(F2310,12,8))</f>
        <v/>
      </c>
      <c r="N2310" s="395">
        <f>DATEVALUE(LEFT(G2310,10))</f>
        <v/>
      </c>
      <c r="O2310" s="396">
        <f>TIMEVALUE(MID(G2310,12,8))</f>
        <v/>
      </c>
      <c r="P2310" s="396">
        <f>IFERROR(_xlfn.MINIFS($M:$M,$E:$E,$E2310,$K:$K,$K2310,$M:$M,"&gt;"&amp;$O2310),"")</f>
        <v/>
      </c>
      <c r="Q2310" s="396">
        <f>IF($P2310="","",$P2310-$O2310)</f>
        <v/>
      </c>
    </row>
    <row r="2311" ht="15" customHeight="1" s="231">
      <c r="A2311" s="397" t="n"/>
      <c r="B2311" s="397" t="n"/>
      <c r="C2311" s="397" t="n"/>
      <c r="D2311" s="397" t="n"/>
      <c r="E2311" s="397" t="n"/>
      <c r="F2311" s="397" t="n"/>
      <c r="G2311" s="397" t="n"/>
      <c r="I2311" s="397" t="n"/>
      <c r="J2311" s="397" t="n"/>
      <c r="K2311" s="395">
        <f>DATE(VALUE(LEFT(A2311,4)),VALUE(MID(A2311,5,2)),VALUE(RIGHT(A2311,2)))</f>
        <v/>
      </c>
      <c r="L2311" s="395">
        <f>DATEVALUE(LEFT(F2311,10))</f>
        <v/>
      </c>
      <c r="M2311" s="396">
        <f>TIMEVALUE(MID(F2311,12,8))</f>
        <v/>
      </c>
      <c r="N2311" s="395">
        <f>DATEVALUE(LEFT(G2311,10))</f>
        <v/>
      </c>
      <c r="O2311" s="396">
        <f>TIMEVALUE(MID(G2311,12,8))</f>
        <v/>
      </c>
      <c r="P2311" s="396">
        <f>IFERROR(_xlfn.MINIFS($M:$M,$E:$E,$E2311,$K:$K,$K2311,$M:$M,"&gt;"&amp;$O2311),"")</f>
        <v/>
      </c>
      <c r="Q2311" s="396">
        <f>IF($P2311="","",$P2311-$O2311)</f>
        <v/>
      </c>
    </row>
    <row r="2312" ht="15" customHeight="1" s="231">
      <c r="A2312" s="397" t="n"/>
      <c r="B2312" s="397" t="n"/>
      <c r="C2312" s="397" t="n"/>
      <c r="D2312" s="397" t="n"/>
      <c r="E2312" s="397" t="n"/>
      <c r="F2312" s="397" t="n"/>
      <c r="G2312" s="397" t="n"/>
      <c r="I2312" s="397" t="n"/>
      <c r="J2312" s="397" t="n"/>
      <c r="K2312" s="395">
        <f>DATE(VALUE(LEFT(A2312,4)),VALUE(MID(A2312,5,2)),VALUE(RIGHT(A2312,2)))</f>
        <v/>
      </c>
      <c r="L2312" s="395">
        <f>DATEVALUE(LEFT(F2312,10))</f>
        <v/>
      </c>
      <c r="M2312" s="396">
        <f>TIMEVALUE(MID(F2312,12,8))</f>
        <v/>
      </c>
      <c r="N2312" s="395">
        <f>DATEVALUE(LEFT(G2312,10))</f>
        <v/>
      </c>
      <c r="O2312" s="396">
        <f>TIMEVALUE(MID(G2312,12,8))</f>
        <v/>
      </c>
      <c r="P2312" s="396">
        <f>IFERROR(_xlfn.MINIFS($M:$M,$E:$E,$E2312,$K:$K,$K2312,$M:$M,"&gt;"&amp;$O2312),"")</f>
        <v/>
      </c>
      <c r="Q2312" s="396">
        <f>IF($P2312="","",$P2312-$O2312)</f>
        <v/>
      </c>
    </row>
    <row r="2313" ht="15" customHeight="1" s="231">
      <c r="A2313" s="397" t="n"/>
      <c r="B2313" s="397" t="n"/>
      <c r="C2313" s="397" t="n"/>
      <c r="D2313" s="397" t="n"/>
      <c r="E2313" s="397" t="n"/>
      <c r="F2313" s="397" t="n"/>
      <c r="G2313" s="397" t="n"/>
      <c r="I2313" s="397" t="n"/>
      <c r="J2313" s="397" t="n"/>
      <c r="K2313" s="395">
        <f>DATE(VALUE(LEFT(A2313,4)),VALUE(MID(A2313,5,2)),VALUE(RIGHT(A2313,2)))</f>
        <v/>
      </c>
      <c r="L2313" s="395">
        <f>DATEVALUE(LEFT(F2313,10))</f>
        <v/>
      </c>
      <c r="M2313" s="396">
        <f>TIMEVALUE(MID(F2313,12,8))</f>
        <v/>
      </c>
      <c r="N2313" s="395">
        <f>DATEVALUE(LEFT(G2313,10))</f>
        <v/>
      </c>
      <c r="O2313" s="396">
        <f>TIMEVALUE(MID(G2313,12,8))</f>
        <v/>
      </c>
      <c r="P2313" s="396">
        <f>IFERROR(_xlfn.MINIFS($M:$M,$E:$E,$E2313,$K:$K,$K2313,$M:$M,"&gt;"&amp;$O2313),"")</f>
        <v/>
      </c>
      <c r="Q2313" s="396">
        <f>IF($P2313="","",$P2313-$O2313)</f>
        <v/>
      </c>
    </row>
    <row r="2314" ht="15" customHeight="1" s="231">
      <c r="A2314" s="397" t="n"/>
      <c r="B2314" s="397" t="n"/>
      <c r="C2314" s="397" t="n"/>
      <c r="D2314" s="397" t="n"/>
      <c r="E2314" s="397" t="n"/>
      <c r="F2314" s="397" t="n"/>
      <c r="G2314" s="397" t="n"/>
      <c r="I2314" s="397" t="n"/>
      <c r="J2314" s="397" t="n"/>
      <c r="K2314" s="395">
        <f>DATE(VALUE(LEFT(A2314,4)),VALUE(MID(A2314,5,2)),VALUE(RIGHT(A2314,2)))</f>
        <v/>
      </c>
      <c r="L2314" s="395">
        <f>DATEVALUE(LEFT(F2314,10))</f>
        <v/>
      </c>
      <c r="M2314" s="396">
        <f>TIMEVALUE(MID(F2314,12,8))</f>
        <v/>
      </c>
      <c r="N2314" s="395">
        <f>DATEVALUE(LEFT(G2314,10))</f>
        <v/>
      </c>
      <c r="O2314" s="396">
        <f>TIMEVALUE(MID(G2314,12,8))</f>
        <v/>
      </c>
      <c r="P2314" s="396">
        <f>IFERROR(_xlfn.MINIFS($M:$M,$E:$E,$E2314,$K:$K,$K2314,$M:$M,"&gt;"&amp;$O2314),"")</f>
        <v/>
      </c>
      <c r="Q2314" s="396">
        <f>IF($P2314="","",$P2314-$O2314)</f>
        <v/>
      </c>
    </row>
    <row r="2315" ht="15" customHeight="1" s="231">
      <c r="A2315" s="397" t="n"/>
      <c r="B2315" s="397" t="n"/>
      <c r="C2315" s="397" t="n"/>
      <c r="D2315" s="397" t="n"/>
      <c r="E2315" s="397" t="n"/>
      <c r="F2315" s="397" t="n"/>
      <c r="G2315" s="397" t="n"/>
      <c r="I2315" s="397" t="n"/>
      <c r="J2315" s="397" t="n"/>
      <c r="K2315" s="395">
        <f>DATE(VALUE(LEFT(A2315,4)),VALUE(MID(A2315,5,2)),VALUE(RIGHT(A2315,2)))</f>
        <v/>
      </c>
      <c r="L2315" s="395">
        <f>DATEVALUE(LEFT(F2315,10))</f>
        <v/>
      </c>
      <c r="M2315" s="396">
        <f>TIMEVALUE(MID(F2315,12,8))</f>
        <v/>
      </c>
      <c r="N2315" s="395">
        <f>DATEVALUE(LEFT(G2315,10))</f>
        <v/>
      </c>
      <c r="O2315" s="396">
        <f>TIMEVALUE(MID(G2315,12,8))</f>
        <v/>
      </c>
      <c r="P2315" s="396">
        <f>IFERROR(_xlfn.MINIFS($M:$M,$E:$E,$E2315,$K:$K,$K2315,$M:$M,"&gt;"&amp;$O2315),"")</f>
        <v/>
      </c>
      <c r="Q2315" s="396">
        <f>IF($P2315="","",$P2315-$O2315)</f>
        <v/>
      </c>
    </row>
    <row r="2316" ht="15" customHeight="1" s="231">
      <c r="A2316" s="397" t="n"/>
      <c r="B2316" s="397" t="n"/>
      <c r="C2316" s="397" t="n"/>
      <c r="D2316" s="397" t="n"/>
      <c r="E2316" s="397" t="n"/>
      <c r="F2316" s="397" t="n"/>
      <c r="G2316" s="397" t="n"/>
      <c r="I2316" s="397" t="n"/>
      <c r="J2316" s="397" t="n"/>
      <c r="K2316" s="395">
        <f>DATE(VALUE(LEFT(A2316,4)),VALUE(MID(A2316,5,2)),VALUE(RIGHT(A2316,2)))</f>
        <v/>
      </c>
      <c r="L2316" s="395">
        <f>DATEVALUE(LEFT(F2316,10))</f>
        <v/>
      </c>
      <c r="M2316" s="396">
        <f>TIMEVALUE(MID(F2316,12,8))</f>
        <v/>
      </c>
      <c r="N2316" s="395">
        <f>DATEVALUE(LEFT(G2316,10))</f>
        <v/>
      </c>
      <c r="O2316" s="396">
        <f>TIMEVALUE(MID(G2316,12,8))</f>
        <v/>
      </c>
      <c r="P2316" s="396">
        <f>IFERROR(_xlfn.MINIFS($M:$M,$E:$E,$E2316,$K:$K,$K2316,$M:$M,"&gt;"&amp;$O2316),"")</f>
        <v/>
      </c>
      <c r="Q2316" s="396">
        <f>IF($P2316="","",$P2316-$O2316)</f>
        <v/>
      </c>
    </row>
    <row r="2317" ht="15" customHeight="1" s="231">
      <c r="A2317" s="397" t="n"/>
      <c r="B2317" s="397" t="n"/>
      <c r="C2317" s="397" t="n"/>
      <c r="D2317" s="397" t="n"/>
      <c r="E2317" s="397" t="n"/>
      <c r="F2317" s="397" t="n"/>
      <c r="G2317" s="397" t="n"/>
      <c r="I2317" s="397" t="n"/>
      <c r="J2317" s="397" t="n"/>
      <c r="K2317" s="395">
        <f>DATE(VALUE(LEFT(A2317,4)),VALUE(MID(A2317,5,2)),VALUE(RIGHT(A2317,2)))</f>
        <v/>
      </c>
      <c r="L2317" s="395">
        <f>DATEVALUE(LEFT(F2317,10))</f>
        <v/>
      </c>
      <c r="M2317" s="396">
        <f>TIMEVALUE(MID(F2317,12,8))</f>
        <v/>
      </c>
      <c r="N2317" s="395">
        <f>DATEVALUE(LEFT(G2317,10))</f>
        <v/>
      </c>
      <c r="O2317" s="396">
        <f>TIMEVALUE(MID(G2317,12,8))</f>
        <v/>
      </c>
      <c r="P2317" s="396">
        <f>IFERROR(_xlfn.MINIFS($M:$M,$E:$E,$E2317,$K:$K,$K2317,$M:$M,"&gt;"&amp;$O2317),"")</f>
        <v/>
      </c>
      <c r="Q2317" s="396">
        <f>IF($P2317="","",$P2317-$O2317)</f>
        <v/>
      </c>
    </row>
    <row r="2318" ht="15" customHeight="1" s="231">
      <c r="A2318" s="397" t="n"/>
      <c r="B2318" s="397" t="n"/>
      <c r="C2318" s="397" t="n"/>
      <c r="D2318" s="397" t="n"/>
      <c r="E2318" s="397" t="n"/>
      <c r="F2318" s="397" t="n"/>
      <c r="G2318" s="397" t="n"/>
      <c r="I2318" s="397" t="n"/>
      <c r="J2318" s="397" t="n"/>
      <c r="K2318" s="395">
        <f>DATE(VALUE(LEFT(A2318,4)),VALUE(MID(A2318,5,2)),VALUE(RIGHT(A2318,2)))</f>
        <v/>
      </c>
      <c r="L2318" s="395">
        <f>DATEVALUE(LEFT(F2318,10))</f>
        <v/>
      </c>
      <c r="M2318" s="396">
        <f>TIMEVALUE(MID(F2318,12,8))</f>
        <v/>
      </c>
      <c r="N2318" s="395">
        <f>DATEVALUE(LEFT(G2318,10))</f>
        <v/>
      </c>
      <c r="O2318" s="396">
        <f>TIMEVALUE(MID(G2318,12,8))</f>
        <v/>
      </c>
      <c r="P2318" s="396">
        <f>IFERROR(_xlfn.MINIFS($M:$M,$E:$E,$E2318,$K:$K,$K2318,$M:$M,"&gt;"&amp;$O2318),"")</f>
        <v/>
      </c>
      <c r="Q2318" s="396">
        <f>IF($P2318="","",$P2318-$O2318)</f>
        <v/>
      </c>
    </row>
    <row r="2319" ht="15" customHeight="1" s="231">
      <c r="A2319" s="397" t="n"/>
      <c r="B2319" s="397" t="n"/>
      <c r="C2319" s="397" t="n"/>
      <c r="D2319" s="397" t="n"/>
      <c r="E2319" s="397" t="n"/>
      <c r="F2319" s="397" t="n"/>
      <c r="G2319" s="397" t="n"/>
      <c r="I2319" s="397" t="n"/>
      <c r="J2319" s="397" t="n"/>
      <c r="K2319" s="395">
        <f>DATE(VALUE(LEFT(A2319,4)),VALUE(MID(A2319,5,2)),VALUE(RIGHT(A2319,2)))</f>
        <v/>
      </c>
      <c r="L2319" s="395">
        <f>DATEVALUE(LEFT(F2319,10))</f>
        <v/>
      </c>
      <c r="M2319" s="396">
        <f>TIMEVALUE(MID(F2319,12,8))</f>
        <v/>
      </c>
      <c r="N2319" s="395">
        <f>DATEVALUE(LEFT(G2319,10))</f>
        <v/>
      </c>
      <c r="O2319" s="396">
        <f>TIMEVALUE(MID(G2319,12,8))</f>
        <v/>
      </c>
      <c r="P2319" s="396">
        <f>IFERROR(_xlfn.MINIFS($M:$M,$E:$E,$E2319,$K:$K,$K2319,$M:$M,"&gt;"&amp;$O2319),"")</f>
        <v/>
      </c>
      <c r="Q2319" s="396">
        <f>IF($P2319="","",$P2319-$O2319)</f>
        <v/>
      </c>
    </row>
    <row r="2320" ht="15" customHeight="1" s="231">
      <c r="A2320" s="397" t="n"/>
      <c r="B2320" s="397" t="n"/>
      <c r="C2320" s="397" t="n"/>
      <c r="D2320" s="397" t="n"/>
      <c r="E2320" s="397" t="n"/>
      <c r="F2320" s="397" t="n"/>
      <c r="G2320" s="397" t="n"/>
      <c r="I2320" s="397" t="n"/>
      <c r="J2320" s="397" t="n"/>
      <c r="K2320" s="395">
        <f>DATE(VALUE(LEFT(A2320,4)),VALUE(MID(A2320,5,2)),VALUE(RIGHT(A2320,2)))</f>
        <v/>
      </c>
      <c r="L2320" s="395">
        <f>DATEVALUE(LEFT(F2320,10))</f>
        <v/>
      </c>
      <c r="M2320" s="396">
        <f>TIMEVALUE(MID(F2320,12,8))</f>
        <v/>
      </c>
      <c r="N2320" s="395">
        <f>DATEVALUE(LEFT(G2320,10))</f>
        <v/>
      </c>
      <c r="O2320" s="396">
        <f>TIMEVALUE(MID(G2320,12,8))</f>
        <v/>
      </c>
      <c r="P2320" s="396">
        <f>IFERROR(_xlfn.MINIFS($M:$M,$E:$E,$E2320,$K:$K,$K2320,$M:$M,"&gt;"&amp;$O2320),"")</f>
        <v/>
      </c>
      <c r="Q2320" s="396">
        <f>IF($P2320="","",$P2320-$O2320)</f>
        <v/>
      </c>
    </row>
    <row r="2321" ht="15" customHeight="1" s="231">
      <c r="A2321" s="397" t="n"/>
      <c r="B2321" s="397" t="n"/>
      <c r="C2321" s="397" t="n"/>
      <c r="D2321" s="397" t="n"/>
      <c r="E2321" s="397" t="n"/>
      <c r="F2321" s="397" t="n"/>
      <c r="G2321" s="397" t="n"/>
      <c r="I2321" s="397" t="n"/>
      <c r="J2321" s="397" t="n"/>
      <c r="K2321" s="395">
        <f>DATE(VALUE(LEFT(A2321,4)),VALUE(MID(A2321,5,2)),VALUE(RIGHT(A2321,2)))</f>
        <v/>
      </c>
      <c r="L2321" s="395">
        <f>DATEVALUE(LEFT(F2321,10))</f>
        <v/>
      </c>
      <c r="M2321" s="396">
        <f>TIMEVALUE(MID(F2321,12,8))</f>
        <v/>
      </c>
      <c r="N2321" s="395">
        <f>DATEVALUE(LEFT(G2321,10))</f>
        <v/>
      </c>
      <c r="O2321" s="396">
        <f>TIMEVALUE(MID(G2321,12,8))</f>
        <v/>
      </c>
      <c r="P2321" s="396">
        <f>IFERROR(_xlfn.MINIFS($M:$M,$E:$E,$E2321,$K:$K,$K2321,$M:$M,"&gt;"&amp;$O2321),"")</f>
        <v/>
      </c>
      <c r="Q2321" s="396">
        <f>IF($P2321="","",$P2321-$O2321)</f>
        <v/>
      </c>
    </row>
    <row r="2322" ht="15" customHeight="1" s="231">
      <c r="A2322" s="397" t="n"/>
      <c r="B2322" s="397" t="n"/>
      <c r="C2322" s="397" t="n"/>
      <c r="D2322" s="397" t="n"/>
      <c r="E2322" s="397" t="n"/>
      <c r="F2322" s="397" t="n"/>
      <c r="G2322" s="397" t="n"/>
      <c r="I2322" s="397" t="n"/>
      <c r="J2322" s="397" t="n"/>
      <c r="K2322" s="395">
        <f>DATE(VALUE(LEFT(A2322,4)),VALUE(MID(A2322,5,2)),VALUE(RIGHT(A2322,2)))</f>
        <v/>
      </c>
      <c r="L2322" s="395">
        <f>DATEVALUE(LEFT(F2322,10))</f>
        <v/>
      </c>
      <c r="M2322" s="396">
        <f>TIMEVALUE(MID(F2322,12,8))</f>
        <v/>
      </c>
      <c r="N2322" s="395">
        <f>DATEVALUE(LEFT(G2322,10))</f>
        <v/>
      </c>
      <c r="O2322" s="396">
        <f>TIMEVALUE(MID(G2322,12,8))</f>
        <v/>
      </c>
      <c r="P2322" s="396">
        <f>IFERROR(_xlfn.MINIFS($M:$M,$E:$E,$E2322,$K:$K,$K2322,$M:$M,"&gt;"&amp;$O2322),"")</f>
        <v/>
      </c>
      <c r="Q2322" s="396">
        <f>IF($P2322="","",$P2322-$O2322)</f>
        <v/>
      </c>
    </row>
    <row r="2323" ht="15" customHeight="1" s="231">
      <c r="A2323" s="397" t="n"/>
      <c r="B2323" s="397" t="n"/>
      <c r="C2323" s="397" t="n"/>
      <c r="D2323" s="397" t="n"/>
      <c r="E2323" s="397" t="n"/>
      <c r="F2323" s="397" t="n"/>
      <c r="G2323" s="397" t="n"/>
      <c r="I2323" s="397" t="n"/>
      <c r="J2323" s="397" t="n"/>
      <c r="K2323" s="395">
        <f>DATE(VALUE(LEFT(A2323,4)),VALUE(MID(A2323,5,2)),VALUE(RIGHT(A2323,2)))</f>
        <v/>
      </c>
      <c r="L2323" s="395">
        <f>DATEVALUE(LEFT(F2323,10))</f>
        <v/>
      </c>
      <c r="M2323" s="396">
        <f>TIMEVALUE(MID(F2323,12,8))</f>
        <v/>
      </c>
      <c r="N2323" s="395">
        <f>DATEVALUE(LEFT(G2323,10))</f>
        <v/>
      </c>
      <c r="O2323" s="396">
        <f>TIMEVALUE(MID(G2323,12,8))</f>
        <v/>
      </c>
      <c r="P2323" s="396">
        <f>IFERROR(_xlfn.MINIFS($M:$M,$E:$E,$E2323,$K:$K,$K2323,$M:$M,"&gt;"&amp;$O2323),"")</f>
        <v/>
      </c>
      <c r="Q2323" s="396">
        <f>IF($P2323="","",$P2323-$O2323)</f>
        <v/>
      </c>
    </row>
    <row r="2324" ht="15" customHeight="1" s="231">
      <c r="A2324" s="397" t="n"/>
      <c r="B2324" s="397" t="n"/>
      <c r="C2324" s="397" t="n"/>
      <c r="D2324" s="397" t="n"/>
      <c r="E2324" s="397" t="n"/>
      <c r="F2324" s="397" t="n"/>
      <c r="G2324" s="397" t="n"/>
      <c r="I2324" s="397" t="n"/>
      <c r="J2324" s="397" t="n"/>
      <c r="K2324" s="395">
        <f>DATE(VALUE(LEFT(A2324,4)),VALUE(MID(A2324,5,2)),VALUE(RIGHT(A2324,2)))</f>
        <v/>
      </c>
      <c r="L2324" s="395">
        <f>DATEVALUE(LEFT(F2324,10))</f>
        <v/>
      </c>
      <c r="M2324" s="396">
        <f>TIMEVALUE(MID(F2324,12,8))</f>
        <v/>
      </c>
      <c r="N2324" s="395">
        <f>DATEVALUE(LEFT(G2324,10))</f>
        <v/>
      </c>
      <c r="O2324" s="396">
        <f>TIMEVALUE(MID(G2324,12,8))</f>
        <v/>
      </c>
      <c r="P2324" s="396">
        <f>IFERROR(_xlfn.MINIFS($M:$M,$E:$E,$E2324,$K:$K,$K2324,$M:$M,"&gt;"&amp;$O2324),"")</f>
        <v/>
      </c>
      <c r="Q2324" s="396">
        <f>IF($P2324="","",$P2324-$O2324)</f>
        <v/>
      </c>
    </row>
    <row r="2325" ht="15" customHeight="1" s="231">
      <c r="A2325" s="397" t="n"/>
      <c r="B2325" s="397" t="n"/>
      <c r="C2325" s="397" t="n"/>
      <c r="D2325" s="397" t="n"/>
      <c r="E2325" s="397" t="n"/>
      <c r="F2325" s="397" t="n"/>
      <c r="G2325" s="397" t="n"/>
      <c r="I2325" s="397" t="n"/>
      <c r="J2325" s="397" t="n"/>
      <c r="K2325" s="395">
        <f>DATE(VALUE(LEFT(A2325,4)),VALUE(MID(A2325,5,2)),VALUE(RIGHT(A2325,2)))</f>
        <v/>
      </c>
      <c r="L2325" s="395">
        <f>DATEVALUE(LEFT(F2325,10))</f>
        <v/>
      </c>
      <c r="M2325" s="396">
        <f>TIMEVALUE(MID(F2325,12,8))</f>
        <v/>
      </c>
      <c r="N2325" s="395">
        <f>DATEVALUE(LEFT(G2325,10))</f>
        <v/>
      </c>
      <c r="O2325" s="396">
        <f>TIMEVALUE(MID(G2325,12,8))</f>
        <v/>
      </c>
      <c r="P2325" s="396">
        <f>IFERROR(_xlfn.MINIFS($M:$M,$E:$E,$E2325,$K:$K,$K2325,$M:$M,"&gt;"&amp;$O2325),"")</f>
        <v/>
      </c>
      <c r="Q2325" s="396">
        <f>IF($P2325="","",$P2325-$O2325)</f>
        <v/>
      </c>
    </row>
    <row r="2326" ht="15" customHeight="1" s="231">
      <c r="A2326" s="397" t="n"/>
      <c r="B2326" s="397" t="n"/>
      <c r="C2326" s="397" t="n"/>
      <c r="D2326" s="397" t="n"/>
      <c r="E2326" s="397" t="n"/>
      <c r="F2326" s="397" t="n"/>
      <c r="G2326" s="397" t="n"/>
      <c r="I2326" s="397" t="n"/>
      <c r="J2326" s="397" t="n"/>
      <c r="K2326" s="395">
        <f>DATE(VALUE(LEFT(A2326,4)),VALUE(MID(A2326,5,2)),VALUE(RIGHT(A2326,2)))</f>
        <v/>
      </c>
      <c r="L2326" s="395">
        <f>DATEVALUE(LEFT(F2326,10))</f>
        <v/>
      </c>
      <c r="M2326" s="396">
        <f>TIMEVALUE(MID(F2326,12,8))</f>
        <v/>
      </c>
      <c r="N2326" s="395">
        <f>DATEVALUE(LEFT(G2326,10))</f>
        <v/>
      </c>
      <c r="O2326" s="396">
        <f>TIMEVALUE(MID(G2326,12,8))</f>
        <v/>
      </c>
      <c r="P2326" s="396">
        <f>IFERROR(_xlfn.MINIFS($M:$M,$E:$E,$E2326,$K:$K,$K2326,$M:$M,"&gt;"&amp;$O2326),"")</f>
        <v/>
      </c>
      <c r="Q2326" s="396">
        <f>IF($P2326="","",$P2326-$O2326)</f>
        <v/>
      </c>
    </row>
    <row r="2327" ht="15" customHeight="1" s="231">
      <c r="A2327" s="397" t="n"/>
      <c r="B2327" s="397" t="n"/>
      <c r="C2327" s="397" t="n"/>
      <c r="D2327" s="397" t="n"/>
      <c r="E2327" s="397" t="n"/>
      <c r="F2327" s="397" t="n"/>
      <c r="G2327" s="397" t="n"/>
      <c r="I2327" s="397" t="n"/>
      <c r="J2327" s="397" t="n"/>
      <c r="K2327" s="395">
        <f>DATE(VALUE(LEFT(A2327,4)),VALUE(MID(A2327,5,2)),VALUE(RIGHT(A2327,2)))</f>
        <v/>
      </c>
      <c r="L2327" s="395">
        <f>DATEVALUE(LEFT(F2327,10))</f>
        <v/>
      </c>
      <c r="M2327" s="396">
        <f>TIMEVALUE(MID(F2327,12,8))</f>
        <v/>
      </c>
      <c r="N2327" s="395">
        <f>DATEVALUE(LEFT(G2327,10))</f>
        <v/>
      </c>
      <c r="O2327" s="396">
        <f>TIMEVALUE(MID(G2327,12,8))</f>
        <v/>
      </c>
      <c r="P2327" s="396">
        <f>IFERROR(_xlfn.MINIFS($M:$M,$E:$E,$E2327,$K:$K,$K2327,$M:$M,"&gt;"&amp;$O2327),"")</f>
        <v/>
      </c>
      <c r="Q2327" s="396">
        <f>IF($P2327="","",$P2327-$O2327)</f>
        <v/>
      </c>
    </row>
    <row r="2328" ht="15" customHeight="1" s="231">
      <c r="A2328" s="397" t="n"/>
      <c r="B2328" s="397" t="n"/>
      <c r="C2328" s="397" t="n"/>
      <c r="D2328" s="397" t="n"/>
      <c r="E2328" s="397" t="n"/>
      <c r="F2328" s="397" t="n"/>
      <c r="G2328" s="397" t="n"/>
      <c r="I2328" s="397" t="n"/>
      <c r="J2328" s="397" t="n"/>
      <c r="K2328" s="395">
        <f>DATE(VALUE(LEFT(A2328,4)),VALUE(MID(A2328,5,2)),VALUE(RIGHT(A2328,2)))</f>
        <v/>
      </c>
      <c r="L2328" s="395">
        <f>DATEVALUE(LEFT(F2328,10))</f>
        <v/>
      </c>
      <c r="M2328" s="396">
        <f>TIMEVALUE(MID(F2328,12,8))</f>
        <v/>
      </c>
      <c r="N2328" s="395">
        <f>DATEVALUE(LEFT(G2328,10))</f>
        <v/>
      </c>
      <c r="O2328" s="396">
        <f>TIMEVALUE(MID(G2328,12,8))</f>
        <v/>
      </c>
      <c r="P2328" s="396">
        <f>IFERROR(_xlfn.MINIFS($M:$M,$E:$E,$E2328,$K:$K,$K2328,$M:$M,"&gt;"&amp;$O2328),"")</f>
        <v/>
      </c>
      <c r="Q2328" s="396">
        <f>IF($P2328="","",$P2328-$O2328)</f>
        <v/>
      </c>
    </row>
    <row r="2329" ht="15" customHeight="1" s="231">
      <c r="A2329" s="397" t="n"/>
      <c r="B2329" s="397" t="n"/>
      <c r="C2329" s="397" t="n"/>
      <c r="D2329" s="397" t="n"/>
      <c r="E2329" s="397" t="n"/>
      <c r="F2329" s="397" t="n"/>
      <c r="G2329" s="397" t="n"/>
      <c r="I2329" s="397" t="n"/>
      <c r="J2329" s="397" t="n"/>
      <c r="K2329" s="395">
        <f>DATE(VALUE(LEFT(A2329,4)),VALUE(MID(A2329,5,2)),VALUE(RIGHT(A2329,2)))</f>
        <v/>
      </c>
      <c r="L2329" s="395">
        <f>DATEVALUE(LEFT(F2329,10))</f>
        <v/>
      </c>
      <c r="M2329" s="396">
        <f>TIMEVALUE(MID(F2329,12,8))</f>
        <v/>
      </c>
      <c r="N2329" s="395">
        <f>DATEVALUE(LEFT(G2329,10))</f>
        <v/>
      </c>
      <c r="O2329" s="396">
        <f>TIMEVALUE(MID(G2329,12,8))</f>
        <v/>
      </c>
      <c r="P2329" s="396">
        <f>IFERROR(_xlfn.MINIFS($M:$M,$E:$E,$E2329,$K:$K,$K2329,$M:$M,"&gt;"&amp;$O2329),"")</f>
        <v/>
      </c>
      <c r="Q2329" s="396">
        <f>IF($P2329="","",$P2329-$O2329)</f>
        <v/>
      </c>
    </row>
    <row r="2330" ht="15" customHeight="1" s="231">
      <c r="A2330" s="397" t="n"/>
      <c r="B2330" s="397" t="n"/>
      <c r="C2330" s="397" t="n"/>
      <c r="D2330" s="397" t="n"/>
      <c r="E2330" s="397" t="n"/>
      <c r="F2330" s="397" t="n"/>
      <c r="G2330" s="397" t="n"/>
      <c r="I2330" s="397" t="n"/>
      <c r="J2330" s="397" t="n"/>
      <c r="K2330" s="395">
        <f>DATE(VALUE(LEFT(A2330,4)),VALUE(MID(A2330,5,2)),VALUE(RIGHT(A2330,2)))</f>
        <v/>
      </c>
      <c r="L2330" s="395">
        <f>DATEVALUE(LEFT(F2330,10))</f>
        <v/>
      </c>
      <c r="M2330" s="396">
        <f>TIMEVALUE(MID(F2330,12,8))</f>
        <v/>
      </c>
      <c r="N2330" s="395">
        <f>DATEVALUE(LEFT(G2330,10))</f>
        <v/>
      </c>
      <c r="O2330" s="396">
        <f>TIMEVALUE(MID(G2330,12,8))</f>
        <v/>
      </c>
      <c r="P2330" s="396">
        <f>IFERROR(_xlfn.MINIFS($M:$M,$E:$E,$E2330,$K:$K,$K2330,$M:$M,"&gt;"&amp;$O2330),"")</f>
        <v/>
      </c>
      <c r="Q2330" s="396">
        <f>IF($P2330="","",$P2330-$O2330)</f>
        <v/>
      </c>
    </row>
    <row r="2331" ht="15" customHeight="1" s="231">
      <c r="A2331" s="397" t="n"/>
      <c r="B2331" s="397" t="n"/>
      <c r="C2331" s="397" t="n"/>
      <c r="D2331" s="397" t="n"/>
      <c r="E2331" s="397" t="n"/>
      <c r="F2331" s="397" t="n"/>
      <c r="G2331" s="397" t="n"/>
      <c r="I2331" s="397" t="n"/>
      <c r="J2331" s="397" t="n"/>
      <c r="K2331" s="395">
        <f>DATE(VALUE(LEFT(A2331,4)),VALUE(MID(A2331,5,2)),VALUE(RIGHT(A2331,2)))</f>
        <v/>
      </c>
      <c r="L2331" s="395">
        <f>DATEVALUE(LEFT(F2331,10))</f>
        <v/>
      </c>
      <c r="M2331" s="396">
        <f>TIMEVALUE(MID(F2331,12,8))</f>
        <v/>
      </c>
      <c r="N2331" s="395">
        <f>DATEVALUE(LEFT(G2331,10))</f>
        <v/>
      </c>
      <c r="O2331" s="396">
        <f>TIMEVALUE(MID(G2331,12,8))</f>
        <v/>
      </c>
      <c r="P2331" s="396">
        <f>IFERROR(_xlfn.MINIFS($M:$M,$E:$E,$E2331,$K:$K,$K2331,$M:$M,"&gt;"&amp;$O2331),"")</f>
        <v/>
      </c>
      <c r="Q2331" s="396">
        <f>IF($P2331="","",$P2331-$O2331)</f>
        <v/>
      </c>
    </row>
    <row r="2332" ht="15" customHeight="1" s="231">
      <c r="A2332" s="397" t="n"/>
      <c r="B2332" s="397" t="n"/>
      <c r="C2332" s="397" t="n"/>
      <c r="D2332" s="397" t="n"/>
      <c r="E2332" s="397" t="n"/>
      <c r="F2332" s="397" t="n"/>
      <c r="G2332" s="397" t="n"/>
      <c r="I2332" s="397" t="n"/>
      <c r="J2332" s="397" t="n"/>
      <c r="K2332" s="395">
        <f>DATE(VALUE(LEFT(A2332,4)),VALUE(MID(A2332,5,2)),VALUE(RIGHT(A2332,2)))</f>
        <v/>
      </c>
      <c r="L2332" s="395">
        <f>DATEVALUE(LEFT(F2332,10))</f>
        <v/>
      </c>
      <c r="M2332" s="396">
        <f>TIMEVALUE(MID(F2332,12,8))</f>
        <v/>
      </c>
      <c r="N2332" s="395">
        <f>DATEVALUE(LEFT(G2332,10))</f>
        <v/>
      </c>
      <c r="O2332" s="396">
        <f>TIMEVALUE(MID(G2332,12,8))</f>
        <v/>
      </c>
      <c r="P2332" s="396">
        <f>IFERROR(_xlfn.MINIFS($M:$M,$E:$E,$E2332,$K:$K,$K2332,$M:$M,"&gt;"&amp;$O2332),"")</f>
        <v/>
      </c>
      <c r="Q2332" s="396">
        <f>IF($P2332="","",$P2332-$O2332)</f>
        <v/>
      </c>
    </row>
    <row r="2333" ht="15" customHeight="1" s="231">
      <c r="A2333" s="397" t="n"/>
      <c r="B2333" s="397" t="n"/>
      <c r="C2333" s="397" t="n"/>
      <c r="D2333" s="397" t="n"/>
      <c r="E2333" s="397" t="n"/>
      <c r="F2333" s="397" t="n"/>
      <c r="G2333" s="397" t="n"/>
      <c r="I2333" s="397" t="n"/>
      <c r="J2333" s="397" t="n"/>
      <c r="K2333" s="395">
        <f>DATE(VALUE(LEFT(A2333,4)),VALUE(MID(A2333,5,2)),VALUE(RIGHT(A2333,2)))</f>
        <v/>
      </c>
      <c r="L2333" s="395">
        <f>DATEVALUE(LEFT(F2333,10))</f>
        <v/>
      </c>
      <c r="M2333" s="396">
        <f>TIMEVALUE(MID(F2333,12,8))</f>
        <v/>
      </c>
      <c r="N2333" s="395">
        <f>DATEVALUE(LEFT(G2333,10))</f>
        <v/>
      </c>
      <c r="O2333" s="396">
        <f>TIMEVALUE(MID(G2333,12,8))</f>
        <v/>
      </c>
      <c r="P2333" s="396">
        <f>IFERROR(_xlfn.MINIFS($M:$M,$E:$E,$E2333,$K:$K,$K2333,$M:$M,"&gt;"&amp;$O2333),"")</f>
        <v/>
      </c>
      <c r="Q2333" s="396">
        <f>IF($P2333="","",$P2333-$O2333)</f>
        <v/>
      </c>
    </row>
    <row r="2334" ht="15" customHeight="1" s="231">
      <c r="A2334" s="397" t="n"/>
      <c r="B2334" s="397" t="n"/>
      <c r="C2334" s="397" t="n"/>
      <c r="D2334" s="397" t="n"/>
      <c r="E2334" s="397" t="n"/>
      <c r="F2334" s="397" t="n"/>
      <c r="G2334" s="397" t="n"/>
      <c r="I2334" s="397" t="n"/>
      <c r="J2334" s="397" t="n"/>
      <c r="K2334" s="395">
        <f>DATE(VALUE(LEFT(A2334,4)),VALUE(MID(A2334,5,2)),VALUE(RIGHT(A2334,2)))</f>
        <v/>
      </c>
      <c r="L2334" s="395">
        <f>DATEVALUE(LEFT(F2334,10))</f>
        <v/>
      </c>
      <c r="M2334" s="396">
        <f>TIMEVALUE(MID(F2334,12,8))</f>
        <v/>
      </c>
      <c r="N2334" s="395">
        <f>DATEVALUE(LEFT(G2334,10))</f>
        <v/>
      </c>
      <c r="O2334" s="396">
        <f>TIMEVALUE(MID(G2334,12,8))</f>
        <v/>
      </c>
      <c r="P2334" s="396">
        <f>IFERROR(_xlfn.MINIFS($M:$M,$E:$E,$E2334,$K:$K,$K2334,$M:$M,"&gt;"&amp;$O2334),"")</f>
        <v/>
      </c>
      <c r="Q2334" s="396">
        <f>IF($P2334="","",$P2334-$O2334)</f>
        <v/>
      </c>
    </row>
    <row r="2335" ht="15" customHeight="1" s="231">
      <c r="A2335" s="397" t="n"/>
      <c r="B2335" s="397" t="n"/>
      <c r="C2335" s="397" t="n"/>
      <c r="D2335" s="397" t="n"/>
      <c r="E2335" s="397" t="n"/>
      <c r="F2335" s="397" t="n"/>
      <c r="G2335" s="397" t="n"/>
      <c r="I2335" s="397" t="n"/>
      <c r="J2335" s="397" t="n"/>
      <c r="K2335" s="395">
        <f>DATE(VALUE(LEFT(A2335,4)),VALUE(MID(A2335,5,2)),VALUE(RIGHT(A2335,2)))</f>
        <v/>
      </c>
      <c r="L2335" s="395">
        <f>DATEVALUE(LEFT(F2335,10))</f>
        <v/>
      </c>
      <c r="M2335" s="396">
        <f>TIMEVALUE(MID(F2335,12,8))</f>
        <v/>
      </c>
      <c r="N2335" s="395">
        <f>DATEVALUE(LEFT(G2335,10))</f>
        <v/>
      </c>
      <c r="O2335" s="396">
        <f>TIMEVALUE(MID(G2335,12,8))</f>
        <v/>
      </c>
      <c r="P2335" s="396">
        <f>IFERROR(_xlfn.MINIFS($M:$M,$E:$E,$E2335,$K:$K,$K2335,$M:$M,"&gt;"&amp;$O2335),"")</f>
        <v/>
      </c>
      <c r="Q2335" s="396">
        <f>IF($P2335="","",$P2335-$O2335)</f>
        <v/>
      </c>
    </row>
    <row r="2336" ht="15" customHeight="1" s="231">
      <c r="A2336" s="397" t="n"/>
      <c r="B2336" s="397" t="n"/>
      <c r="C2336" s="397" t="n"/>
      <c r="D2336" s="397" t="n"/>
      <c r="E2336" s="397" t="n"/>
      <c r="F2336" s="397" t="n"/>
      <c r="G2336" s="397" t="n"/>
      <c r="I2336" s="397" t="n"/>
      <c r="J2336" s="397" t="n"/>
      <c r="K2336" s="395">
        <f>DATE(VALUE(LEFT(A2336,4)),VALUE(MID(A2336,5,2)),VALUE(RIGHT(A2336,2)))</f>
        <v/>
      </c>
      <c r="L2336" s="395">
        <f>DATEVALUE(LEFT(F2336,10))</f>
        <v/>
      </c>
      <c r="M2336" s="396">
        <f>TIMEVALUE(MID(F2336,12,8))</f>
        <v/>
      </c>
      <c r="N2336" s="395">
        <f>DATEVALUE(LEFT(G2336,10))</f>
        <v/>
      </c>
      <c r="O2336" s="396">
        <f>TIMEVALUE(MID(G2336,12,8))</f>
        <v/>
      </c>
      <c r="P2336" s="396">
        <f>IFERROR(_xlfn.MINIFS($M:$M,$E:$E,$E2336,$K:$K,$K2336,$M:$M,"&gt;"&amp;$O2336),"")</f>
        <v/>
      </c>
      <c r="Q2336" s="396">
        <f>IF($P2336="","",$P2336-$O2336)</f>
        <v/>
      </c>
    </row>
    <row r="2337" ht="15" customHeight="1" s="231">
      <c r="A2337" s="397" t="n"/>
      <c r="B2337" s="397" t="n"/>
      <c r="C2337" s="397" t="n"/>
      <c r="D2337" s="397" t="n"/>
      <c r="E2337" s="397" t="n"/>
      <c r="F2337" s="397" t="n"/>
      <c r="G2337" s="397" t="n"/>
      <c r="I2337" s="397" t="n"/>
      <c r="J2337" s="397" t="n"/>
      <c r="K2337" s="395">
        <f>DATE(VALUE(LEFT(A2337,4)),VALUE(MID(A2337,5,2)),VALUE(RIGHT(A2337,2)))</f>
        <v/>
      </c>
      <c r="L2337" s="395">
        <f>DATEVALUE(LEFT(F2337,10))</f>
        <v/>
      </c>
      <c r="M2337" s="396">
        <f>TIMEVALUE(MID(F2337,12,8))</f>
        <v/>
      </c>
      <c r="N2337" s="395">
        <f>DATEVALUE(LEFT(G2337,10))</f>
        <v/>
      </c>
      <c r="O2337" s="396">
        <f>TIMEVALUE(MID(G2337,12,8))</f>
        <v/>
      </c>
      <c r="P2337" s="396">
        <f>IFERROR(_xlfn.MINIFS($M:$M,$E:$E,$E2337,$K:$K,$K2337,$M:$M,"&gt;"&amp;$O2337),"")</f>
        <v/>
      </c>
      <c r="Q2337" s="396">
        <f>IF($P2337="","",$P2337-$O2337)</f>
        <v/>
      </c>
    </row>
    <row r="2338" ht="15" customHeight="1" s="231">
      <c r="A2338" s="397" t="n"/>
      <c r="B2338" s="397" t="n"/>
      <c r="C2338" s="397" t="n"/>
      <c r="D2338" s="397" t="n"/>
      <c r="E2338" s="397" t="n"/>
      <c r="F2338" s="397" t="n"/>
      <c r="G2338" s="397" t="n"/>
      <c r="I2338" s="397" t="n"/>
      <c r="J2338" s="397" t="n"/>
      <c r="K2338" s="395">
        <f>DATE(VALUE(LEFT(A2338,4)),VALUE(MID(A2338,5,2)),VALUE(RIGHT(A2338,2)))</f>
        <v/>
      </c>
      <c r="L2338" s="395">
        <f>DATEVALUE(LEFT(F2338,10))</f>
        <v/>
      </c>
      <c r="M2338" s="396">
        <f>TIMEVALUE(MID(F2338,12,8))</f>
        <v/>
      </c>
      <c r="N2338" s="395">
        <f>DATEVALUE(LEFT(G2338,10))</f>
        <v/>
      </c>
      <c r="O2338" s="396">
        <f>TIMEVALUE(MID(G2338,12,8))</f>
        <v/>
      </c>
      <c r="P2338" s="396">
        <f>IFERROR(_xlfn.MINIFS($M:$M,$E:$E,$E2338,$K:$K,$K2338,$M:$M,"&gt;"&amp;$O2338),"")</f>
        <v/>
      </c>
      <c r="Q2338" s="396">
        <f>IF($P2338="","",$P2338-$O2338)</f>
        <v/>
      </c>
    </row>
    <row r="2339" ht="15" customHeight="1" s="231">
      <c r="A2339" s="397" t="n"/>
      <c r="B2339" s="397" t="n"/>
      <c r="C2339" s="397" t="n"/>
      <c r="D2339" s="397" t="n"/>
      <c r="E2339" s="397" t="n"/>
      <c r="F2339" s="397" t="n"/>
      <c r="G2339" s="397" t="n"/>
      <c r="I2339" s="397" t="n"/>
      <c r="J2339" s="397" t="n"/>
      <c r="K2339" s="395">
        <f>DATE(VALUE(LEFT(A2339,4)),VALUE(MID(A2339,5,2)),VALUE(RIGHT(A2339,2)))</f>
        <v/>
      </c>
      <c r="L2339" s="395">
        <f>DATEVALUE(LEFT(F2339,10))</f>
        <v/>
      </c>
      <c r="M2339" s="396">
        <f>TIMEVALUE(MID(F2339,12,8))</f>
        <v/>
      </c>
      <c r="N2339" s="395">
        <f>DATEVALUE(LEFT(G2339,10))</f>
        <v/>
      </c>
      <c r="O2339" s="396">
        <f>TIMEVALUE(MID(G2339,12,8))</f>
        <v/>
      </c>
      <c r="P2339" s="396">
        <f>IFERROR(_xlfn.MINIFS($M:$M,$E:$E,$E2339,$K:$K,$K2339,$M:$M,"&gt;"&amp;$O2339),"")</f>
        <v/>
      </c>
      <c r="Q2339" s="396">
        <f>IF($P2339="","",$P2339-$O2339)</f>
        <v/>
      </c>
    </row>
    <row r="2340" ht="15" customHeight="1" s="231">
      <c r="A2340" s="397" t="n"/>
      <c r="B2340" s="397" t="n"/>
      <c r="C2340" s="397" t="n"/>
      <c r="D2340" s="397" t="n"/>
      <c r="E2340" s="397" t="n"/>
      <c r="F2340" s="397" t="n"/>
      <c r="G2340" s="397" t="n"/>
      <c r="I2340" s="397" t="n"/>
      <c r="J2340" s="397" t="n"/>
      <c r="K2340" s="395">
        <f>DATE(VALUE(LEFT(A2340,4)),VALUE(MID(A2340,5,2)),VALUE(RIGHT(A2340,2)))</f>
        <v/>
      </c>
      <c r="L2340" s="395">
        <f>DATEVALUE(LEFT(F2340,10))</f>
        <v/>
      </c>
      <c r="M2340" s="396">
        <f>TIMEVALUE(MID(F2340,12,8))</f>
        <v/>
      </c>
      <c r="N2340" s="395">
        <f>DATEVALUE(LEFT(G2340,10))</f>
        <v/>
      </c>
      <c r="O2340" s="396">
        <f>TIMEVALUE(MID(G2340,12,8))</f>
        <v/>
      </c>
      <c r="P2340" s="396">
        <f>IFERROR(_xlfn.MINIFS($M:$M,$E:$E,$E2340,$K:$K,$K2340,$M:$M,"&gt;"&amp;$O2340),"")</f>
        <v/>
      </c>
      <c r="Q2340" s="396">
        <f>IF($P2340="","",$P2340-$O2340)</f>
        <v/>
      </c>
    </row>
    <row r="2341" ht="15" customHeight="1" s="231">
      <c r="A2341" s="397" t="n"/>
      <c r="B2341" s="397" t="n"/>
      <c r="C2341" s="397" t="n"/>
      <c r="D2341" s="397" t="n"/>
      <c r="E2341" s="397" t="n"/>
      <c r="F2341" s="397" t="n"/>
      <c r="G2341" s="397" t="n"/>
      <c r="I2341" s="397" t="n"/>
      <c r="J2341" s="397" t="n"/>
      <c r="K2341" s="395">
        <f>DATE(VALUE(LEFT(A2341,4)),VALUE(MID(A2341,5,2)),VALUE(RIGHT(A2341,2)))</f>
        <v/>
      </c>
      <c r="L2341" s="395">
        <f>DATEVALUE(LEFT(F2341,10))</f>
        <v/>
      </c>
      <c r="M2341" s="396">
        <f>TIMEVALUE(MID(F2341,12,8))</f>
        <v/>
      </c>
      <c r="N2341" s="395">
        <f>DATEVALUE(LEFT(G2341,10))</f>
        <v/>
      </c>
      <c r="O2341" s="396">
        <f>TIMEVALUE(MID(G2341,12,8))</f>
        <v/>
      </c>
      <c r="P2341" s="396">
        <f>IFERROR(_xlfn.MINIFS($M:$M,$E:$E,$E2341,$K:$K,$K2341,$M:$M,"&gt;"&amp;$O2341),"")</f>
        <v/>
      </c>
      <c r="Q2341" s="396">
        <f>IF($P2341="","",$P2341-$O2341)</f>
        <v/>
      </c>
    </row>
    <row r="2342" ht="15" customHeight="1" s="231">
      <c r="A2342" s="397" t="n"/>
      <c r="B2342" s="397" t="n"/>
      <c r="C2342" s="397" t="n"/>
      <c r="D2342" s="397" t="n"/>
      <c r="E2342" s="397" t="n"/>
      <c r="F2342" s="397" t="n"/>
      <c r="G2342" s="397" t="n"/>
      <c r="I2342" s="397" t="n"/>
      <c r="J2342" s="397" t="n"/>
      <c r="K2342" s="395">
        <f>DATE(VALUE(LEFT(A2342,4)),VALUE(MID(A2342,5,2)),VALUE(RIGHT(A2342,2)))</f>
        <v/>
      </c>
      <c r="L2342" s="395">
        <f>DATEVALUE(LEFT(F2342,10))</f>
        <v/>
      </c>
      <c r="M2342" s="396">
        <f>TIMEVALUE(MID(F2342,12,8))</f>
        <v/>
      </c>
      <c r="N2342" s="395">
        <f>DATEVALUE(LEFT(G2342,10))</f>
        <v/>
      </c>
      <c r="O2342" s="396">
        <f>TIMEVALUE(MID(G2342,12,8))</f>
        <v/>
      </c>
      <c r="P2342" s="396">
        <f>IFERROR(_xlfn.MINIFS($M:$M,$E:$E,$E2342,$K:$K,$K2342,$M:$M,"&gt;"&amp;$O2342),"")</f>
        <v/>
      </c>
      <c r="Q2342" s="396">
        <f>IF($P2342="","",$P2342-$O2342)</f>
        <v/>
      </c>
    </row>
    <row r="2343" ht="15" customHeight="1" s="231">
      <c r="A2343" s="397" t="n"/>
      <c r="B2343" s="397" t="n"/>
      <c r="C2343" s="397" t="n"/>
      <c r="D2343" s="397" t="n"/>
      <c r="E2343" s="397" t="n"/>
      <c r="F2343" s="397" t="n"/>
      <c r="G2343" s="397" t="n"/>
      <c r="I2343" s="397" t="n"/>
      <c r="J2343" s="397" t="n"/>
      <c r="K2343" s="395">
        <f>DATE(VALUE(LEFT(A2343,4)),VALUE(MID(A2343,5,2)),VALUE(RIGHT(A2343,2)))</f>
        <v/>
      </c>
      <c r="L2343" s="395">
        <f>DATEVALUE(LEFT(F2343,10))</f>
        <v/>
      </c>
      <c r="M2343" s="396">
        <f>TIMEVALUE(MID(F2343,12,8))</f>
        <v/>
      </c>
      <c r="N2343" s="395">
        <f>DATEVALUE(LEFT(G2343,10))</f>
        <v/>
      </c>
      <c r="O2343" s="396">
        <f>TIMEVALUE(MID(G2343,12,8))</f>
        <v/>
      </c>
      <c r="P2343" s="396">
        <f>IFERROR(_xlfn.MINIFS($M:$M,$E:$E,$E2343,$K:$K,$K2343,$M:$M,"&gt;"&amp;$O2343),"")</f>
        <v/>
      </c>
      <c r="Q2343" s="396">
        <f>IF($P2343="","",$P2343-$O2343)</f>
        <v/>
      </c>
    </row>
    <row r="2344" ht="15" customHeight="1" s="231">
      <c r="A2344" s="397" t="n"/>
      <c r="B2344" s="397" t="n"/>
      <c r="C2344" s="397" t="n"/>
      <c r="D2344" s="397" t="n"/>
      <c r="E2344" s="397" t="n"/>
      <c r="F2344" s="397" t="n"/>
      <c r="G2344" s="397" t="n"/>
      <c r="I2344" s="397" t="n"/>
      <c r="J2344" s="397" t="n"/>
      <c r="K2344" s="395">
        <f>DATE(VALUE(LEFT(A2344,4)),VALUE(MID(A2344,5,2)),VALUE(RIGHT(A2344,2)))</f>
        <v/>
      </c>
      <c r="L2344" s="395">
        <f>DATEVALUE(LEFT(F2344,10))</f>
        <v/>
      </c>
      <c r="M2344" s="396">
        <f>TIMEVALUE(MID(F2344,12,8))</f>
        <v/>
      </c>
      <c r="N2344" s="395">
        <f>DATEVALUE(LEFT(G2344,10))</f>
        <v/>
      </c>
      <c r="O2344" s="396">
        <f>TIMEVALUE(MID(G2344,12,8))</f>
        <v/>
      </c>
      <c r="P2344" s="396">
        <f>IFERROR(_xlfn.MINIFS($M:$M,$E:$E,$E2344,$K:$K,$K2344,$M:$M,"&gt;"&amp;$O2344),"")</f>
        <v/>
      </c>
      <c r="Q2344" s="396">
        <f>IF($P2344="","",$P2344-$O2344)</f>
        <v/>
      </c>
    </row>
    <row r="2345" ht="15" customHeight="1" s="231">
      <c r="A2345" s="397" t="n"/>
      <c r="B2345" s="397" t="n"/>
      <c r="C2345" s="397" t="n"/>
      <c r="D2345" s="397" t="n"/>
      <c r="E2345" s="397" t="n"/>
      <c r="F2345" s="397" t="n"/>
      <c r="G2345" s="397" t="n"/>
      <c r="I2345" s="397" t="n"/>
      <c r="J2345" s="397" t="n"/>
      <c r="K2345" s="395">
        <f>DATE(VALUE(LEFT(A2345,4)),VALUE(MID(A2345,5,2)),VALUE(RIGHT(A2345,2)))</f>
        <v/>
      </c>
      <c r="L2345" s="395">
        <f>DATEVALUE(LEFT(F2345,10))</f>
        <v/>
      </c>
      <c r="M2345" s="396">
        <f>TIMEVALUE(MID(F2345,12,8))</f>
        <v/>
      </c>
      <c r="N2345" s="395">
        <f>DATEVALUE(LEFT(G2345,10))</f>
        <v/>
      </c>
      <c r="O2345" s="396">
        <f>TIMEVALUE(MID(G2345,12,8))</f>
        <v/>
      </c>
      <c r="P2345" s="396">
        <f>IFERROR(_xlfn.MINIFS($M:$M,$E:$E,$E2345,$K:$K,$K2345,$M:$M,"&gt;"&amp;$O2345),"")</f>
        <v/>
      </c>
      <c r="Q2345" s="396">
        <f>IF($P2345="","",$P2345-$O2345)</f>
        <v/>
      </c>
    </row>
    <row r="2346" ht="15" customHeight="1" s="231">
      <c r="A2346" s="397" t="n"/>
      <c r="B2346" s="397" t="n"/>
      <c r="C2346" s="397" t="n"/>
      <c r="D2346" s="397" t="n"/>
      <c r="E2346" s="397" t="n"/>
      <c r="F2346" s="397" t="n"/>
      <c r="G2346" s="397" t="n"/>
      <c r="I2346" s="397" t="n"/>
      <c r="J2346" s="397" t="n"/>
      <c r="K2346" s="395">
        <f>DATE(VALUE(LEFT(A2346,4)),VALUE(MID(A2346,5,2)),VALUE(RIGHT(A2346,2)))</f>
        <v/>
      </c>
      <c r="L2346" s="395">
        <f>DATEVALUE(LEFT(F2346,10))</f>
        <v/>
      </c>
      <c r="M2346" s="396">
        <f>TIMEVALUE(MID(F2346,12,8))</f>
        <v/>
      </c>
      <c r="N2346" s="395">
        <f>DATEVALUE(LEFT(G2346,10))</f>
        <v/>
      </c>
      <c r="O2346" s="396">
        <f>TIMEVALUE(MID(G2346,12,8))</f>
        <v/>
      </c>
      <c r="P2346" s="396">
        <f>IFERROR(_xlfn.MINIFS($M:$M,$E:$E,$E2346,$K:$K,$K2346,$M:$M,"&gt;"&amp;$O2346),"")</f>
        <v/>
      </c>
      <c r="Q2346" s="396">
        <f>IF($P2346="","",$P2346-$O2346)</f>
        <v/>
      </c>
    </row>
    <row r="2347" ht="15" customHeight="1" s="231">
      <c r="A2347" s="397" t="n"/>
      <c r="B2347" s="397" t="n"/>
      <c r="C2347" s="397" t="n"/>
      <c r="D2347" s="397" t="n"/>
      <c r="E2347" s="397" t="n"/>
      <c r="F2347" s="397" t="n"/>
      <c r="G2347" s="397" t="n"/>
      <c r="I2347" s="397" t="n"/>
      <c r="J2347" s="397" t="n"/>
      <c r="K2347" s="395">
        <f>DATE(VALUE(LEFT(A2347,4)),VALUE(MID(A2347,5,2)),VALUE(RIGHT(A2347,2)))</f>
        <v/>
      </c>
      <c r="L2347" s="395">
        <f>DATEVALUE(LEFT(F2347,10))</f>
        <v/>
      </c>
      <c r="M2347" s="396">
        <f>TIMEVALUE(MID(F2347,12,8))</f>
        <v/>
      </c>
      <c r="N2347" s="395">
        <f>DATEVALUE(LEFT(G2347,10))</f>
        <v/>
      </c>
      <c r="O2347" s="396">
        <f>TIMEVALUE(MID(G2347,12,8))</f>
        <v/>
      </c>
      <c r="P2347" s="396">
        <f>IFERROR(_xlfn.MINIFS($M:$M,$E:$E,$E2347,$K:$K,$K2347,$M:$M,"&gt;"&amp;$O2347),"")</f>
        <v/>
      </c>
      <c r="Q2347" s="396">
        <f>IF($P2347="","",$P2347-$O2347)</f>
        <v/>
      </c>
    </row>
    <row r="2348" ht="15" customHeight="1" s="231">
      <c r="A2348" s="397" t="n"/>
      <c r="B2348" s="397" t="n"/>
      <c r="C2348" s="397" t="n"/>
      <c r="D2348" s="397" t="n"/>
      <c r="E2348" s="397" t="n"/>
      <c r="F2348" s="397" t="n"/>
      <c r="G2348" s="397" t="n"/>
      <c r="I2348" s="397" t="n"/>
      <c r="J2348" s="397" t="n"/>
      <c r="K2348" s="395">
        <f>DATE(VALUE(LEFT(A2348,4)),VALUE(MID(A2348,5,2)),VALUE(RIGHT(A2348,2)))</f>
        <v/>
      </c>
      <c r="L2348" s="395">
        <f>DATEVALUE(LEFT(F2348,10))</f>
        <v/>
      </c>
      <c r="M2348" s="396">
        <f>TIMEVALUE(MID(F2348,12,8))</f>
        <v/>
      </c>
      <c r="N2348" s="395">
        <f>DATEVALUE(LEFT(G2348,10))</f>
        <v/>
      </c>
      <c r="O2348" s="396">
        <f>TIMEVALUE(MID(G2348,12,8))</f>
        <v/>
      </c>
      <c r="P2348" s="396">
        <f>IFERROR(_xlfn.MINIFS($M:$M,$E:$E,$E2348,$K:$K,$K2348,$M:$M,"&gt;"&amp;$O2348),"")</f>
        <v/>
      </c>
      <c r="Q2348" s="396">
        <f>IF($P2348="","",$P2348-$O2348)</f>
        <v/>
      </c>
    </row>
    <row r="2349" ht="15" customHeight="1" s="231">
      <c r="A2349" s="397" t="n"/>
      <c r="B2349" s="397" t="n"/>
      <c r="C2349" s="397" t="n"/>
      <c r="D2349" s="397" t="n"/>
      <c r="E2349" s="397" t="n"/>
      <c r="F2349" s="397" t="n"/>
      <c r="G2349" s="397" t="n"/>
      <c r="I2349" s="397" t="n"/>
      <c r="J2349" s="397" t="n"/>
      <c r="K2349" s="395">
        <f>DATE(VALUE(LEFT(A2349,4)),VALUE(MID(A2349,5,2)),VALUE(RIGHT(A2349,2)))</f>
        <v/>
      </c>
      <c r="L2349" s="395">
        <f>DATEVALUE(LEFT(F2349,10))</f>
        <v/>
      </c>
      <c r="M2349" s="396">
        <f>TIMEVALUE(MID(F2349,12,8))</f>
        <v/>
      </c>
      <c r="N2349" s="395">
        <f>DATEVALUE(LEFT(G2349,10))</f>
        <v/>
      </c>
      <c r="O2349" s="396">
        <f>TIMEVALUE(MID(G2349,12,8))</f>
        <v/>
      </c>
      <c r="P2349" s="396">
        <f>IFERROR(_xlfn.MINIFS($M:$M,$E:$E,$E2349,$K:$K,$K2349,$M:$M,"&gt;"&amp;$O2349),"")</f>
        <v/>
      </c>
      <c r="Q2349" s="396">
        <f>IF($P2349="","",$P2349-$O2349)</f>
        <v/>
      </c>
    </row>
    <row r="2350" ht="15" customHeight="1" s="231">
      <c r="A2350" s="397" t="n"/>
      <c r="B2350" s="397" t="n"/>
      <c r="C2350" s="397" t="n"/>
      <c r="D2350" s="397" t="n"/>
      <c r="E2350" s="397" t="n"/>
      <c r="F2350" s="397" t="n"/>
      <c r="G2350" s="397" t="n"/>
      <c r="I2350" s="397" t="n"/>
      <c r="J2350" s="397" t="n"/>
      <c r="K2350" s="395">
        <f>DATE(VALUE(LEFT(A2350,4)),VALUE(MID(A2350,5,2)),VALUE(RIGHT(A2350,2)))</f>
        <v/>
      </c>
      <c r="L2350" s="395">
        <f>DATEVALUE(LEFT(F2350,10))</f>
        <v/>
      </c>
      <c r="M2350" s="396">
        <f>TIMEVALUE(MID(F2350,12,8))</f>
        <v/>
      </c>
      <c r="N2350" s="395">
        <f>DATEVALUE(LEFT(G2350,10))</f>
        <v/>
      </c>
      <c r="O2350" s="396">
        <f>TIMEVALUE(MID(G2350,12,8))</f>
        <v/>
      </c>
      <c r="P2350" s="396">
        <f>IFERROR(_xlfn.MINIFS($M:$M,$E:$E,$E2350,$K:$K,$K2350,$M:$M,"&gt;"&amp;$O2350),"")</f>
        <v/>
      </c>
      <c r="Q2350" s="396">
        <f>IF($P2350="","",$P2350-$O2350)</f>
        <v/>
      </c>
    </row>
    <row r="2351" ht="15" customHeight="1" s="231">
      <c r="A2351" s="397" t="n"/>
      <c r="B2351" s="397" t="n"/>
      <c r="C2351" s="397" t="n"/>
      <c r="D2351" s="397" t="n"/>
      <c r="E2351" s="397" t="n"/>
      <c r="F2351" s="397" t="n"/>
      <c r="G2351" s="397" t="n"/>
      <c r="I2351" s="397" t="n"/>
      <c r="J2351" s="397" t="n"/>
      <c r="K2351" s="395">
        <f>DATE(VALUE(LEFT(A2351,4)),VALUE(MID(A2351,5,2)),VALUE(RIGHT(A2351,2)))</f>
        <v/>
      </c>
      <c r="L2351" s="395">
        <f>DATEVALUE(LEFT(F2351,10))</f>
        <v/>
      </c>
      <c r="M2351" s="396">
        <f>TIMEVALUE(MID(F2351,12,8))</f>
        <v/>
      </c>
      <c r="N2351" s="395">
        <f>DATEVALUE(LEFT(G2351,10))</f>
        <v/>
      </c>
      <c r="O2351" s="396">
        <f>TIMEVALUE(MID(G2351,12,8))</f>
        <v/>
      </c>
      <c r="P2351" s="396">
        <f>IFERROR(_xlfn.MINIFS($M:$M,$E:$E,$E2351,$K:$K,$K2351,$M:$M,"&gt;"&amp;$O2351),"")</f>
        <v/>
      </c>
      <c r="Q2351" s="396">
        <f>IF($P2351="","",$P2351-$O2351)</f>
        <v/>
      </c>
    </row>
    <row r="2352" ht="15" customHeight="1" s="231">
      <c r="A2352" s="397" t="n"/>
      <c r="B2352" s="397" t="n"/>
      <c r="C2352" s="397" t="n"/>
      <c r="D2352" s="397" t="n"/>
      <c r="E2352" s="397" t="n"/>
      <c r="F2352" s="397" t="n"/>
      <c r="G2352" s="397" t="n"/>
      <c r="I2352" s="397" t="n"/>
      <c r="J2352" s="397" t="n"/>
      <c r="K2352" s="395">
        <f>DATE(VALUE(LEFT(A2352,4)),VALUE(MID(A2352,5,2)),VALUE(RIGHT(A2352,2)))</f>
        <v/>
      </c>
      <c r="L2352" s="395">
        <f>DATEVALUE(LEFT(F2352,10))</f>
        <v/>
      </c>
      <c r="M2352" s="396">
        <f>TIMEVALUE(MID(F2352,12,8))</f>
        <v/>
      </c>
      <c r="N2352" s="395">
        <f>DATEVALUE(LEFT(G2352,10))</f>
        <v/>
      </c>
      <c r="O2352" s="396">
        <f>TIMEVALUE(MID(G2352,12,8))</f>
        <v/>
      </c>
      <c r="P2352" s="396">
        <f>IFERROR(_xlfn.MINIFS($M:$M,$E:$E,$E2352,$K:$K,$K2352,$M:$M,"&gt;"&amp;$O2352),"")</f>
        <v/>
      </c>
      <c r="Q2352" s="396">
        <f>IF($P2352="","",$P2352-$O2352)</f>
        <v/>
      </c>
    </row>
    <row r="2353" ht="15" customHeight="1" s="231">
      <c r="A2353" s="397" t="n"/>
      <c r="B2353" s="397" t="n"/>
      <c r="C2353" s="397" t="n"/>
      <c r="D2353" s="397" t="n"/>
      <c r="E2353" s="397" t="n"/>
      <c r="F2353" s="397" t="n"/>
      <c r="G2353" s="397" t="n"/>
      <c r="I2353" s="397" t="n"/>
      <c r="J2353" s="397" t="n"/>
      <c r="K2353" s="395">
        <f>DATE(VALUE(LEFT(A2353,4)),VALUE(MID(A2353,5,2)),VALUE(RIGHT(A2353,2)))</f>
        <v/>
      </c>
      <c r="L2353" s="395">
        <f>DATEVALUE(LEFT(F2353,10))</f>
        <v/>
      </c>
      <c r="M2353" s="396">
        <f>TIMEVALUE(MID(F2353,12,8))</f>
        <v/>
      </c>
      <c r="N2353" s="395">
        <f>DATEVALUE(LEFT(G2353,10))</f>
        <v/>
      </c>
      <c r="O2353" s="396">
        <f>TIMEVALUE(MID(G2353,12,8))</f>
        <v/>
      </c>
      <c r="P2353" s="396">
        <f>IFERROR(_xlfn.MINIFS($M:$M,$E:$E,$E2353,$K:$K,$K2353,$M:$M,"&gt;"&amp;$O2353),"")</f>
        <v/>
      </c>
      <c r="Q2353" s="396">
        <f>IF($P2353="","",$P2353-$O2353)</f>
        <v/>
      </c>
    </row>
    <row r="2354" ht="15" customHeight="1" s="231">
      <c r="A2354" s="397" t="n"/>
      <c r="B2354" s="397" t="n"/>
      <c r="C2354" s="397" t="n"/>
      <c r="D2354" s="397" t="n"/>
      <c r="E2354" s="397" t="n"/>
      <c r="F2354" s="397" t="n"/>
      <c r="G2354" s="397" t="n"/>
      <c r="I2354" s="397" t="n"/>
      <c r="J2354" s="397" t="n"/>
      <c r="K2354" s="395">
        <f>DATE(VALUE(LEFT(A2354,4)),VALUE(MID(A2354,5,2)),VALUE(RIGHT(A2354,2)))</f>
        <v/>
      </c>
      <c r="L2354" s="395">
        <f>DATEVALUE(LEFT(F2354,10))</f>
        <v/>
      </c>
      <c r="M2354" s="396">
        <f>TIMEVALUE(MID(F2354,12,8))</f>
        <v/>
      </c>
      <c r="N2354" s="395">
        <f>DATEVALUE(LEFT(G2354,10))</f>
        <v/>
      </c>
      <c r="O2354" s="396">
        <f>TIMEVALUE(MID(G2354,12,8))</f>
        <v/>
      </c>
      <c r="P2354" s="396">
        <f>IFERROR(_xlfn.MINIFS($M:$M,$E:$E,$E2354,$K:$K,$K2354,$M:$M,"&gt;"&amp;$O2354),"")</f>
        <v/>
      </c>
      <c r="Q2354" s="396">
        <f>IF($P2354="","",$P2354-$O2354)</f>
        <v/>
      </c>
    </row>
    <row r="2355" ht="15" customHeight="1" s="231">
      <c r="A2355" s="397" t="n"/>
      <c r="B2355" s="397" t="n"/>
      <c r="C2355" s="397" t="n"/>
      <c r="D2355" s="397" t="n"/>
      <c r="E2355" s="397" t="n"/>
      <c r="F2355" s="397" t="n"/>
      <c r="G2355" s="397" t="n"/>
      <c r="I2355" s="397" t="n"/>
      <c r="J2355" s="397" t="n"/>
      <c r="K2355" s="395">
        <f>DATE(VALUE(LEFT(A2355,4)),VALUE(MID(A2355,5,2)),VALUE(RIGHT(A2355,2)))</f>
        <v/>
      </c>
      <c r="L2355" s="395">
        <f>DATEVALUE(LEFT(F2355,10))</f>
        <v/>
      </c>
      <c r="M2355" s="396">
        <f>TIMEVALUE(MID(F2355,12,8))</f>
        <v/>
      </c>
      <c r="N2355" s="395">
        <f>DATEVALUE(LEFT(G2355,10))</f>
        <v/>
      </c>
      <c r="O2355" s="396">
        <f>TIMEVALUE(MID(G2355,12,8))</f>
        <v/>
      </c>
      <c r="P2355" s="396">
        <f>IFERROR(_xlfn.MINIFS($M:$M,$E:$E,$E2355,$K:$K,$K2355,$M:$M,"&gt;"&amp;$O2355),"")</f>
        <v/>
      </c>
      <c r="Q2355" s="396">
        <f>IF($P2355="","",$P2355-$O2355)</f>
        <v/>
      </c>
    </row>
    <row r="2356" ht="15" customHeight="1" s="231">
      <c r="A2356" s="397" t="n"/>
      <c r="B2356" s="397" t="n"/>
      <c r="C2356" s="397" t="n"/>
      <c r="D2356" s="397" t="n"/>
      <c r="E2356" s="397" t="n"/>
      <c r="F2356" s="397" t="n"/>
      <c r="G2356" s="397" t="n"/>
      <c r="I2356" s="397" t="n"/>
      <c r="J2356" s="397" t="n"/>
      <c r="K2356" s="395">
        <f>DATE(VALUE(LEFT(A2356,4)),VALUE(MID(A2356,5,2)),VALUE(RIGHT(A2356,2)))</f>
        <v/>
      </c>
      <c r="L2356" s="395">
        <f>DATEVALUE(LEFT(F2356,10))</f>
        <v/>
      </c>
      <c r="M2356" s="396">
        <f>TIMEVALUE(MID(F2356,12,8))</f>
        <v/>
      </c>
      <c r="N2356" s="395">
        <f>DATEVALUE(LEFT(G2356,10))</f>
        <v/>
      </c>
      <c r="O2356" s="396">
        <f>TIMEVALUE(MID(G2356,12,8))</f>
        <v/>
      </c>
      <c r="P2356" s="396">
        <f>IFERROR(_xlfn.MINIFS($M:$M,$E:$E,$E2356,$K:$K,$K2356,$M:$M,"&gt;"&amp;$O2356),"")</f>
        <v/>
      </c>
      <c r="Q2356" s="396">
        <f>IF($P2356="","",$P2356-$O2356)</f>
        <v/>
      </c>
    </row>
    <row r="2357" ht="15" customHeight="1" s="231">
      <c r="A2357" s="397" t="n"/>
      <c r="B2357" s="397" t="n"/>
      <c r="C2357" s="397" t="n"/>
      <c r="D2357" s="397" t="n"/>
      <c r="E2357" s="397" t="n"/>
      <c r="F2357" s="397" t="n"/>
      <c r="G2357" s="397" t="n"/>
      <c r="I2357" s="397" t="n"/>
      <c r="J2357" s="397" t="n"/>
      <c r="K2357" s="395">
        <f>DATE(VALUE(LEFT(A2357,4)),VALUE(MID(A2357,5,2)),VALUE(RIGHT(A2357,2)))</f>
        <v/>
      </c>
      <c r="L2357" s="395">
        <f>DATEVALUE(LEFT(F2357,10))</f>
        <v/>
      </c>
      <c r="M2357" s="396">
        <f>TIMEVALUE(MID(F2357,12,8))</f>
        <v/>
      </c>
      <c r="N2357" s="395">
        <f>DATEVALUE(LEFT(G2357,10))</f>
        <v/>
      </c>
      <c r="O2357" s="396">
        <f>TIMEVALUE(MID(G2357,12,8))</f>
        <v/>
      </c>
      <c r="P2357" s="396">
        <f>IFERROR(_xlfn.MINIFS($M:$M,$E:$E,$E2357,$K:$K,$K2357,$M:$M,"&gt;"&amp;$O2357),"")</f>
        <v/>
      </c>
      <c r="Q2357" s="396">
        <f>IF($P2357="","",$P2357-$O2357)</f>
        <v/>
      </c>
    </row>
    <row r="2358" ht="15" customHeight="1" s="231">
      <c r="A2358" s="397" t="n"/>
      <c r="B2358" s="397" t="n"/>
      <c r="C2358" s="397" t="n"/>
      <c r="D2358" s="397" t="n"/>
      <c r="E2358" s="397" t="n"/>
      <c r="F2358" s="397" t="n"/>
      <c r="G2358" s="397" t="n"/>
      <c r="I2358" s="397" t="n"/>
      <c r="J2358" s="397" t="n"/>
      <c r="K2358" s="395">
        <f>DATE(VALUE(LEFT(A2358,4)),VALUE(MID(A2358,5,2)),VALUE(RIGHT(A2358,2)))</f>
        <v/>
      </c>
      <c r="L2358" s="395">
        <f>DATEVALUE(LEFT(F2358,10))</f>
        <v/>
      </c>
      <c r="M2358" s="396">
        <f>TIMEVALUE(MID(F2358,12,8))</f>
        <v/>
      </c>
      <c r="N2358" s="395">
        <f>DATEVALUE(LEFT(G2358,10))</f>
        <v/>
      </c>
      <c r="O2358" s="396">
        <f>TIMEVALUE(MID(G2358,12,8))</f>
        <v/>
      </c>
      <c r="P2358" s="396">
        <f>IFERROR(_xlfn.MINIFS($M:$M,$E:$E,$E2358,$K:$K,$K2358,$M:$M,"&gt;"&amp;$O2358),"")</f>
        <v/>
      </c>
      <c r="Q2358" s="396">
        <f>IF($P2358="","",$P2358-$O2358)</f>
        <v/>
      </c>
    </row>
    <row r="2359" ht="15" customHeight="1" s="231">
      <c r="A2359" s="397" t="n"/>
      <c r="B2359" s="397" t="n"/>
      <c r="C2359" s="397" t="n"/>
      <c r="D2359" s="397" t="n"/>
      <c r="E2359" s="397" t="n"/>
      <c r="F2359" s="397" t="n"/>
      <c r="G2359" s="397" t="n"/>
      <c r="I2359" s="397" t="n"/>
      <c r="J2359" s="397" t="n"/>
      <c r="K2359" s="395">
        <f>DATE(VALUE(LEFT(A2359,4)),VALUE(MID(A2359,5,2)),VALUE(RIGHT(A2359,2)))</f>
        <v/>
      </c>
      <c r="L2359" s="395">
        <f>DATEVALUE(LEFT(F2359,10))</f>
        <v/>
      </c>
      <c r="M2359" s="396">
        <f>TIMEVALUE(MID(F2359,12,8))</f>
        <v/>
      </c>
      <c r="N2359" s="395">
        <f>DATEVALUE(LEFT(G2359,10))</f>
        <v/>
      </c>
      <c r="O2359" s="396">
        <f>TIMEVALUE(MID(G2359,12,8))</f>
        <v/>
      </c>
      <c r="P2359" s="396">
        <f>IFERROR(_xlfn.MINIFS($M:$M,$E:$E,$E2359,$K:$K,$K2359,$M:$M,"&gt;"&amp;$O2359),"")</f>
        <v/>
      </c>
      <c r="Q2359" s="396">
        <f>IF($P2359="","",$P2359-$O2359)</f>
        <v/>
      </c>
    </row>
    <row r="2360" ht="15" customHeight="1" s="231">
      <c r="A2360" s="397" t="n"/>
      <c r="B2360" s="397" t="n"/>
      <c r="C2360" s="397" t="n"/>
      <c r="D2360" s="397" t="n"/>
      <c r="E2360" s="397" t="n"/>
      <c r="F2360" s="397" t="n"/>
      <c r="G2360" s="397" t="n"/>
      <c r="I2360" s="397" t="n"/>
      <c r="J2360" s="397" t="n"/>
      <c r="K2360" s="395">
        <f>DATE(VALUE(LEFT(A2360,4)),VALUE(MID(A2360,5,2)),VALUE(RIGHT(A2360,2)))</f>
        <v/>
      </c>
      <c r="L2360" s="395">
        <f>DATEVALUE(LEFT(F2360,10))</f>
        <v/>
      </c>
      <c r="M2360" s="396">
        <f>TIMEVALUE(MID(F2360,12,8))</f>
        <v/>
      </c>
      <c r="N2360" s="395">
        <f>DATEVALUE(LEFT(G2360,10))</f>
        <v/>
      </c>
      <c r="O2360" s="396">
        <f>TIMEVALUE(MID(G2360,12,8))</f>
        <v/>
      </c>
      <c r="P2360" s="396">
        <f>IFERROR(_xlfn.MINIFS($M:$M,$E:$E,$E2360,$K:$K,$K2360,$M:$M,"&gt;"&amp;$O2360),"")</f>
        <v/>
      </c>
      <c r="Q2360" s="396">
        <f>IF($P2360="","",$P2360-$O2360)</f>
        <v/>
      </c>
    </row>
    <row r="2361" ht="15" customHeight="1" s="231">
      <c r="A2361" s="397" t="n"/>
      <c r="B2361" s="397" t="n"/>
      <c r="C2361" s="397" t="n"/>
      <c r="D2361" s="397" t="n"/>
      <c r="E2361" s="397" t="n"/>
      <c r="F2361" s="397" t="n"/>
      <c r="G2361" s="397" t="n"/>
      <c r="I2361" s="397" t="n"/>
      <c r="J2361" s="397" t="n"/>
      <c r="K2361" s="395">
        <f>DATE(VALUE(LEFT(A2361,4)),VALUE(MID(A2361,5,2)),VALUE(RIGHT(A2361,2)))</f>
        <v/>
      </c>
      <c r="L2361" s="395">
        <f>DATEVALUE(LEFT(F2361,10))</f>
        <v/>
      </c>
      <c r="M2361" s="396">
        <f>TIMEVALUE(MID(F2361,12,8))</f>
        <v/>
      </c>
      <c r="N2361" s="395">
        <f>DATEVALUE(LEFT(G2361,10))</f>
        <v/>
      </c>
      <c r="O2361" s="396">
        <f>TIMEVALUE(MID(G2361,12,8))</f>
        <v/>
      </c>
      <c r="P2361" s="396">
        <f>IFERROR(_xlfn.MINIFS($M:$M,$E:$E,$E2361,$K:$K,$K2361,$M:$M,"&gt;"&amp;$O2361),"")</f>
        <v/>
      </c>
      <c r="Q2361" s="396">
        <f>IF($P2361="","",$P2361-$O2361)</f>
        <v/>
      </c>
    </row>
    <row r="2362" ht="15" customHeight="1" s="231">
      <c r="A2362" s="397" t="n"/>
      <c r="B2362" s="397" t="n"/>
      <c r="C2362" s="397" t="n"/>
      <c r="D2362" s="397" t="n"/>
      <c r="E2362" s="397" t="n"/>
      <c r="F2362" s="397" t="n"/>
      <c r="G2362" s="397" t="n"/>
      <c r="I2362" s="397" t="n"/>
      <c r="J2362" s="397" t="n"/>
      <c r="K2362" s="395">
        <f>DATE(VALUE(LEFT(A2362,4)),VALUE(MID(A2362,5,2)),VALUE(RIGHT(A2362,2)))</f>
        <v/>
      </c>
      <c r="L2362" s="395">
        <f>DATEVALUE(LEFT(F2362,10))</f>
        <v/>
      </c>
      <c r="M2362" s="396">
        <f>TIMEVALUE(MID(F2362,12,8))</f>
        <v/>
      </c>
      <c r="N2362" s="395">
        <f>DATEVALUE(LEFT(G2362,10))</f>
        <v/>
      </c>
      <c r="O2362" s="396">
        <f>TIMEVALUE(MID(G2362,12,8))</f>
        <v/>
      </c>
      <c r="P2362" s="396">
        <f>IFERROR(_xlfn.MINIFS($M:$M,$E:$E,$E2362,$K:$K,$K2362,$M:$M,"&gt;"&amp;$O2362),"")</f>
        <v/>
      </c>
      <c r="Q2362" s="396">
        <f>IF($P2362="","",$P2362-$O2362)</f>
        <v/>
      </c>
    </row>
    <row r="2363" ht="15" customHeight="1" s="231">
      <c r="A2363" s="397" t="n"/>
      <c r="B2363" s="397" t="n"/>
      <c r="C2363" s="397" t="n"/>
      <c r="D2363" s="397" t="n"/>
      <c r="E2363" s="397" t="n"/>
      <c r="F2363" s="397" t="n"/>
      <c r="G2363" s="397" t="n"/>
      <c r="I2363" s="397" t="n"/>
      <c r="J2363" s="397" t="n"/>
      <c r="K2363" s="395">
        <f>DATE(VALUE(LEFT(A2363,4)),VALUE(MID(A2363,5,2)),VALUE(RIGHT(A2363,2)))</f>
        <v/>
      </c>
      <c r="L2363" s="395">
        <f>DATEVALUE(LEFT(F2363,10))</f>
        <v/>
      </c>
      <c r="M2363" s="396">
        <f>TIMEVALUE(MID(F2363,12,8))</f>
        <v/>
      </c>
      <c r="N2363" s="395">
        <f>DATEVALUE(LEFT(G2363,10))</f>
        <v/>
      </c>
      <c r="O2363" s="396">
        <f>TIMEVALUE(MID(G2363,12,8))</f>
        <v/>
      </c>
      <c r="P2363" s="396">
        <f>IFERROR(_xlfn.MINIFS($M:$M,$E:$E,$E2363,$K:$K,$K2363,$M:$M,"&gt;"&amp;$O2363),"")</f>
        <v/>
      </c>
      <c r="Q2363" s="396">
        <f>IF($P2363="","",$P2363-$O2363)</f>
        <v/>
      </c>
    </row>
    <row r="2364" ht="15" customHeight="1" s="231">
      <c r="A2364" s="397" t="n"/>
      <c r="B2364" s="397" t="n"/>
      <c r="C2364" s="397" t="n"/>
      <c r="D2364" s="397" t="n"/>
      <c r="E2364" s="397" t="n"/>
      <c r="F2364" s="397" t="n"/>
      <c r="G2364" s="397" t="n"/>
      <c r="I2364" s="397" t="n"/>
      <c r="J2364" s="397" t="n"/>
      <c r="K2364" s="395">
        <f>DATE(VALUE(LEFT(A2364,4)),VALUE(MID(A2364,5,2)),VALUE(RIGHT(A2364,2)))</f>
        <v/>
      </c>
      <c r="L2364" s="395">
        <f>DATEVALUE(LEFT(F2364,10))</f>
        <v/>
      </c>
      <c r="M2364" s="396">
        <f>TIMEVALUE(MID(F2364,12,8))</f>
        <v/>
      </c>
      <c r="N2364" s="395">
        <f>DATEVALUE(LEFT(G2364,10))</f>
        <v/>
      </c>
      <c r="O2364" s="396">
        <f>TIMEVALUE(MID(G2364,12,8))</f>
        <v/>
      </c>
      <c r="P2364" s="396">
        <f>IFERROR(_xlfn.MINIFS($M:$M,$E:$E,$E2364,$K:$K,$K2364,$M:$M,"&gt;"&amp;$O2364),"")</f>
        <v/>
      </c>
      <c r="Q2364" s="396">
        <f>IF($P2364="","",$P2364-$O2364)</f>
        <v/>
      </c>
    </row>
    <row r="2365" ht="15" customHeight="1" s="231">
      <c r="A2365" s="397" t="n"/>
      <c r="B2365" s="397" t="n"/>
      <c r="C2365" s="397" t="n"/>
      <c r="D2365" s="397" t="n"/>
      <c r="E2365" s="397" t="n"/>
      <c r="F2365" s="397" t="n"/>
      <c r="G2365" s="397" t="n"/>
      <c r="I2365" s="397" t="n"/>
      <c r="J2365" s="397" t="n"/>
      <c r="K2365" s="395">
        <f>DATE(VALUE(LEFT(A2365,4)),VALUE(MID(A2365,5,2)),VALUE(RIGHT(A2365,2)))</f>
        <v/>
      </c>
      <c r="L2365" s="395">
        <f>DATEVALUE(LEFT(F2365,10))</f>
        <v/>
      </c>
      <c r="M2365" s="396">
        <f>TIMEVALUE(MID(F2365,12,8))</f>
        <v/>
      </c>
      <c r="N2365" s="395">
        <f>DATEVALUE(LEFT(G2365,10))</f>
        <v/>
      </c>
      <c r="O2365" s="396">
        <f>TIMEVALUE(MID(G2365,12,8))</f>
        <v/>
      </c>
      <c r="P2365" s="396">
        <f>IFERROR(_xlfn.MINIFS($M:$M,$E:$E,$E2365,$K:$K,$K2365,$M:$M,"&gt;"&amp;$O2365),"")</f>
        <v/>
      </c>
      <c r="Q2365" s="396">
        <f>IF($P2365="","",$P2365-$O2365)</f>
        <v/>
      </c>
    </row>
    <row r="2366" ht="15" customHeight="1" s="231">
      <c r="A2366" s="397" t="n"/>
      <c r="B2366" s="397" t="n"/>
      <c r="C2366" s="397" t="n"/>
      <c r="D2366" s="397" t="n"/>
      <c r="E2366" s="397" t="n"/>
      <c r="F2366" s="397" t="n"/>
      <c r="G2366" s="397" t="n"/>
      <c r="I2366" s="397" t="n"/>
      <c r="J2366" s="397" t="n"/>
      <c r="K2366" s="395">
        <f>DATE(VALUE(LEFT(A2366,4)),VALUE(MID(A2366,5,2)),VALUE(RIGHT(A2366,2)))</f>
        <v/>
      </c>
      <c r="L2366" s="395">
        <f>DATEVALUE(LEFT(F2366,10))</f>
        <v/>
      </c>
      <c r="M2366" s="396">
        <f>TIMEVALUE(MID(F2366,12,8))</f>
        <v/>
      </c>
      <c r="N2366" s="395">
        <f>DATEVALUE(LEFT(G2366,10))</f>
        <v/>
      </c>
      <c r="O2366" s="396">
        <f>TIMEVALUE(MID(G2366,12,8))</f>
        <v/>
      </c>
      <c r="P2366" s="396">
        <f>IFERROR(_xlfn.MINIFS($M:$M,$E:$E,$E2366,$K:$K,$K2366,$M:$M,"&gt;"&amp;$O2366),"")</f>
        <v/>
      </c>
      <c r="Q2366" s="396">
        <f>IF($P2366="","",$P2366-$O2366)</f>
        <v/>
      </c>
    </row>
    <row r="2367" ht="15" customHeight="1" s="231">
      <c r="A2367" s="397" t="n"/>
      <c r="B2367" s="397" t="n"/>
      <c r="C2367" s="397" t="n"/>
      <c r="D2367" s="397" t="n"/>
      <c r="E2367" s="397" t="n"/>
      <c r="F2367" s="397" t="n"/>
      <c r="G2367" s="397" t="n"/>
      <c r="I2367" s="397" t="n"/>
      <c r="J2367" s="397" t="n"/>
      <c r="K2367" s="395">
        <f>DATE(VALUE(LEFT(A2367,4)),VALUE(MID(A2367,5,2)),VALUE(RIGHT(A2367,2)))</f>
        <v/>
      </c>
      <c r="L2367" s="395">
        <f>DATEVALUE(LEFT(F2367,10))</f>
        <v/>
      </c>
      <c r="M2367" s="396">
        <f>TIMEVALUE(MID(F2367,12,8))</f>
        <v/>
      </c>
      <c r="N2367" s="395">
        <f>DATEVALUE(LEFT(G2367,10))</f>
        <v/>
      </c>
      <c r="O2367" s="396">
        <f>TIMEVALUE(MID(G2367,12,8))</f>
        <v/>
      </c>
      <c r="P2367" s="396">
        <f>IFERROR(_xlfn.MINIFS($M:$M,$E:$E,$E2367,$K:$K,$K2367,$M:$M,"&gt;"&amp;$O2367),"")</f>
        <v/>
      </c>
      <c r="Q2367" s="396">
        <f>IF($P2367="","",$P2367-$O2367)</f>
        <v/>
      </c>
    </row>
    <row r="2368" ht="15" customHeight="1" s="231">
      <c r="A2368" s="397" t="n"/>
      <c r="B2368" s="397" t="n"/>
      <c r="C2368" s="397" t="n"/>
      <c r="D2368" s="397" t="n"/>
      <c r="E2368" s="397" t="n"/>
      <c r="F2368" s="397" t="n"/>
      <c r="G2368" s="397" t="n"/>
      <c r="I2368" s="397" t="n"/>
      <c r="J2368" s="397" t="n"/>
      <c r="K2368" s="395">
        <f>DATE(VALUE(LEFT(A2368,4)),VALUE(MID(A2368,5,2)),VALUE(RIGHT(A2368,2)))</f>
        <v/>
      </c>
      <c r="L2368" s="395">
        <f>DATEVALUE(LEFT(F2368,10))</f>
        <v/>
      </c>
      <c r="M2368" s="396">
        <f>TIMEVALUE(MID(F2368,12,8))</f>
        <v/>
      </c>
      <c r="N2368" s="395">
        <f>DATEVALUE(LEFT(G2368,10))</f>
        <v/>
      </c>
      <c r="O2368" s="396">
        <f>TIMEVALUE(MID(G2368,12,8))</f>
        <v/>
      </c>
      <c r="P2368" s="396">
        <f>IFERROR(_xlfn.MINIFS($M:$M,$E:$E,$E2368,$K:$K,$K2368,$M:$M,"&gt;"&amp;$O2368),"")</f>
        <v/>
      </c>
      <c r="Q2368" s="396">
        <f>IF($P2368="","",$P2368-$O2368)</f>
        <v/>
      </c>
    </row>
    <row r="2369" ht="15" customHeight="1" s="231">
      <c r="A2369" s="397" t="n"/>
      <c r="B2369" s="397" t="n"/>
      <c r="C2369" s="397" t="n"/>
      <c r="D2369" s="397" t="n"/>
      <c r="E2369" s="397" t="n"/>
      <c r="F2369" s="397" t="n"/>
      <c r="G2369" s="397" t="n"/>
      <c r="I2369" s="397" t="n"/>
      <c r="J2369" s="397" t="n"/>
      <c r="K2369" s="395">
        <f>DATE(VALUE(LEFT(A2369,4)),VALUE(MID(A2369,5,2)),VALUE(RIGHT(A2369,2)))</f>
        <v/>
      </c>
      <c r="L2369" s="395">
        <f>DATEVALUE(LEFT(F2369,10))</f>
        <v/>
      </c>
      <c r="M2369" s="396">
        <f>TIMEVALUE(MID(F2369,12,8))</f>
        <v/>
      </c>
      <c r="N2369" s="395">
        <f>DATEVALUE(LEFT(G2369,10))</f>
        <v/>
      </c>
      <c r="O2369" s="396">
        <f>TIMEVALUE(MID(G2369,12,8))</f>
        <v/>
      </c>
      <c r="P2369" s="396">
        <f>IFERROR(_xlfn.MINIFS($M:$M,$E:$E,$E2369,$K:$K,$K2369,$M:$M,"&gt;"&amp;$O2369),"")</f>
        <v/>
      </c>
      <c r="Q2369" s="396">
        <f>IF($P2369="","",$P2369-$O2369)</f>
        <v/>
      </c>
    </row>
    <row r="2370" ht="15" customHeight="1" s="231">
      <c r="A2370" s="397" t="n"/>
      <c r="B2370" s="397" t="n"/>
      <c r="C2370" s="397" t="n"/>
      <c r="D2370" s="397" t="n"/>
      <c r="E2370" s="397" t="n"/>
      <c r="F2370" s="397" t="n"/>
      <c r="G2370" s="397" t="n"/>
      <c r="I2370" s="397" t="n"/>
      <c r="J2370" s="397" t="n"/>
      <c r="K2370" s="395">
        <f>DATE(VALUE(LEFT(A2370,4)),VALUE(MID(A2370,5,2)),VALUE(RIGHT(A2370,2)))</f>
        <v/>
      </c>
      <c r="L2370" s="395">
        <f>DATEVALUE(LEFT(F2370,10))</f>
        <v/>
      </c>
      <c r="M2370" s="396">
        <f>TIMEVALUE(MID(F2370,12,8))</f>
        <v/>
      </c>
      <c r="N2370" s="395">
        <f>DATEVALUE(LEFT(G2370,10))</f>
        <v/>
      </c>
      <c r="O2370" s="396">
        <f>TIMEVALUE(MID(G2370,12,8))</f>
        <v/>
      </c>
      <c r="P2370" s="396">
        <f>IFERROR(_xlfn.MINIFS($M:$M,$E:$E,$E2370,$K:$K,$K2370,$M:$M,"&gt;"&amp;$O2370),"")</f>
        <v/>
      </c>
      <c r="Q2370" s="396">
        <f>IF($P2370="","",$P2370-$O2370)</f>
        <v/>
      </c>
    </row>
    <row r="2371" ht="15" customHeight="1" s="231">
      <c r="A2371" s="397" t="n"/>
      <c r="B2371" s="397" t="n"/>
      <c r="C2371" s="397" t="n"/>
      <c r="D2371" s="397" t="n"/>
      <c r="E2371" s="397" t="n"/>
      <c r="F2371" s="397" t="n"/>
      <c r="G2371" s="397" t="n"/>
      <c r="I2371" s="397" t="n"/>
      <c r="J2371" s="397" t="n"/>
      <c r="K2371" s="395">
        <f>DATE(VALUE(LEFT(A2371,4)),VALUE(MID(A2371,5,2)),VALUE(RIGHT(A2371,2)))</f>
        <v/>
      </c>
      <c r="L2371" s="395">
        <f>DATEVALUE(LEFT(F2371,10))</f>
        <v/>
      </c>
      <c r="M2371" s="396">
        <f>TIMEVALUE(MID(F2371,12,8))</f>
        <v/>
      </c>
      <c r="N2371" s="395">
        <f>DATEVALUE(LEFT(G2371,10))</f>
        <v/>
      </c>
      <c r="O2371" s="396">
        <f>TIMEVALUE(MID(G2371,12,8))</f>
        <v/>
      </c>
      <c r="P2371" s="396">
        <f>IFERROR(_xlfn.MINIFS($M:$M,$E:$E,$E2371,$K:$K,$K2371,$M:$M,"&gt;"&amp;$O2371),"")</f>
        <v/>
      </c>
      <c r="Q2371" s="396">
        <f>IF($P2371="","",$P2371-$O2371)</f>
        <v/>
      </c>
    </row>
    <row r="2372" ht="15" customHeight="1" s="231">
      <c r="A2372" s="397" t="n"/>
      <c r="B2372" s="397" t="n"/>
      <c r="C2372" s="397" t="n"/>
      <c r="D2372" s="397" t="n"/>
      <c r="E2372" s="397" t="n"/>
      <c r="F2372" s="397" t="n"/>
      <c r="G2372" s="397" t="n"/>
      <c r="I2372" s="397" t="n"/>
      <c r="J2372" s="397" t="n"/>
      <c r="K2372" s="395">
        <f>DATE(VALUE(LEFT(A2372,4)),VALUE(MID(A2372,5,2)),VALUE(RIGHT(A2372,2)))</f>
        <v/>
      </c>
      <c r="L2372" s="395">
        <f>DATEVALUE(LEFT(F2372,10))</f>
        <v/>
      </c>
      <c r="M2372" s="396">
        <f>TIMEVALUE(MID(F2372,12,8))</f>
        <v/>
      </c>
      <c r="N2372" s="395">
        <f>DATEVALUE(LEFT(G2372,10))</f>
        <v/>
      </c>
      <c r="O2372" s="396">
        <f>TIMEVALUE(MID(G2372,12,8))</f>
        <v/>
      </c>
      <c r="P2372" s="396">
        <f>IFERROR(_xlfn.MINIFS($M:$M,$E:$E,$E2372,$K:$K,$K2372,$M:$M,"&gt;"&amp;$O2372),"")</f>
        <v/>
      </c>
      <c r="Q2372" s="396">
        <f>IF($P2372="","",$P2372-$O2372)</f>
        <v/>
      </c>
    </row>
    <row r="2373" ht="15" customHeight="1" s="231">
      <c r="A2373" s="397" t="n"/>
      <c r="B2373" s="397" t="n"/>
      <c r="C2373" s="397" t="n"/>
      <c r="D2373" s="397" t="n"/>
      <c r="E2373" s="397" t="n"/>
      <c r="F2373" s="397" t="n"/>
      <c r="G2373" s="397" t="n"/>
      <c r="I2373" s="397" t="n"/>
      <c r="J2373" s="397" t="n"/>
      <c r="K2373" s="395">
        <f>DATE(VALUE(LEFT(A2373,4)),VALUE(MID(A2373,5,2)),VALUE(RIGHT(A2373,2)))</f>
        <v/>
      </c>
      <c r="L2373" s="395">
        <f>DATEVALUE(LEFT(F2373,10))</f>
        <v/>
      </c>
      <c r="M2373" s="396">
        <f>TIMEVALUE(MID(F2373,12,8))</f>
        <v/>
      </c>
      <c r="N2373" s="395">
        <f>DATEVALUE(LEFT(G2373,10))</f>
        <v/>
      </c>
      <c r="O2373" s="396">
        <f>TIMEVALUE(MID(G2373,12,8))</f>
        <v/>
      </c>
      <c r="P2373" s="396">
        <f>IFERROR(_xlfn.MINIFS($M:$M,$E:$E,$E2373,$K:$K,$K2373,$M:$M,"&gt;"&amp;$O2373),"")</f>
        <v/>
      </c>
      <c r="Q2373" s="396">
        <f>IF($P2373="","",$P2373-$O2373)</f>
        <v/>
      </c>
    </row>
    <row r="2374" ht="15" customHeight="1" s="231">
      <c r="A2374" s="397" t="n"/>
      <c r="B2374" s="397" t="n"/>
      <c r="C2374" s="397" t="n"/>
      <c r="D2374" s="397" t="n"/>
      <c r="E2374" s="397" t="n"/>
      <c r="F2374" s="397" t="n"/>
      <c r="G2374" s="397" t="n"/>
      <c r="I2374" s="397" t="n"/>
      <c r="J2374" s="397" t="n"/>
      <c r="K2374" s="395">
        <f>DATE(VALUE(LEFT(A2374,4)),VALUE(MID(A2374,5,2)),VALUE(RIGHT(A2374,2)))</f>
        <v/>
      </c>
      <c r="L2374" s="395">
        <f>DATEVALUE(LEFT(F2374,10))</f>
        <v/>
      </c>
      <c r="M2374" s="396">
        <f>TIMEVALUE(MID(F2374,12,8))</f>
        <v/>
      </c>
      <c r="N2374" s="395">
        <f>DATEVALUE(LEFT(G2374,10))</f>
        <v/>
      </c>
      <c r="O2374" s="396">
        <f>TIMEVALUE(MID(G2374,12,8))</f>
        <v/>
      </c>
      <c r="P2374" s="396">
        <f>IFERROR(_xlfn.MINIFS($M:$M,$E:$E,$E2374,$K:$K,$K2374,$M:$M,"&gt;"&amp;$O2374),"")</f>
        <v/>
      </c>
      <c r="Q2374" s="396">
        <f>IF($P2374="","",$P2374-$O2374)</f>
        <v/>
      </c>
    </row>
    <row r="2375" ht="15" customHeight="1" s="231">
      <c r="A2375" s="397" t="n"/>
      <c r="B2375" s="397" t="n"/>
      <c r="C2375" s="397" t="n"/>
      <c r="D2375" s="397" t="n"/>
      <c r="E2375" s="397" t="n"/>
      <c r="F2375" s="397" t="n"/>
      <c r="G2375" s="397" t="n"/>
      <c r="I2375" s="397" t="n"/>
      <c r="J2375" s="397" t="n"/>
      <c r="K2375" s="395">
        <f>DATE(VALUE(LEFT(A2375,4)),VALUE(MID(A2375,5,2)),VALUE(RIGHT(A2375,2)))</f>
        <v/>
      </c>
      <c r="L2375" s="395">
        <f>DATEVALUE(LEFT(F2375,10))</f>
        <v/>
      </c>
      <c r="M2375" s="396">
        <f>TIMEVALUE(MID(F2375,12,8))</f>
        <v/>
      </c>
      <c r="N2375" s="395">
        <f>DATEVALUE(LEFT(G2375,10))</f>
        <v/>
      </c>
      <c r="O2375" s="396">
        <f>TIMEVALUE(MID(G2375,12,8))</f>
        <v/>
      </c>
      <c r="P2375" s="396">
        <f>IFERROR(_xlfn.MINIFS($M:$M,$E:$E,$E2375,$K:$K,$K2375,$M:$M,"&gt;"&amp;$O2375),"")</f>
        <v/>
      </c>
      <c r="Q2375" s="396">
        <f>IF($P2375="","",$P2375-$O2375)</f>
        <v/>
      </c>
    </row>
    <row r="2376" ht="15" customHeight="1" s="231">
      <c r="A2376" s="397" t="n"/>
      <c r="B2376" s="397" t="n"/>
      <c r="C2376" s="397" t="n"/>
      <c r="D2376" s="397" t="n"/>
      <c r="E2376" s="397" t="n"/>
      <c r="F2376" s="397" t="n"/>
      <c r="G2376" s="397" t="n"/>
      <c r="I2376" s="397" t="n"/>
      <c r="J2376" s="397" t="n"/>
      <c r="K2376" s="395">
        <f>DATE(VALUE(LEFT(A2376,4)),VALUE(MID(A2376,5,2)),VALUE(RIGHT(A2376,2)))</f>
        <v/>
      </c>
      <c r="L2376" s="395">
        <f>DATEVALUE(LEFT(F2376,10))</f>
        <v/>
      </c>
      <c r="M2376" s="396">
        <f>TIMEVALUE(MID(F2376,12,8))</f>
        <v/>
      </c>
      <c r="N2376" s="395">
        <f>DATEVALUE(LEFT(G2376,10))</f>
        <v/>
      </c>
      <c r="O2376" s="396">
        <f>TIMEVALUE(MID(G2376,12,8))</f>
        <v/>
      </c>
      <c r="P2376" s="396">
        <f>IFERROR(_xlfn.MINIFS($M:$M,$E:$E,$E2376,$K:$K,$K2376,$M:$M,"&gt;"&amp;$O2376),"")</f>
        <v/>
      </c>
      <c r="Q2376" s="396">
        <f>IF($P2376="","",$P2376-$O2376)</f>
        <v/>
      </c>
    </row>
    <row r="2377" ht="15" customHeight="1" s="231">
      <c r="A2377" s="397" t="n"/>
      <c r="B2377" s="397" t="n"/>
      <c r="C2377" s="397" t="n"/>
      <c r="D2377" s="397" t="n"/>
      <c r="E2377" s="397" t="n"/>
      <c r="F2377" s="397" t="n"/>
      <c r="G2377" s="397" t="n"/>
      <c r="I2377" s="397" t="n"/>
      <c r="J2377" s="397" t="n"/>
      <c r="K2377" s="395">
        <f>DATE(VALUE(LEFT(A2377,4)),VALUE(MID(A2377,5,2)),VALUE(RIGHT(A2377,2)))</f>
        <v/>
      </c>
      <c r="L2377" s="395">
        <f>DATEVALUE(LEFT(F2377,10))</f>
        <v/>
      </c>
      <c r="M2377" s="396">
        <f>TIMEVALUE(MID(F2377,12,8))</f>
        <v/>
      </c>
      <c r="N2377" s="395">
        <f>DATEVALUE(LEFT(G2377,10))</f>
        <v/>
      </c>
      <c r="O2377" s="396">
        <f>TIMEVALUE(MID(G2377,12,8))</f>
        <v/>
      </c>
      <c r="P2377" s="396">
        <f>IFERROR(_xlfn.MINIFS($M:$M,$E:$E,$E2377,$K:$K,$K2377,$M:$M,"&gt;"&amp;$O2377),"")</f>
        <v/>
      </c>
      <c r="Q2377" s="396">
        <f>IF($P2377="","",$P2377-$O2377)</f>
        <v/>
      </c>
    </row>
    <row r="2378" ht="15" customHeight="1" s="231">
      <c r="A2378" s="397" t="n"/>
      <c r="B2378" s="397" t="n"/>
      <c r="C2378" s="397" t="n"/>
      <c r="D2378" s="397" t="n"/>
      <c r="E2378" s="397" t="n"/>
      <c r="F2378" s="397" t="n"/>
      <c r="G2378" s="397" t="n"/>
      <c r="I2378" s="397" t="n"/>
      <c r="J2378" s="397" t="n"/>
      <c r="K2378" s="395">
        <f>DATE(VALUE(LEFT(A2378,4)),VALUE(MID(A2378,5,2)),VALUE(RIGHT(A2378,2)))</f>
        <v/>
      </c>
      <c r="L2378" s="395">
        <f>DATEVALUE(LEFT(F2378,10))</f>
        <v/>
      </c>
      <c r="M2378" s="396">
        <f>TIMEVALUE(MID(F2378,12,8))</f>
        <v/>
      </c>
      <c r="N2378" s="395">
        <f>DATEVALUE(LEFT(G2378,10))</f>
        <v/>
      </c>
      <c r="O2378" s="396">
        <f>TIMEVALUE(MID(G2378,12,8))</f>
        <v/>
      </c>
      <c r="P2378" s="396">
        <f>IFERROR(_xlfn.MINIFS($M:$M,$E:$E,$E2378,$K:$K,$K2378,$M:$M,"&gt;"&amp;$O2378),"")</f>
        <v/>
      </c>
      <c r="Q2378" s="396">
        <f>IF($P2378="","",$P2378-$O2378)</f>
        <v/>
      </c>
    </row>
    <row r="2379" ht="15" customHeight="1" s="231">
      <c r="A2379" s="397" t="n"/>
      <c r="B2379" s="397" t="n"/>
      <c r="C2379" s="397" t="n"/>
      <c r="D2379" s="397" t="n"/>
      <c r="E2379" s="397" t="n"/>
      <c r="F2379" s="397" t="n"/>
      <c r="G2379" s="397" t="n"/>
      <c r="I2379" s="397" t="n"/>
      <c r="J2379" s="397" t="n"/>
      <c r="K2379" s="395">
        <f>DATE(VALUE(LEFT(A2379,4)),VALUE(MID(A2379,5,2)),VALUE(RIGHT(A2379,2)))</f>
        <v/>
      </c>
      <c r="L2379" s="395">
        <f>DATEVALUE(LEFT(F2379,10))</f>
        <v/>
      </c>
      <c r="M2379" s="396">
        <f>TIMEVALUE(MID(F2379,12,8))</f>
        <v/>
      </c>
      <c r="N2379" s="395">
        <f>DATEVALUE(LEFT(G2379,10))</f>
        <v/>
      </c>
      <c r="O2379" s="396">
        <f>TIMEVALUE(MID(G2379,12,8))</f>
        <v/>
      </c>
      <c r="P2379" s="396">
        <f>IFERROR(_xlfn.MINIFS($M:$M,$E:$E,$E2379,$K:$K,$K2379,$M:$M,"&gt;"&amp;$O2379),"")</f>
        <v/>
      </c>
      <c r="Q2379" s="396">
        <f>IF($P2379="","",$P2379-$O2379)</f>
        <v/>
      </c>
    </row>
    <row r="2380" ht="15" customHeight="1" s="231">
      <c r="A2380" s="397" t="n"/>
      <c r="B2380" s="397" t="n"/>
      <c r="C2380" s="397" t="n"/>
      <c r="D2380" s="397" t="n"/>
      <c r="E2380" s="397" t="n"/>
      <c r="F2380" s="397" t="n"/>
      <c r="G2380" s="397" t="n"/>
      <c r="I2380" s="397" t="n"/>
      <c r="J2380" s="397" t="n"/>
      <c r="K2380" s="395">
        <f>DATE(VALUE(LEFT(A2380,4)),VALUE(MID(A2380,5,2)),VALUE(RIGHT(A2380,2)))</f>
        <v/>
      </c>
      <c r="L2380" s="395">
        <f>DATEVALUE(LEFT(F2380,10))</f>
        <v/>
      </c>
      <c r="M2380" s="396">
        <f>TIMEVALUE(MID(F2380,12,8))</f>
        <v/>
      </c>
      <c r="N2380" s="395">
        <f>DATEVALUE(LEFT(G2380,10))</f>
        <v/>
      </c>
      <c r="O2380" s="396">
        <f>TIMEVALUE(MID(G2380,12,8))</f>
        <v/>
      </c>
      <c r="P2380" s="396">
        <f>IFERROR(_xlfn.MINIFS($M:$M,$E:$E,$E2380,$K:$K,$K2380,$M:$M,"&gt;"&amp;$O2380),"")</f>
        <v/>
      </c>
      <c r="Q2380" s="396">
        <f>IF($P2380="","",$P2380-$O2380)</f>
        <v/>
      </c>
    </row>
    <row r="2381" ht="15" customHeight="1" s="231">
      <c r="A2381" s="397" t="n"/>
      <c r="B2381" s="397" t="n"/>
      <c r="C2381" s="397" t="n"/>
      <c r="D2381" s="397" t="n"/>
      <c r="E2381" s="397" t="n"/>
      <c r="F2381" s="397" t="n"/>
      <c r="G2381" s="397" t="n"/>
      <c r="I2381" s="397" t="n"/>
      <c r="J2381" s="397" t="n"/>
      <c r="K2381" s="395">
        <f>DATE(VALUE(LEFT(A2381,4)),VALUE(MID(A2381,5,2)),VALUE(RIGHT(A2381,2)))</f>
        <v/>
      </c>
      <c r="L2381" s="395">
        <f>DATEVALUE(LEFT(F2381,10))</f>
        <v/>
      </c>
      <c r="M2381" s="396">
        <f>TIMEVALUE(MID(F2381,12,8))</f>
        <v/>
      </c>
      <c r="N2381" s="395">
        <f>DATEVALUE(LEFT(G2381,10))</f>
        <v/>
      </c>
      <c r="O2381" s="396">
        <f>TIMEVALUE(MID(G2381,12,8))</f>
        <v/>
      </c>
      <c r="P2381" s="396">
        <f>IFERROR(_xlfn.MINIFS($M:$M,$E:$E,$E2381,$K:$K,$K2381,$M:$M,"&gt;"&amp;$O2381),"")</f>
        <v/>
      </c>
      <c r="Q2381" s="396">
        <f>IF($P2381="","",$P2381-$O2381)</f>
        <v/>
      </c>
    </row>
    <row r="2382" ht="15" customHeight="1" s="231">
      <c r="A2382" s="397" t="n"/>
      <c r="B2382" s="397" t="n"/>
      <c r="C2382" s="397" t="n"/>
      <c r="D2382" s="397" t="n"/>
      <c r="E2382" s="397" t="n"/>
      <c r="F2382" s="397" t="n"/>
      <c r="G2382" s="397" t="n"/>
      <c r="I2382" s="397" t="n"/>
      <c r="J2382" s="397" t="n"/>
      <c r="K2382" s="395">
        <f>DATE(VALUE(LEFT(A2382,4)),VALUE(MID(A2382,5,2)),VALUE(RIGHT(A2382,2)))</f>
        <v/>
      </c>
      <c r="L2382" s="395">
        <f>DATEVALUE(LEFT(F2382,10))</f>
        <v/>
      </c>
      <c r="M2382" s="396">
        <f>TIMEVALUE(MID(F2382,12,8))</f>
        <v/>
      </c>
      <c r="N2382" s="395">
        <f>DATEVALUE(LEFT(G2382,10))</f>
        <v/>
      </c>
      <c r="O2382" s="396">
        <f>TIMEVALUE(MID(G2382,12,8))</f>
        <v/>
      </c>
      <c r="P2382" s="396">
        <f>IFERROR(_xlfn.MINIFS($M:$M,$E:$E,$E2382,$K:$K,$K2382,$M:$M,"&gt;"&amp;$O2382),"")</f>
        <v/>
      </c>
      <c r="Q2382" s="396">
        <f>IF($P2382="","",$P2382-$O2382)</f>
        <v/>
      </c>
    </row>
    <row r="2383" ht="15" customHeight="1" s="231">
      <c r="A2383" s="397" t="n"/>
      <c r="B2383" s="397" t="n"/>
      <c r="C2383" s="397" t="n"/>
      <c r="D2383" s="397" t="n"/>
      <c r="E2383" s="397" t="n"/>
      <c r="F2383" s="397" t="n"/>
      <c r="G2383" s="397" t="n"/>
      <c r="I2383" s="397" t="n"/>
      <c r="J2383" s="397" t="n"/>
      <c r="K2383" s="395">
        <f>DATE(VALUE(LEFT(A2383,4)),VALUE(MID(A2383,5,2)),VALUE(RIGHT(A2383,2)))</f>
        <v/>
      </c>
      <c r="L2383" s="395">
        <f>DATEVALUE(LEFT(F2383,10))</f>
        <v/>
      </c>
      <c r="M2383" s="396">
        <f>TIMEVALUE(MID(F2383,12,8))</f>
        <v/>
      </c>
      <c r="N2383" s="395">
        <f>DATEVALUE(LEFT(G2383,10))</f>
        <v/>
      </c>
      <c r="O2383" s="396">
        <f>TIMEVALUE(MID(G2383,12,8))</f>
        <v/>
      </c>
      <c r="P2383" s="396">
        <f>IFERROR(_xlfn.MINIFS($M:$M,$E:$E,$E2383,$K:$K,$K2383,$M:$M,"&gt;"&amp;$O2383),"")</f>
        <v/>
      </c>
      <c r="Q2383" s="396">
        <f>IF($P2383="","",$P2383-$O2383)</f>
        <v/>
      </c>
    </row>
    <row r="2384" ht="15" customHeight="1" s="231">
      <c r="A2384" s="397" t="n"/>
      <c r="B2384" s="397" t="n"/>
      <c r="C2384" s="397" t="n"/>
      <c r="D2384" s="397" t="n"/>
      <c r="E2384" s="397" t="n"/>
      <c r="F2384" s="397" t="n"/>
      <c r="G2384" s="397" t="n"/>
      <c r="I2384" s="397" t="n"/>
      <c r="J2384" s="397" t="n"/>
      <c r="K2384" s="395">
        <f>DATE(VALUE(LEFT(A2384,4)),VALUE(MID(A2384,5,2)),VALUE(RIGHT(A2384,2)))</f>
        <v/>
      </c>
      <c r="L2384" s="395">
        <f>DATEVALUE(LEFT(F2384,10))</f>
        <v/>
      </c>
      <c r="M2384" s="396">
        <f>TIMEVALUE(MID(F2384,12,8))</f>
        <v/>
      </c>
      <c r="N2384" s="395">
        <f>DATEVALUE(LEFT(G2384,10))</f>
        <v/>
      </c>
      <c r="O2384" s="396">
        <f>TIMEVALUE(MID(G2384,12,8))</f>
        <v/>
      </c>
      <c r="P2384" s="396">
        <f>IFERROR(_xlfn.MINIFS($M:$M,$E:$E,$E2384,$K:$K,$K2384,$M:$M,"&gt;"&amp;$O2384),"")</f>
        <v/>
      </c>
      <c r="Q2384" s="396">
        <f>IF($P2384="","",$P2384-$O2384)</f>
        <v/>
      </c>
    </row>
    <row r="2385" ht="15" customHeight="1" s="231">
      <c r="A2385" s="397" t="n"/>
      <c r="B2385" s="397" t="n"/>
      <c r="C2385" s="397" t="n"/>
      <c r="D2385" s="397" t="n"/>
      <c r="E2385" s="397" t="n"/>
      <c r="F2385" s="397" t="n"/>
      <c r="G2385" s="397" t="n"/>
      <c r="I2385" s="397" t="n"/>
      <c r="J2385" s="397" t="n"/>
      <c r="K2385" s="395">
        <f>DATE(VALUE(LEFT(A2385,4)),VALUE(MID(A2385,5,2)),VALUE(RIGHT(A2385,2)))</f>
        <v/>
      </c>
      <c r="L2385" s="395">
        <f>DATEVALUE(LEFT(F2385,10))</f>
        <v/>
      </c>
      <c r="M2385" s="396">
        <f>TIMEVALUE(MID(F2385,12,8))</f>
        <v/>
      </c>
      <c r="N2385" s="395">
        <f>DATEVALUE(LEFT(G2385,10))</f>
        <v/>
      </c>
      <c r="O2385" s="396">
        <f>TIMEVALUE(MID(G2385,12,8))</f>
        <v/>
      </c>
      <c r="P2385" s="396">
        <f>IFERROR(_xlfn.MINIFS($M:$M,$E:$E,$E2385,$K:$K,$K2385,$M:$M,"&gt;"&amp;$O2385),"")</f>
        <v/>
      </c>
      <c r="Q2385" s="396">
        <f>IF($P2385="","",$P2385-$O2385)</f>
        <v/>
      </c>
    </row>
    <row r="2386" ht="15" customHeight="1" s="231">
      <c r="A2386" s="397" t="n"/>
      <c r="B2386" s="397" t="n"/>
      <c r="C2386" s="397" t="n"/>
      <c r="D2386" s="397" t="n"/>
      <c r="E2386" s="397" t="n"/>
      <c r="F2386" s="397" t="n"/>
      <c r="G2386" s="397" t="n"/>
      <c r="I2386" s="397" t="n"/>
      <c r="J2386" s="397" t="n"/>
      <c r="K2386" s="395">
        <f>DATE(VALUE(LEFT(A2386,4)),VALUE(MID(A2386,5,2)),VALUE(RIGHT(A2386,2)))</f>
        <v/>
      </c>
      <c r="L2386" s="395">
        <f>DATEVALUE(LEFT(F2386,10))</f>
        <v/>
      </c>
      <c r="M2386" s="396">
        <f>TIMEVALUE(MID(F2386,12,8))</f>
        <v/>
      </c>
      <c r="N2386" s="395">
        <f>DATEVALUE(LEFT(G2386,10))</f>
        <v/>
      </c>
      <c r="O2386" s="396">
        <f>TIMEVALUE(MID(G2386,12,8))</f>
        <v/>
      </c>
      <c r="P2386" s="396">
        <f>IFERROR(_xlfn.MINIFS($M:$M,$E:$E,$E2386,$K:$K,$K2386,$M:$M,"&gt;"&amp;$O2386),"")</f>
        <v/>
      </c>
      <c r="Q2386" s="396">
        <f>IF($P2386="","",$P2386-$O2386)</f>
        <v/>
      </c>
    </row>
    <row r="2387" ht="15" customHeight="1" s="231">
      <c r="A2387" s="397" t="n"/>
      <c r="B2387" s="397" t="n"/>
      <c r="C2387" s="397" t="n"/>
      <c r="D2387" s="397" t="n"/>
      <c r="E2387" s="397" t="n"/>
      <c r="F2387" s="397" t="n"/>
      <c r="G2387" s="397" t="n"/>
      <c r="I2387" s="397" t="n"/>
      <c r="J2387" s="397" t="n"/>
      <c r="K2387" s="395">
        <f>DATE(VALUE(LEFT(A2387,4)),VALUE(MID(A2387,5,2)),VALUE(RIGHT(A2387,2)))</f>
        <v/>
      </c>
      <c r="L2387" s="395">
        <f>DATEVALUE(LEFT(F2387,10))</f>
        <v/>
      </c>
      <c r="M2387" s="396">
        <f>TIMEVALUE(MID(F2387,12,8))</f>
        <v/>
      </c>
      <c r="N2387" s="395">
        <f>DATEVALUE(LEFT(G2387,10))</f>
        <v/>
      </c>
      <c r="O2387" s="396">
        <f>TIMEVALUE(MID(G2387,12,8))</f>
        <v/>
      </c>
      <c r="P2387" s="396">
        <f>IFERROR(_xlfn.MINIFS($M:$M,$E:$E,$E2387,$K:$K,$K2387,$M:$M,"&gt;"&amp;$O2387),"")</f>
        <v/>
      </c>
      <c r="Q2387" s="396">
        <f>IF($P2387="","",$P2387-$O2387)</f>
        <v/>
      </c>
    </row>
    <row r="2388" ht="15" customHeight="1" s="231">
      <c r="A2388" s="397" t="n"/>
      <c r="B2388" s="397" t="n"/>
      <c r="C2388" s="397" t="n"/>
      <c r="D2388" s="397" t="n"/>
      <c r="E2388" s="397" t="n"/>
      <c r="F2388" s="397" t="n"/>
      <c r="G2388" s="397" t="n"/>
      <c r="I2388" s="397" t="n"/>
      <c r="J2388" s="397" t="n"/>
      <c r="K2388" s="395">
        <f>DATE(VALUE(LEFT(A2388,4)),VALUE(MID(A2388,5,2)),VALUE(RIGHT(A2388,2)))</f>
        <v/>
      </c>
      <c r="L2388" s="395">
        <f>DATEVALUE(LEFT(F2388,10))</f>
        <v/>
      </c>
      <c r="M2388" s="396">
        <f>TIMEVALUE(MID(F2388,12,8))</f>
        <v/>
      </c>
      <c r="N2388" s="395">
        <f>DATEVALUE(LEFT(G2388,10))</f>
        <v/>
      </c>
      <c r="O2388" s="396">
        <f>TIMEVALUE(MID(G2388,12,8))</f>
        <v/>
      </c>
      <c r="P2388" s="396">
        <f>IFERROR(_xlfn.MINIFS($M:$M,$E:$E,$E2388,$K:$K,$K2388,$M:$M,"&gt;"&amp;$O2388),"")</f>
        <v/>
      </c>
      <c r="Q2388" s="396">
        <f>IF($P2388="","",$P2388-$O2388)</f>
        <v/>
      </c>
    </row>
    <row r="2389" ht="15" customHeight="1" s="231">
      <c r="A2389" s="397" t="n"/>
      <c r="B2389" s="397" t="n"/>
      <c r="C2389" s="397" t="n"/>
      <c r="D2389" s="397" t="n"/>
      <c r="E2389" s="397" t="n"/>
      <c r="F2389" s="397" t="n"/>
      <c r="G2389" s="397" t="n"/>
      <c r="I2389" s="397" t="n"/>
      <c r="J2389" s="397" t="n"/>
      <c r="K2389" s="395">
        <f>DATE(VALUE(LEFT(A2389,4)),VALUE(MID(A2389,5,2)),VALUE(RIGHT(A2389,2)))</f>
        <v/>
      </c>
      <c r="L2389" s="395">
        <f>DATEVALUE(LEFT(F2389,10))</f>
        <v/>
      </c>
      <c r="M2389" s="396">
        <f>TIMEVALUE(MID(F2389,12,8))</f>
        <v/>
      </c>
      <c r="N2389" s="395">
        <f>DATEVALUE(LEFT(G2389,10))</f>
        <v/>
      </c>
      <c r="O2389" s="396">
        <f>TIMEVALUE(MID(G2389,12,8))</f>
        <v/>
      </c>
      <c r="P2389" s="396">
        <f>IFERROR(_xlfn.MINIFS($M:$M,$E:$E,$E2389,$K:$K,$K2389,$M:$M,"&gt;"&amp;$O2389),"")</f>
        <v/>
      </c>
      <c r="Q2389" s="396">
        <f>IF($P2389="","",$P2389-$O2389)</f>
        <v/>
      </c>
    </row>
    <row r="2390" ht="15" customHeight="1" s="231">
      <c r="A2390" s="397" t="n"/>
      <c r="B2390" s="397" t="n"/>
      <c r="C2390" s="397" t="n"/>
      <c r="D2390" s="397" t="n"/>
      <c r="E2390" s="397" t="n"/>
      <c r="F2390" s="397" t="n"/>
      <c r="G2390" s="397" t="n"/>
      <c r="I2390" s="397" t="n"/>
      <c r="J2390" s="397" t="n"/>
      <c r="K2390" s="395">
        <f>DATE(VALUE(LEFT(A2390,4)),VALUE(MID(A2390,5,2)),VALUE(RIGHT(A2390,2)))</f>
        <v/>
      </c>
      <c r="L2390" s="395">
        <f>DATEVALUE(LEFT(F2390,10))</f>
        <v/>
      </c>
      <c r="M2390" s="396">
        <f>TIMEVALUE(MID(F2390,12,8))</f>
        <v/>
      </c>
      <c r="N2390" s="395">
        <f>DATEVALUE(LEFT(G2390,10))</f>
        <v/>
      </c>
      <c r="O2390" s="396">
        <f>TIMEVALUE(MID(G2390,12,8))</f>
        <v/>
      </c>
      <c r="P2390" s="396">
        <f>IFERROR(_xlfn.MINIFS($M:$M,$E:$E,$E2390,$K:$K,$K2390,$M:$M,"&gt;"&amp;$O2390),"")</f>
        <v/>
      </c>
      <c r="Q2390" s="396">
        <f>IF($P2390="","",$P2390-$O2390)</f>
        <v/>
      </c>
    </row>
    <row r="2391" ht="15" customHeight="1" s="231">
      <c r="A2391" s="397" t="n"/>
      <c r="B2391" s="397" t="n"/>
      <c r="C2391" s="397" t="n"/>
      <c r="D2391" s="397" t="n"/>
      <c r="E2391" s="397" t="n"/>
      <c r="F2391" s="397" t="n"/>
      <c r="G2391" s="397" t="n"/>
      <c r="I2391" s="397" t="n"/>
      <c r="J2391" s="397" t="n"/>
      <c r="K2391" s="395">
        <f>DATE(VALUE(LEFT(A2391,4)),VALUE(MID(A2391,5,2)),VALUE(RIGHT(A2391,2)))</f>
        <v/>
      </c>
      <c r="L2391" s="395">
        <f>DATEVALUE(LEFT(F2391,10))</f>
        <v/>
      </c>
      <c r="M2391" s="396">
        <f>TIMEVALUE(MID(F2391,12,8))</f>
        <v/>
      </c>
      <c r="N2391" s="395">
        <f>DATEVALUE(LEFT(G2391,10))</f>
        <v/>
      </c>
      <c r="O2391" s="396">
        <f>TIMEVALUE(MID(G2391,12,8))</f>
        <v/>
      </c>
      <c r="P2391" s="396">
        <f>IFERROR(_xlfn.MINIFS($M:$M,$E:$E,$E2391,$K:$K,$K2391,$M:$M,"&gt;"&amp;$O2391),"")</f>
        <v/>
      </c>
      <c r="Q2391" s="396">
        <f>IF($P2391="","",$P2391-$O2391)</f>
        <v/>
      </c>
    </row>
    <row r="2392" ht="15" customHeight="1" s="231">
      <c r="A2392" s="397" t="n"/>
      <c r="B2392" s="397" t="n"/>
      <c r="C2392" s="397" t="n"/>
      <c r="D2392" s="397" t="n"/>
      <c r="E2392" s="397" t="n"/>
      <c r="F2392" s="397" t="n"/>
      <c r="G2392" s="397" t="n"/>
      <c r="I2392" s="397" t="n"/>
      <c r="J2392" s="397" t="n"/>
      <c r="K2392" s="395">
        <f>DATE(VALUE(LEFT(A2392,4)),VALUE(MID(A2392,5,2)),VALUE(RIGHT(A2392,2)))</f>
        <v/>
      </c>
      <c r="L2392" s="395">
        <f>DATEVALUE(LEFT(F2392,10))</f>
        <v/>
      </c>
      <c r="M2392" s="396">
        <f>TIMEVALUE(MID(F2392,12,8))</f>
        <v/>
      </c>
      <c r="N2392" s="395">
        <f>DATEVALUE(LEFT(G2392,10))</f>
        <v/>
      </c>
      <c r="O2392" s="396">
        <f>TIMEVALUE(MID(G2392,12,8))</f>
        <v/>
      </c>
      <c r="P2392" s="396">
        <f>IFERROR(_xlfn.MINIFS($M:$M,$E:$E,$E2392,$K:$K,$K2392,$M:$M,"&gt;"&amp;$O2392),"")</f>
        <v/>
      </c>
      <c r="Q2392" s="396">
        <f>IF($P2392="","",$P2392-$O2392)</f>
        <v/>
      </c>
    </row>
    <row r="2393" ht="15" customHeight="1" s="231">
      <c r="A2393" s="397" t="n"/>
      <c r="B2393" s="397" t="n"/>
      <c r="C2393" s="397" t="n"/>
      <c r="D2393" s="397" t="n"/>
      <c r="E2393" s="397" t="n"/>
      <c r="F2393" s="397" t="n"/>
      <c r="G2393" s="397" t="n"/>
      <c r="I2393" s="397" t="n"/>
      <c r="J2393" s="397" t="n"/>
      <c r="K2393" s="395">
        <f>DATE(VALUE(LEFT(A2393,4)),VALUE(MID(A2393,5,2)),VALUE(RIGHT(A2393,2)))</f>
        <v/>
      </c>
      <c r="L2393" s="395">
        <f>DATEVALUE(LEFT(F2393,10))</f>
        <v/>
      </c>
      <c r="M2393" s="396">
        <f>TIMEVALUE(MID(F2393,12,8))</f>
        <v/>
      </c>
      <c r="N2393" s="395">
        <f>DATEVALUE(LEFT(G2393,10))</f>
        <v/>
      </c>
      <c r="O2393" s="396">
        <f>TIMEVALUE(MID(G2393,12,8))</f>
        <v/>
      </c>
      <c r="P2393" s="396">
        <f>IFERROR(_xlfn.MINIFS($M:$M,$E:$E,$E2393,$K:$K,$K2393,$M:$M,"&gt;"&amp;$O2393),"")</f>
        <v/>
      </c>
      <c r="Q2393" s="396">
        <f>IF($P2393="","",$P2393-$O2393)</f>
        <v/>
      </c>
    </row>
    <row r="2394" ht="15" customHeight="1" s="231">
      <c r="A2394" s="397" t="n"/>
      <c r="B2394" s="397" t="n"/>
      <c r="C2394" s="397" t="n"/>
      <c r="D2394" s="397" t="n"/>
      <c r="E2394" s="397" t="n"/>
      <c r="F2394" s="397" t="n"/>
      <c r="G2394" s="397" t="n"/>
      <c r="I2394" s="397" t="n"/>
      <c r="J2394" s="397" t="n"/>
      <c r="K2394" s="395">
        <f>DATE(VALUE(LEFT(A2394,4)),VALUE(MID(A2394,5,2)),VALUE(RIGHT(A2394,2)))</f>
        <v/>
      </c>
      <c r="L2394" s="395">
        <f>DATEVALUE(LEFT(F2394,10))</f>
        <v/>
      </c>
      <c r="M2394" s="396">
        <f>TIMEVALUE(MID(F2394,12,8))</f>
        <v/>
      </c>
      <c r="N2394" s="395">
        <f>DATEVALUE(LEFT(G2394,10))</f>
        <v/>
      </c>
      <c r="O2394" s="396">
        <f>TIMEVALUE(MID(G2394,12,8))</f>
        <v/>
      </c>
      <c r="P2394" s="396">
        <f>IFERROR(_xlfn.MINIFS($M:$M,$E:$E,$E2394,$K:$K,$K2394,$M:$M,"&gt;"&amp;$O2394),"")</f>
        <v/>
      </c>
      <c r="Q2394" s="396">
        <f>IF($P2394="","",$P2394-$O2394)</f>
        <v/>
      </c>
    </row>
    <row r="2395" ht="15" customHeight="1" s="231">
      <c r="A2395" s="397" t="n"/>
      <c r="B2395" s="397" t="n"/>
      <c r="C2395" s="397" t="n"/>
      <c r="D2395" s="397" t="n"/>
      <c r="E2395" s="397" t="n"/>
      <c r="F2395" s="397" t="n"/>
      <c r="G2395" s="397" t="n"/>
      <c r="I2395" s="397" t="n"/>
      <c r="J2395" s="397" t="n"/>
      <c r="K2395" s="395">
        <f>DATE(VALUE(LEFT(A2395,4)),VALUE(MID(A2395,5,2)),VALUE(RIGHT(A2395,2)))</f>
        <v/>
      </c>
      <c r="L2395" s="395">
        <f>DATEVALUE(LEFT(F2395,10))</f>
        <v/>
      </c>
      <c r="M2395" s="396">
        <f>TIMEVALUE(MID(F2395,12,8))</f>
        <v/>
      </c>
      <c r="N2395" s="395">
        <f>DATEVALUE(LEFT(G2395,10))</f>
        <v/>
      </c>
      <c r="O2395" s="396">
        <f>TIMEVALUE(MID(G2395,12,8))</f>
        <v/>
      </c>
      <c r="P2395" s="396">
        <f>IFERROR(_xlfn.MINIFS($M:$M,$E:$E,$E2395,$K:$K,$K2395,$M:$M,"&gt;"&amp;$O2395),"")</f>
        <v/>
      </c>
      <c r="Q2395" s="396">
        <f>IF($P2395="","",$P2395-$O2395)</f>
        <v/>
      </c>
    </row>
    <row r="2396" ht="15" customHeight="1" s="231">
      <c r="A2396" s="397" t="n"/>
      <c r="B2396" s="397" t="n"/>
      <c r="C2396" s="397" t="n"/>
      <c r="D2396" s="397" t="n"/>
      <c r="E2396" s="397" t="n"/>
      <c r="F2396" s="397" t="n"/>
      <c r="G2396" s="397" t="n"/>
      <c r="I2396" s="397" t="n"/>
      <c r="J2396" s="397" t="n"/>
      <c r="K2396" s="395">
        <f>DATE(VALUE(LEFT(A2396,4)),VALUE(MID(A2396,5,2)),VALUE(RIGHT(A2396,2)))</f>
        <v/>
      </c>
      <c r="L2396" s="395">
        <f>DATEVALUE(LEFT(F2396,10))</f>
        <v/>
      </c>
      <c r="M2396" s="396">
        <f>TIMEVALUE(MID(F2396,12,8))</f>
        <v/>
      </c>
      <c r="N2396" s="395">
        <f>DATEVALUE(LEFT(G2396,10))</f>
        <v/>
      </c>
      <c r="O2396" s="396">
        <f>TIMEVALUE(MID(G2396,12,8))</f>
        <v/>
      </c>
      <c r="P2396" s="396">
        <f>IFERROR(_xlfn.MINIFS($M:$M,$E:$E,$E2396,$K:$K,$K2396,$M:$M,"&gt;"&amp;$O2396),"")</f>
        <v/>
      </c>
      <c r="Q2396" s="396">
        <f>IF($P2396="","",$P2396-$O2396)</f>
        <v/>
      </c>
    </row>
    <row r="2397" ht="15" customHeight="1" s="231">
      <c r="A2397" s="397" t="n"/>
      <c r="B2397" s="397" t="n"/>
      <c r="C2397" s="397" t="n"/>
      <c r="D2397" s="397" t="n"/>
      <c r="E2397" s="397" t="n"/>
      <c r="F2397" s="397" t="n"/>
      <c r="G2397" s="397" t="n"/>
      <c r="I2397" s="397" t="n"/>
      <c r="J2397" s="397" t="n"/>
      <c r="K2397" s="395">
        <f>DATE(VALUE(LEFT(A2397,4)),VALUE(MID(A2397,5,2)),VALUE(RIGHT(A2397,2)))</f>
        <v/>
      </c>
      <c r="L2397" s="395">
        <f>DATEVALUE(LEFT(F2397,10))</f>
        <v/>
      </c>
      <c r="M2397" s="396">
        <f>TIMEVALUE(MID(F2397,12,8))</f>
        <v/>
      </c>
      <c r="N2397" s="395">
        <f>DATEVALUE(LEFT(G2397,10))</f>
        <v/>
      </c>
      <c r="O2397" s="396">
        <f>TIMEVALUE(MID(G2397,12,8))</f>
        <v/>
      </c>
      <c r="P2397" s="396">
        <f>IFERROR(_xlfn.MINIFS($M:$M,$E:$E,$E2397,$K:$K,$K2397,$M:$M,"&gt;"&amp;$O2397),"")</f>
        <v/>
      </c>
      <c r="Q2397" s="396">
        <f>IF($P2397="","",$P2397-$O2397)</f>
        <v/>
      </c>
    </row>
    <row r="2398" ht="15" customHeight="1" s="231">
      <c r="A2398" s="397" t="n"/>
      <c r="B2398" s="397" t="n"/>
      <c r="C2398" s="397" t="n"/>
      <c r="D2398" s="397" t="n"/>
      <c r="E2398" s="397" t="n"/>
      <c r="F2398" s="397" t="n"/>
      <c r="G2398" s="397" t="n"/>
      <c r="I2398" s="397" t="n"/>
      <c r="J2398" s="397" t="n"/>
      <c r="K2398" s="395">
        <f>DATE(VALUE(LEFT(A2398,4)),VALUE(MID(A2398,5,2)),VALUE(RIGHT(A2398,2)))</f>
        <v/>
      </c>
      <c r="L2398" s="395">
        <f>DATEVALUE(LEFT(F2398,10))</f>
        <v/>
      </c>
      <c r="M2398" s="396">
        <f>TIMEVALUE(MID(F2398,12,8))</f>
        <v/>
      </c>
      <c r="N2398" s="395">
        <f>DATEVALUE(LEFT(G2398,10))</f>
        <v/>
      </c>
      <c r="O2398" s="396">
        <f>TIMEVALUE(MID(G2398,12,8))</f>
        <v/>
      </c>
      <c r="P2398" s="396">
        <f>IFERROR(_xlfn.MINIFS($M:$M,$E:$E,$E2398,$K:$K,$K2398,$M:$M,"&gt;"&amp;$O2398),"")</f>
        <v/>
      </c>
      <c r="Q2398" s="396">
        <f>IF($P2398="","",$P2398-$O2398)</f>
        <v/>
      </c>
    </row>
    <row r="2399" ht="15" customHeight="1" s="231">
      <c r="A2399" s="397" t="n"/>
      <c r="B2399" s="397" t="n"/>
      <c r="C2399" s="397" t="n"/>
      <c r="D2399" s="397" t="n"/>
      <c r="E2399" s="397" t="n"/>
      <c r="F2399" s="397" t="n"/>
      <c r="G2399" s="397" t="n"/>
      <c r="I2399" s="397" t="n"/>
      <c r="J2399" s="397" t="n"/>
      <c r="K2399" s="395">
        <f>DATE(VALUE(LEFT(A2399,4)),VALUE(MID(A2399,5,2)),VALUE(RIGHT(A2399,2)))</f>
        <v/>
      </c>
      <c r="L2399" s="395">
        <f>DATEVALUE(LEFT(F2399,10))</f>
        <v/>
      </c>
      <c r="M2399" s="396">
        <f>TIMEVALUE(MID(F2399,12,8))</f>
        <v/>
      </c>
      <c r="N2399" s="395">
        <f>DATEVALUE(LEFT(G2399,10))</f>
        <v/>
      </c>
      <c r="O2399" s="396">
        <f>TIMEVALUE(MID(G2399,12,8))</f>
        <v/>
      </c>
      <c r="P2399" s="396">
        <f>IFERROR(_xlfn.MINIFS($M:$M,$E:$E,$E2399,$K:$K,$K2399,$M:$M,"&gt;"&amp;$O2399),"")</f>
        <v/>
      </c>
      <c r="Q2399" s="396">
        <f>IF($P2399="","",$P2399-$O2399)</f>
        <v/>
      </c>
    </row>
    <row r="2400" ht="15" customHeight="1" s="231">
      <c r="A2400" s="397" t="n"/>
      <c r="B2400" s="397" t="n"/>
      <c r="C2400" s="397" t="n"/>
      <c r="D2400" s="397" t="n"/>
      <c r="E2400" s="397" t="n"/>
      <c r="F2400" s="397" t="n"/>
      <c r="G2400" s="397" t="n"/>
      <c r="I2400" s="397" t="n"/>
      <c r="J2400" s="397" t="n"/>
      <c r="K2400" s="395">
        <f>DATE(VALUE(LEFT(A2400,4)),VALUE(MID(A2400,5,2)),VALUE(RIGHT(A2400,2)))</f>
        <v/>
      </c>
      <c r="L2400" s="395">
        <f>DATEVALUE(LEFT(F2400,10))</f>
        <v/>
      </c>
      <c r="M2400" s="396">
        <f>TIMEVALUE(MID(F2400,12,8))</f>
        <v/>
      </c>
      <c r="N2400" s="395">
        <f>DATEVALUE(LEFT(G2400,10))</f>
        <v/>
      </c>
      <c r="O2400" s="396">
        <f>TIMEVALUE(MID(G2400,12,8))</f>
        <v/>
      </c>
      <c r="P2400" s="396">
        <f>IFERROR(_xlfn.MINIFS($M:$M,$E:$E,$E2400,$K:$K,$K2400,$M:$M,"&gt;"&amp;$O2400),"")</f>
        <v/>
      </c>
      <c r="Q2400" s="396">
        <f>IF($P2400="","",$P2400-$O2400)</f>
        <v/>
      </c>
    </row>
    <row r="2401" ht="15" customHeight="1" s="231">
      <c r="A2401" s="397" t="n"/>
      <c r="B2401" s="397" t="n"/>
      <c r="C2401" s="397" t="n"/>
      <c r="D2401" s="397" t="n"/>
      <c r="E2401" s="397" t="n"/>
      <c r="F2401" s="397" t="n"/>
      <c r="G2401" s="397" t="n"/>
      <c r="I2401" s="397" t="n"/>
      <c r="J2401" s="397" t="n"/>
      <c r="K2401" s="395">
        <f>DATE(VALUE(LEFT(A2401,4)),VALUE(MID(A2401,5,2)),VALUE(RIGHT(A2401,2)))</f>
        <v/>
      </c>
      <c r="L2401" s="395">
        <f>DATEVALUE(LEFT(F2401,10))</f>
        <v/>
      </c>
      <c r="M2401" s="396">
        <f>TIMEVALUE(MID(F2401,12,8))</f>
        <v/>
      </c>
      <c r="N2401" s="395">
        <f>DATEVALUE(LEFT(G2401,10))</f>
        <v/>
      </c>
      <c r="O2401" s="396">
        <f>TIMEVALUE(MID(G2401,12,8))</f>
        <v/>
      </c>
      <c r="P2401" s="396">
        <f>IFERROR(_xlfn.MINIFS($M:$M,$E:$E,$E2401,$K:$K,$K2401,$M:$M,"&gt;"&amp;$O2401),"")</f>
        <v/>
      </c>
      <c r="Q2401" s="396">
        <f>IF($P2401="","",$P2401-$O2401)</f>
        <v/>
      </c>
    </row>
    <row r="2402" ht="15" customHeight="1" s="231">
      <c r="A2402" s="397" t="n"/>
      <c r="B2402" s="397" t="n"/>
      <c r="C2402" s="397" t="n"/>
      <c r="D2402" s="397" t="n"/>
      <c r="E2402" s="397" t="n"/>
      <c r="F2402" s="397" t="n"/>
      <c r="G2402" s="397" t="n"/>
      <c r="I2402" s="397" t="n"/>
      <c r="J2402" s="397" t="n"/>
      <c r="K2402" s="395">
        <f>DATE(VALUE(LEFT(A2402,4)),VALUE(MID(A2402,5,2)),VALUE(RIGHT(A2402,2)))</f>
        <v/>
      </c>
      <c r="L2402" s="395">
        <f>DATEVALUE(LEFT(F2402,10))</f>
        <v/>
      </c>
      <c r="M2402" s="396">
        <f>TIMEVALUE(MID(F2402,12,8))</f>
        <v/>
      </c>
      <c r="N2402" s="395">
        <f>DATEVALUE(LEFT(G2402,10))</f>
        <v/>
      </c>
      <c r="O2402" s="396">
        <f>TIMEVALUE(MID(G2402,12,8))</f>
        <v/>
      </c>
      <c r="P2402" s="396">
        <f>IFERROR(_xlfn.MINIFS($M:$M,$E:$E,$E2402,$K:$K,$K2402,$M:$M,"&gt;"&amp;$O2402),"")</f>
        <v/>
      </c>
      <c r="Q2402" s="396">
        <f>IF($P2402="","",$P2402-$O2402)</f>
        <v/>
      </c>
    </row>
    <row r="2403" ht="15" customHeight="1" s="231">
      <c r="A2403" s="397" t="n"/>
      <c r="B2403" s="397" t="n"/>
      <c r="C2403" s="397" t="n"/>
      <c r="D2403" s="397" t="n"/>
      <c r="E2403" s="397" t="n"/>
      <c r="F2403" s="397" t="n"/>
      <c r="G2403" s="397" t="n"/>
      <c r="I2403" s="397" t="n"/>
      <c r="J2403" s="397" t="n"/>
      <c r="K2403" s="395">
        <f>DATE(VALUE(LEFT(A2403,4)),VALUE(MID(A2403,5,2)),VALUE(RIGHT(A2403,2)))</f>
        <v/>
      </c>
      <c r="L2403" s="395">
        <f>DATEVALUE(LEFT(F2403,10))</f>
        <v/>
      </c>
      <c r="M2403" s="396">
        <f>TIMEVALUE(MID(F2403,12,8))</f>
        <v/>
      </c>
      <c r="N2403" s="395">
        <f>DATEVALUE(LEFT(G2403,10))</f>
        <v/>
      </c>
      <c r="O2403" s="396">
        <f>TIMEVALUE(MID(G2403,12,8))</f>
        <v/>
      </c>
      <c r="P2403" s="396">
        <f>IFERROR(_xlfn.MINIFS($M:$M,$E:$E,$E2403,$K:$K,$K2403,$M:$M,"&gt;"&amp;$O2403),"")</f>
        <v/>
      </c>
      <c r="Q2403" s="396">
        <f>IF($P2403="","",$P2403-$O2403)</f>
        <v/>
      </c>
    </row>
    <row r="2404" ht="15" customHeight="1" s="231">
      <c r="A2404" s="397" t="n"/>
      <c r="B2404" s="397" t="n"/>
      <c r="C2404" s="397" t="n"/>
      <c r="D2404" s="397" t="n"/>
      <c r="E2404" s="397" t="n"/>
      <c r="F2404" s="397" t="n"/>
      <c r="G2404" s="397" t="n"/>
      <c r="I2404" s="397" t="n"/>
      <c r="J2404" s="397" t="n"/>
      <c r="K2404" s="395">
        <f>DATE(VALUE(LEFT(A2404,4)),VALUE(MID(A2404,5,2)),VALUE(RIGHT(A2404,2)))</f>
        <v/>
      </c>
      <c r="L2404" s="395">
        <f>DATEVALUE(LEFT(F2404,10))</f>
        <v/>
      </c>
      <c r="M2404" s="396">
        <f>TIMEVALUE(MID(F2404,12,8))</f>
        <v/>
      </c>
      <c r="N2404" s="395">
        <f>DATEVALUE(LEFT(G2404,10))</f>
        <v/>
      </c>
      <c r="O2404" s="396">
        <f>TIMEVALUE(MID(G2404,12,8))</f>
        <v/>
      </c>
      <c r="P2404" s="396">
        <f>IFERROR(_xlfn.MINIFS($M:$M,$E:$E,$E2404,$K:$K,$K2404,$M:$M,"&gt;"&amp;$O2404),"")</f>
        <v/>
      </c>
      <c r="Q2404" s="396">
        <f>IF($P2404="","",$P2404-$O2404)</f>
        <v/>
      </c>
    </row>
    <row r="2405" ht="15" customHeight="1" s="231">
      <c r="A2405" s="397" t="n"/>
      <c r="B2405" s="397" t="n"/>
      <c r="C2405" s="397" t="n"/>
      <c r="D2405" s="397" t="n"/>
      <c r="E2405" s="397" t="n"/>
      <c r="F2405" s="397" t="n"/>
      <c r="G2405" s="397" t="n"/>
      <c r="I2405" s="397" t="n"/>
      <c r="J2405" s="397" t="n"/>
      <c r="K2405" s="395">
        <f>DATE(VALUE(LEFT(A2405,4)),VALUE(MID(A2405,5,2)),VALUE(RIGHT(A2405,2)))</f>
        <v/>
      </c>
      <c r="L2405" s="395">
        <f>DATEVALUE(LEFT(F2405,10))</f>
        <v/>
      </c>
      <c r="M2405" s="396">
        <f>TIMEVALUE(MID(F2405,12,8))</f>
        <v/>
      </c>
      <c r="N2405" s="395">
        <f>DATEVALUE(LEFT(G2405,10))</f>
        <v/>
      </c>
      <c r="O2405" s="396">
        <f>TIMEVALUE(MID(G2405,12,8))</f>
        <v/>
      </c>
      <c r="P2405" s="396">
        <f>IFERROR(_xlfn.MINIFS($M:$M,$E:$E,$E2405,$K:$K,$K2405,$M:$M,"&gt;"&amp;$O2405),"")</f>
        <v/>
      </c>
      <c r="Q2405" s="396">
        <f>IF($P2405="","",$P2405-$O2405)</f>
        <v/>
      </c>
    </row>
    <row r="2406" ht="15" customHeight="1" s="231">
      <c r="A2406" s="397" t="n"/>
      <c r="B2406" s="397" t="n"/>
      <c r="C2406" s="397" t="n"/>
      <c r="D2406" s="397" t="n"/>
      <c r="E2406" s="397" t="n"/>
      <c r="F2406" s="397" t="n"/>
      <c r="G2406" s="397" t="n"/>
      <c r="I2406" s="397" t="n"/>
      <c r="J2406" s="397" t="n"/>
      <c r="K2406" s="395">
        <f>DATE(VALUE(LEFT(A2406,4)),VALUE(MID(A2406,5,2)),VALUE(RIGHT(A2406,2)))</f>
        <v/>
      </c>
      <c r="L2406" s="395">
        <f>DATEVALUE(LEFT(F2406,10))</f>
        <v/>
      </c>
      <c r="M2406" s="396">
        <f>TIMEVALUE(MID(F2406,12,8))</f>
        <v/>
      </c>
      <c r="N2406" s="395">
        <f>DATEVALUE(LEFT(G2406,10))</f>
        <v/>
      </c>
      <c r="O2406" s="396">
        <f>TIMEVALUE(MID(G2406,12,8))</f>
        <v/>
      </c>
      <c r="P2406" s="396">
        <f>IFERROR(_xlfn.MINIFS($M:$M,$E:$E,$E2406,$K:$K,$K2406,$M:$M,"&gt;"&amp;$O2406),"")</f>
        <v/>
      </c>
      <c r="Q2406" s="396">
        <f>IF($P2406="","",$P2406-$O2406)</f>
        <v/>
      </c>
    </row>
    <row r="2407" ht="15" customHeight="1" s="231">
      <c r="A2407" s="397" t="n"/>
      <c r="B2407" s="397" t="n"/>
      <c r="C2407" s="397" t="n"/>
      <c r="D2407" s="397" t="n"/>
      <c r="E2407" s="397" t="n"/>
      <c r="F2407" s="397" t="n"/>
      <c r="G2407" s="397" t="n"/>
      <c r="I2407" s="397" t="n"/>
      <c r="J2407" s="397" t="n"/>
      <c r="K2407" s="395">
        <f>DATE(VALUE(LEFT(A2407,4)),VALUE(MID(A2407,5,2)),VALUE(RIGHT(A2407,2)))</f>
        <v/>
      </c>
      <c r="L2407" s="395">
        <f>DATEVALUE(LEFT(F2407,10))</f>
        <v/>
      </c>
      <c r="M2407" s="396">
        <f>TIMEVALUE(MID(F2407,12,8))</f>
        <v/>
      </c>
      <c r="N2407" s="395">
        <f>DATEVALUE(LEFT(G2407,10))</f>
        <v/>
      </c>
      <c r="O2407" s="396">
        <f>TIMEVALUE(MID(G2407,12,8))</f>
        <v/>
      </c>
      <c r="P2407" s="396">
        <f>IFERROR(_xlfn.MINIFS($M:$M,$E:$E,$E2407,$K:$K,$K2407,$M:$M,"&gt;"&amp;$O2407),"")</f>
        <v/>
      </c>
      <c r="Q2407" s="396">
        <f>IF($P2407="","",$P2407-$O2407)</f>
        <v/>
      </c>
    </row>
    <row r="2408" ht="15" customHeight="1" s="231">
      <c r="A2408" s="397" t="n"/>
      <c r="B2408" s="397" t="n"/>
      <c r="C2408" s="397" t="n"/>
      <c r="D2408" s="397" t="n"/>
      <c r="E2408" s="397" t="n"/>
      <c r="F2408" s="397" t="n"/>
      <c r="G2408" s="397" t="n"/>
      <c r="I2408" s="397" t="n"/>
      <c r="J2408" s="397" t="n"/>
      <c r="K2408" s="395">
        <f>DATE(VALUE(LEFT(A2408,4)),VALUE(MID(A2408,5,2)),VALUE(RIGHT(A2408,2)))</f>
        <v/>
      </c>
      <c r="L2408" s="395">
        <f>DATEVALUE(LEFT(F2408,10))</f>
        <v/>
      </c>
      <c r="M2408" s="396">
        <f>TIMEVALUE(MID(F2408,12,8))</f>
        <v/>
      </c>
      <c r="N2408" s="395">
        <f>DATEVALUE(LEFT(G2408,10))</f>
        <v/>
      </c>
      <c r="O2408" s="396">
        <f>TIMEVALUE(MID(G2408,12,8))</f>
        <v/>
      </c>
      <c r="P2408" s="396">
        <f>IFERROR(_xlfn.MINIFS($M:$M,$E:$E,$E2408,$K:$K,$K2408,$M:$M,"&gt;"&amp;$O2408),"")</f>
        <v/>
      </c>
      <c r="Q2408" s="396">
        <f>IF($P2408="","",$P2408-$O2408)</f>
        <v/>
      </c>
    </row>
    <row r="2409" ht="15" customHeight="1" s="231">
      <c r="A2409" s="397" t="n"/>
      <c r="B2409" s="397" t="n"/>
      <c r="C2409" s="397" t="n"/>
      <c r="D2409" s="397" t="n"/>
      <c r="E2409" s="397" t="n"/>
      <c r="F2409" s="397" t="n"/>
      <c r="G2409" s="397" t="n"/>
      <c r="I2409" s="397" t="n"/>
      <c r="J2409" s="397" t="n"/>
      <c r="K2409" s="395">
        <f>DATE(VALUE(LEFT(A2409,4)),VALUE(MID(A2409,5,2)),VALUE(RIGHT(A2409,2)))</f>
        <v/>
      </c>
      <c r="L2409" s="395">
        <f>DATEVALUE(LEFT(F2409,10))</f>
        <v/>
      </c>
      <c r="M2409" s="396">
        <f>TIMEVALUE(MID(F2409,12,8))</f>
        <v/>
      </c>
      <c r="N2409" s="395">
        <f>DATEVALUE(LEFT(G2409,10))</f>
        <v/>
      </c>
      <c r="O2409" s="396">
        <f>TIMEVALUE(MID(G2409,12,8))</f>
        <v/>
      </c>
      <c r="P2409" s="396">
        <f>IFERROR(_xlfn.MINIFS($M:$M,$E:$E,$E2409,$K:$K,$K2409,$M:$M,"&gt;"&amp;$O2409),"")</f>
        <v/>
      </c>
      <c r="Q2409" s="396">
        <f>IF($P2409="","",$P2409-$O2409)</f>
        <v/>
      </c>
    </row>
    <row r="2410" ht="15" customHeight="1" s="231">
      <c r="A2410" s="397" t="n"/>
      <c r="B2410" s="397" t="n"/>
      <c r="C2410" s="397" t="n"/>
      <c r="D2410" s="397" t="n"/>
      <c r="E2410" s="397" t="n"/>
      <c r="F2410" s="397" t="n"/>
      <c r="G2410" s="397" t="n"/>
      <c r="I2410" s="397" t="n"/>
      <c r="J2410" s="397" t="n"/>
      <c r="K2410" s="395">
        <f>DATE(VALUE(LEFT(A2410,4)),VALUE(MID(A2410,5,2)),VALUE(RIGHT(A2410,2)))</f>
        <v/>
      </c>
      <c r="L2410" s="395">
        <f>DATEVALUE(LEFT(F2410,10))</f>
        <v/>
      </c>
      <c r="M2410" s="396">
        <f>TIMEVALUE(MID(F2410,12,8))</f>
        <v/>
      </c>
      <c r="N2410" s="395">
        <f>DATEVALUE(LEFT(G2410,10))</f>
        <v/>
      </c>
      <c r="O2410" s="396">
        <f>TIMEVALUE(MID(G2410,12,8))</f>
        <v/>
      </c>
      <c r="P2410" s="396">
        <f>IFERROR(_xlfn.MINIFS($M:$M,$E:$E,$E2410,$K:$K,$K2410,$M:$M,"&gt;"&amp;$O2410),"")</f>
        <v/>
      </c>
      <c r="Q2410" s="396">
        <f>IF($P2410="","",$P2410-$O2410)</f>
        <v/>
      </c>
    </row>
    <row r="2411" ht="15" customHeight="1" s="231">
      <c r="A2411" s="397" t="n"/>
      <c r="B2411" s="397" t="n"/>
      <c r="C2411" s="397" t="n"/>
      <c r="D2411" s="397" t="n"/>
      <c r="E2411" s="397" t="n"/>
      <c r="F2411" s="397" t="n"/>
      <c r="G2411" s="397" t="n"/>
      <c r="I2411" s="397" t="n"/>
      <c r="J2411" s="397" t="n"/>
      <c r="K2411" s="395">
        <f>DATE(VALUE(LEFT(A2411,4)),VALUE(MID(A2411,5,2)),VALUE(RIGHT(A2411,2)))</f>
        <v/>
      </c>
      <c r="L2411" s="395">
        <f>DATEVALUE(LEFT(F2411,10))</f>
        <v/>
      </c>
      <c r="M2411" s="396">
        <f>TIMEVALUE(MID(F2411,12,8))</f>
        <v/>
      </c>
      <c r="N2411" s="395">
        <f>DATEVALUE(LEFT(G2411,10))</f>
        <v/>
      </c>
      <c r="O2411" s="396">
        <f>TIMEVALUE(MID(G2411,12,8))</f>
        <v/>
      </c>
      <c r="P2411" s="396">
        <f>IFERROR(_xlfn.MINIFS($M:$M,$E:$E,$E2411,$K:$K,$K2411,$M:$M,"&gt;"&amp;$O2411),"")</f>
        <v/>
      </c>
      <c r="Q2411" s="396">
        <f>IF($P2411="","",$P2411-$O2411)</f>
        <v/>
      </c>
    </row>
    <row r="2412" ht="15" customHeight="1" s="231">
      <c r="A2412" s="397" t="n"/>
      <c r="B2412" s="397" t="n"/>
      <c r="C2412" s="397" t="n"/>
      <c r="D2412" s="397" t="n"/>
      <c r="E2412" s="397" t="n"/>
      <c r="F2412" s="397" t="n"/>
      <c r="G2412" s="397" t="n"/>
      <c r="I2412" s="397" t="n"/>
      <c r="J2412" s="397" t="n"/>
      <c r="K2412" s="395">
        <f>DATE(VALUE(LEFT(A2412,4)),VALUE(MID(A2412,5,2)),VALUE(RIGHT(A2412,2)))</f>
        <v/>
      </c>
      <c r="L2412" s="395">
        <f>DATEVALUE(LEFT(F2412,10))</f>
        <v/>
      </c>
      <c r="M2412" s="396">
        <f>TIMEVALUE(MID(F2412,12,8))</f>
        <v/>
      </c>
      <c r="N2412" s="395">
        <f>DATEVALUE(LEFT(G2412,10))</f>
        <v/>
      </c>
      <c r="O2412" s="396">
        <f>TIMEVALUE(MID(G2412,12,8))</f>
        <v/>
      </c>
      <c r="P2412" s="396">
        <f>IFERROR(_xlfn.MINIFS($M:$M,$E:$E,$E2412,$K:$K,$K2412,$M:$M,"&gt;"&amp;$O2412),"")</f>
        <v/>
      </c>
      <c r="Q2412" s="396">
        <f>IF($P2412="","",$P2412-$O2412)</f>
        <v/>
      </c>
    </row>
    <row r="2413" ht="15" customHeight="1" s="231">
      <c r="A2413" s="397" t="n"/>
      <c r="B2413" s="397" t="n"/>
      <c r="C2413" s="397" t="n"/>
      <c r="D2413" s="397" t="n"/>
      <c r="E2413" s="397" t="n"/>
      <c r="F2413" s="397" t="n"/>
      <c r="G2413" s="397" t="n"/>
      <c r="I2413" s="397" t="n"/>
      <c r="J2413" s="397" t="n"/>
      <c r="K2413" s="395">
        <f>DATE(VALUE(LEFT(A2413,4)),VALUE(MID(A2413,5,2)),VALUE(RIGHT(A2413,2)))</f>
        <v/>
      </c>
      <c r="L2413" s="395">
        <f>DATEVALUE(LEFT(F2413,10))</f>
        <v/>
      </c>
      <c r="M2413" s="396">
        <f>TIMEVALUE(MID(F2413,12,8))</f>
        <v/>
      </c>
      <c r="N2413" s="395">
        <f>DATEVALUE(LEFT(G2413,10))</f>
        <v/>
      </c>
      <c r="O2413" s="396">
        <f>TIMEVALUE(MID(G2413,12,8))</f>
        <v/>
      </c>
      <c r="P2413" s="396">
        <f>IFERROR(_xlfn.MINIFS($M:$M,$E:$E,$E2413,$K:$K,$K2413,$M:$M,"&gt;"&amp;$O2413),"")</f>
        <v/>
      </c>
      <c r="Q2413" s="396">
        <f>IF($P2413="","",$P2413-$O2413)</f>
        <v/>
      </c>
    </row>
    <row r="2414" ht="15" customHeight="1" s="231">
      <c r="A2414" s="397" t="n"/>
      <c r="B2414" s="397" t="n"/>
      <c r="C2414" s="397" t="n"/>
      <c r="D2414" s="397" t="n"/>
      <c r="E2414" s="397" t="n"/>
      <c r="F2414" s="397" t="n"/>
      <c r="G2414" s="397" t="n"/>
      <c r="I2414" s="397" t="n"/>
      <c r="J2414" s="397" t="n"/>
      <c r="K2414" s="395">
        <f>DATE(VALUE(LEFT(A2414,4)),VALUE(MID(A2414,5,2)),VALUE(RIGHT(A2414,2)))</f>
        <v/>
      </c>
      <c r="L2414" s="395">
        <f>DATEVALUE(LEFT(F2414,10))</f>
        <v/>
      </c>
      <c r="M2414" s="396">
        <f>TIMEVALUE(MID(F2414,12,8))</f>
        <v/>
      </c>
      <c r="N2414" s="395">
        <f>DATEVALUE(LEFT(G2414,10))</f>
        <v/>
      </c>
      <c r="O2414" s="396">
        <f>TIMEVALUE(MID(G2414,12,8))</f>
        <v/>
      </c>
      <c r="P2414" s="396">
        <f>IFERROR(_xlfn.MINIFS($M:$M,$E:$E,$E2414,$K:$K,$K2414,$M:$M,"&gt;"&amp;$O2414),"")</f>
        <v/>
      </c>
      <c r="Q2414" s="396">
        <f>IF($P2414="","",$P2414-$O2414)</f>
        <v/>
      </c>
    </row>
    <row r="2415" ht="15" customHeight="1" s="231">
      <c r="A2415" s="397" t="n"/>
      <c r="B2415" s="397" t="n"/>
      <c r="C2415" s="397" t="n"/>
      <c r="D2415" s="397" t="n"/>
      <c r="E2415" s="397" t="n"/>
      <c r="F2415" s="397" t="n"/>
      <c r="G2415" s="397" t="n"/>
      <c r="I2415" s="397" t="n"/>
      <c r="J2415" s="397" t="n"/>
      <c r="K2415" s="395">
        <f>DATE(VALUE(LEFT(A2415,4)),VALUE(MID(A2415,5,2)),VALUE(RIGHT(A2415,2)))</f>
        <v/>
      </c>
      <c r="L2415" s="395">
        <f>DATEVALUE(LEFT(F2415,10))</f>
        <v/>
      </c>
      <c r="M2415" s="396">
        <f>TIMEVALUE(MID(F2415,12,8))</f>
        <v/>
      </c>
      <c r="N2415" s="395">
        <f>DATEVALUE(LEFT(G2415,10))</f>
        <v/>
      </c>
      <c r="O2415" s="396">
        <f>TIMEVALUE(MID(G2415,12,8))</f>
        <v/>
      </c>
      <c r="P2415" s="396">
        <f>IFERROR(_xlfn.MINIFS($M:$M,$E:$E,$E2415,$K:$K,$K2415,$M:$M,"&gt;"&amp;$O2415),"")</f>
        <v/>
      </c>
      <c r="Q2415" s="396">
        <f>IF($P2415="","",$P2415-$O2415)</f>
        <v/>
      </c>
    </row>
    <row r="2416" ht="15" customHeight="1" s="231">
      <c r="A2416" s="397" t="n"/>
      <c r="B2416" s="397" t="n"/>
      <c r="C2416" s="397" t="n"/>
      <c r="D2416" s="397" t="n"/>
      <c r="E2416" s="397" t="n"/>
      <c r="F2416" s="397" t="n"/>
      <c r="G2416" s="397" t="n"/>
      <c r="I2416" s="397" t="n"/>
      <c r="J2416" s="397" t="n"/>
      <c r="K2416" s="395">
        <f>DATE(VALUE(LEFT(A2416,4)),VALUE(MID(A2416,5,2)),VALUE(RIGHT(A2416,2)))</f>
        <v/>
      </c>
      <c r="L2416" s="395">
        <f>DATEVALUE(LEFT(F2416,10))</f>
        <v/>
      </c>
      <c r="M2416" s="396">
        <f>TIMEVALUE(MID(F2416,12,8))</f>
        <v/>
      </c>
      <c r="N2416" s="395">
        <f>DATEVALUE(LEFT(G2416,10))</f>
        <v/>
      </c>
      <c r="O2416" s="396">
        <f>TIMEVALUE(MID(G2416,12,8))</f>
        <v/>
      </c>
      <c r="P2416" s="396">
        <f>IFERROR(_xlfn.MINIFS($M:$M,$E:$E,$E2416,$K:$K,$K2416,$M:$M,"&gt;"&amp;$O2416),"")</f>
        <v/>
      </c>
      <c r="Q2416" s="396">
        <f>IF($P2416="","",$P2416-$O2416)</f>
        <v/>
      </c>
    </row>
    <row r="2417" ht="15" customHeight="1" s="231">
      <c r="A2417" s="397" t="n"/>
      <c r="B2417" s="397" t="n"/>
      <c r="C2417" s="397" t="n"/>
      <c r="D2417" s="397" t="n"/>
      <c r="E2417" s="397" t="n"/>
      <c r="F2417" s="397" t="n"/>
      <c r="G2417" s="397" t="n"/>
      <c r="I2417" s="397" t="n"/>
      <c r="J2417" s="397" t="n"/>
      <c r="K2417" s="395">
        <f>DATE(VALUE(LEFT(A2417,4)),VALUE(MID(A2417,5,2)),VALUE(RIGHT(A2417,2)))</f>
        <v/>
      </c>
      <c r="L2417" s="395">
        <f>DATEVALUE(LEFT(F2417,10))</f>
        <v/>
      </c>
      <c r="M2417" s="396">
        <f>TIMEVALUE(MID(F2417,12,8))</f>
        <v/>
      </c>
      <c r="N2417" s="395">
        <f>DATEVALUE(LEFT(G2417,10))</f>
        <v/>
      </c>
      <c r="O2417" s="396">
        <f>TIMEVALUE(MID(G2417,12,8))</f>
        <v/>
      </c>
      <c r="P2417" s="396">
        <f>IFERROR(_xlfn.MINIFS($M:$M,$E:$E,$E2417,$K:$K,$K2417,$M:$M,"&gt;"&amp;$O2417),"")</f>
        <v/>
      </c>
      <c r="Q2417" s="396">
        <f>IF($P2417="","",$P2417-$O2417)</f>
        <v/>
      </c>
    </row>
    <row r="2418" ht="15" customHeight="1" s="231">
      <c r="A2418" s="397" t="n"/>
      <c r="B2418" s="397" t="n"/>
      <c r="C2418" s="397" t="n"/>
      <c r="D2418" s="397" t="n"/>
      <c r="E2418" s="397" t="n"/>
      <c r="F2418" s="397" t="n"/>
      <c r="G2418" s="397" t="n"/>
      <c r="I2418" s="397" t="n"/>
      <c r="J2418" s="397" t="n"/>
      <c r="K2418" s="395">
        <f>DATE(VALUE(LEFT(A2418,4)),VALUE(MID(A2418,5,2)),VALUE(RIGHT(A2418,2)))</f>
        <v/>
      </c>
      <c r="L2418" s="395">
        <f>DATEVALUE(LEFT(F2418,10))</f>
        <v/>
      </c>
      <c r="M2418" s="396">
        <f>TIMEVALUE(MID(F2418,12,8))</f>
        <v/>
      </c>
      <c r="N2418" s="395">
        <f>DATEVALUE(LEFT(G2418,10))</f>
        <v/>
      </c>
      <c r="O2418" s="396">
        <f>TIMEVALUE(MID(G2418,12,8))</f>
        <v/>
      </c>
      <c r="P2418" s="396">
        <f>IFERROR(_xlfn.MINIFS($M:$M,$E:$E,$E2418,$K:$K,$K2418,$M:$M,"&gt;"&amp;$O2418),"")</f>
        <v/>
      </c>
      <c r="Q2418" s="396">
        <f>IF($P2418="","",$P2418-$O2418)</f>
        <v/>
      </c>
    </row>
    <row r="2419" ht="15" customHeight="1" s="231">
      <c r="A2419" s="397" t="n"/>
      <c r="B2419" s="397" t="n"/>
      <c r="C2419" s="397" t="n"/>
      <c r="D2419" s="397" t="n"/>
      <c r="E2419" s="397" t="n"/>
      <c r="F2419" s="397" t="n"/>
      <c r="G2419" s="397" t="n"/>
      <c r="I2419" s="397" t="n"/>
      <c r="J2419" s="397" t="n"/>
      <c r="K2419" s="395">
        <f>DATE(VALUE(LEFT(A2419,4)),VALUE(MID(A2419,5,2)),VALUE(RIGHT(A2419,2)))</f>
        <v/>
      </c>
      <c r="L2419" s="395">
        <f>DATEVALUE(LEFT(F2419,10))</f>
        <v/>
      </c>
      <c r="M2419" s="396">
        <f>TIMEVALUE(MID(F2419,12,8))</f>
        <v/>
      </c>
      <c r="N2419" s="395">
        <f>DATEVALUE(LEFT(G2419,10))</f>
        <v/>
      </c>
      <c r="O2419" s="396">
        <f>TIMEVALUE(MID(G2419,12,8))</f>
        <v/>
      </c>
      <c r="P2419" s="396">
        <f>IFERROR(_xlfn.MINIFS($M:$M,$E:$E,$E2419,$K:$K,$K2419,$M:$M,"&gt;"&amp;$O2419),"")</f>
        <v/>
      </c>
      <c r="Q2419" s="396">
        <f>IF($P2419="","",$P2419-$O2419)</f>
        <v/>
      </c>
    </row>
    <row r="2420" ht="15" customHeight="1" s="231">
      <c r="A2420" s="397" t="n"/>
      <c r="B2420" s="397" t="n"/>
      <c r="C2420" s="397" t="n"/>
      <c r="D2420" s="397" t="n"/>
      <c r="E2420" s="397" t="n"/>
      <c r="F2420" s="397" t="n"/>
      <c r="G2420" s="397" t="n"/>
      <c r="I2420" s="397" t="n"/>
      <c r="J2420" s="397" t="n"/>
      <c r="K2420" s="395">
        <f>DATE(VALUE(LEFT(A2420,4)),VALUE(MID(A2420,5,2)),VALUE(RIGHT(A2420,2)))</f>
        <v/>
      </c>
      <c r="L2420" s="395">
        <f>DATEVALUE(LEFT(F2420,10))</f>
        <v/>
      </c>
      <c r="M2420" s="396">
        <f>TIMEVALUE(MID(F2420,12,8))</f>
        <v/>
      </c>
      <c r="N2420" s="395">
        <f>DATEVALUE(LEFT(G2420,10))</f>
        <v/>
      </c>
      <c r="O2420" s="396">
        <f>TIMEVALUE(MID(G2420,12,8))</f>
        <v/>
      </c>
      <c r="P2420" s="396">
        <f>IFERROR(_xlfn.MINIFS($M:$M,$E:$E,$E2420,$K:$K,$K2420,$M:$M,"&gt;"&amp;$O2420),"")</f>
        <v/>
      </c>
      <c r="Q2420" s="396">
        <f>IF($P2420="","",$P2420-$O2420)</f>
        <v/>
      </c>
    </row>
    <row r="2421" ht="15" customHeight="1" s="231">
      <c r="A2421" s="397" t="n"/>
      <c r="B2421" s="397" t="n"/>
      <c r="C2421" s="397" t="n"/>
      <c r="D2421" s="397" t="n"/>
      <c r="E2421" s="397" t="n"/>
      <c r="F2421" s="397" t="n"/>
      <c r="G2421" s="397" t="n"/>
      <c r="I2421" s="397" t="n"/>
      <c r="J2421" s="397" t="n"/>
      <c r="K2421" s="395">
        <f>DATE(VALUE(LEFT(A2421,4)),VALUE(MID(A2421,5,2)),VALUE(RIGHT(A2421,2)))</f>
        <v/>
      </c>
      <c r="L2421" s="395">
        <f>DATEVALUE(LEFT(F2421,10))</f>
        <v/>
      </c>
      <c r="M2421" s="396">
        <f>TIMEVALUE(MID(F2421,12,8))</f>
        <v/>
      </c>
      <c r="N2421" s="395">
        <f>DATEVALUE(LEFT(G2421,10))</f>
        <v/>
      </c>
      <c r="O2421" s="396">
        <f>TIMEVALUE(MID(G2421,12,8))</f>
        <v/>
      </c>
      <c r="P2421" s="396">
        <f>IFERROR(_xlfn.MINIFS($M:$M,$E:$E,$E2421,$K:$K,$K2421,$M:$M,"&gt;"&amp;$O2421),"")</f>
        <v/>
      </c>
      <c r="Q2421" s="396">
        <f>IF($P2421="","",$P2421-$O2421)</f>
        <v/>
      </c>
    </row>
    <row r="2422" ht="15" customHeight="1" s="231">
      <c r="A2422" s="397" t="n"/>
      <c r="B2422" s="397" t="n"/>
      <c r="C2422" s="397" t="n"/>
      <c r="D2422" s="397" t="n"/>
      <c r="E2422" s="397" t="n"/>
      <c r="F2422" s="397" t="n"/>
      <c r="G2422" s="397" t="n"/>
      <c r="I2422" s="397" t="n"/>
      <c r="J2422" s="397" t="n"/>
      <c r="K2422" s="395">
        <f>DATE(VALUE(LEFT(A2422,4)),VALUE(MID(A2422,5,2)),VALUE(RIGHT(A2422,2)))</f>
        <v/>
      </c>
      <c r="L2422" s="395">
        <f>DATEVALUE(LEFT(F2422,10))</f>
        <v/>
      </c>
      <c r="M2422" s="396">
        <f>TIMEVALUE(MID(F2422,12,8))</f>
        <v/>
      </c>
      <c r="N2422" s="395">
        <f>DATEVALUE(LEFT(G2422,10))</f>
        <v/>
      </c>
      <c r="O2422" s="396">
        <f>TIMEVALUE(MID(G2422,12,8))</f>
        <v/>
      </c>
      <c r="P2422" s="396">
        <f>IFERROR(_xlfn.MINIFS($M:$M,$E:$E,$E2422,$K:$K,$K2422,$M:$M,"&gt;"&amp;$O2422),"")</f>
        <v/>
      </c>
      <c r="Q2422" s="396">
        <f>IF($P2422="","",$P2422-$O2422)</f>
        <v/>
      </c>
    </row>
    <row r="2423" ht="15" customHeight="1" s="231">
      <c r="A2423" s="397" t="n"/>
      <c r="B2423" s="397" t="n"/>
      <c r="C2423" s="397" t="n"/>
      <c r="D2423" s="397" t="n"/>
      <c r="E2423" s="397" t="n"/>
      <c r="F2423" s="397" t="n"/>
      <c r="G2423" s="397" t="n"/>
      <c r="I2423" s="397" t="n"/>
      <c r="J2423" s="397" t="n"/>
      <c r="K2423" s="395">
        <f>DATE(VALUE(LEFT(A2423,4)),VALUE(MID(A2423,5,2)),VALUE(RIGHT(A2423,2)))</f>
        <v/>
      </c>
      <c r="L2423" s="395">
        <f>DATEVALUE(LEFT(F2423,10))</f>
        <v/>
      </c>
      <c r="M2423" s="396">
        <f>TIMEVALUE(MID(F2423,12,8))</f>
        <v/>
      </c>
      <c r="N2423" s="395">
        <f>DATEVALUE(LEFT(G2423,10))</f>
        <v/>
      </c>
      <c r="O2423" s="396">
        <f>TIMEVALUE(MID(G2423,12,8))</f>
        <v/>
      </c>
      <c r="P2423" s="396">
        <f>IFERROR(_xlfn.MINIFS($M:$M,$E:$E,$E2423,$K:$K,$K2423,$M:$M,"&gt;"&amp;$O2423),"")</f>
        <v/>
      </c>
      <c r="Q2423" s="396">
        <f>IF($P2423="","",$P2423-$O2423)</f>
        <v/>
      </c>
    </row>
    <row r="2424" ht="15" customHeight="1" s="231">
      <c r="A2424" s="397" t="n"/>
      <c r="B2424" s="397" t="n"/>
      <c r="C2424" s="397" t="n"/>
      <c r="D2424" s="397" t="n"/>
      <c r="E2424" s="397" t="n"/>
      <c r="F2424" s="397" t="n"/>
      <c r="G2424" s="397" t="n"/>
      <c r="I2424" s="397" t="n"/>
      <c r="J2424" s="397" t="n"/>
      <c r="K2424" s="395">
        <f>DATE(VALUE(LEFT(A2424,4)),VALUE(MID(A2424,5,2)),VALUE(RIGHT(A2424,2)))</f>
        <v/>
      </c>
      <c r="L2424" s="395">
        <f>DATEVALUE(LEFT(F2424,10))</f>
        <v/>
      </c>
      <c r="M2424" s="396">
        <f>TIMEVALUE(MID(F2424,12,8))</f>
        <v/>
      </c>
      <c r="N2424" s="395">
        <f>DATEVALUE(LEFT(G2424,10))</f>
        <v/>
      </c>
      <c r="O2424" s="396">
        <f>TIMEVALUE(MID(G2424,12,8))</f>
        <v/>
      </c>
      <c r="P2424" s="396">
        <f>IFERROR(_xlfn.MINIFS($M:$M,$E:$E,$E2424,$K:$K,$K2424,$M:$M,"&gt;"&amp;$O2424),"")</f>
        <v/>
      </c>
      <c r="Q2424" s="396">
        <f>IF($P2424="","",$P2424-$O2424)</f>
        <v/>
      </c>
    </row>
    <row r="2425" ht="15" customHeight="1" s="231">
      <c r="A2425" s="397" t="n"/>
      <c r="B2425" s="397" t="n"/>
      <c r="C2425" s="397" t="n"/>
      <c r="D2425" s="397" t="n"/>
      <c r="E2425" s="397" t="n"/>
      <c r="F2425" s="397" t="n"/>
      <c r="G2425" s="397" t="n"/>
      <c r="I2425" s="397" t="n"/>
      <c r="J2425" s="397" t="n"/>
      <c r="K2425" s="395">
        <f>DATE(VALUE(LEFT(A2425,4)),VALUE(MID(A2425,5,2)),VALUE(RIGHT(A2425,2)))</f>
        <v/>
      </c>
      <c r="L2425" s="395">
        <f>DATEVALUE(LEFT(F2425,10))</f>
        <v/>
      </c>
      <c r="M2425" s="396">
        <f>TIMEVALUE(MID(F2425,12,8))</f>
        <v/>
      </c>
      <c r="N2425" s="395">
        <f>DATEVALUE(LEFT(G2425,10))</f>
        <v/>
      </c>
      <c r="O2425" s="396">
        <f>TIMEVALUE(MID(G2425,12,8))</f>
        <v/>
      </c>
      <c r="P2425" s="396">
        <f>IFERROR(_xlfn.MINIFS($M:$M,$E:$E,$E2425,$K:$K,$K2425,$M:$M,"&gt;"&amp;$O2425),"")</f>
        <v/>
      </c>
      <c r="Q2425" s="396">
        <f>IF($P2425="","",$P2425-$O2425)</f>
        <v/>
      </c>
    </row>
    <row r="2426" ht="15" customHeight="1" s="231">
      <c r="A2426" s="397" t="n"/>
      <c r="B2426" s="397" t="n"/>
      <c r="C2426" s="397" t="n"/>
      <c r="D2426" s="397" t="n"/>
      <c r="E2426" s="397" t="n"/>
      <c r="F2426" s="397" t="n"/>
      <c r="G2426" s="397" t="n"/>
      <c r="I2426" s="397" t="n"/>
      <c r="J2426" s="397" t="n"/>
      <c r="K2426" s="395">
        <f>DATE(VALUE(LEFT(A2426,4)),VALUE(MID(A2426,5,2)),VALUE(RIGHT(A2426,2)))</f>
        <v/>
      </c>
      <c r="L2426" s="395">
        <f>DATEVALUE(LEFT(F2426,10))</f>
        <v/>
      </c>
      <c r="M2426" s="396">
        <f>TIMEVALUE(MID(F2426,12,8))</f>
        <v/>
      </c>
      <c r="N2426" s="395">
        <f>DATEVALUE(LEFT(G2426,10))</f>
        <v/>
      </c>
      <c r="O2426" s="396">
        <f>TIMEVALUE(MID(G2426,12,8))</f>
        <v/>
      </c>
      <c r="P2426" s="396">
        <f>IFERROR(_xlfn.MINIFS($M:$M,$E:$E,$E2426,$K:$K,$K2426,$M:$M,"&gt;"&amp;$O2426),"")</f>
        <v/>
      </c>
      <c r="Q2426" s="396">
        <f>IF($P2426="","",$P2426-$O2426)</f>
        <v/>
      </c>
    </row>
    <row r="2427" ht="15" customHeight="1" s="231">
      <c r="A2427" s="397" t="n"/>
      <c r="B2427" s="397" t="n"/>
      <c r="C2427" s="397" t="n"/>
      <c r="D2427" s="397" t="n"/>
      <c r="E2427" s="397" t="n"/>
      <c r="F2427" s="397" t="n"/>
      <c r="G2427" s="397" t="n"/>
      <c r="I2427" s="397" t="n"/>
      <c r="J2427" s="397" t="n"/>
      <c r="K2427" s="395">
        <f>DATE(VALUE(LEFT(A2427,4)),VALUE(MID(A2427,5,2)),VALUE(RIGHT(A2427,2)))</f>
        <v/>
      </c>
      <c r="L2427" s="395">
        <f>DATEVALUE(LEFT(F2427,10))</f>
        <v/>
      </c>
      <c r="M2427" s="396">
        <f>TIMEVALUE(MID(F2427,12,8))</f>
        <v/>
      </c>
      <c r="N2427" s="395">
        <f>DATEVALUE(LEFT(G2427,10))</f>
        <v/>
      </c>
      <c r="O2427" s="396">
        <f>TIMEVALUE(MID(G2427,12,8))</f>
        <v/>
      </c>
      <c r="P2427" s="396">
        <f>IFERROR(_xlfn.MINIFS($M:$M,$E:$E,$E2427,$K:$K,$K2427,$M:$M,"&gt;"&amp;$O2427),"")</f>
        <v/>
      </c>
      <c r="Q2427" s="396">
        <f>IF($P2427="","",$P2427-$O2427)</f>
        <v/>
      </c>
    </row>
    <row r="2428" ht="15" customHeight="1" s="231">
      <c r="A2428" s="397" t="n"/>
      <c r="B2428" s="397" t="n"/>
      <c r="C2428" s="397" t="n"/>
      <c r="D2428" s="397" t="n"/>
      <c r="E2428" s="397" t="n"/>
      <c r="F2428" s="397" t="n"/>
      <c r="G2428" s="397" t="n"/>
      <c r="I2428" s="397" t="n"/>
      <c r="J2428" s="397" t="n"/>
      <c r="K2428" s="395">
        <f>DATE(VALUE(LEFT(A2428,4)),VALUE(MID(A2428,5,2)),VALUE(RIGHT(A2428,2)))</f>
        <v/>
      </c>
      <c r="L2428" s="395">
        <f>DATEVALUE(LEFT(F2428,10))</f>
        <v/>
      </c>
      <c r="M2428" s="396">
        <f>TIMEVALUE(MID(F2428,12,8))</f>
        <v/>
      </c>
      <c r="N2428" s="395">
        <f>DATEVALUE(LEFT(G2428,10))</f>
        <v/>
      </c>
      <c r="O2428" s="396">
        <f>TIMEVALUE(MID(G2428,12,8))</f>
        <v/>
      </c>
      <c r="P2428" s="396">
        <f>IFERROR(_xlfn.MINIFS($M:$M,$E:$E,$E2428,$K:$K,$K2428,$M:$M,"&gt;"&amp;$O2428),"")</f>
        <v/>
      </c>
      <c r="Q2428" s="396">
        <f>IF($P2428="","",$P2428-$O2428)</f>
        <v/>
      </c>
    </row>
    <row r="2429" ht="15" customHeight="1" s="231">
      <c r="A2429" s="397" t="n"/>
      <c r="B2429" s="397" t="n"/>
      <c r="C2429" s="397" t="n"/>
      <c r="D2429" s="397" t="n"/>
      <c r="E2429" s="397" t="n"/>
      <c r="F2429" s="397" t="n"/>
      <c r="G2429" s="397" t="n"/>
      <c r="I2429" s="397" t="n"/>
      <c r="J2429" s="397" t="n"/>
      <c r="K2429" s="395">
        <f>DATE(VALUE(LEFT(A2429,4)),VALUE(MID(A2429,5,2)),VALUE(RIGHT(A2429,2)))</f>
        <v/>
      </c>
      <c r="L2429" s="395">
        <f>DATEVALUE(LEFT(F2429,10))</f>
        <v/>
      </c>
      <c r="M2429" s="396">
        <f>TIMEVALUE(MID(F2429,12,8))</f>
        <v/>
      </c>
      <c r="N2429" s="395">
        <f>DATEVALUE(LEFT(G2429,10))</f>
        <v/>
      </c>
      <c r="O2429" s="396">
        <f>TIMEVALUE(MID(G2429,12,8))</f>
        <v/>
      </c>
      <c r="P2429" s="396">
        <f>IFERROR(_xlfn.MINIFS($M:$M,$E:$E,$E2429,$K:$K,$K2429,$M:$M,"&gt;"&amp;$O2429),"")</f>
        <v/>
      </c>
      <c r="Q2429" s="396">
        <f>IF($P2429="","",$P2429-$O2429)</f>
        <v/>
      </c>
    </row>
    <row r="2430" ht="15" customHeight="1" s="231">
      <c r="A2430" s="397" t="n"/>
      <c r="B2430" s="397" t="n"/>
      <c r="C2430" s="397" t="n"/>
      <c r="D2430" s="397" t="n"/>
      <c r="E2430" s="397" t="n"/>
      <c r="F2430" s="397" t="n"/>
      <c r="G2430" s="397" t="n"/>
      <c r="I2430" s="397" t="n"/>
      <c r="J2430" s="397" t="n"/>
      <c r="K2430" s="395">
        <f>DATE(VALUE(LEFT(A2430,4)),VALUE(MID(A2430,5,2)),VALUE(RIGHT(A2430,2)))</f>
        <v/>
      </c>
      <c r="L2430" s="395">
        <f>DATEVALUE(LEFT(F2430,10))</f>
        <v/>
      </c>
      <c r="M2430" s="396">
        <f>TIMEVALUE(MID(F2430,12,8))</f>
        <v/>
      </c>
      <c r="N2430" s="395">
        <f>DATEVALUE(LEFT(G2430,10))</f>
        <v/>
      </c>
      <c r="O2430" s="396">
        <f>TIMEVALUE(MID(G2430,12,8))</f>
        <v/>
      </c>
      <c r="P2430" s="396">
        <f>IFERROR(_xlfn.MINIFS($M:$M,$E:$E,$E2430,$K:$K,$K2430,$M:$M,"&gt;"&amp;$O2430),"")</f>
        <v/>
      </c>
      <c r="Q2430" s="396">
        <f>IF($P2430="","",$P2430-$O2430)</f>
        <v/>
      </c>
    </row>
    <row r="2431" ht="15" customHeight="1" s="231">
      <c r="A2431" s="397" t="n"/>
      <c r="B2431" s="397" t="n"/>
      <c r="C2431" s="397" t="n"/>
      <c r="D2431" s="397" t="n"/>
      <c r="E2431" s="397" t="n"/>
      <c r="F2431" s="397" t="n"/>
      <c r="G2431" s="397" t="n"/>
      <c r="I2431" s="397" t="n"/>
      <c r="J2431" s="397" t="n"/>
      <c r="K2431" s="395">
        <f>DATE(VALUE(LEFT(A2431,4)),VALUE(MID(A2431,5,2)),VALUE(RIGHT(A2431,2)))</f>
        <v/>
      </c>
      <c r="L2431" s="395">
        <f>DATEVALUE(LEFT(F2431,10))</f>
        <v/>
      </c>
      <c r="M2431" s="396">
        <f>TIMEVALUE(MID(F2431,12,8))</f>
        <v/>
      </c>
      <c r="N2431" s="395">
        <f>DATEVALUE(LEFT(G2431,10))</f>
        <v/>
      </c>
      <c r="O2431" s="396">
        <f>TIMEVALUE(MID(G2431,12,8))</f>
        <v/>
      </c>
      <c r="P2431" s="396">
        <f>IFERROR(_xlfn.MINIFS($M:$M,$E:$E,$E2431,$K:$K,$K2431,$M:$M,"&gt;"&amp;$O2431),"")</f>
        <v/>
      </c>
      <c r="Q2431" s="396">
        <f>IF($P2431="","",$P2431-$O2431)</f>
        <v/>
      </c>
    </row>
    <row r="2432" ht="15" customHeight="1" s="231">
      <c r="A2432" s="397" t="n"/>
      <c r="B2432" s="397" t="n"/>
      <c r="C2432" s="397" t="n"/>
      <c r="D2432" s="397" t="n"/>
      <c r="E2432" s="397" t="n"/>
      <c r="F2432" s="397" t="n"/>
      <c r="G2432" s="397" t="n"/>
      <c r="I2432" s="397" t="n"/>
      <c r="J2432" s="397" t="n"/>
      <c r="K2432" s="395">
        <f>DATE(VALUE(LEFT(A2432,4)),VALUE(MID(A2432,5,2)),VALUE(RIGHT(A2432,2)))</f>
        <v/>
      </c>
      <c r="L2432" s="395">
        <f>DATEVALUE(LEFT(F2432,10))</f>
        <v/>
      </c>
      <c r="M2432" s="396">
        <f>TIMEVALUE(MID(F2432,12,8))</f>
        <v/>
      </c>
      <c r="N2432" s="395">
        <f>DATEVALUE(LEFT(G2432,10))</f>
        <v/>
      </c>
      <c r="O2432" s="396">
        <f>TIMEVALUE(MID(G2432,12,8))</f>
        <v/>
      </c>
      <c r="P2432" s="396">
        <f>IFERROR(_xlfn.MINIFS($M:$M,$E:$E,$E2432,$K:$K,$K2432,$M:$M,"&gt;"&amp;$O2432),"")</f>
        <v/>
      </c>
      <c r="Q2432" s="396">
        <f>IF($P2432="","",$P2432-$O2432)</f>
        <v/>
      </c>
    </row>
    <row r="2433" ht="15" customHeight="1" s="231">
      <c r="A2433" s="397" t="n"/>
      <c r="B2433" s="397" t="n"/>
      <c r="C2433" s="397" t="n"/>
      <c r="D2433" s="397" t="n"/>
      <c r="E2433" s="397" t="n"/>
      <c r="F2433" s="397" t="n"/>
      <c r="G2433" s="397" t="n"/>
      <c r="I2433" s="397" t="n"/>
      <c r="J2433" s="397" t="n"/>
      <c r="K2433" s="395">
        <f>DATE(VALUE(LEFT(A2433,4)),VALUE(MID(A2433,5,2)),VALUE(RIGHT(A2433,2)))</f>
        <v/>
      </c>
      <c r="L2433" s="395">
        <f>DATEVALUE(LEFT(F2433,10))</f>
        <v/>
      </c>
      <c r="M2433" s="396">
        <f>TIMEVALUE(MID(F2433,12,8))</f>
        <v/>
      </c>
      <c r="N2433" s="395">
        <f>DATEVALUE(LEFT(G2433,10))</f>
        <v/>
      </c>
      <c r="O2433" s="396">
        <f>TIMEVALUE(MID(G2433,12,8))</f>
        <v/>
      </c>
      <c r="P2433" s="396">
        <f>IFERROR(_xlfn.MINIFS($M:$M,$E:$E,$E2433,$K:$K,$K2433,$M:$M,"&gt;"&amp;$O2433),"")</f>
        <v/>
      </c>
      <c r="Q2433" s="396">
        <f>IF($P2433="","",$P2433-$O2433)</f>
        <v/>
      </c>
    </row>
    <row r="2434" ht="15" customHeight="1" s="231">
      <c r="A2434" s="397" t="n"/>
      <c r="B2434" s="397" t="n"/>
      <c r="C2434" s="397" t="n"/>
      <c r="D2434" s="397" t="n"/>
      <c r="E2434" s="397" t="n"/>
      <c r="F2434" s="397" t="n"/>
      <c r="G2434" s="397" t="n"/>
      <c r="I2434" s="397" t="n"/>
      <c r="J2434" s="397" t="n"/>
      <c r="K2434" s="395">
        <f>DATE(VALUE(LEFT(A2434,4)),VALUE(MID(A2434,5,2)),VALUE(RIGHT(A2434,2)))</f>
        <v/>
      </c>
      <c r="L2434" s="395">
        <f>DATEVALUE(LEFT(F2434,10))</f>
        <v/>
      </c>
      <c r="M2434" s="396">
        <f>TIMEVALUE(MID(F2434,12,8))</f>
        <v/>
      </c>
      <c r="N2434" s="395">
        <f>DATEVALUE(LEFT(G2434,10))</f>
        <v/>
      </c>
      <c r="O2434" s="396">
        <f>TIMEVALUE(MID(G2434,12,8))</f>
        <v/>
      </c>
      <c r="P2434" s="396">
        <f>IFERROR(_xlfn.MINIFS($M:$M,$E:$E,$E2434,$K:$K,$K2434,$M:$M,"&gt;"&amp;$O2434),"")</f>
        <v/>
      </c>
      <c r="Q2434" s="396">
        <f>IF($P2434="","",$P2434-$O2434)</f>
        <v/>
      </c>
    </row>
    <row r="2435" ht="15" customHeight="1" s="231">
      <c r="A2435" s="397" t="n"/>
      <c r="B2435" s="397" t="n"/>
      <c r="C2435" s="397" t="n"/>
      <c r="D2435" s="397" t="n"/>
      <c r="E2435" s="397" t="n"/>
      <c r="F2435" s="397" t="n"/>
      <c r="G2435" s="397" t="n"/>
      <c r="I2435" s="397" t="n"/>
      <c r="J2435" s="397" t="n"/>
      <c r="K2435" s="395">
        <f>DATE(VALUE(LEFT(A2435,4)),VALUE(MID(A2435,5,2)),VALUE(RIGHT(A2435,2)))</f>
        <v/>
      </c>
      <c r="L2435" s="395">
        <f>DATEVALUE(LEFT(F2435,10))</f>
        <v/>
      </c>
      <c r="M2435" s="396">
        <f>TIMEVALUE(MID(F2435,12,8))</f>
        <v/>
      </c>
      <c r="N2435" s="395">
        <f>DATEVALUE(LEFT(G2435,10))</f>
        <v/>
      </c>
      <c r="O2435" s="396">
        <f>TIMEVALUE(MID(G2435,12,8))</f>
        <v/>
      </c>
      <c r="P2435" s="396">
        <f>IFERROR(_xlfn.MINIFS($M:$M,$E:$E,$E2435,$K:$K,$K2435,$M:$M,"&gt;"&amp;$O2435),"")</f>
        <v/>
      </c>
      <c r="Q2435" s="396">
        <f>IF($P2435="","",$P2435-$O2435)</f>
        <v/>
      </c>
    </row>
    <row r="2436" ht="15" customHeight="1" s="231">
      <c r="A2436" s="397" t="n"/>
      <c r="B2436" s="397" t="n"/>
      <c r="C2436" s="397" t="n"/>
      <c r="D2436" s="397" t="n"/>
      <c r="E2436" s="397" t="n"/>
      <c r="F2436" s="397" t="n"/>
      <c r="G2436" s="397" t="n"/>
      <c r="I2436" s="397" t="n"/>
      <c r="J2436" s="397" t="n"/>
      <c r="K2436" s="395">
        <f>DATE(VALUE(LEFT(A2436,4)),VALUE(MID(A2436,5,2)),VALUE(RIGHT(A2436,2)))</f>
        <v/>
      </c>
      <c r="L2436" s="395">
        <f>DATEVALUE(LEFT(F2436,10))</f>
        <v/>
      </c>
      <c r="M2436" s="396">
        <f>TIMEVALUE(MID(F2436,12,8))</f>
        <v/>
      </c>
      <c r="N2436" s="395">
        <f>DATEVALUE(LEFT(G2436,10))</f>
        <v/>
      </c>
      <c r="O2436" s="396">
        <f>TIMEVALUE(MID(G2436,12,8))</f>
        <v/>
      </c>
      <c r="P2436" s="396">
        <f>IFERROR(_xlfn.MINIFS($M:$M,$E:$E,$E2436,$K:$K,$K2436,$M:$M,"&gt;"&amp;$O2436),"")</f>
        <v/>
      </c>
      <c r="Q2436" s="396">
        <f>IF($P2436="","",$P2436-$O2436)</f>
        <v/>
      </c>
    </row>
    <row r="2437" ht="15" customHeight="1" s="231">
      <c r="A2437" s="397" t="n"/>
      <c r="B2437" s="397" t="n"/>
      <c r="C2437" s="397" t="n"/>
      <c r="D2437" s="397" t="n"/>
      <c r="E2437" s="397" t="n"/>
      <c r="F2437" s="397" t="n"/>
      <c r="G2437" s="397" t="n"/>
      <c r="I2437" s="397" t="n"/>
      <c r="J2437" s="397" t="n"/>
      <c r="K2437" s="395">
        <f>DATE(VALUE(LEFT(A2437,4)),VALUE(MID(A2437,5,2)),VALUE(RIGHT(A2437,2)))</f>
        <v/>
      </c>
      <c r="L2437" s="395">
        <f>DATEVALUE(LEFT(F2437,10))</f>
        <v/>
      </c>
      <c r="M2437" s="396">
        <f>TIMEVALUE(MID(F2437,12,8))</f>
        <v/>
      </c>
      <c r="N2437" s="395">
        <f>DATEVALUE(LEFT(G2437,10))</f>
        <v/>
      </c>
      <c r="O2437" s="396">
        <f>TIMEVALUE(MID(G2437,12,8))</f>
        <v/>
      </c>
      <c r="P2437" s="396">
        <f>IFERROR(_xlfn.MINIFS($M:$M,$E:$E,$E2437,$K:$K,$K2437,$M:$M,"&gt;"&amp;$O2437),"")</f>
        <v/>
      </c>
      <c r="Q2437" s="396">
        <f>IF($P2437="","",$P2437-$O2437)</f>
        <v/>
      </c>
    </row>
    <row r="2438" ht="15" customHeight="1" s="231">
      <c r="A2438" s="397" t="n"/>
      <c r="B2438" s="397" t="n"/>
      <c r="C2438" s="397" t="n"/>
      <c r="D2438" s="397" t="n"/>
      <c r="E2438" s="397" t="n"/>
      <c r="F2438" s="397" t="n"/>
      <c r="G2438" s="397" t="n"/>
      <c r="I2438" s="397" t="n"/>
      <c r="J2438" s="397" t="n"/>
      <c r="K2438" s="395">
        <f>DATE(VALUE(LEFT(A2438,4)),VALUE(MID(A2438,5,2)),VALUE(RIGHT(A2438,2)))</f>
        <v/>
      </c>
      <c r="L2438" s="395">
        <f>DATEVALUE(LEFT(F2438,10))</f>
        <v/>
      </c>
      <c r="M2438" s="396">
        <f>TIMEVALUE(MID(F2438,12,8))</f>
        <v/>
      </c>
      <c r="N2438" s="395">
        <f>DATEVALUE(LEFT(G2438,10))</f>
        <v/>
      </c>
      <c r="O2438" s="396">
        <f>TIMEVALUE(MID(G2438,12,8))</f>
        <v/>
      </c>
      <c r="P2438" s="396">
        <f>IFERROR(_xlfn.MINIFS($M:$M,$E:$E,$E2438,$K:$K,$K2438,$M:$M,"&gt;"&amp;$O2438),"")</f>
        <v/>
      </c>
      <c r="Q2438" s="396">
        <f>IF($P2438="","",$P2438-$O2438)</f>
        <v/>
      </c>
    </row>
    <row r="2439" ht="15" customHeight="1" s="231">
      <c r="A2439" s="397" t="n"/>
      <c r="B2439" s="397" t="n"/>
      <c r="C2439" s="397" t="n"/>
      <c r="D2439" s="397" t="n"/>
      <c r="E2439" s="397" t="n"/>
      <c r="F2439" s="397" t="n"/>
      <c r="G2439" s="397" t="n"/>
      <c r="I2439" s="397" t="n"/>
      <c r="J2439" s="397" t="n"/>
      <c r="K2439" s="395">
        <f>DATE(VALUE(LEFT(A2439,4)),VALUE(MID(A2439,5,2)),VALUE(RIGHT(A2439,2)))</f>
        <v/>
      </c>
      <c r="L2439" s="395">
        <f>DATEVALUE(LEFT(F2439,10))</f>
        <v/>
      </c>
      <c r="M2439" s="396">
        <f>TIMEVALUE(MID(F2439,12,8))</f>
        <v/>
      </c>
      <c r="N2439" s="395">
        <f>DATEVALUE(LEFT(G2439,10))</f>
        <v/>
      </c>
      <c r="O2439" s="396">
        <f>TIMEVALUE(MID(G2439,12,8))</f>
        <v/>
      </c>
      <c r="P2439" s="396">
        <f>IFERROR(_xlfn.MINIFS($M:$M,$E:$E,$E2439,$K:$K,$K2439,$M:$M,"&gt;"&amp;$O2439),"")</f>
        <v/>
      </c>
      <c r="Q2439" s="396">
        <f>IF($P2439="","",$P2439-$O2439)</f>
        <v/>
      </c>
    </row>
    <row r="2440" ht="15" customHeight="1" s="231">
      <c r="A2440" s="397" t="n"/>
      <c r="B2440" s="397" t="n"/>
      <c r="C2440" s="397" t="n"/>
      <c r="D2440" s="397" t="n"/>
      <c r="E2440" s="397" t="n"/>
      <c r="F2440" s="397" t="n"/>
      <c r="G2440" s="397" t="n"/>
      <c r="I2440" s="397" t="n"/>
      <c r="J2440" s="397" t="n"/>
      <c r="K2440" s="395">
        <f>DATE(VALUE(LEFT(A2440,4)),VALUE(MID(A2440,5,2)),VALUE(RIGHT(A2440,2)))</f>
        <v/>
      </c>
      <c r="L2440" s="395">
        <f>DATEVALUE(LEFT(F2440,10))</f>
        <v/>
      </c>
      <c r="M2440" s="396">
        <f>TIMEVALUE(MID(F2440,12,8))</f>
        <v/>
      </c>
      <c r="N2440" s="395">
        <f>DATEVALUE(LEFT(G2440,10))</f>
        <v/>
      </c>
      <c r="O2440" s="396">
        <f>TIMEVALUE(MID(G2440,12,8))</f>
        <v/>
      </c>
      <c r="P2440" s="396">
        <f>IFERROR(_xlfn.MINIFS($M:$M,$E:$E,$E2440,$K:$K,$K2440,$M:$M,"&gt;"&amp;$O2440),"")</f>
        <v/>
      </c>
      <c r="Q2440" s="396">
        <f>IF($P2440="","",$P2440-$O2440)</f>
        <v/>
      </c>
    </row>
    <row r="2441" ht="15" customHeight="1" s="231">
      <c r="A2441" s="397" t="n"/>
      <c r="B2441" s="397" t="n"/>
      <c r="C2441" s="397" t="n"/>
      <c r="D2441" s="397" t="n"/>
      <c r="E2441" s="397" t="n"/>
      <c r="F2441" s="397" t="n"/>
      <c r="G2441" s="397" t="n"/>
      <c r="I2441" s="397" t="n"/>
      <c r="J2441" s="397" t="n"/>
      <c r="K2441" s="395">
        <f>DATE(VALUE(LEFT(A2441,4)),VALUE(MID(A2441,5,2)),VALUE(RIGHT(A2441,2)))</f>
        <v/>
      </c>
      <c r="L2441" s="395">
        <f>DATEVALUE(LEFT(F2441,10))</f>
        <v/>
      </c>
      <c r="M2441" s="396">
        <f>TIMEVALUE(MID(F2441,12,8))</f>
        <v/>
      </c>
      <c r="N2441" s="395">
        <f>DATEVALUE(LEFT(G2441,10))</f>
        <v/>
      </c>
      <c r="O2441" s="396">
        <f>TIMEVALUE(MID(G2441,12,8))</f>
        <v/>
      </c>
      <c r="P2441" s="396">
        <f>IFERROR(_xlfn.MINIFS($M:$M,$E:$E,$E2441,$K:$K,$K2441,$M:$M,"&gt;"&amp;$O2441),"")</f>
        <v/>
      </c>
      <c r="Q2441" s="396">
        <f>IF($P2441="","",$P2441-$O2441)</f>
        <v/>
      </c>
    </row>
    <row r="2442" ht="15" customHeight="1" s="231">
      <c r="A2442" s="397" t="n"/>
      <c r="B2442" s="397" t="n"/>
      <c r="C2442" s="397" t="n"/>
      <c r="D2442" s="397" t="n"/>
      <c r="E2442" s="397" t="n"/>
      <c r="F2442" s="397" t="n"/>
      <c r="G2442" s="397" t="n"/>
      <c r="I2442" s="397" t="n"/>
      <c r="J2442" s="397" t="n"/>
      <c r="K2442" s="395">
        <f>DATE(VALUE(LEFT(A2442,4)),VALUE(MID(A2442,5,2)),VALUE(RIGHT(A2442,2)))</f>
        <v/>
      </c>
      <c r="L2442" s="395">
        <f>DATEVALUE(LEFT(F2442,10))</f>
        <v/>
      </c>
      <c r="M2442" s="396">
        <f>TIMEVALUE(MID(F2442,12,8))</f>
        <v/>
      </c>
      <c r="N2442" s="395">
        <f>DATEVALUE(LEFT(G2442,10))</f>
        <v/>
      </c>
      <c r="O2442" s="396">
        <f>TIMEVALUE(MID(G2442,12,8))</f>
        <v/>
      </c>
      <c r="P2442" s="396">
        <f>IFERROR(_xlfn.MINIFS($M:$M,$E:$E,$E2442,$K:$K,$K2442,$M:$M,"&gt;"&amp;$O2442),"")</f>
        <v/>
      </c>
      <c r="Q2442" s="396">
        <f>IF($P2442="","",$P2442-$O2442)</f>
        <v/>
      </c>
    </row>
    <row r="2443" ht="15" customHeight="1" s="231">
      <c r="A2443" s="397" t="n"/>
      <c r="B2443" s="397" t="n"/>
      <c r="C2443" s="397" t="n"/>
      <c r="D2443" s="397" t="n"/>
      <c r="E2443" s="397" t="n"/>
      <c r="F2443" s="397" t="n"/>
      <c r="G2443" s="397" t="n"/>
      <c r="I2443" s="397" t="n"/>
      <c r="J2443" s="397" t="n"/>
      <c r="K2443" s="395">
        <f>DATE(VALUE(LEFT(A2443,4)),VALUE(MID(A2443,5,2)),VALUE(RIGHT(A2443,2)))</f>
        <v/>
      </c>
      <c r="L2443" s="395">
        <f>DATEVALUE(LEFT(F2443,10))</f>
        <v/>
      </c>
      <c r="M2443" s="396">
        <f>TIMEVALUE(MID(F2443,12,8))</f>
        <v/>
      </c>
      <c r="N2443" s="395">
        <f>DATEVALUE(LEFT(G2443,10))</f>
        <v/>
      </c>
      <c r="O2443" s="396">
        <f>TIMEVALUE(MID(G2443,12,8))</f>
        <v/>
      </c>
      <c r="P2443" s="396">
        <f>IFERROR(_xlfn.MINIFS($M:$M,$E:$E,$E2443,$K:$K,$K2443,$M:$M,"&gt;"&amp;$O2443),"")</f>
        <v/>
      </c>
      <c r="Q2443" s="396">
        <f>IF($P2443="","",$P2443-$O2443)</f>
        <v/>
      </c>
    </row>
    <row r="2444" ht="15" customHeight="1" s="231">
      <c r="A2444" s="397" t="n"/>
      <c r="B2444" s="397" t="n"/>
      <c r="C2444" s="397" t="n"/>
      <c r="D2444" s="397" t="n"/>
      <c r="E2444" s="397" t="n"/>
      <c r="F2444" s="397" t="n"/>
      <c r="G2444" s="397" t="n"/>
      <c r="I2444" s="397" t="n"/>
      <c r="J2444" s="397" t="n"/>
      <c r="K2444" s="395">
        <f>DATE(VALUE(LEFT(A2444,4)),VALUE(MID(A2444,5,2)),VALUE(RIGHT(A2444,2)))</f>
        <v/>
      </c>
      <c r="L2444" s="395">
        <f>DATEVALUE(LEFT(F2444,10))</f>
        <v/>
      </c>
      <c r="M2444" s="396">
        <f>TIMEVALUE(MID(F2444,12,8))</f>
        <v/>
      </c>
      <c r="N2444" s="395">
        <f>DATEVALUE(LEFT(G2444,10))</f>
        <v/>
      </c>
      <c r="O2444" s="396">
        <f>TIMEVALUE(MID(G2444,12,8))</f>
        <v/>
      </c>
      <c r="P2444" s="396">
        <f>IFERROR(_xlfn.MINIFS($M:$M,$E:$E,$E2444,$K:$K,$K2444,$M:$M,"&gt;"&amp;$O2444),"")</f>
        <v/>
      </c>
      <c r="Q2444" s="396">
        <f>IF($P2444="","",$P2444-$O2444)</f>
        <v/>
      </c>
    </row>
    <row r="2445" ht="15" customHeight="1" s="231">
      <c r="A2445" s="397" t="n"/>
      <c r="B2445" s="397" t="n"/>
      <c r="C2445" s="397" t="n"/>
      <c r="D2445" s="397" t="n"/>
      <c r="E2445" s="397" t="n"/>
      <c r="F2445" s="397" t="n"/>
      <c r="G2445" s="397" t="n"/>
      <c r="I2445" s="397" t="n"/>
      <c r="J2445" s="397" t="n"/>
      <c r="K2445" s="395">
        <f>DATE(VALUE(LEFT(A2445,4)),VALUE(MID(A2445,5,2)),VALUE(RIGHT(A2445,2)))</f>
        <v/>
      </c>
      <c r="L2445" s="395">
        <f>DATEVALUE(LEFT(F2445,10))</f>
        <v/>
      </c>
      <c r="M2445" s="396">
        <f>TIMEVALUE(MID(F2445,12,8))</f>
        <v/>
      </c>
      <c r="N2445" s="395">
        <f>DATEVALUE(LEFT(G2445,10))</f>
        <v/>
      </c>
      <c r="O2445" s="396">
        <f>TIMEVALUE(MID(G2445,12,8))</f>
        <v/>
      </c>
      <c r="P2445" s="396">
        <f>IFERROR(_xlfn.MINIFS($M:$M,$E:$E,$E2445,$K:$K,$K2445,$M:$M,"&gt;"&amp;$O2445),"")</f>
        <v/>
      </c>
      <c r="Q2445" s="396">
        <f>IF($P2445="","",$P2445-$O2445)</f>
        <v/>
      </c>
    </row>
    <row r="2446" ht="15" customHeight="1" s="231">
      <c r="A2446" s="397" t="n"/>
      <c r="B2446" s="397" t="n"/>
      <c r="C2446" s="397" t="n"/>
      <c r="D2446" s="397" t="n"/>
      <c r="E2446" s="397" t="n"/>
      <c r="F2446" s="397" t="n"/>
      <c r="G2446" s="397" t="n"/>
      <c r="I2446" s="397" t="n"/>
      <c r="J2446" s="397" t="n"/>
      <c r="K2446" s="395">
        <f>DATE(VALUE(LEFT(A2446,4)),VALUE(MID(A2446,5,2)),VALUE(RIGHT(A2446,2)))</f>
        <v/>
      </c>
      <c r="L2446" s="395">
        <f>DATEVALUE(LEFT(F2446,10))</f>
        <v/>
      </c>
      <c r="M2446" s="396">
        <f>TIMEVALUE(MID(F2446,12,8))</f>
        <v/>
      </c>
      <c r="N2446" s="395">
        <f>DATEVALUE(LEFT(G2446,10))</f>
        <v/>
      </c>
      <c r="O2446" s="396">
        <f>TIMEVALUE(MID(G2446,12,8))</f>
        <v/>
      </c>
      <c r="P2446" s="396">
        <f>IFERROR(_xlfn.MINIFS($M:$M,$E:$E,$E2446,$K:$K,$K2446,$M:$M,"&gt;"&amp;$O2446),"")</f>
        <v/>
      </c>
      <c r="Q2446" s="396">
        <f>IF($P2446="","",$P2446-$O2446)</f>
        <v/>
      </c>
    </row>
    <row r="2447" ht="15" customHeight="1" s="231">
      <c r="A2447" s="397" t="n"/>
      <c r="B2447" s="397" t="n"/>
      <c r="C2447" s="397" t="n"/>
      <c r="D2447" s="397" t="n"/>
      <c r="E2447" s="397" t="n"/>
      <c r="F2447" s="397" t="n"/>
      <c r="G2447" s="397" t="n"/>
      <c r="I2447" s="397" t="n"/>
      <c r="J2447" s="397" t="n"/>
      <c r="K2447" s="395">
        <f>DATE(VALUE(LEFT(A2447,4)),VALUE(MID(A2447,5,2)),VALUE(RIGHT(A2447,2)))</f>
        <v/>
      </c>
      <c r="L2447" s="395">
        <f>DATEVALUE(LEFT(F2447,10))</f>
        <v/>
      </c>
      <c r="M2447" s="396">
        <f>TIMEVALUE(MID(F2447,12,8))</f>
        <v/>
      </c>
      <c r="N2447" s="395">
        <f>DATEVALUE(LEFT(G2447,10))</f>
        <v/>
      </c>
      <c r="O2447" s="396">
        <f>TIMEVALUE(MID(G2447,12,8))</f>
        <v/>
      </c>
      <c r="P2447" s="396">
        <f>IFERROR(_xlfn.MINIFS($M:$M,$E:$E,$E2447,$K:$K,$K2447,$M:$M,"&gt;"&amp;$O2447),"")</f>
        <v/>
      </c>
      <c r="Q2447" s="396">
        <f>IF($P2447="","",$P2447-$O2447)</f>
        <v/>
      </c>
    </row>
    <row r="2448" ht="15" customHeight="1" s="231">
      <c r="A2448" s="397" t="n"/>
      <c r="B2448" s="397" t="n"/>
      <c r="C2448" s="397" t="n"/>
      <c r="D2448" s="397" t="n"/>
      <c r="E2448" s="397" t="n"/>
      <c r="F2448" s="397" t="n"/>
      <c r="G2448" s="397" t="n"/>
      <c r="I2448" s="397" t="n"/>
      <c r="J2448" s="397" t="n"/>
      <c r="K2448" s="395">
        <f>DATE(VALUE(LEFT(A2448,4)),VALUE(MID(A2448,5,2)),VALUE(RIGHT(A2448,2)))</f>
        <v/>
      </c>
      <c r="L2448" s="395">
        <f>DATEVALUE(LEFT(F2448,10))</f>
        <v/>
      </c>
      <c r="M2448" s="396">
        <f>TIMEVALUE(MID(F2448,12,8))</f>
        <v/>
      </c>
      <c r="N2448" s="395">
        <f>DATEVALUE(LEFT(G2448,10))</f>
        <v/>
      </c>
      <c r="O2448" s="396">
        <f>TIMEVALUE(MID(G2448,12,8))</f>
        <v/>
      </c>
      <c r="P2448" s="396">
        <f>IFERROR(_xlfn.MINIFS($M:$M,$E:$E,$E2448,$K:$K,$K2448,$M:$M,"&gt;"&amp;$O2448),"")</f>
        <v/>
      </c>
      <c r="Q2448" s="396">
        <f>IF($P2448="","",$P2448-$O2448)</f>
        <v/>
      </c>
    </row>
    <row r="2449" ht="15" customHeight="1" s="231">
      <c r="A2449" s="397" t="n"/>
      <c r="B2449" s="397" t="n"/>
      <c r="C2449" s="397" t="n"/>
      <c r="D2449" s="397" t="n"/>
      <c r="E2449" s="397" t="n"/>
      <c r="F2449" s="397" t="n"/>
      <c r="G2449" s="397" t="n"/>
      <c r="I2449" s="397" t="n"/>
      <c r="J2449" s="397" t="n"/>
      <c r="K2449" s="395">
        <f>DATE(VALUE(LEFT(A2449,4)),VALUE(MID(A2449,5,2)),VALUE(RIGHT(A2449,2)))</f>
        <v/>
      </c>
      <c r="L2449" s="395">
        <f>DATEVALUE(LEFT(F2449,10))</f>
        <v/>
      </c>
      <c r="M2449" s="396">
        <f>TIMEVALUE(MID(F2449,12,8))</f>
        <v/>
      </c>
      <c r="N2449" s="395">
        <f>DATEVALUE(LEFT(G2449,10))</f>
        <v/>
      </c>
      <c r="O2449" s="396">
        <f>TIMEVALUE(MID(G2449,12,8))</f>
        <v/>
      </c>
      <c r="P2449" s="396">
        <f>IFERROR(_xlfn.MINIFS($M:$M,$E:$E,$E2449,$K:$K,$K2449,$M:$M,"&gt;"&amp;$O2449),"")</f>
        <v/>
      </c>
      <c r="Q2449" s="396">
        <f>IF($P2449="","",$P2449-$O2449)</f>
        <v/>
      </c>
    </row>
    <row r="2450" ht="15" customHeight="1" s="231">
      <c r="A2450" s="397" t="n"/>
      <c r="B2450" s="397" t="n"/>
      <c r="C2450" s="397" t="n"/>
      <c r="D2450" s="397" t="n"/>
      <c r="E2450" s="397" t="n"/>
      <c r="F2450" s="397" t="n"/>
      <c r="G2450" s="397" t="n"/>
      <c r="I2450" s="397" t="n"/>
      <c r="J2450" s="397" t="n"/>
      <c r="K2450" s="395">
        <f>DATE(VALUE(LEFT(A2450,4)),VALUE(MID(A2450,5,2)),VALUE(RIGHT(A2450,2)))</f>
        <v/>
      </c>
      <c r="L2450" s="395">
        <f>DATEVALUE(LEFT(F2450,10))</f>
        <v/>
      </c>
      <c r="M2450" s="396">
        <f>TIMEVALUE(MID(F2450,12,8))</f>
        <v/>
      </c>
      <c r="N2450" s="395">
        <f>DATEVALUE(LEFT(G2450,10))</f>
        <v/>
      </c>
      <c r="O2450" s="396">
        <f>TIMEVALUE(MID(G2450,12,8))</f>
        <v/>
      </c>
      <c r="P2450" s="396">
        <f>IFERROR(_xlfn.MINIFS($M:$M,$E:$E,$E2450,$K:$K,$K2450,$M:$M,"&gt;"&amp;$O2450),"")</f>
        <v/>
      </c>
      <c r="Q2450" s="396">
        <f>IF($P2450="","",$P2450-$O2450)</f>
        <v/>
      </c>
    </row>
    <row r="2451" ht="15" customHeight="1" s="231">
      <c r="A2451" s="397" t="n"/>
      <c r="B2451" s="397" t="n"/>
      <c r="C2451" s="397" t="n"/>
      <c r="D2451" s="397" t="n"/>
      <c r="E2451" s="397" t="n"/>
      <c r="F2451" s="397" t="n"/>
      <c r="G2451" s="397" t="n"/>
      <c r="I2451" s="397" t="n"/>
      <c r="J2451" s="397" t="n"/>
      <c r="K2451" s="395">
        <f>DATE(VALUE(LEFT(A2451,4)),VALUE(MID(A2451,5,2)),VALUE(RIGHT(A2451,2)))</f>
        <v/>
      </c>
      <c r="L2451" s="395">
        <f>DATEVALUE(LEFT(F2451,10))</f>
        <v/>
      </c>
      <c r="M2451" s="396">
        <f>TIMEVALUE(MID(F2451,12,8))</f>
        <v/>
      </c>
      <c r="N2451" s="395">
        <f>DATEVALUE(LEFT(G2451,10))</f>
        <v/>
      </c>
      <c r="O2451" s="396">
        <f>TIMEVALUE(MID(G2451,12,8))</f>
        <v/>
      </c>
      <c r="P2451" s="396">
        <f>IFERROR(_xlfn.MINIFS($M:$M,$E:$E,$E2451,$K:$K,$K2451,$M:$M,"&gt;"&amp;$O2451),"")</f>
        <v/>
      </c>
      <c r="Q2451" s="396">
        <f>IF($P2451="","",$P2451-$O2451)</f>
        <v/>
      </c>
    </row>
    <row r="2452" ht="15" customHeight="1" s="231">
      <c r="A2452" s="397" t="n"/>
      <c r="B2452" s="397" t="n"/>
      <c r="C2452" s="397" t="n"/>
      <c r="D2452" s="397" t="n"/>
      <c r="E2452" s="397" t="n"/>
      <c r="F2452" s="397" t="n"/>
      <c r="G2452" s="397" t="n"/>
      <c r="I2452" s="397" t="n"/>
      <c r="J2452" s="397" t="n"/>
      <c r="K2452" s="395">
        <f>DATE(VALUE(LEFT(A2452,4)),VALUE(MID(A2452,5,2)),VALUE(RIGHT(A2452,2)))</f>
        <v/>
      </c>
      <c r="L2452" s="395">
        <f>DATEVALUE(LEFT(F2452,10))</f>
        <v/>
      </c>
      <c r="M2452" s="396">
        <f>TIMEVALUE(MID(F2452,12,8))</f>
        <v/>
      </c>
      <c r="N2452" s="395">
        <f>DATEVALUE(LEFT(G2452,10))</f>
        <v/>
      </c>
      <c r="O2452" s="396">
        <f>TIMEVALUE(MID(G2452,12,8))</f>
        <v/>
      </c>
      <c r="P2452" s="396">
        <f>IFERROR(_xlfn.MINIFS($M:$M,$E:$E,$E2452,$K:$K,$K2452,$M:$M,"&gt;"&amp;$O2452),"")</f>
        <v/>
      </c>
      <c r="Q2452" s="396">
        <f>IF($P2452="","",$P2452-$O2452)</f>
        <v/>
      </c>
    </row>
    <row r="2453" ht="15" customHeight="1" s="231">
      <c r="A2453" s="397" t="n"/>
      <c r="B2453" s="397" t="n"/>
      <c r="C2453" s="397" t="n"/>
      <c r="D2453" s="397" t="n"/>
      <c r="E2453" s="397" t="n"/>
      <c r="F2453" s="397" t="n"/>
      <c r="G2453" s="397" t="n"/>
      <c r="I2453" s="397" t="n"/>
      <c r="J2453" s="397" t="n"/>
      <c r="K2453" s="395">
        <f>DATE(VALUE(LEFT(A2453,4)),VALUE(MID(A2453,5,2)),VALUE(RIGHT(A2453,2)))</f>
        <v/>
      </c>
      <c r="L2453" s="395">
        <f>DATEVALUE(LEFT(F2453,10))</f>
        <v/>
      </c>
      <c r="M2453" s="396">
        <f>TIMEVALUE(MID(F2453,12,8))</f>
        <v/>
      </c>
      <c r="N2453" s="395">
        <f>DATEVALUE(LEFT(G2453,10))</f>
        <v/>
      </c>
      <c r="O2453" s="396">
        <f>TIMEVALUE(MID(G2453,12,8))</f>
        <v/>
      </c>
      <c r="P2453" s="396">
        <f>IFERROR(_xlfn.MINIFS($M:$M,$E:$E,$E2453,$K:$K,$K2453,$M:$M,"&gt;"&amp;$O2453),"")</f>
        <v/>
      </c>
      <c r="Q2453" s="396">
        <f>IF($P2453="","",$P2453-$O2453)</f>
        <v/>
      </c>
    </row>
    <row r="2454" ht="15" customHeight="1" s="231">
      <c r="A2454" s="397" t="n"/>
      <c r="B2454" s="397" t="n"/>
      <c r="C2454" s="397" t="n"/>
      <c r="D2454" s="397" t="n"/>
      <c r="E2454" s="397" t="n"/>
      <c r="F2454" s="397" t="n"/>
      <c r="G2454" s="397" t="n"/>
      <c r="I2454" s="397" t="n"/>
      <c r="J2454" s="397" t="n"/>
      <c r="K2454" s="395">
        <f>DATE(VALUE(LEFT(A2454,4)),VALUE(MID(A2454,5,2)),VALUE(RIGHT(A2454,2)))</f>
        <v/>
      </c>
      <c r="L2454" s="395">
        <f>DATEVALUE(LEFT(F2454,10))</f>
        <v/>
      </c>
      <c r="M2454" s="396">
        <f>TIMEVALUE(MID(F2454,12,8))</f>
        <v/>
      </c>
      <c r="N2454" s="395">
        <f>DATEVALUE(LEFT(G2454,10))</f>
        <v/>
      </c>
      <c r="O2454" s="396">
        <f>TIMEVALUE(MID(G2454,12,8))</f>
        <v/>
      </c>
      <c r="P2454" s="396">
        <f>IFERROR(_xlfn.MINIFS($M:$M,$E:$E,$E2454,$K:$K,$K2454,$M:$M,"&gt;"&amp;$O2454),"")</f>
        <v/>
      </c>
      <c r="Q2454" s="396">
        <f>IF($P2454="","",$P2454-$O2454)</f>
        <v/>
      </c>
    </row>
    <row r="2455" ht="15" customHeight="1" s="231">
      <c r="A2455" s="397" t="n"/>
      <c r="B2455" s="397" t="n"/>
      <c r="C2455" s="397" t="n"/>
      <c r="D2455" s="397" t="n"/>
      <c r="E2455" s="397" t="n"/>
      <c r="F2455" s="397" t="n"/>
      <c r="G2455" s="397" t="n"/>
      <c r="I2455" s="397" t="n"/>
      <c r="J2455" s="397" t="n"/>
      <c r="K2455" s="395">
        <f>DATE(VALUE(LEFT(A2455,4)),VALUE(MID(A2455,5,2)),VALUE(RIGHT(A2455,2)))</f>
        <v/>
      </c>
      <c r="L2455" s="395">
        <f>DATEVALUE(LEFT(F2455,10))</f>
        <v/>
      </c>
      <c r="M2455" s="396">
        <f>TIMEVALUE(MID(F2455,12,8))</f>
        <v/>
      </c>
      <c r="N2455" s="395">
        <f>DATEVALUE(LEFT(G2455,10))</f>
        <v/>
      </c>
      <c r="O2455" s="396">
        <f>TIMEVALUE(MID(G2455,12,8))</f>
        <v/>
      </c>
      <c r="P2455" s="396">
        <f>IFERROR(_xlfn.MINIFS($M:$M,$E:$E,$E2455,$K:$K,$K2455,$M:$M,"&gt;"&amp;$O2455),"")</f>
        <v/>
      </c>
      <c r="Q2455" s="396">
        <f>IF($P2455="","",$P2455-$O2455)</f>
        <v/>
      </c>
    </row>
    <row r="2456" ht="15" customHeight="1" s="231">
      <c r="A2456" s="397" t="n"/>
      <c r="B2456" s="397" t="n"/>
      <c r="C2456" s="397" t="n"/>
      <c r="D2456" s="397" t="n"/>
      <c r="E2456" s="397" t="n"/>
      <c r="F2456" s="397" t="n"/>
      <c r="G2456" s="397" t="n"/>
      <c r="I2456" s="397" t="n"/>
      <c r="J2456" s="397" t="n"/>
      <c r="K2456" s="395">
        <f>DATE(VALUE(LEFT(A2456,4)),VALUE(MID(A2456,5,2)),VALUE(RIGHT(A2456,2)))</f>
        <v/>
      </c>
      <c r="L2456" s="395">
        <f>DATEVALUE(LEFT(F2456,10))</f>
        <v/>
      </c>
      <c r="M2456" s="396">
        <f>TIMEVALUE(MID(F2456,12,8))</f>
        <v/>
      </c>
      <c r="N2456" s="395">
        <f>DATEVALUE(LEFT(G2456,10))</f>
        <v/>
      </c>
      <c r="O2456" s="396">
        <f>TIMEVALUE(MID(G2456,12,8))</f>
        <v/>
      </c>
      <c r="P2456" s="396">
        <f>IFERROR(_xlfn.MINIFS($M:$M,$E:$E,$E2456,$K:$K,$K2456,$M:$M,"&gt;"&amp;$O2456),"")</f>
        <v/>
      </c>
      <c r="Q2456" s="396">
        <f>IF($P2456="","",$P2456-$O2456)</f>
        <v/>
      </c>
    </row>
    <row r="2457" ht="15" customHeight="1" s="231">
      <c r="A2457" s="397" t="n"/>
      <c r="B2457" s="397" t="n"/>
      <c r="C2457" s="397" t="n"/>
      <c r="D2457" s="397" t="n"/>
      <c r="E2457" s="397" t="n"/>
      <c r="F2457" s="397" t="n"/>
      <c r="G2457" s="397" t="n"/>
      <c r="I2457" s="397" t="n"/>
      <c r="J2457" s="397" t="n"/>
      <c r="K2457" s="395">
        <f>DATE(VALUE(LEFT(A2457,4)),VALUE(MID(A2457,5,2)),VALUE(RIGHT(A2457,2)))</f>
        <v/>
      </c>
      <c r="L2457" s="395">
        <f>DATEVALUE(LEFT(F2457,10))</f>
        <v/>
      </c>
      <c r="M2457" s="396">
        <f>TIMEVALUE(MID(F2457,12,8))</f>
        <v/>
      </c>
      <c r="N2457" s="395">
        <f>DATEVALUE(LEFT(G2457,10))</f>
        <v/>
      </c>
      <c r="O2457" s="396">
        <f>TIMEVALUE(MID(G2457,12,8))</f>
        <v/>
      </c>
      <c r="P2457" s="396">
        <f>IFERROR(_xlfn.MINIFS($M:$M,$E:$E,$E2457,$K:$K,$K2457,$M:$M,"&gt;"&amp;$O2457),"")</f>
        <v/>
      </c>
      <c r="Q2457" s="396">
        <f>IF($P2457="","",$P2457-$O2457)</f>
        <v/>
      </c>
    </row>
    <row r="2458" ht="15" customHeight="1" s="231">
      <c r="A2458" s="397" t="n"/>
      <c r="B2458" s="397" t="n"/>
      <c r="C2458" s="397" t="n"/>
      <c r="D2458" s="397" t="n"/>
      <c r="E2458" s="397" t="n"/>
      <c r="F2458" s="397" t="n"/>
      <c r="G2458" s="397" t="n"/>
      <c r="I2458" s="397" t="n"/>
      <c r="J2458" s="397" t="n"/>
      <c r="K2458" s="395">
        <f>DATE(VALUE(LEFT(A2458,4)),VALUE(MID(A2458,5,2)),VALUE(RIGHT(A2458,2)))</f>
        <v/>
      </c>
      <c r="L2458" s="395">
        <f>DATEVALUE(LEFT(F2458,10))</f>
        <v/>
      </c>
      <c r="M2458" s="396">
        <f>TIMEVALUE(MID(F2458,12,8))</f>
        <v/>
      </c>
      <c r="N2458" s="395">
        <f>DATEVALUE(LEFT(G2458,10))</f>
        <v/>
      </c>
      <c r="O2458" s="396">
        <f>TIMEVALUE(MID(G2458,12,8))</f>
        <v/>
      </c>
      <c r="P2458" s="396">
        <f>IFERROR(_xlfn.MINIFS($M:$M,$E:$E,$E2458,$K:$K,$K2458,$M:$M,"&gt;"&amp;$O2458),"")</f>
        <v/>
      </c>
      <c r="Q2458" s="396">
        <f>IF($P2458="","",$P2458-$O2458)</f>
        <v/>
      </c>
    </row>
    <row r="2459" ht="15" customHeight="1" s="231">
      <c r="A2459" s="397" t="n"/>
      <c r="B2459" s="397" t="n"/>
      <c r="C2459" s="397" t="n"/>
      <c r="D2459" s="397" t="n"/>
      <c r="E2459" s="397" t="n"/>
      <c r="F2459" s="397" t="n"/>
      <c r="G2459" s="397" t="n"/>
      <c r="I2459" s="397" t="n"/>
      <c r="J2459" s="397" t="n"/>
      <c r="K2459" s="395">
        <f>DATE(VALUE(LEFT(A2459,4)),VALUE(MID(A2459,5,2)),VALUE(RIGHT(A2459,2)))</f>
        <v/>
      </c>
      <c r="L2459" s="395">
        <f>DATEVALUE(LEFT(F2459,10))</f>
        <v/>
      </c>
      <c r="M2459" s="396">
        <f>TIMEVALUE(MID(F2459,12,8))</f>
        <v/>
      </c>
      <c r="N2459" s="395">
        <f>DATEVALUE(LEFT(G2459,10))</f>
        <v/>
      </c>
      <c r="O2459" s="396">
        <f>TIMEVALUE(MID(G2459,12,8))</f>
        <v/>
      </c>
      <c r="P2459" s="396">
        <f>IFERROR(_xlfn.MINIFS($M:$M,$E:$E,$E2459,$K:$K,$K2459,$M:$M,"&gt;"&amp;$O2459),"")</f>
        <v/>
      </c>
      <c r="Q2459" s="396">
        <f>IF($P2459="","",$P2459-$O2459)</f>
        <v/>
      </c>
    </row>
    <row r="2460" ht="15" customHeight="1" s="231">
      <c r="A2460" s="397" t="n"/>
      <c r="B2460" s="397" t="n"/>
      <c r="C2460" s="397" t="n"/>
      <c r="D2460" s="397" t="n"/>
      <c r="E2460" s="397" t="n"/>
      <c r="F2460" s="397" t="n"/>
      <c r="G2460" s="397" t="n"/>
      <c r="I2460" s="397" t="n"/>
      <c r="J2460" s="397" t="n"/>
      <c r="K2460" s="395">
        <f>DATE(VALUE(LEFT(A2460,4)),VALUE(MID(A2460,5,2)),VALUE(RIGHT(A2460,2)))</f>
        <v/>
      </c>
      <c r="L2460" s="395">
        <f>DATEVALUE(LEFT(F2460,10))</f>
        <v/>
      </c>
      <c r="M2460" s="396">
        <f>TIMEVALUE(MID(F2460,12,8))</f>
        <v/>
      </c>
      <c r="N2460" s="395">
        <f>DATEVALUE(LEFT(G2460,10))</f>
        <v/>
      </c>
      <c r="O2460" s="396">
        <f>TIMEVALUE(MID(G2460,12,8))</f>
        <v/>
      </c>
      <c r="P2460" s="396">
        <f>IFERROR(_xlfn.MINIFS($M:$M,$E:$E,$E2460,$K:$K,$K2460,$M:$M,"&gt;"&amp;$O2460),"")</f>
        <v/>
      </c>
      <c r="Q2460" s="396">
        <f>IF($P2460="","",$P2460-$O2460)</f>
        <v/>
      </c>
    </row>
    <row r="2461" ht="15" customHeight="1" s="231">
      <c r="A2461" s="397" t="n"/>
      <c r="B2461" s="397" t="n"/>
      <c r="C2461" s="397" t="n"/>
      <c r="D2461" s="397" t="n"/>
      <c r="E2461" s="397" t="n"/>
      <c r="F2461" s="397" t="n"/>
      <c r="G2461" s="397" t="n"/>
      <c r="I2461" s="397" t="n"/>
      <c r="J2461" s="397" t="n"/>
      <c r="K2461" s="395">
        <f>DATE(VALUE(LEFT(A2461,4)),VALUE(MID(A2461,5,2)),VALUE(RIGHT(A2461,2)))</f>
        <v/>
      </c>
      <c r="L2461" s="395">
        <f>DATEVALUE(LEFT(F2461,10))</f>
        <v/>
      </c>
      <c r="M2461" s="396">
        <f>TIMEVALUE(MID(F2461,12,8))</f>
        <v/>
      </c>
      <c r="N2461" s="395">
        <f>DATEVALUE(LEFT(G2461,10))</f>
        <v/>
      </c>
      <c r="O2461" s="396">
        <f>TIMEVALUE(MID(G2461,12,8))</f>
        <v/>
      </c>
      <c r="P2461" s="396">
        <f>IFERROR(_xlfn.MINIFS($M:$M,$E:$E,$E2461,$K:$K,$K2461,$M:$M,"&gt;"&amp;$O2461),"")</f>
        <v/>
      </c>
      <c r="Q2461" s="396">
        <f>IF($P2461="","",$P2461-$O2461)</f>
        <v/>
      </c>
    </row>
    <row r="2462" ht="15" customHeight="1" s="231">
      <c r="A2462" s="397" t="n"/>
      <c r="B2462" s="397" t="n"/>
      <c r="C2462" s="397" t="n"/>
      <c r="D2462" s="397" t="n"/>
      <c r="E2462" s="397" t="n"/>
      <c r="F2462" s="397" t="n"/>
      <c r="G2462" s="397" t="n"/>
      <c r="I2462" s="397" t="n"/>
      <c r="J2462" s="397" t="n"/>
      <c r="K2462" s="395">
        <f>DATE(VALUE(LEFT(A2462,4)),VALUE(MID(A2462,5,2)),VALUE(RIGHT(A2462,2)))</f>
        <v/>
      </c>
      <c r="L2462" s="395">
        <f>DATEVALUE(LEFT(F2462,10))</f>
        <v/>
      </c>
      <c r="M2462" s="396">
        <f>TIMEVALUE(MID(F2462,12,8))</f>
        <v/>
      </c>
      <c r="N2462" s="395">
        <f>DATEVALUE(LEFT(G2462,10))</f>
        <v/>
      </c>
      <c r="O2462" s="396">
        <f>TIMEVALUE(MID(G2462,12,8))</f>
        <v/>
      </c>
      <c r="P2462" s="396">
        <f>IFERROR(_xlfn.MINIFS($M:$M,$E:$E,$E2462,$K:$K,$K2462,$M:$M,"&gt;"&amp;$O2462),"")</f>
        <v/>
      </c>
      <c r="Q2462" s="396">
        <f>IF($P2462="","",$P2462-$O2462)</f>
        <v/>
      </c>
    </row>
    <row r="2463" ht="15" customHeight="1" s="231">
      <c r="A2463" s="397" t="n"/>
      <c r="B2463" s="397" t="n"/>
      <c r="C2463" s="397" t="n"/>
      <c r="D2463" s="397" t="n"/>
      <c r="E2463" s="397" t="n"/>
      <c r="F2463" s="397" t="n"/>
      <c r="G2463" s="397" t="n"/>
      <c r="I2463" s="397" t="n"/>
      <c r="J2463" s="397" t="n"/>
      <c r="K2463" s="395">
        <f>DATE(VALUE(LEFT(A2463,4)),VALUE(MID(A2463,5,2)),VALUE(RIGHT(A2463,2)))</f>
        <v/>
      </c>
      <c r="L2463" s="395">
        <f>DATEVALUE(LEFT(F2463,10))</f>
        <v/>
      </c>
      <c r="M2463" s="396">
        <f>TIMEVALUE(MID(F2463,12,8))</f>
        <v/>
      </c>
      <c r="N2463" s="395">
        <f>DATEVALUE(LEFT(G2463,10))</f>
        <v/>
      </c>
      <c r="O2463" s="396">
        <f>TIMEVALUE(MID(G2463,12,8))</f>
        <v/>
      </c>
      <c r="P2463" s="396">
        <f>IFERROR(_xlfn.MINIFS($M:$M,$E:$E,$E2463,$K:$K,$K2463,$M:$M,"&gt;"&amp;$O2463),"")</f>
        <v/>
      </c>
      <c r="Q2463" s="396">
        <f>IF($P2463="","",$P2463-$O2463)</f>
        <v/>
      </c>
    </row>
    <row r="2464" ht="15" customHeight="1" s="231">
      <c r="A2464" s="397" t="n"/>
      <c r="B2464" s="397" t="n"/>
      <c r="C2464" s="397" t="n"/>
      <c r="D2464" s="397" t="n"/>
      <c r="E2464" s="397" t="n"/>
      <c r="F2464" s="397" t="n"/>
      <c r="G2464" s="397" t="n"/>
      <c r="I2464" s="397" t="n"/>
      <c r="J2464" s="397" t="n"/>
      <c r="K2464" s="395">
        <f>DATE(VALUE(LEFT(A2464,4)),VALUE(MID(A2464,5,2)),VALUE(RIGHT(A2464,2)))</f>
        <v/>
      </c>
      <c r="L2464" s="395">
        <f>DATEVALUE(LEFT(F2464,10))</f>
        <v/>
      </c>
      <c r="M2464" s="396">
        <f>TIMEVALUE(MID(F2464,12,8))</f>
        <v/>
      </c>
      <c r="N2464" s="395">
        <f>DATEVALUE(LEFT(G2464,10))</f>
        <v/>
      </c>
      <c r="O2464" s="396">
        <f>TIMEVALUE(MID(G2464,12,8))</f>
        <v/>
      </c>
      <c r="P2464" s="396">
        <f>IFERROR(_xlfn.MINIFS($M:$M,$E:$E,$E2464,$K:$K,$K2464,$M:$M,"&gt;"&amp;$O2464),"")</f>
        <v/>
      </c>
      <c r="Q2464" s="396">
        <f>IF($P2464="","",$P2464-$O2464)</f>
        <v/>
      </c>
    </row>
    <row r="2465" ht="15" customHeight="1" s="231">
      <c r="A2465" s="397" t="n"/>
      <c r="B2465" s="397" t="n"/>
      <c r="C2465" s="397" t="n"/>
      <c r="D2465" s="397" t="n"/>
      <c r="E2465" s="397" t="n"/>
      <c r="F2465" s="397" t="n"/>
      <c r="G2465" s="397" t="n"/>
      <c r="I2465" s="397" t="n"/>
      <c r="J2465" s="397" t="n"/>
      <c r="K2465" s="395">
        <f>DATE(VALUE(LEFT(A2465,4)),VALUE(MID(A2465,5,2)),VALUE(RIGHT(A2465,2)))</f>
        <v/>
      </c>
      <c r="L2465" s="395">
        <f>DATEVALUE(LEFT(F2465,10))</f>
        <v/>
      </c>
      <c r="M2465" s="396">
        <f>TIMEVALUE(MID(F2465,12,8))</f>
        <v/>
      </c>
      <c r="N2465" s="395">
        <f>DATEVALUE(LEFT(G2465,10))</f>
        <v/>
      </c>
      <c r="O2465" s="396">
        <f>TIMEVALUE(MID(G2465,12,8))</f>
        <v/>
      </c>
      <c r="P2465" s="396">
        <f>IFERROR(_xlfn.MINIFS($M:$M,$E:$E,$E2465,$K:$K,$K2465,$M:$M,"&gt;"&amp;$O2465),"")</f>
        <v/>
      </c>
      <c r="Q2465" s="396">
        <f>IF($P2465="","",$P2465-$O2465)</f>
        <v/>
      </c>
    </row>
    <row r="2466" ht="15" customHeight="1" s="231">
      <c r="A2466" s="397" t="n"/>
      <c r="B2466" s="397" t="n"/>
      <c r="C2466" s="397" t="n"/>
      <c r="D2466" s="397" t="n"/>
      <c r="E2466" s="397" t="n"/>
      <c r="F2466" s="397" t="n"/>
      <c r="G2466" s="397" t="n"/>
      <c r="I2466" s="397" t="n"/>
      <c r="J2466" s="397" t="n"/>
      <c r="K2466" s="395">
        <f>DATE(VALUE(LEFT(A2466,4)),VALUE(MID(A2466,5,2)),VALUE(RIGHT(A2466,2)))</f>
        <v/>
      </c>
      <c r="L2466" s="395">
        <f>DATEVALUE(LEFT(F2466,10))</f>
        <v/>
      </c>
      <c r="M2466" s="396">
        <f>TIMEVALUE(MID(F2466,12,8))</f>
        <v/>
      </c>
      <c r="N2466" s="395">
        <f>DATEVALUE(LEFT(G2466,10))</f>
        <v/>
      </c>
      <c r="O2466" s="396">
        <f>TIMEVALUE(MID(G2466,12,8))</f>
        <v/>
      </c>
      <c r="P2466" s="396">
        <f>IFERROR(_xlfn.MINIFS($M:$M,$E:$E,$E2466,$K:$K,$K2466,$M:$M,"&gt;"&amp;$O2466),"")</f>
        <v/>
      </c>
      <c r="Q2466" s="396">
        <f>IF($P2466="","",$P2466-$O2466)</f>
        <v/>
      </c>
    </row>
    <row r="2467" ht="15" customHeight="1" s="231">
      <c r="A2467" s="397" t="n"/>
      <c r="B2467" s="397" t="n"/>
      <c r="C2467" s="397" t="n"/>
      <c r="D2467" s="397" t="n"/>
      <c r="E2467" s="397" t="n"/>
      <c r="F2467" s="397" t="n"/>
      <c r="G2467" s="397" t="n"/>
      <c r="I2467" s="397" t="n"/>
      <c r="J2467" s="397" t="n"/>
      <c r="K2467" s="395">
        <f>DATE(VALUE(LEFT(A2467,4)),VALUE(MID(A2467,5,2)),VALUE(RIGHT(A2467,2)))</f>
        <v/>
      </c>
      <c r="L2467" s="395">
        <f>DATEVALUE(LEFT(F2467,10))</f>
        <v/>
      </c>
      <c r="M2467" s="396">
        <f>TIMEVALUE(MID(F2467,12,8))</f>
        <v/>
      </c>
      <c r="N2467" s="395">
        <f>DATEVALUE(LEFT(G2467,10))</f>
        <v/>
      </c>
      <c r="O2467" s="396">
        <f>TIMEVALUE(MID(G2467,12,8))</f>
        <v/>
      </c>
      <c r="P2467" s="396">
        <f>IFERROR(_xlfn.MINIFS($M:$M,$E:$E,$E2467,$K:$K,$K2467,$M:$M,"&gt;"&amp;$O2467),"")</f>
        <v/>
      </c>
      <c r="Q2467" s="396">
        <f>IF($P2467="","",$P2467-$O2467)</f>
        <v/>
      </c>
    </row>
    <row r="2468" ht="15" customHeight="1" s="231">
      <c r="A2468" s="397" t="n"/>
      <c r="B2468" s="397" t="n"/>
      <c r="C2468" s="397" t="n"/>
      <c r="D2468" s="397" t="n"/>
      <c r="E2468" s="397" t="n"/>
      <c r="F2468" s="397" t="n"/>
      <c r="G2468" s="397" t="n"/>
      <c r="I2468" s="397" t="n"/>
      <c r="J2468" s="397" t="n"/>
      <c r="K2468" s="395">
        <f>DATE(VALUE(LEFT(A2468,4)),VALUE(MID(A2468,5,2)),VALUE(RIGHT(A2468,2)))</f>
        <v/>
      </c>
      <c r="L2468" s="395">
        <f>DATEVALUE(LEFT(F2468,10))</f>
        <v/>
      </c>
      <c r="M2468" s="396">
        <f>TIMEVALUE(MID(F2468,12,8))</f>
        <v/>
      </c>
      <c r="N2468" s="395">
        <f>DATEVALUE(LEFT(G2468,10))</f>
        <v/>
      </c>
      <c r="O2468" s="396">
        <f>TIMEVALUE(MID(G2468,12,8))</f>
        <v/>
      </c>
      <c r="P2468" s="396">
        <f>IFERROR(_xlfn.MINIFS($M:$M,$E:$E,$E2468,$K:$K,$K2468,$M:$M,"&gt;"&amp;$O2468),"")</f>
        <v/>
      </c>
      <c r="Q2468" s="396">
        <f>IF($P2468="","",$P2468-$O2468)</f>
        <v/>
      </c>
    </row>
    <row r="2469" ht="15" customHeight="1" s="231">
      <c r="A2469" s="397" t="n"/>
      <c r="B2469" s="397" t="n"/>
      <c r="C2469" s="397" t="n"/>
      <c r="D2469" s="397" t="n"/>
      <c r="E2469" s="397" t="n"/>
      <c r="F2469" s="397" t="n"/>
      <c r="G2469" s="397" t="n"/>
      <c r="I2469" s="397" t="n"/>
      <c r="J2469" s="397" t="n"/>
      <c r="K2469" s="395">
        <f>DATE(VALUE(LEFT(A2469,4)),VALUE(MID(A2469,5,2)),VALUE(RIGHT(A2469,2)))</f>
        <v/>
      </c>
      <c r="L2469" s="395">
        <f>DATEVALUE(LEFT(F2469,10))</f>
        <v/>
      </c>
      <c r="M2469" s="396">
        <f>TIMEVALUE(MID(F2469,12,8))</f>
        <v/>
      </c>
      <c r="N2469" s="395">
        <f>DATEVALUE(LEFT(G2469,10))</f>
        <v/>
      </c>
      <c r="O2469" s="396">
        <f>TIMEVALUE(MID(G2469,12,8))</f>
        <v/>
      </c>
      <c r="P2469" s="396">
        <f>IFERROR(_xlfn.MINIFS($M:$M,$E:$E,$E2469,$K:$K,$K2469,$M:$M,"&gt;"&amp;$O2469),"")</f>
        <v/>
      </c>
      <c r="Q2469" s="396">
        <f>IF($P2469="","",$P2469-$O2469)</f>
        <v/>
      </c>
    </row>
    <row r="2470" ht="15" customHeight="1" s="231">
      <c r="A2470" s="397" t="n"/>
      <c r="B2470" s="397" t="n"/>
      <c r="C2470" s="397" t="n"/>
      <c r="D2470" s="397" t="n"/>
      <c r="E2470" s="397" t="n"/>
      <c r="F2470" s="397" t="n"/>
      <c r="G2470" s="397" t="n"/>
      <c r="I2470" s="397" t="n"/>
      <c r="J2470" s="397" t="n"/>
      <c r="K2470" s="395">
        <f>DATE(VALUE(LEFT(A2470,4)),VALUE(MID(A2470,5,2)),VALUE(RIGHT(A2470,2)))</f>
        <v/>
      </c>
      <c r="L2470" s="395">
        <f>DATEVALUE(LEFT(F2470,10))</f>
        <v/>
      </c>
      <c r="M2470" s="396">
        <f>TIMEVALUE(MID(F2470,12,8))</f>
        <v/>
      </c>
      <c r="N2470" s="395">
        <f>DATEVALUE(LEFT(G2470,10))</f>
        <v/>
      </c>
      <c r="O2470" s="396">
        <f>TIMEVALUE(MID(G2470,12,8))</f>
        <v/>
      </c>
      <c r="P2470" s="396">
        <f>IFERROR(_xlfn.MINIFS($M:$M,$E:$E,$E2470,$K:$K,$K2470,$M:$M,"&gt;"&amp;$O2470),"")</f>
        <v/>
      </c>
      <c r="Q2470" s="396">
        <f>IF($P2470="","",$P2470-$O2470)</f>
        <v/>
      </c>
    </row>
    <row r="2471" ht="15" customHeight="1" s="231">
      <c r="A2471" s="397" t="n"/>
      <c r="B2471" s="397" t="n"/>
      <c r="C2471" s="397" t="n"/>
      <c r="D2471" s="397" t="n"/>
      <c r="E2471" s="397" t="n"/>
      <c r="F2471" s="397" t="n"/>
      <c r="G2471" s="397" t="n"/>
      <c r="I2471" s="397" t="n"/>
      <c r="J2471" s="397" t="n"/>
      <c r="K2471" s="395">
        <f>DATE(VALUE(LEFT(A2471,4)),VALUE(MID(A2471,5,2)),VALUE(RIGHT(A2471,2)))</f>
        <v/>
      </c>
      <c r="L2471" s="395">
        <f>DATEVALUE(LEFT(F2471,10))</f>
        <v/>
      </c>
      <c r="M2471" s="396">
        <f>TIMEVALUE(MID(F2471,12,8))</f>
        <v/>
      </c>
      <c r="N2471" s="395">
        <f>DATEVALUE(LEFT(G2471,10))</f>
        <v/>
      </c>
      <c r="O2471" s="396">
        <f>TIMEVALUE(MID(G2471,12,8))</f>
        <v/>
      </c>
      <c r="P2471" s="396">
        <f>IFERROR(_xlfn.MINIFS($M:$M,$E:$E,$E2471,$K:$K,$K2471,$M:$M,"&gt;"&amp;$O2471),"")</f>
        <v/>
      </c>
      <c r="Q2471" s="396">
        <f>IF($P2471="","",$P2471-$O2471)</f>
        <v/>
      </c>
    </row>
    <row r="2472" ht="15" customHeight="1" s="231">
      <c r="A2472" s="397" t="n"/>
      <c r="B2472" s="397" t="n"/>
      <c r="C2472" s="397" t="n"/>
      <c r="D2472" s="397" t="n"/>
      <c r="E2472" s="397" t="n"/>
      <c r="F2472" s="397" t="n"/>
      <c r="G2472" s="397" t="n"/>
      <c r="I2472" s="397" t="n"/>
      <c r="J2472" s="397" t="n"/>
      <c r="K2472" s="395">
        <f>DATE(VALUE(LEFT(A2472,4)),VALUE(MID(A2472,5,2)),VALUE(RIGHT(A2472,2)))</f>
        <v/>
      </c>
      <c r="L2472" s="395">
        <f>DATEVALUE(LEFT(F2472,10))</f>
        <v/>
      </c>
      <c r="M2472" s="396">
        <f>TIMEVALUE(MID(F2472,12,8))</f>
        <v/>
      </c>
      <c r="N2472" s="395">
        <f>DATEVALUE(LEFT(G2472,10))</f>
        <v/>
      </c>
      <c r="O2472" s="396">
        <f>TIMEVALUE(MID(G2472,12,8))</f>
        <v/>
      </c>
      <c r="P2472" s="396">
        <f>IFERROR(_xlfn.MINIFS($M:$M,$E:$E,$E2472,$K:$K,$K2472,$M:$M,"&gt;"&amp;$O2472),"")</f>
        <v/>
      </c>
      <c r="Q2472" s="396">
        <f>IF($P2472="","",$P2472-$O2472)</f>
        <v/>
      </c>
    </row>
    <row r="2473" ht="15" customHeight="1" s="231">
      <c r="A2473" s="397" t="n"/>
      <c r="B2473" s="397" t="n"/>
      <c r="C2473" s="397" t="n"/>
      <c r="D2473" s="397" t="n"/>
      <c r="E2473" s="397" t="n"/>
      <c r="F2473" s="397" t="n"/>
      <c r="G2473" s="397" t="n"/>
      <c r="I2473" s="397" t="n"/>
      <c r="J2473" s="397" t="n"/>
      <c r="K2473" s="395">
        <f>DATE(VALUE(LEFT(A2473,4)),VALUE(MID(A2473,5,2)),VALUE(RIGHT(A2473,2)))</f>
        <v/>
      </c>
      <c r="L2473" s="395">
        <f>DATEVALUE(LEFT(F2473,10))</f>
        <v/>
      </c>
      <c r="M2473" s="396">
        <f>TIMEVALUE(MID(F2473,12,8))</f>
        <v/>
      </c>
      <c r="N2473" s="395">
        <f>DATEVALUE(LEFT(G2473,10))</f>
        <v/>
      </c>
      <c r="O2473" s="396">
        <f>TIMEVALUE(MID(G2473,12,8))</f>
        <v/>
      </c>
      <c r="P2473" s="396">
        <f>IFERROR(_xlfn.MINIFS($M:$M,$E:$E,$E2473,$K:$K,$K2473,$M:$M,"&gt;"&amp;$O2473),"")</f>
        <v/>
      </c>
      <c r="Q2473" s="396">
        <f>IF($P2473="","",$P2473-$O2473)</f>
        <v/>
      </c>
    </row>
    <row r="2474" ht="15" customHeight="1" s="231">
      <c r="A2474" s="397" t="n"/>
      <c r="B2474" s="397" t="n"/>
      <c r="C2474" s="397" t="n"/>
      <c r="D2474" s="397" t="n"/>
      <c r="E2474" s="397" t="n"/>
      <c r="F2474" s="397" t="n"/>
      <c r="G2474" s="397" t="n"/>
      <c r="I2474" s="397" t="n"/>
      <c r="J2474" s="397" t="n"/>
      <c r="K2474" s="395">
        <f>DATE(VALUE(LEFT(A2474,4)),VALUE(MID(A2474,5,2)),VALUE(RIGHT(A2474,2)))</f>
        <v/>
      </c>
      <c r="L2474" s="395">
        <f>DATEVALUE(LEFT(F2474,10))</f>
        <v/>
      </c>
      <c r="M2474" s="396">
        <f>TIMEVALUE(MID(F2474,12,8))</f>
        <v/>
      </c>
      <c r="N2474" s="395">
        <f>DATEVALUE(LEFT(G2474,10))</f>
        <v/>
      </c>
      <c r="O2474" s="396">
        <f>TIMEVALUE(MID(G2474,12,8))</f>
        <v/>
      </c>
      <c r="P2474" s="396">
        <f>IFERROR(_xlfn.MINIFS($M:$M,$E:$E,$E2474,$K:$K,$K2474,$M:$M,"&gt;"&amp;$O2474),"")</f>
        <v/>
      </c>
      <c r="Q2474" s="396">
        <f>IF($P2474="","",$P2474-$O2474)</f>
        <v/>
      </c>
    </row>
    <row r="2475" ht="15" customHeight="1" s="231">
      <c r="A2475" s="397" t="n"/>
      <c r="B2475" s="397" t="n"/>
      <c r="C2475" s="397" t="n"/>
      <c r="D2475" s="397" t="n"/>
      <c r="E2475" s="397" t="n"/>
      <c r="F2475" s="397" t="n"/>
      <c r="G2475" s="397" t="n"/>
      <c r="I2475" s="397" t="n"/>
      <c r="J2475" s="397" t="n"/>
      <c r="K2475" s="395">
        <f>DATE(VALUE(LEFT(A2475,4)),VALUE(MID(A2475,5,2)),VALUE(RIGHT(A2475,2)))</f>
        <v/>
      </c>
      <c r="L2475" s="395">
        <f>DATEVALUE(LEFT(F2475,10))</f>
        <v/>
      </c>
      <c r="M2475" s="396">
        <f>TIMEVALUE(MID(F2475,12,8))</f>
        <v/>
      </c>
      <c r="N2475" s="395">
        <f>DATEVALUE(LEFT(G2475,10))</f>
        <v/>
      </c>
      <c r="O2475" s="396">
        <f>TIMEVALUE(MID(G2475,12,8))</f>
        <v/>
      </c>
      <c r="P2475" s="396">
        <f>IFERROR(_xlfn.MINIFS($M:$M,$E:$E,$E2475,$K:$K,$K2475,$M:$M,"&gt;"&amp;$O2475),"")</f>
        <v/>
      </c>
      <c r="Q2475" s="396">
        <f>IF($P2475="","",$P2475-$O2475)</f>
        <v/>
      </c>
    </row>
    <row r="2476" ht="15" customHeight="1" s="231">
      <c r="A2476" s="397" t="n"/>
      <c r="B2476" s="397" t="n"/>
      <c r="C2476" s="397" t="n"/>
      <c r="D2476" s="397" t="n"/>
      <c r="E2476" s="397" t="n"/>
      <c r="F2476" s="397" t="n"/>
      <c r="G2476" s="397" t="n"/>
      <c r="I2476" s="397" t="n"/>
      <c r="J2476" s="397" t="n"/>
      <c r="K2476" s="395">
        <f>DATE(VALUE(LEFT(A2476,4)),VALUE(MID(A2476,5,2)),VALUE(RIGHT(A2476,2)))</f>
        <v/>
      </c>
      <c r="L2476" s="395">
        <f>DATEVALUE(LEFT(F2476,10))</f>
        <v/>
      </c>
      <c r="M2476" s="396">
        <f>TIMEVALUE(MID(F2476,12,8))</f>
        <v/>
      </c>
      <c r="N2476" s="395">
        <f>DATEVALUE(LEFT(G2476,10))</f>
        <v/>
      </c>
      <c r="O2476" s="396">
        <f>TIMEVALUE(MID(G2476,12,8))</f>
        <v/>
      </c>
      <c r="P2476" s="396">
        <f>IFERROR(_xlfn.MINIFS($M:$M,$E:$E,$E2476,$K:$K,$K2476,$M:$M,"&gt;"&amp;$O2476),"")</f>
        <v/>
      </c>
      <c r="Q2476" s="396">
        <f>IF($P2476="","",$P2476-$O2476)</f>
        <v/>
      </c>
    </row>
    <row r="2477" ht="15" customHeight="1" s="231">
      <c r="A2477" s="397" t="n"/>
      <c r="B2477" s="397" t="n"/>
      <c r="C2477" s="397" t="n"/>
      <c r="D2477" s="397" t="n"/>
      <c r="E2477" s="397" t="n"/>
      <c r="F2477" s="397" t="n"/>
      <c r="G2477" s="397" t="n"/>
      <c r="I2477" s="397" t="n"/>
      <c r="J2477" s="397" t="n"/>
      <c r="K2477" s="395">
        <f>DATE(VALUE(LEFT(A2477,4)),VALUE(MID(A2477,5,2)),VALUE(RIGHT(A2477,2)))</f>
        <v/>
      </c>
      <c r="L2477" s="395">
        <f>DATEVALUE(LEFT(F2477,10))</f>
        <v/>
      </c>
      <c r="M2477" s="396">
        <f>TIMEVALUE(MID(F2477,12,8))</f>
        <v/>
      </c>
      <c r="N2477" s="395">
        <f>DATEVALUE(LEFT(G2477,10))</f>
        <v/>
      </c>
      <c r="O2477" s="396">
        <f>TIMEVALUE(MID(G2477,12,8))</f>
        <v/>
      </c>
      <c r="P2477" s="396">
        <f>IFERROR(_xlfn.MINIFS($M:$M,$E:$E,$E2477,$K:$K,$K2477,$M:$M,"&gt;"&amp;$O2477),"")</f>
        <v/>
      </c>
      <c r="Q2477" s="396">
        <f>IF($P2477="","",$P2477-$O2477)</f>
        <v/>
      </c>
    </row>
    <row r="2478" ht="15" customHeight="1" s="231">
      <c r="A2478" s="397" t="n"/>
      <c r="B2478" s="397" t="n"/>
      <c r="C2478" s="397" t="n"/>
      <c r="D2478" s="397" t="n"/>
      <c r="E2478" s="397" t="n"/>
      <c r="F2478" s="397" t="n"/>
      <c r="G2478" s="397" t="n"/>
      <c r="I2478" s="397" t="n"/>
      <c r="J2478" s="397" t="n"/>
      <c r="K2478" s="395">
        <f>DATE(VALUE(LEFT(A2478,4)),VALUE(MID(A2478,5,2)),VALUE(RIGHT(A2478,2)))</f>
        <v/>
      </c>
      <c r="L2478" s="395">
        <f>DATEVALUE(LEFT(F2478,10))</f>
        <v/>
      </c>
      <c r="M2478" s="396">
        <f>TIMEVALUE(MID(F2478,12,8))</f>
        <v/>
      </c>
      <c r="N2478" s="395">
        <f>DATEVALUE(LEFT(G2478,10))</f>
        <v/>
      </c>
      <c r="O2478" s="396">
        <f>TIMEVALUE(MID(G2478,12,8))</f>
        <v/>
      </c>
      <c r="P2478" s="396">
        <f>IFERROR(_xlfn.MINIFS($M:$M,$E:$E,$E2478,$K:$K,$K2478,$M:$M,"&gt;"&amp;$O2478),"")</f>
        <v/>
      </c>
      <c r="Q2478" s="396">
        <f>IF($P2478="","",$P2478-$O2478)</f>
        <v/>
      </c>
    </row>
    <row r="2479" ht="15" customHeight="1" s="231">
      <c r="A2479" s="397" t="n"/>
      <c r="B2479" s="397" t="n"/>
      <c r="C2479" s="397" t="n"/>
      <c r="D2479" s="397" t="n"/>
      <c r="E2479" s="397" t="n"/>
      <c r="F2479" s="397" t="n"/>
      <c r="G2479" s="397" t="n"/>
      <c r="I2479" s="397" t="n"/>
      <c r="J2479" s="397" t="n"/>
      <c r="K2479" s="395">
        <f>DATE(VALUE(LEFT(A2479,4)),VALUE(MID(A2479,5,2)),VALUE(RIGHT(A2479,2)))</f>
        <v/>
      </c>
      <c r="L2479" s="395">
        <f>DATEVALUE(LEFT(F2479,10))</f>
        <v/>
      </c>
      <c r="M2479" s="396">
        <f>TIMEVALUE(MID(F2479,12,8))</f>
        <v/>
      </c>
      <c r="N2479" s="395">
        <f>DATEVALUE(LEFT(G2479,10))</f>
        <v/>
      </c>
      <c r="O2479" s="396">
        <f>TIMEVALUE(MID(G2479,12,8))</f>
        <v/>
      </c>
      <c r="P2479" s="396">
        <f>IFERROR(_xlfn.MINIFS($M:$M,$E:$E,$E2479,$K:$K,$K2479,$M:$M,"&gt;"&amp;$O2479),"")</f>
        <v/>
      </c>
      <c r="Q2479" s="396">
        <f>IF($P2479="","",$P2479-$O2479)</f>
        <v/>
      </c>
    </row>
    <row r="2480" ht="15" customHeight="1" s="231">
      <c r="A2480" s="397" t="n"/>
      <c r="B2480" s="397" t="n"/>
      <c r="C2480" s="397" t="n"/>
      <c r="D2480" s="397" t="n"/>
      <c r="E2480" s="397" t="n"/>
      <c r="F2480" s="397" t="n"/>
      <c r="G2480" s="397" t="n"/>
      <c r="I2480" s="397" t="n"/>
      <c r="J2480" s="397" t="n"/>
      <c r="K2480" s="395">
        <f>DATE(VALUE(LEFT(A2480,4)),VALUE(MID(A2480,5,2)),VALUE(RIGHT(A2480,2)))</f>
        <v/>
      </c>
      <c r="L2480" s="395">
        <f>DATEVALUE(LEFT(F2480,10))</f>
        <v/>
      </c>
      <c r="M2480" s="396">
        <f>TIMEVALUE(MID(F2480,12,8))</f>
        <v/>
      </c>
      <c r="N2480" s="395">
        <f>DATEVALUE(LEFT(G2480,10))</f>
        <v/>
      </c>
      <c r="O2480" s="396">
        <f>TIMEVALUE(MID(G2480,12,8))</f>
        <v/>
      </c>
      <c r="P2480" s="396">
        <f>IFERROR(_xlfn.MINIFS($M:$M,$E:$E,$E2480,$K:$K,$K2480,$M:$M,"&gt;"&amp;$O2480),"")</f>
        <v/>
      </c>
      <c r="Q2480" s="396">
        <f>IF($P2480="","",$P2480-$O2480)</f>
        <v/>
      </c>
    </row>
    <row r="2481" ht="15" customHeight="1" s="231">
      <c r="A2481" s="397" t="n"/>
      <c r="B2481" s="397" t="n"/>
      <c r="C2481" s="397" t="n"/>
      <c r="D2481" s="397" t="n"/>
      <c r="E2481" s="397" t="n"/>
      <c r="F2481" s="397" t="n"/>
      <c r="G2481" s="397" t="n"/>
      <c r="I2481" s="397" t="n"/>
      <c r="J2481" s="397" t="n"/>
      <c r="K2481" s="395">
        <f>DATE(VALUE(LEFT(A2481,4)),VALUE(MID(A2481,5,2)),VALUE(RIGHT(A2481,2)))</f>
        <v/>
      </c>
      <c r="L2481" s="395">
        <f>DATEVALUE(LEFT(F2481,10))</f>
        <v/>
      </c>
      <c r="M2481" s="396">
        <f>TIMEVALUE(MID(F2481,12,8))</f>
        <v/>
      </c>
      <c r="N2481" s="395">
        <f>DATEVALUE(LEFT(G2481,10))</f>
        <v/>
      </c>
      <c r="O2481" s="396">
        <f>TIMEVALUE(MID(G2481,12,8))</f>
        <v/>
      </c>
      <c r="P2481" s="396">
        <f>IFERROR(_xlfn.MINIFS($M:$M,$E:$E,$E2481,$K:$K,$K2481,$M:$M,"&gt;"&amp;$O2481),"")</f>
        <v/>
      </c>
      <c r="Q2481" s="396">
        <f>IF($P2481="","",$P2481-$O2481)</f>
        <v/>
      </c>
    </row>
    <row r="2482" ht="15" customHeight="1" s="231">
      <c r="A2482" s="397" t="n"/>
      <c r="B2482" s="397" t="n"/>
      <c r="C2482" s="397" t="n"/>
      <c r="D2482" s="397" t="n"/>
      <c r="E2482" s="397" t="n"/>
      <c r="F2482" s="397" t="n"/>
      <c r="G2482" s="397" t="n"/>
      <c r="I2482" s="397" t="n"/>
      <c r="J2482" s="397" t="n"/>
      <c r="K2482" s="395">
        <f>DATE(VALUE(LEFT(A2482,4)),VALUE(MID(A2482,5,2)),VALUE(RIGHT(A2482,2)))</f>
        <v/>
      </c>
      <c r="L2482" s="395">
        <f>DATEVALUE(LEFT(F2482,10))</f>
        <v/>
      </c>
      <c r="M2482" s="396">
        <f>TIMEVALUE(MID(F2482,12,8))</f>
        <v/>
      </c>
      <c r="N2482" s="395">
        <f>DATEVALUE(LEFT(G2482,10))</f>
        <v/>
      </c>
      <c r="O2482" s="396">
        <f>TIMEVALUE(MID(G2482,12,8))</f>
        <v/>
      </c>
      <c r="P2482" s="396">
        <f>IFERROR(_xlfn.MINIFS($M:$M,$E:$E,$E2482,$K:$K,$K2482,$M:$M,"&gt;"&amp;$O2482),"")</f>
        <v/>
      </c>
      <c r="Q2482" s="396">
        <f>IF($P2482="","",$P2482-$O2482)</f>
        <v/>
      </c>
    </row>
    <row r="2483" ht="15" customHeight="1" s="231">
      <c r="A2483" s="397" t="n"/>
      <c r="B2483" s="397" t="n"/>
      <c r="C2483" s="397" t="n"/>
      <c r="D2483" s="397" t="n"/>
      <c r="E2483" s="397" t="n"/>
      <c r="F2483" s="397" t="n"/>
      <c r="G2483" s="397" t="n"/>
      <c r="I2483" s="397" t="n"/>
      <c r="J2483" s="397" t="n"/>
      <c r="K2483" s="395">
        <f>DATE(VALUE(LEFT(A2483,4)),VALUE(MID(A2483,5,2)),VALUE(RIGHT(A2483,2)))</f>
        <v/>
      </c>
      <c r="L2483" s="395">
        <f>DATEVALUE(LEFT(F2483,10))</f>
        <v/>
      </c>
      <c r="M2483" s="396">
        <f>TIMEVALUE(MID(F2483,12,8))</f>
        <v/>
      </c>
      <c r="N2483" s="395">
        <f>DATEVALUE(LEFT(G2483,10))</f>
        <v/>
      </c>
      <c r="O2483" s="396">
        <f>TIMEVALUE(MID(G2483,12,8))</f>
        <v/>
      </c>
      <c r="P2483" s="396">
        <f>IFERROR(_xlfn.MINIFS($M:$M,$E:$E,$E2483,$K:$K,$K2483,$M:$M,"&gt;"&amp;$O2483),"")</f>
        <v/>
      </c>
      <c r="Q2483" s="396">
        <f>IF($P2483="","",$P2483-$O2483)</f>
        <v/>
      </c>
    </row>
    <row r="2484" ht="15" customHeight="1" s="231">
      <c r="A2484" s="397" t="n"/>
      <c r="B2484" s="397" t="n"/>
      <c r="C2484" s="397" t="n"/>
      <c r="D2484" s="397" t="n"/>
      <c r="E2484" s="397" t="n"/>
      <c r="F2484" s="397" t="n"/>
      <c r="G2484" s="397" t="n"/>
      <c r="I2484" s="397" t="n"/>
      <c r="J2484" s="397" t="n"/>
      <c r="K2484" s="395">
        <f>DATE(VALUE(LEFT(A2484,4)),VALUE(MID(A2484,5,2)),VALUE(RIGHT(A2484,2)))</f>
        <v/>
      </c>
      <c r="L2484" s="395">
        <f>DATEVALUE(LEFT(F2484,10))</f>
        <v/>
      </c>
      <c r="M2484" s="396">
        <f>TIMEVALUE(MID(F2484,12,8))</f>
        <v/>
      </c>
      <c r="N2484" s="395">
        <f>DATEVALUE(LEFT(G2484,10))</f>
        <v/>
      </c>
      <c r="O2484" s="396">
        <f>TIMEVALUE(MID(G2484,12,8))</f>
        <v/>
      </c>
      <c r="P2484" s="396">
        <f>IFERROR(_xlfn.MINIFS($M:$M,$E:$E,$E2484,$K:$K,$K2484,$M:$M,"&gt;"&amp;$O2484),"")</f>
        <v/>
      </c>
      <c r="Q2484" s="396">
        <f>IF($P2484="","",$P2484-$O2484)</f>
        <v/>
      </c>
    </row>
    <row r="2485" ht="15" customHeight="1" s="231">
      <c r="A2485" s="397" t="n"/>
      <c r="B2485" s="397" t="n"/>
      <c r="C2485" s="397" t="n"/>
      <c r="D2485" s="397" t="n"/>
      <c r="E2485" s="397" t="n"/>
      <c r="F2485" s="397" t="n"/>
      <c r="G2485" s="397" t="n"/>
      <c r="I2485" s="397" t="n"/>
      <c r="J2485" s="397" t="n"/>
      <c r="K2485" s="395">
        <f>DATE(VALUE(LEFT(A2485,4)),VALUE(MID(A2485,5,2)),VALUE(RIGHT(A2485,2)))</f>
        <v/>
      </c>
      <c r="L2485" s="395">
        <f>DATEVALUE(LEFT(F2485,10))</f>
        <v/>
      </c>
      <c r="M2485" s="396">
        <f>TIMEVALUE(MID(F2485,12,8))</f>
        <v/>
      </c>
      <c r="N2485" s="395">
        <f>DATEVALUE(LEFT(G2485,10))</f>
        <v/>
      </c>
      <c r="O2485" s="396">
        <f>TIMEVALUE(MID(G2485,12,8))</f>
        <v/>
      </c>
      <c r="P2485" s="396">
        <f>IFERROR(_xlfn.MINIFS($M:$M,$E:$E,$E2485,$K:$K,$K2485,$M:$M,"&gt;"&amp;$O2485),"")</f>
        <v/>
      </c>
      <c r="Q2485" s="396">
        <f>IF($P2485="","",$P2485-$O2485)</f>
        <v/>
      </c>
    </row>
    <row r="2486" ht="15" customHeight="1" s="231">
      <c r="A2486" s="397" t="n"/>
      <c r="B2486" s="397" t="n"/>
      <c r="C2486" s="397" t="n"/>
      <c r="D2486" s="397" t="n"/>
      <c r="E2486" s="397" t="n"/>
      <c r="F2486" s="397" t="n"/>
      <c r="G2486" s="397" t="n"/>
      <c r="I2486" s="397" t="n"/>
      <c r="J2486" s="397" t="n"/>
      <c r="K2486" s="395">
        <f>DATE(VALUE(LEFT(A2486,4)),VALUE(MID(A2486,5,2)),VALUE(RIGHT(A2486,2)))</f>
        <v/>
      </c>
      <c r="L2486" s="395">
        <f>DATEVALUE(LEFT(F2486,10))</f>
        <v/>
      </c>
      <c r="M2486" s="396">
        <f>TIMEVALUE(MID(F2486,12,8))</f>
        <v/>
      </c>
      <c r="N2486" s="395">
        <f>DATEVALUE(LEFT(G2486,10))</f>
        <v/>
      </c>
      <c r="O2486" s="396">
        <f>TIMEVALUE(MID(G2486,12,8))</f>
        <v/>
      </c>
      <c r="P2486" s="396">
        <f>IFERROR(_xlfn.MINIFS($M:$M,$E:$E,$E2486,$K:$K,$K2486,$M:$M,"&gt;"&amp;$O2486),"")</f>
        <v/>
      </c>
      <c r="Q2486" s="396">
        <f>IF($P2486="","",$P2486-$O2486)</f>
        <v/>
      </c>
    </row>
    <row r="2487" ht="15" customHeight="1" s="231">
      <c r="A2487" s="397" t="n"/>
      <c r="B2487" s="397" t="n"/>
      <c r="C2487" s="397" t="n"/>
      <c r="D2487" s="397" t="n"/>
      <c r="E2487" s="397" t="n"/>
      <c r="F2487" s="397" t="n"/>
      <c r="G2487" s="397" t="n"/>
      <c r="I2487" s="397" t="n"/>
      <c r="J2487" s="397" t="n"/>
      <c r="K2487" s="395">
        <f>DATE(VALUE(LEFT(A2487,4)),VALUE(MID(A2487,5,2)),VALUE(RIGHT(A2487,2)))</f>
        <v/>
      </c>
      <c r="L2487" s="395">
        <f>DATEVALUE(LEFT(F2487,10))</f>
        <v/>
      </c>
      <c r="M2487" s="396">
        <f>TIMEVALUE(MID(F2487,12,8))</f>
        <v/>
      </c>
      <c r="N2487" s="395">
        <f>DATEVALUE(LEFT(G2487,10))</f>
        <v/>
      </c>
      <c r="O2487" s="396">
        <f>TIMEVALUE(MID(G2487,12,8))</f>
        <v/>
      </c>
      <c r="P2487" s="396">
        <f>IFERROR(_xlfn.MINIFS($M:$M,$E:$E,$E2487,$K:$K,$K2487,$M:$M,"&gt;"&amp;$O2487),"")</f>
        <v/>
      </c>
      <c r="Q2487" s="396">
        <f>IF($P2487="","",$P2487-$O2487)</f>
        <v/>
      </c>
    </row>
    <row r="2488" ht="15" customHeight="1" s="231">
      <c r="A2488" s="397" t="n"/>
      <c r="B2488" s="397" t="n"/>
      <c r="C2488" s="397" t="n"/>
      <c r="D2488" s="397" t="n"/>
      <c r="E2488" s="397" t="n"/>
      <c r="F2488" s="397" t="n"/>
      <c r="G2488" s="397" t="n"/>
      <c r="I2488" s="397" t="n"/>
      <c r="J2488" s="397" t="n"/>
      <c r="K2488" s="395">
        <f>DATE(VALUE(LEFT(A2488,4)),VALUE(MID(A2488,5,2)),VALUE(RIGHT(A2488,2)))</f>
        <v/>
      </c>
      <c r="L2488" s="395">
        <f>DATEVALUE(LEFT(F2488,10))</f>
        <v/>
      </c>
      <c r="M2488" s="396">
        <f>TIMEVALUE(MID(F2488,12,8))</f>
        <v/>
      </c>
      <c r="N2488" s="395">
        <f>DATEVALUE(LEFT(G2488,10))</f>
        <v/>
      </c>
      <c r="O2488" s="396">
        <f>TIMEVALUE(MID(G2488,12,8))</f>
        <v/>
      </c>
      <c r="P2488" s="396">
        <f>IFERROR(_xlfn.MINIFS($M:$M,$E:$E,$E2488,$K:$K,$K2488,$M:$M,"&gt;"&amp;$O2488),"")</f>
        <v/>
      </c>
      <c r="Q2488" s="396">
        <f>IF($P2488="","",$P2488-$O2488)</f>
        <v/>
      </c>
    </row>
    <row r="2489" ht="15" customHeight="1" s="231">
      <c r="A2489" s="397" t="n"/>
      <c r="B2489" s="397" t="n"/>
      <c r="C2489" s="397" t="n"/>
      <c r="D2489" s="397" t="n"/>
      <c r="E2489" s="397" t="n"/>
      <c r="F2489" s="397" t="n"/>
      <c r="G2489" s="397" t="n"/>
      <c r="I2489" s="397" t="n"/>
      <c r="J2489" s="397" t="n"/>
      <c r="K2489" s="395">
        <f>DATE(VALUE(LEFT(A2489,4)),VALUE(MID(A2489,5,2)),VALUE(RIGHT(A2489,2)))</f>
        <v/>
      </c>
      <c r="L2489" s="395">
        <f>DATEVALUE(LEFT(F2489,10))</f>
        <v/>
      </c>
      <c r="M2489" s="396">
        <f>TIMEVALUE(MID(F2489,12,8))</f>
        <v/>
      </c>
      <c r="N2489" s="395">
        <f>DATEVALUE(LEFT(G2489,10))</f>
        <v/>
      </c>
      <c r="O2489" s="396">
        <f>TIMEVALUE(MID(G2489,12,8))</f>
        <v/>
      </c>
      <c r="P2489" s="396">
        <f>IFERROR(_xlfn.MINIFS($M:$M,$E:$E,$E2489,$K:$K,$K2489,$M:$M,"&gt;"&amp;$O2489),"")</f>
        <v/>
      </c>
      <c r="Q2489" s="396">
        <f>IF($P2489="","",$P2489-$O2489)</f>
        <v/>
      </c>
    </row>
    <row r="2490" ht="15" customHeight="1" s="231">
      <c r="A2490" s="397" t="n"/>
      <c r="B2490" s="397" t="n"/>
      <c r="C2490" s="397" t="n"/>
      <c r="D2490" s="397" t="n"/>
      <c r="E2490" s="397" t="n"/>
      <c r="F2490" s="397" t="n"/>
      <c r="G2490" s="397" t="n"/>
      <c r="I2490" s="397" t="n"/>
      <c r="J2490" s="397" t="n"/>
      <c r="K2490" s="395">
        <f>DATE(VALUE(LEFT(A2490,4)),VALUE(MID(A2490,5,2)),VALUE(RIGHT(A2490,2)))</f>
        <v/>
      </c>
      <c r="L2490" s="395">
        <f>DATEVALUE(LEFT(F2490,10))</f>
        <v/>
      </c>
      <c r="M2490" s="396">
        <f>TIMEVALUE(MID(F2490,12,8))</f>
        <v/>
      </c>
      <c r="N2490" s="395">
        <f>DATEVALUE(LEFT(G2490,10))</f>
        <v/>
      </c>
      <c r="O2490" s="396">
        <f>TIMEVALUE(MID(G2490,12,8))</f>
        <v/>
      </c>
      <c r="P2490" s="396">
        <f>IFERROR(_xlfn.MINIFS($M:$M,$E:$E,$E2490,$K:$K,$K2490,$M:$M,"&gt;"&amp;$O2490),"")</f>
        <v/>
      </c>
      <c r="Q2490" s="396">
        <f>IF($P2490="","",$P2490-$O2490)</f>
        <v/>
      </c>
    </row>
    <row r="2491" ht="15" customHeight="1" s="231">
      <c r="A2491" s="397" t="n"/>
      <c r="B2491" s="397" t="n"/>
      <c r="C2491" s="397" t="n"/>
      <c r="D2491" s="397" t="n"/>
      <c r="E2491" s="397" t="n"/>
      <c r="F2491" s="397" t="n"/>
      <c r="G2491" s="397" t="n"/>
      <c r="I2491" s="397" t="n"/>
      <c r="J2491" s="397" t="n"/>
      <c r="K2491" s="395">
        <f>DATE(VALUE(LEFT(A2491,4)),VALUE(MID(A2491,5,2)),VALUE(RIGHT(A2491,2)))</f>
        <v/>
      </c>
      <c r="L2491" s="395">
        <f>DATEVALUE(LEFT(F2491,10))</f>
        <v/>
      </c>
      <c r="M2491" s="396">
        <f>TIMEVALUE(MID(F2491,12,8))</f>
        <v/>
      </c>
      <c r="N2491" s="395">
        <f>DATEVALUE(LEFT(G2491,10))</f>
        <v/>
      </c>
      <c r="O2491" s="396">
        <f>TIMEVALUE(MID(G2491,12,8))</f>
        <v/>
      </c>
      <c r="P2491" s="396">
        <f>IFERROR(_xlfn.MINIFS($M:$M,$E:$E,$E2491,$K:$K,$K2491,$M:$M,"&gt;"&amp;$O2491),"")</f>
        <v/>
      </c>
      <c r="Q2491" s="396">
        <f>IF($P2491="","",$P2491-$O2491)</f>
        <v/>
      </c>
    </row>
    <row r="2492" ht="15" customHeight="1" s="231">
      <c r="A2492" s="397" t="n"/>
      <c r="B2492" s="397" t="n"/>
      <c r="C2492" s="397" t="n"/>
      <c r="D2492" s="397" t="n"/>
      <c r="E2492" s="397" t="n"/>
      <c r="F2492" s="397" t="n"/>
      <c r="G2492" s="397" t="n"/>
      <c r="I2492" s="397" t="n"/>
      <c r="J2492" s="397" t="n"/>
      <c r="K2492" s="395">
        <f>DATE(VALUE(LEFT(A2492,4)),VALUE(MID(A2492,5,2)),VALUE(RIGHT(A2492,2)))</f>
        <v/>
      </c>
      <c r="L2492" s="395">
        <f>DATEVALUE(LEFT(F2492,10))</f>
        <v/>
      </c>
      <c r="M2492" s="396">
        <f>TIMEVALUE(MID(F2492,12,8))</f>
        <v/>
      </c>
      <c r="N2492" s="395">
        <f>DATEVALUE(LEFT(G2492,10))</f>
        <v/>
      </c>
      <c r="O2492" s="396">
        <f>TIMEVALUE(MID(G2492,12,8))</f>
        <v/>
      </c>
      <c r="P2492" s="396">
        <f>IFERROR(_xlfn.MINIFS($M:$M,$E:$E,$E2492,$K:$K,$K2492,$M:$M,"&gt;"&amp;$O2492),"")</f>
        <v/>
      </c>
      <c r="Q2492" s="396">
        <f>IF($P2492="","",$P2492-$O2492)</f>
        <v/>
      </c>
    </row>
    <row r="2493" ht="15" customHeight="1" s="231">
      <c r="A2493" s="397" t="n"/>
      <c r="B2493" s="397" t="n"/>
      <c r="C2493" s="397" t="n"/>
      <c r="D2493" s="397" t="n"/>
      <c r="E2493" s="397" t="n"/>
      <c r="F2493" s="397" t="n"/>
      <c r="G2493" s="397" t="n"/>
      <c r="I2493" s="397" t="n"/>
      <c r="J2493" s="397" t="n"/>
      <c r="K2493" s="395">
        <f>DATE(VALUE(LEFT(A2493,4)),VALUE(MID(A2493,5,2)),VALUE(RIGHT(A2493,2)))</f>
        <v/>
      </c>
      <c r="L2493" s="395">
        <f>DATEVALUE(LEFT(F2493,10))</f>
        <v/>
      </c>
      <c r="M2493" s="396">
        <f>TIMEVALUE(MID(F2493,12,8))</f>
        <v/>
      </c>
      <c r="N2493" s="395">
        <f>DATEVALUE(LEFT(G2493,10))</f>
        <v/>
      </c>
      <c r="O2493" s="396">
        <f>TIMEVALUE(MID(G2493,12,8))</f>
        <v/>
      </c>
      <c r="P2493" s="396">
        <f>IFERROR(_xlfn.MINIFS($M:$M,$E:$E,$E2493,$K:$K,$K2493,$M:$M,"&gt;"&amp;$O2493),"")</f>
        <v/>
      </c>
      <c r="Q2493" s="396">
        <f>IF($P2493="","",$P2493-$O2493)</f>
        <v/>
      </c>
    </row>
    <row r="2494" ht="15" customHeight="1" s="231">
      <c r="A2494" s="397" t="n"/>
      <c r="B2494" s="397" t="n"/>
      <c r="C2494" s="397" t="n"/>
      <c r="D2494" s="397" t="n"/>
      <c r="E2494" s="397" t="n"/>
      <c r="F2494" s="397" t="n"/>
      <c r="G2494" s="397" t="n"/>
      <c r="I2494" s="397" t="n"/>
      <c r="J2494" s="397" t="n"/>
      <c r="K2494" s="395">
        <f>DATE(VALUE(LEFT(A2494,4)),VALUE(MID(A2494,5,2)),VALUE(RIGHT(A2494,2)))</f>
        <v/>
      </c>
      <c r="L2494" s="395">
        <f>DATEVALUE(LEFT(F2494,10))</f>
        <v/>
      </c>
      <c r="M2494" s="396">
        <f>TIMEVALUE(MID(F2494,12,8))</f>
        <v/>
      </c>
      <c r="N2494" s="395">
        <f>DATEVALUE(LEFT(G2494,10))</f>
        <v/>
      </c>
      <c r="O2494" s="396">
        <f>TIMEVALUE(MID(G2494,12,8))</f>
        <v/>
      </c>
      <c r="P2494" s="396">
        <f>IFERROR(_xlfn.MINIFS($M:$M,$E:$E,$E2494,$K:$K,$K2494,$M:$M,"&gt;"&amp;$O2494),"")</f>
        <v/>
      </c>
      <c r="Q2494" s="396">
        <f>IF($P2494="","",$P2494-$O2494)</f>
        <v/>
      </c>
    </row>
    <row r="2495" ht="15" customHeight="1" s="231">
      <c r="A2495" s="397" t="n"/>
      <c r="B2495" s="397" t="n"/>
      <c r="C2495" s="397" t="n"/>
      <c r="D2495" s="397" t="n"/>
      <c r="E2495" s="397" t="n"/>
      <c r="F2495" s="397" t="n"/>
      <c r="G2495" s="397" t="n"/>
      <c r="I2495" s="397" t="n"/>
      <c r="J2495" s="397" t="n"/>
      <c r="K2495" s="395">
        <f>DATE(VALUE(LEFT(A2495,4)),VALUE(MID(A2495,5,2)),VALUE(RIGHT(A2495,2)))</f>
        <v/>
      </c>
      <c r="L2495" s="395">
        <f>DATEVALUE(LEFT(F2495,10))</f>
        <v/>
      </c>
      <c r="M2495" s="396">
        <f>TIMEVALUE(MID(F2495,12,8))</f>
        <v/>
      </c>
      <c r="N2495" s="395">
        <f>DATEVALUE(LEFT(G2495,10))</f>
        <v/>
      </c>
      <c r="O2495" s="396">
        <f>TIMEVALUE(MID(G2495,12,8))</f>
        <v/>
      </c>
      <c r="P2495" s="396">
        <f>IFERROR(_xlfn.MINIFS($M:$M,$E:$E,$E2495,$K:$K,$K2495,$M:$M,"&gt;"&amp;$O2495),"")</f>
        <v/>
      </c>
      <c r="Q2495" s="396">
        <f>IF($P2495="","",$P2495-$O2495)</f>
        <v/>
      </c>
    </row>
    <row r="2496" ht="15" customHeight="1" s="231">
      <c r="A2496" s="397" t="n"/>
      <c r="B2496" s="397" t="n"/>
      <c r="C2496" s="397" t="n"/>
      <c r="D2496" s="397" t="n"/>
      <c r="E2496" s="397" t="n"/>
      <c r="F2496" s="397" t="n"/>
      <c r="G2496" s="397" t="n"/>
      <c r="I2496" s="397" t="n"/>
      <c r="J2496" s="397" t="n"/>
      <c r="K2496" s="395">
        <f>DATE(VALUE(LEFT(A2496,4)),VALUE(MID(A2496,5,2)),VALUE(RIGHT(A2496,2)))</f>
        <v/>
      </c>
      <c r="L2496" s="395">
        <f>DATEVALUE(LEFT(F2496,10))</f>
        <v/>
      </c>
      <c r="M2496" s="396">
        <f>TIMEVALUE(MID(F2496,12,8))</f>
        <v/>
      </c>
      <c r="N2496" s="395">
        <f>DATEVALUE(LEFT(G2496,10))</f>
        <v/>
      </c>
      <c r="O2496" s="396">
        <f>TIMEVALUE(MID(G2496,12,8))</f>
        <v/>
      </c>
      <c r="P2496" s="396">
        <f>IFERROR(_xlfn.MINIFS($M:$M,$E:$E,$E2496,$K:$K,$K2496,$M:$M,"&gt;"&amp;$O2496),"")</f>
        <v/>
      </c>
      <c r="Q2496" s="396">
        <f>IF($P2496="","",$P2496-$O2496)</f>
        <v/>
      </c>
    </row>
    <row r="2497" ht="15" customHeight="1" s="231">
      <c r="A2497" s="397" t="n"/>
      <c r="B2497" s="397" t="n"/>
      <c r="C2497" s="397" t="n"/>
      <c r="D2497" s="397" t="n"/>
      <c r="E2497" s="397" t="n"/>
      <c r="F2497" s="397" t="n"/>
      <c r="G2497" s="397" t="n"/>
      <c r="I2497" s="397" t="n"/>
      <c r="J2497" s="397" t="n"/>
      <c r="K2497" s="395">
        <f>DATE(VALUE(LEFT(A2497,4)),VALUE(MID(A2497,5,2)),VALUE(RIGHT(A2497,2)))</f>
        <v/>
      </c>
      <c r="L2497" s="395">
        <f>DATEVALUE(LEFT(F2497,10))</f>
        <v/>
      </c>
      <c r="M2497" s="396">
        <f>TIMEVALUE(MID(F2497,12,8))</f>
        <v/>
      </c>
      <c r="N2497" s="395">
        <f>DATEVALUE(LEFT(G2497,10))</f>
        <v/>
      </c>
      <c r="O2497" s="396">
        <f>TIMEVALUE(MID(G2497,12,8))</f>
        <v/>
      </c>
      <c r="P2497" s="396">
        <f>IFERROR(_xlfn.MINIFS($M:$M,$E:$E,$E2497,$K:$K,$K2497,$M:$M,"&gt;"&amp;$O2497),"")</f>
        <v/>
      </c>
      <c r="Q2497" s="396">
        <f>IF($P2497="","",$P2497-$O2497)</f>
        <v/>
      </c>
    </row>
    <row r="2498" ht="15" customHeight="1" s="231">
      <c r="A2498" s="397" t="n"/>
      <c r="B2498" s="397" t="n"/>
      <c r="C2498" s="397" t="n"/>
      <c r="D2498" s="397" t="n"/>
      <c r="E2498" s="397" t="n"/>
      <c r="F2498" s="397" t="n"/>
      <c r="G2498" s="397" t="n"/>
      <c r="I2498" s="397" t="n"/>
      <c r="J2498" s="397" t="n"/>
      <c r="K2498" s="395">
        <f>DATE(VALUE(LEFT(A2498,4)),VALUE(MID(A2498,5,2)),VALUE(RIGHT(A2498,2)))</f>
        <v/>
      </c>
      <c r="L2498" s="395">
        <f>DATEVALUE(LEFT(F2498,10))</f>
        <v/>
      </c>
      <c r="M2498" s="396">
        <f>TIMEVALUE(MID(F2498,12,8))</f>
        <v/>
      </c>
      <c r="N2498" s="395">
        <f>DATEVALUE(LEFT(G2498,10))</f>
        <v/>
      </c>
      <c r="O2498" s="396">
        <f>TIMEVALUE(MID(G2498,12,8))</f>
        <v/>
      </c>
      <c r="P2498" s="396">
        <f>IFERROR(_xlfn.MINIFS($M:$M,$E:$E,$E2498,$K:$K,$K2498,$M:$M,"&gt;"&amp;$O2498),"")</f>
        <v/>
      </c>
      <c r="Q2498" s="396">
        <f>IF($P2498="","",$P2498-$O2498)</f>
        <v/>
      </c>
    </row>
    <row r="2499" ht="15" customHeight="1" s="231">
      <c r="A2499" s="397" t="n"/>
      <c r="B2499" s="397" t="n"/>
      <c r="C2499" s="397" t="n"/>
      <c r="D2499" s="397" t="n"/>
      <c r="E2499" s="397" t="n"/>
      <c r="F2499" s="397" t="n"/>
      <c r="G2499" s="397" t="n"/>
      <c r="I2499" s="397" t="n"/>
      <c r="J2499" s="397" t="n"/>
      <c r="K2499" s="395">
        <f>DATE(VALUE(LEFT(A2499,4)),VALUE(MID(A2499,5,2)),VALUE(RIGHT(A2499,2)))</f>
        <v/>
      </c>
      <c r="L2499" s="395">
        <f>DATEVALUE(LEFT(F2499,10))</f>
        <v/>
      </c>
      <c r="M2499" s="396">
        <f>TIMEVALUE(MID(F2499,12,8))</f>
        <v/>
      </c>
      <c r="N2499" s="395">
        <f>DATEVALUE(LEFT(G2499,10))</f>
        <v/>
      </c>
      <c r="O2499" s="396">
        <f>TIMEVALUE(MID(G2499,12,8))</f>
        <v/>
      </c>
      <c r="P2499" s="396">
        <f>IFERROR(_xlfn.MINIFS($M:$M,$E:$E,$E2499,$K:$K,$K2499,$M:$M,"&gt;"&amp;$O2499),"")</f>
        <v/>
      </c>
      <c r="Q2499" s="396">
        <f>IF($P2499="","",$P2499-$O2499)</f>
        <v/>
      </c>
    </row>
    <row r="2500" ht="15" customHeight="1" s="231">
      <c r="A2500" s="397" t="n"/>
      <c r="B2500" s="397" t="n"/>
      <c r="C2500" s="397" t="n"/>
      <c r="D2500" s="397" t="n"/>
      <c r="E2500" s="397" t="n"/>
      <c r="F2500" s="397" t="n"/>
      <c r="G2500" s="397" t="n"/>
      <c r="I2500" s="397" t="n"/>
      <c r="J2500" s="397" t="n"/>
      <c r="K2500" s="395">
        <f>DATE(VALUE(LEFT(A2500,4)),VALUE(MID(A2500,5,2)),VALUE(RIGHT(A2500,2)))</f>
        <v/>
      </c>
      <c r="L2500" s="395">
        <f>DATEVALUE(LEFT(F2500,10))</f>
        <v/>
      </c>
      <c r="M2500" s="396">
        <f>TIMEVALUE(MID(F2500,12,8))</f>
        <v/>
      </c>
      <c r="N2500" s="395">
        <f>DATEVALUE(LEFT(G2500,10))</f>
        <v/>
      </c>
      <c r="O2500" s="396">
        <f>TIMEVALUE(MID(G2500,12,8))</f>
        <v/>
      </c>
      <c r="P2500" s="396">
        <f>IFERROR(_xlfn.MINIFS($M:$M,$E:$E,$E2500,$K:$K,$K2500,$M:$M,"&gt;"&amp;$O2500),"")</f>
        <v/>
      </c>
      <c r="Q2500" s="396">
        <f>IF($P2500="","",$P2500-$O2500)</f>
        <v/>
      </c>
    </row>
    <row r="2501" ht="15" customHeight="1" s="231">
      <c r="A2501" s="397" t="n"/>
      <c r="B2501" s="397" t="n"/>
      <c r="C2501" s="397" t="n"/>
      <c r="D2501" s="397" t="n"/>
      <c r="E2501" s="397" t="n"/>
      <c r="F2501" s="397" t="n"/>
      <c r="G2501" s="397" t="n"/>
      <c r="I2501" s="397" t="n"/>
      <c r="J2501" s="397" t="n"/>
      <c r="K2501" s="395">
        <f>DATE(VALUE(LEFT(A2501,4)),VALUE(MID(A2501,5,2)),VALUE(RIGHT(A2501,2)))</f>
        <v/>
      </c>
      <c r="L2501" s="395">
        <f>DATEVALUE(LEFT(F2501,10))</f>
        <v/>
      </c>
      <c r="M2501" s="396">
        <f>TIMEVALUE(MID(F2501,12,8))</f>
        <v/>
      </c>
      <c r="N2501" s="395">
        <f>DATEVALUE(LEFT(G2501,10))</f>
        <v/>
      </c>
      <c r="O2501" s="396">
        <f>TIMEVALUE(MID(G2501,12,8))</f>
        <v/>
      </c>
      <c r="P2501" s="396">
        <f>IFERROR(_xlfn.MINIFS($M:$M,$E:$E,$E2501,$K:$K,$K2501,$M:$M,"&gt;"&amp;$O2501),"")</f>
        <v/>
      </c>
      <c r="Q2501" s="396">
        <f>IF($P2501="","",$P2501-$O2501)</f>
        <v/>
      </c>
    </row>
    <row r="2502" ht="15" customHeight="1" s="231">
      <c r="A2502" s="397" t="n"/>
      <c r="B2502" s="397" t="n"/>
      <c r="C2502" s="397" t="n"/>
      <c r="D2502" s="397" t="n"/>
      <c r="E2502" s="397" t="n"/>
      <c r="F2502" s="397" t="n"/>
      <c r="G2502" s="397" t="n"/>
      <c r="I2502" s="397" t="n"/>
      <c r="J2502" s="397" t="n"/>
      <c r="K2502" s="395">
        <f>DATE(VALUE(LEFT(A2502,4)),VALUE(MID(A2502,5,2)),VALUE(RIGHT(A2502,2)))</f>
        <v/>
      </c>
      <c r="L2502" s="395">
        <f>DATEVALUE(LEFT(F2502,10))</f>
        <v/>
      </c>
      <c r="M2502" s="396">
        <f>TIMEVALUE(MID(F2502,12,8))</f>
        <v/>
      </c>
      <c r="N2502" s="395">
        <f>DATEVALUE(LEFT(G2502,10))</f>
        <v/>
      </c>
      <c r="O2502" s="396">
        <f>TIMEVALUE(MID(G2502,12,8))</f>
        <v/>
      </c>
      <c r="P2502" s="396">
        <f>IFERROR(_xlfn.MINIFS($M:$M,$E:$E,$E2502,$K:$K,$K2502,$M:$M,"&gt;"&amp;$O2502),"")</f>
        <v/>
      </c>
      <c r="Q2502" s="396">
        <f>IF($P2502="","",$P2502-$O2502)</f>
        <v/>
      </c>
    </row>
    <row r="2503" ht="15" customHeight="1" s="231">
      <c r="A2503" s="397" t="n"/>
      <c r="B2503" s="397" t="n"/>
      <c r="C2503" s="397" t="n"/>
      <c r="D2503" s="397" t="n"/>
      <c r="E2503" s="397" t="n"/>
      <c r="F2503" s="397" t="n"/>
      <c r="G2503" s="397" t="n"/>
      <c r="I2503" s="397" t="n"/>
      <c r="J2503" s="397" t="n"/>
      <c r="K2503" s="395">
        <f>DATE(VALUE(LEFT(A2503,4)),VALUE(MID(A2503,5,2)),VALUE(RIGHT(A2503,2)))</f>
        <v/>
      </c>
      <c r="L2503" s="395">
        <f>DATEVALUE(LEFT(F2503,10))</f>
        <v/>
      </c>
      <c r="M2503" s="396">
        <f>TIMEVALUE(MID(F2503,12,8))</f>
        <v/>
      </c>
      <c r="N2503" s="395">
        <f>DATEVALUE(LEFT(G2503,10))</f>
        <v/>
      </c>
      <c r="O2503" s="396">
        <f>TIMEVALUE(MID(G2503,12,8))</f>
        <v/>
      </c>
      <c r="P2503" s="396">
        <f>IFERROR(_xlfn.MINIFS($M:$M,$E:$E,$E2503,$K:$K,$K2503,$M:$M,"&gt;"&amp;$O2503),"")</f>
        <v/>
      </c>
      <c r="Q2503" s="396">
        <f>IF($P2503="","",$P2503-$O2503)</f>
        <v/>
      </c>
    </row>
    <row r="2504" ht="15" customHeight="1" s="231">
      <c r="A2504" s="397" t="n"/>
      <c r="B2504" s="397" t="n"/>
      <c r="C2504" s="397" t="n"/>
      <c r="D2504" s="397" t="n"/>
      <c r="E2504" s="397" t="n"/>
      <c r="F2504" s="397" t="n"/>
      <c r="G2504" s="397" t="n"/>
      <c r="I2504" s="397" t="n"/>
      <c r="J2504" s="397" t="n"/>
      <c r="K2504" s="395">
        <f>DATE(VALUE(LEFT(A2504,4)),VALUE(MID(A2504,5,2)),VALUE(RIGHT(A2504,2)))</f>
        <v/>
      </c>
      <c r="L2504" s="395">
        <f>DATEVALUE(LEFT(F2504,10))</f>
        <v/>
      </c>
      <c r="M2504" s="396">
        <f>TIMEVALUE(MID(F2504,12,8))</f>
        <v/>
      </c>
      <c r="N2504" s="395">
        <f>DATEVALUE(LEFT(G2504,10))</f>
        <v/>
      </c>
      <c r="O2504" s="396">
        <f>TIMEVALUE(MID(G2504,12,8))</f>
        <v/>
      </c>
      <c r="P2504" s="396">
        <f>IFERROR(_xlfn.MINIFS($M:$M,$E:$E,$E2504,$K:$K,$K2504,$M:$M,"&gt;"&amp;$O2504),"")</f>
        <v/>
      </c>
      <c r="Q2504" s="396">
        <f>IF($P2504="","",$P2504-$O2504)</f>
        <v/>
      </c>
    </row>
    <row r="2505" ht="15" customHeight="1" s="231">
      <c r="A2505" s="397" t="n"/>
      <c r="B2505" s="397" t="n"/>
      <c r="C2505" s="397" t="n"/>
      <c r="D2505" s="397" t="n"/>
      <c r="E2505" s="397" t="n"/>
      <c r="F2505" s="397" t="n"/>
      <c r="G2505" s="397" t="n"/>
      <c r="I2505" s="397" t="n"/>
      <c r="J2505" s="397" t="n"/>
      <c r="K2505" s="395">
        <f>DATE(VALUE(LEFT(A2505,4)),VALUE(MID(A2505,5,2)),VALUE(RIGHT(A2505,2)))</f>
        <v/>
      </c>
      <c r="L2505" s="395">
        <f>DATEVALUE(LEFT(F2505,10))</f>
        <v/>
      </c>
      <c r="M2505" s="396">
        <f>TIMEVALUE(MID(F2505,12,8))</f>
        <v/>
      </c>
      <c r="N2505" s="395">
        <f>DATEVALUE(LEFT(G2505,10))</f>
        <v/>
      </c>
      <c r="O2505" s="396">
        <f>TIMEVALUE(MID(G2505,12,8))</f>
        <v/>
      </c>
      <c r="P2505" s="396">
        <f>IFERROR(_xlfn.MINIFS($M:$M,$E:$E,$E2505,$K:$K,$K2505,$M:$M,"&gt;"&amp;$O2505),"")</f>
        <v/>
      </c>
      <c r="Q2505" s="396">
        <f>IF($P2505="","",$P2505-$O2505)</f>
        <v/>
      </c>
    </row>
    <row r="2506" ht="15" customHeight="1" s="231">
      <c r="A2506" s="397" t="n"/>
      <c r="B2506" s="397" t="n"/>
      <c r="C2506" s="397" t="n"/>
      <c r="D2506" s="397" t="n"/>
      <c r="E2506" s="397" t="n"/>
      <c r="F2506" s="397" t="n"/>
      <c r="G2506" s="397" t="n"/>
      <c r="I2506" s="397" t="n"/>
      <c r="J2506" s="397" t="n"/>
      <c r="K2506" s="395">
        <f>DATE(VALUE(LEFT(A2506,4)),VALUE(MID(A2506,5,2)),VALUE(RIGHT(A2506,2)))</f>
        <v/>
      </c>
      <c r="L2506" s="395">
        <f>DATEVALUE(LEFT(F2506,10))</f>
        <v/>
      </c>
      <c r="M2506" s="396">
        <f>TIMEVALUE(MID(F2506,12,8))</f>
        <v/>
      </c>
      <c r="N2506" s="395">
        <f>DATEVALUE(LEFT(G2506,10))</f>
        <v/>
      </c>
      <c r="O2506" s="396">
        <f>TIMEVALUE(MID(G2506,12,8))</f>
        <v/>
      </c>
      <c r="P2506" s="396">
        <f>IFERROR(_xlfn.MINIFS($M:$M,$E:$E,$E2506,$K:$K,$K2506,$M:$M,"&gt;"&amp;$O2506),"")</f>
        <v/>
      </c>
      <c r="Q2506" s="396">
        <f>IF($P2506="","",$P2506-$O2506)</f>
        <v/>
      </c>
    </row>
    <row r="2507" ht="15" customHeight="1" s="231">
      <c r="A2507" s="397" t="n"/>
      <c r="B2507" s="397" t="n"/>
      <c r="C2507" s="397" t="n"/>
      <c r="D2507" s="397" t="n"/>
      <c r="E2507" s="397" t="n"/>
      <c r="F2507" s="397" t="n"/>
      <c r="G2507" s="397" t="n"/>
      <c r="I2507" s="397" t="n"/>
      <c r="J2507" s="397" t="n"/>
      <c r="K2507" s="395">
        <f>DATE(VALUE(LEFT(A2507,4)),VALUE(MID(A2507,5,2)),VALUE(RIGHT(A2507,2)))</f>
        <v/>
      </c>
      <c r="L2507" s="395">
        <f>DATEVALUE(LEFT(F2507,10))</f>
        <v/>
      </c>
      <c r="M2507" s="396">
        <f>TIMEVALUE(MID(F2507,12,8))</f>
        <v/>
      </c>
      <c r="N2507" s="395">
        <f>DATEVALUE(LEFT(G2507,10))</f>
        <v/>
      </c>
      <c r="O2507" s="396">
        <f>TIMEVALUE(MID(G2507,12,8))</f>
        <v/>
      </c>
      <c r="P2507" s="396">
        <f>IFERROR(_xlfn.MINIFS($M:$M,$E:$E,$E2507,$K:$K,$K2507,$M:$M,"&gt;"&amp;$O2507),"")</f>
        <v/>
      </c>
      <c r="Q2507" s="396">
        <f>IF($P2507="","",$P2507-$O2507)</f>
        <v/>
      </c>
    </row>
    <row r="2508" ht="15" customHeight="1" s="231">
      <c r="A2508" s="397" t="n"/>
      <c r="B2508" s="397" t="n"/>
      <c r="C2508" s="397" t="n"/>
      <c r="D2508" s="397" t="n"/>
      <c r="E2508" s="397" t="n"/>
      <c r="F2508" s="397" t="n"/>
      <c r="G2508" s="397" t="n"/>
      <c r="I2508" s="397" t="n"/>
      <c r="J2508" s="397" t="n"/>
      <c r="K2508" s="395">
        <f>DATE(VALUE(LEFT(A2508,4)),VALUE(MID(A2508,5,2)),VALUE(RIGHT(A2508,2)))</f>
        <v/>
      </c>
      <c r="L2508" s="395">
        <f>DATEVALUE(LEFT(F2508,10))</f>
        <v/>
      </c>
      <c r="M2508" s="396">
        <f>TIMEVALUE(MID(F2508,12,8))</f>
        <v/>
      </c>
      <c r="N2508" s="395">
        <f>DATEVALUE(LEFT(G2508,10))</f>
        <v/>
      </c>
      <c r="O2508" s="396">
        <f>TIMEVALUE(MID(G2508,12,8))</f>
        <v/>
      </c>
      <c r="P2508" s="396">
        <f>IFERROR(_xlfn.MINIFS($M:$M,$E:$E,$E2508,$K:$K,$K2508,$M:$M,"&gt;"&amp;$O2508),"")</f>
        <v/>
      </c>
      <c r="Q2508" s="396">
        <f>IF($P2508="","",$P2508-$O2508)</f>
        <v/>
      </c>
    </row>
    <row r="2509" ht="15" customHeight="1" s="231">
      <c r="A2509" s="397" t="n"/>
      <c r="B2509" s="397" t="n"/>
      <c r="C2509" s="397" t="n"/>
      <c r="D2509" s="397" t="n"/>
      <c r="E2509" s="397" t="n"/>
      <c r="F2509" s="397" t="n"/>
      <c r="G2509" s="397" t="n"/>
      <c r="I2509" s="397" t="n"/>
      <c r="J2509" s="397" t="n"/>
      <c r="K2509" s="395">
        <f>DATE(VALUE(LEFT(A2509,4)),VALUE(MID(A2509,5,2)),VALUE(RIGHT(A2509,2)))</f>
        <v/>
      </c>
      <c r="L2509" s="395">
        <f>DATEVALUE(LEFT(F2509,10))</f>
        <v/>
      </c>
      <c r="M2509" s="396">
        <f>TIMEVALUE(MID(F2509,12,8))</f>
        <v/>
      </c>
      <c r="N2509" s="395">
        <f>DATEVALUE(LEFT(G2509,10))</f>
        <v/>
      </c>
      <c r="O2509" s="396">
        <f>TIMEVALUE(MID(G2509,12,8))</f>
        <v/>
      </c>
      <c r="P2509" s="396">
        <f>IFERROR(_xlfn.MINIFS($M:$M,$E:$E,$E2509,$K:$K,$K2509,$M:$M,"&gt;"&amp;$O2509),"")</f>
        <v/>
      </c>
      <c r="Q2509" s="396">
        <f>IF($P2509="","",$P2509-$O2509)</f>
        <v/>
      </c>
    </row>
    <row r="2510" ht="15" customHeight="1" s="231">
      <c r="A2510" s="397" t="n"/>
      <c r="B2510" s="397" t="n"/>
      <c r="C2510" s="397" t="n"/>
      <c r="D2510" s="397" t="n"/>
      <c r="E2510" s="397" t="n"/>
      <c r="F2510" s="397" t="n"/>
      <c r="G2510" s="397" t="n"/>
      <c r="I2510" s="397" t="n"/>
      <c r="J2510" s="397" t="n"/>
      <c r="K2510" s="395">
        <f>DATE(VALUE(LEFT(A2510,4)),VALUE(MID(A2510,5,2)),VALUE(RIGHT(A2510,2)))</f>
        <v/>
      </c>
      <c r="L2510" s="395">
        <f>DATEVALUE(LEFT(F2510,10))</f>
        <v/>
      </c>
      <c r="M2510" s="396">
        <f>TIMEVALUE(MID(F2510,12,8))</f>
        <v/>
      </c>
      <c r="N2510" s="395">
        <f>DATEVALUE(LEFT(G2510,10))</f>
        <v/>
      </c>
      <c r="O2510" s="396">
        <f>TIMEVALUE(MID(G2510,12,8))</f>
        <v/>
      </c>
      <c r="P2510" s="396">
        <f>IFERROR(_xlfn.MINIFS($M:$M,$E:$E,$E2510,$K:$K,$K2510,$M:$M,"&gt;"&amp;$O2510),"")</f>
        <v/>
      </c>
      <c r="Q2510" s="396">
        <f>IF($P2510="","",$P2510-$O2510)</f>
        <v/>
      </c>
    </row>
    <row r="2511" ht="15" customHeight="1" s="231">
      <c r="A2511" s="397" t="n"/>
      <c r="B2511" s="397" t="n"/>
      <c r="C2511" s="397" t="n"/>
      <c r="D2511" s="397" t="n"/>
      <c r="E2511" s="397" t="n"/>
      <c r="F2511" s="397" t="n"/>
      <c r="G2511" s="397" t="n"/>
      <c r="I2511" s="397" t="n"/>
      <c r="J2511" s="397" t="n"/>
      <c r="K2511" s="395">
        <f>DATE(VALUE(LEFT(A2511,4)),VALUE(MID(A2511,5,2)),VALUE(RIGHT(A2511,2)))</f>
        <v/>
      </c>
      <c r="L2511" s="395">
        <f>DATEVALUE(LEFT(F2511,10))</f>
        <v/>
      </c>
      <c r="M2511" s="396">
        <f>TIMEVALUE(MID(F2511,12,8))</f>
        <v/>
      </c>
      <c r="N2511" s="395">
        <f>DATEVALUE(LEFT(G2511,10))</f>
        <v/>
      </c>
      <c r="O2511" s="396">
        <f>TIMEVALUE(MID(G2511,12,8))</f>
        <v/>
      </c>
      <c r="P2511" s="396">
        <f>IFERROR(_xlfn.MINIFS($M:$M,$E:$E,$E2511,$K:$K,$K2511,$M:$M,"&gt;"&amp;$O2511),"")</f>
        <v/>
      </c>
      <c r="Q2511" s="396">
        <f>IF($P2511="","",$P2511-$O2511)</f>
        <v/>
      </c>
    </row>
    <row r="2512" ht="15" customHeight="1" s="231">
      <c r="A2512" s="397" t="n"/>
      <c r="B2512" s="397" t="n"/>
      <c r="C2512" s="397" t="n"/>
      <c r="D2512" s="397" t="n"/>
      <c r="E2512" s="397" t="n"/>
      <c r="F2512" s="397" t="n"/>
      <c r="G2512" s="397" t="n"/>
      <c r="I2512" s="397" t="n"/>
      <c r="J2512" s="397" t="n"/>
      <c r="K2512" s="395">
        <f>DATE(VALUE(LEFT(A2512,4)),VALUE(MID(A2512,5,2)),VALUE(RIGHT(A2512,2)))</f>
        <v/>
      </c>
      <c r="L2512" s="395">
        <f>DATEVALUE(LEFT(F2512,10))</f>
        <v/>
      </c>
      <c r="M2512" s="396">
        <f>TIMEVALUE(MID(F2512,12,8))</f>
        <v/>
      </c>
      <c r="N2512" s="395">
        <f>DATEVALUE(LEFT(G2512,10))</f>
        <v/>
      </c>
      <c r="O2512" s="396">
        <f>TIMEVALUE(MID(G2512,12,8))</f>
        <v/>
      </c>
      <c r="P2512" s="396">
        <f>IFERROR(_xlfn.MINIFS($M:$M,$E:$E,$E2512,$K:$K,$K2512,$M:$M,"&gt;"&amp;$O2512),"")</f>
        <v/>
      </c>
      <c r="Q2512" s="396">
        <f>IF($P2512="","",$P2512-$O2512)</f>
        <v/>
      </c>
    </row>
    <row r="2513" ht="15" customHeight="1" s="231">
      <c r="A2513" s="397" t="n"/>
      <c r="B2513" s="397" t="n"/>
      <c r="C2513" s="397" t="n"/>
      <c r="D2513" s="397" t="n"/>
      <c r="E2513" s="397" t="n"/>
      <c r="F2513" s="397" t="n"/>
      <c r="G2513" s="397" t="n"/>
      <c r="I2513" s="397" t="n"/>
      <c r="J2513" s="397" t="n"/>
      <c r="K2513" s="395">
        <f>DATE(VALUE(LEFT(A2513,4)),VALUE(MID(A2513,5,2)),VALUE(RIGHT(A2513,2)))</f>
        <v/>
      </c>
      <c r="L2513" s="395">
        <f>DATEVALUE(LEFT(F2513,10))</f>
        <v/>
      </c>
      <c r="M2513" s="396">
        <f>TIMEVALUE(MID(F2513,12,8))</f>
        <v/>
      </c>
      <c r="N2513" s="395">
        <f>DATEVALUE(LEFT(G2513,10))</f>
        <v/>
      </c>
      <c r="O2513" s="396">
        <f>TIMEVALUE(MID(G2513,12,8))</f>
        <v/>
      </c>
      <c r="P2513" s="396">
        <f>IFERROR(_xlfn.MINIFS($M:$M,$E:$E,$E2513,$K:$K,$K2513,$M:$M,"&gt;"&amp;$O2513),"")</f>
        <v/>
      </c>
      <c r="Q2513" s="396">
        <f>IF($P2513="","",$P2513-$O2513)</f>
        <v/>
      </c>
    </row>
    <row r="2514" ht="15" customHeight="1" s="231">
      <c r="A2514" s="397" t="n"/>
      <c r="B2514" s="397" t="n"/>
      <c r="C2514" s="397" t="n"/>
      <c r="D2514" s="397" t="n"/>
      <c r="E2514" s="397" t="n"/>
      <c r="F2514" s="397" t="n"/>
      <c r="G2514" s="397" t="n"/>
      <c r="I2514" s="397" t="n"/>
      <c r="J2514" s="397" t="n"/>
      <c r="K2514" s="395">
        <f>DATE(VALUE(LEFT(A2514,4)),VALUE(MID(A2514,5,2)),VALUE(RIGHT(A2514,2)))</f>
        <v/>
      </c>
      <c r="L2514" s="395">
        <f>DATEVALUE(LEFT(F2514,10))</f>
        <v/>
      </c>
      <c r="M2514" s="396">
        <f>TIMEVALUE(MID(F2514,12,8))</f>
        <v/>
      </c>
      <c r="N2514" s="395">
        <f>DATEVALUE(LEFT(G2514,10))</f>
        <v/>
      </c>
      <c r="O2514" s="396">
        <f>TIMEVALUE(MID(G2514,12,8))</f>
        <v/>
      </c>
      <c r="P2514" s="396">
        <f>IFERROR(_xlfn.MINIFS($M:$M,$E:$E,$E2514,$K:$K,$K2514,$M:$M,"&gt;"&amp;$O2514),"")</f>
        <v/>
      </c>
      <c r="Q2514" s="396">
        <f>IF($P2514="","",$P2514-$O2514)</f>
        <v/>
      </c>
    </row>
    <row r="2515" ht="15" customHeight="1" s="231">
      <c r="A2515" s="397" t="n"/>
      <c r="B2515" s="397" t="n"/>
      <c r="C2515" s="397" t="n"/>
      <c r="D2515" s="397" t="n"/>
      <c r="E2515" s="397" t="n"/>
      <c r="F2515" s="397" t="n"/>
      <c r="G2515" s="397" t="n"/>
      <c r="I2515" s="397" t="n"/>
      <c r="J2515" s="397" t="n"/>
      <c r="K2515" s="395">
        <f>DATE(VALUE(LEFT(A2515,4)),VALUE(MID(A2515,5,2)),VALUE(RIGHT(A2515,2)))</f>
        <v/>
      </c>
      <c r="L2515" s="395">
        <f>DATEVALUE(LEFT(F2515,10))</f>
        <v/>
      </c>
      <c r="M2515" s="396">
        <f>TIMEVALUE(MID(F2515,12,8))</f>
        <v/>
      </c>
      <c r="N2515" s="395">
        <f>DATEVALUE(LEFT(G2515,10))</f>
        <v/>
      </c>
      <c r="O2515" s="396">
        <f>TIMEVALUE(MID(G2515,12,8))</f>
        <v/>
      </c>
      <c r="P2515" s="396">
        <f>IFERROR(_xlfn.MINIFS($M:$M,$E:$E,$E2515,$K:$K,$K2515,$M:$M,"&gt;"&amp;$O2515),"")</f>
        <v/>
      </c>
      <c r="Q2515" s="396">
        <f>IF($P2515="","",$P2515-$O2515)</f>
        <v/>
      </c>
    </row>
    <row r="2516" ht="15" customHeight="1" s="231">
      <c r="A2516" s="397" t="n"/>
      <c r="B2516" s="397" t="n"/>
      <c r="C2516" s="397" t="n"/>
      <c r="D2516" s="397" t="n"/>
      <c r="E2516" s="397" t="n"/>
      <c r="F2516" s="397" t="n"/>
      <c r="G2516" s="397" t="n"/>
      <c r="I2516" s="397" t="n"/>
      <c r="J2516" s="397" t="n"/>
      <c r="K2516" s="395">
        <f>DATE(VALUE(LEFT(A2516,4)),VALUE(MID(A2516,5,2)),VALUE(RIGHT(A2516,2)))</f>
        <v/>
      </c>
      <c r="L2516" s="395">
        <f>DATEVALUE(LEFT(F2516,10))</f>
        <v/>
      </c>
      <c r="M2516" s="396">
        <f>TIMEVALUE(MID(F2516,12,8))</f>
        <v/>
      </c>
      <c r="N2516" s="395">
        <f>DATEVALUE(LEFT(G2516,10))</f>
        <v/>
      </c>
      <c r="O2516" s="396">
        <f>TIMEVALUE(MID(G2516,12,8))</f>
        <v/>
      </c>
      <c r="P2516" s="396">
        <f>IFERROR(_xlfn.MINIFS($M:$M,$E:$E,$E2516,$K:$K,$K2516,$M:$M,"&gt;"&amp;$O2516),"")</f>
        <v/>
      </c>
      <c r="Q2516" s="396">
        <f>IF($P2516="","",$P2516-$O2516)</f>
        <v/>
      </c>
    </row>
    <row r="2517" ht="15" customHeight="1" s="231">
      <c r="A2517" s="397" t="n"/>
      <c r="B2517" s="397" t="n"/>
      <c r="C2517" s="397" t="n"/>
      <c r="D2517" s="397" t="n"/>
      <c r="E2517" s="397" t="n"/>
      <c r="F2517" s="397" t="n"/>
      <c r="G2517" s="397" t="n"/>
      <c r="I2517" s="397" t="n"/>
      <c r="J2517" s="397" t="n"/>
      <c r="K2517" s="395">
        <f>DATE(VALUE(LEFT(A2517,4)),VALUE(MID(A2517,5,2)),VALUE(RIGHT(A2517,2)))</f>
        <v/>
      </c>
      <c r="L2517" s="395">
        <f>DATEVALUE(LEFT(F2517,10))</f>
        <v/>
      </c>
      <c r="M2517" s="396">
        <f>TIMEVALUE(MID(F2517,12,8))</f>
        <v/>
      </c>
      <c r="N2517" s="395">
        <f>DATEVALUE(LEFT(G2517,10))</f>
        <v/>
      </c>
      <c r="O2517" s="396">
        <f>TIMEVALUE(MID(G2517,12,8))</f>
        <v/>
      </c>
      <c r="P2517" s="396">
        <f>IFERROR(_xlfn.MINIFS($M:$M,$E:$E,$E2517,$K:$K,$K2517,$M:$M,"&gt;"&amp;$O2517),"")</f>
        <v/>
      </c>
      <c r="Q2517" s="396">
        <f>IF($P2517="","",$P2517-$O2517)</f>
        <v/>
      </c>
    </row>
    <row r="2518" ht="15" customHeight="1" s="231">
      <c r="A2518" s="397" t="n"/>
      <c r="B2518" s="397" t="n"/>
      <c r="C2518" s="397" t="n"/>
      <c r="D2518" s="397" t="n"/>
      <c r="E2518" s="397" t="n"/>
      <c r="F2518" s="397" t="n"/>
      <c r="G2518" s="397" t="n"/>
      <c r="I2518" s="397" t="n"/>
      <c r="J2518" s="397" t="n"/>
      <c r="K2518" s="395">
        <f>DATE(VALUE(LEFT(A2518,4)),VALUE(MID(A2518,5,2)),VALUE(RIGHT(A2518,2)))</f>
        <v/>
      </c>
      <c r="L2518" s="395">
        <f>DATEVALUE(LEFT(F2518,10))</f>
        <v/>
      </c>
      <c r="M2518" s="396">
        <f>TIMEVALUE(MID(F2518,12,8))</f>
        <v/>
      </c>
      <c r="N2518" s="395">
        <f>DATEVALUE(LEFT(G2518,10))</f>
        <v/>
      </c>
      <c r="O2518" s="396">
        <f>TIMEVALUE(MID(G2518,12,8))</f>
        <v/>
      </c>
      <c r="P2518" s="396">
        <f>IFERROR(_xlfn.MINIFS($M:$M,$E:$E,$E2518,$K:$K,$K2518,$M:$M,"&gt;"&amp;$O2518),"")</f>
        <v/>
      </c>
      <c r="Q2518" s="396">
        <f>IF($P2518="","",$P2518-$O2518)</f>
        <v/>
      </c>
    </row>
    <row r="2519" ht="15" customHeight="1" s="231">
      <c r="A2519" s="397" t="n"/>
      <c r="B2519" s="397" t="n"/>
      <c r="C2519" s="397" t="n"/>
      <c r="D2519" s="397" t="n"/>
      <c r="E2519" s="397" t="n"/>
      <c r="F2519" s="397" t="n"/>
      <c r="G2519" s="397" t="n"/>
      <c r="I2519" s="397" t="n"/>
      <c r="J2519" s="397" t="n"/>
      <c r="K2519" s="395">
        <f>DATE(VALUE(LEFT(A2519,4)),VALUE(MID(A2519,5,2)),VALUE(RIGHT(A2519,2)))</f>
        <v/>
      </c>
      <c r="L2519" s="395">
        <f>DATEVALUE(LEFT(F2519,10))</f>
        <v/>
      </c>
      <c r="M2519" s="396">
        <f>TIMEVALUE(MID(F2519,12,8))</f>
        <v/>
      </c>
      <c r="N2519" s="395">
        <f>DATEVALUE(LEFT(G2519,10))</f>
        <v/>
      </c>
      <c r="O2519" s="396">
        <f>TIMEVALUE(MID(G2519,12,8))</f>
        <v/>
      </c>
      <c r="P2519" s="396">
        <f>IFERROR(_xlfn.MINIFS($M:$M,$E:$E,$E2519,$K:$K,$K2519,$M:$M,"&gt;"&amp;$O2519),"")</f>
        <v/>
      </c>
      <c r="Q2519" s="396">
        <f>IF($P2519="","",$P2519-$O2519)</f>
        <v/>
      </c>
    </row>
    <row r="2520" ht="15" customHeight="1" s="231">
      <c r="A2520" s="397" t="n"/>
      <c r="B2520" s="397" t="n"/>
      <c r="C2520" s="397" t="n"/>
      <c r="D2520" s="397" t="n"/>
      <c r="E2520" s="397" t="n"/>
      <c r="F2520" s="397" t="n"/>
      <c r="G2520" s="397" t="n"/>
      <c r="I2520" s="397" t="n"/>
      <c r="J2520" s="397" t="n"/>
      <c r="K2520" s="395">
        <f>DATE(VALUE(LEFT(A2520,4)),VALUE(MID(A2520,5,2)),VALUE(RIGHT(A2520,2)))</f>
        <v/>
      </c>
      <c r="L2520" s="395">
        <f>DATEVALUE(LEFT(F2520,10))</f>
        <v/>
      </c>
      <c r="M2520" s="396">
        <f>TIMEVALUE(MID(F2520,12,8))</f>
        <v/>
      </c>
      <c r="N2520" s="395">
        <f>DATEVALUE(LEFT(G2520,10))</f>
        <v/>
      </c>
      <c r="O2520" s="396">
        <f>TIMEVALUE(MID(G2520,12,8))</f>
        <v/>
      </c>
      <c r="P2520" s="396">
        <f>IFERROR(_xlfn.MINIFS($M:$M,$E:$E,$E2520,$K:$K,$K2520,$M:$M,"&gt;"&amp;$O2520),"")</f>
        <v/>
      </c>
      <c r="Q2520" s="396">
        <f>IF($P2520="","",$P2520-$O2520)</f>
        <v/>
      </c>
    </row>
    <row r="2521" ht="15" customHeight="1" s="231">
      <c r="A2521" s="397" t="n"/>
      <c r="B2521" s="397" t="n"/>
      <c r="C2521" s="397" t="n"/>
      <c r="D2521" s="397" t="n"/>
      <c r="E2521" s="397" t="n"/>
      <c r="F2521" s="397" t="n"/>
      <c r="G2521" s="397" t="n"/>
      <c r="I2521" s="397" t="n"/>
      <c r="J2521" s="397" t="n"/>
      <c r="K2521" s="395">
        <f>DATE(VALUE(LEFT(A2521,4)),VALUE(MID(A2521,5,2)),VALUE(RIGHT(A2521,2)))</f>
        <v/>
      </c>
      <c r="L2521" s="395">
        <f>DATEVALUE(LEFT(F2521,10))</f>
        <v/>
      </c>
      <c r="M2521" s="396">
        <f>TIMEVALUE(MID(F2521,12,8))</f>
        <v/>
      </c>
      <c r="N2521" s="395">
        <f>DATEVALUE(LEFT(G2521,10))</f>
        <v/>
      </c>
      <c r="O2521" s="396">
        <f>TIMEVALUE(MID(G2521,12,8))</f>
        <v/>
      </c>
      <c r="P2521" s="396">
        <f>IFERROR(_xlfn.MINIFS($M:$M,$E:$E,$E2521,$K:$K,$K2521,$M:$M,"&gt;"&amp;$O2521),"")</f>
        <v/>
      </c>
      <c r="Q2521" s="396">
        <f>IF($P2521="","",$P2521-$O2521)</f>
        <v/>
      </c>
    </row>
    <row r="2522" ht="15" customHeight="1" s="231">
      <c r="A2522" s="397" t="n"/>
      <c r="B2522" s="397" t="n"/>
      <c r="C2522" s="397" t="n"/>
      <c r="D2522" s="397" t="n"/>
      <c r="E2522" s="397" t="n"/>
      <c r="F2522" s="397" t="n"/>
      <c r="G2522" s="397" t="n"/>
      <c r="I2522" s="397" t="n"/>
      <c r="J2522" s="397" t="n"/>
      <c r="K2522" s="395">
        <f>DATE(VALUE(LEFT(A2522,4)),VALUE(MID(A2522,5,2)),VALUE(RIGHT(A2522,2)))</f>
        <v/>
      </c>
      <c r="L2522" s="395">
        <f>DATEVALUE(LEFT(F2522,10))</f>
        <v/>
      </c>
      <c r="M2522" s="396">
        <f>TIMEVALUE(MID(F2522,12,8))</f>
        <v/>
      </c>
      <c r="N2522" s="395">
        <f>DATEVALUE(LEFT(G2522,10))</f>
        <v/>
      </c>
      <c r="O2522" s="396">
        <f>TIMEVALUE(MID(G2522,12,8))</f>
        <v/>
      </c>
      <c r="P2522" s="396">
        <f>IFERROR(_xlfn.MINIFS($M:$M,$E:$E,$E2522,$K:$K,$K2522,$M:$M,"&gt;"&amp;$O2522),"")</f>
        <v/>
      </c>
      <c r="Q2522" s="396">
        <f>IF($P2522="","",$P2522-$O2522)</f>
        <v/>
      </c>
    </row>
    <row r="2523" ht="15" customHeight="1" s="231">
      <c r="A2523" s="397" t="n"/>
      <c r="B2523" s="397" t="n"/>
      <c r="C2523" s="397" t="n"/>
      <c r="D2523" s="397" t="n"/>
      <c r="E2523" s="397" t="n"/>
      <c r="F2523" s="397" t="n"/>
      <c r="G2523" s="397" t="n"/>
      <c r="I2523" s="397" t="n"/>
      <c r="J2523" s="397" t="n"/>
      <c r="K2523" s="395">
        <f>DATE(VALUE(LEFT(A2523,4)),VALUE(MID(A2523,5,2)),VALUE(RIGHT(A2523,2)))</f>
        <v/>
      </c>
      <c r="L2523" s="395">
        <f>DATEVALUE(LEFT(F2523,10))</f>
        <v/>
      </c>
      <c r="M2523" s="396">
        <f>TIMEVALUE(MID(F2523,12,8))</f>
        <v/>
      </c>
      <c r="N2523" s="395">
        <f>DATEVALUE(LEFT(G2523,10))</f>
        <v/>
      </c>
      <c r="O2523" s="396">
        <f>TIMEVALUE(MID(G2523,12,8))</f>
        <v/>
      </c>
      <c r="P2523" s="396">
        <f>IFERROR(_xlfn.MINIFS($M:$M,$E:$E,$E2523,$K:$K,$K2523,$M:$M,"&gt;"&amp;$O2523),"")</f>
        <v/>
      </c>
      <c r="Q2523" s="396">
        <f>IF($P2523="","",$P2523-$O2523)</f>
        <v/>
      </c>
    </row>
    <row r="2524" ht="15" customHeight="1" s="231">
      <c r="A2524" s="397" t="n"/>
      <c r="B2524" s="397" t="n"/>
      <c r="C2524" s="397" t="n"/>
      <c r="D2524" s="397" t="n"/>
      <c r="E2524" s="397" t="n"/>
      <c r="F2524" s="397" t="n"/>
      <c r="G2524" s="397" t="n"/>
      <c r="I2524" s="397" t="n"/>
      <c r="J2524" s="397" t="n"/>
      <c r="K2524" s="395">
        <f>DATE(VALUE(LEFT(A2524,4)),VALUE(MID(A2524,5,2)),VALUE(RIGHT(A2524,2)))</f>
        <v/>
      </c>
      <c r="L2524" s="395">
        <f>DATEVALUE(LEFT(F2524,10))</f>
        <v/>
      </c>
      <c r="M2524" s="396">
        <f>TIMEVALUE(MID(F2524,12,8))</f>
        <v/>
      </c>
      <c r="N2524" s="395">
        <f>DATEVALUE(LEFT(G2524,10))</f>
        <v/>
      </c>
      <c r="O2524" s="396">
        <f>TIMEVALUE(MID(G2524,12,8))</f>
        <v/>
      </c>
      <c r="P2524" s="396">
        <f>IFERROR(_xlfn.MINIFS($M:$M,$E:$E,$E2524,$K:$K,$K2524,$M:$M,"&gt;"&amp;$O2524),"")</f>
        <v/>
      </c>
      <c r="Q2524" s="396">
        <f>IF($P2524="","",$P2524-$O2524)</f>
        <v/>
      </c>
    </row>
    <row r="2525" ht="15" customHeight="1" s="231">
      <c r="A2525" s="397" t="n"/>
      <c r="B2525" s="397" t="n"/>
      <c r="C2525" s="397" t="n"/>
      <c r="D2525" s="397" t="n"/>
      <c r="E2525" s="397" t="n"/>
      <c r="F2525" s="397" t="n"/>
      <c r="G2525" s="397" t="n"/>
      <c r="I2525" s="397" t="n"/>
      <c r="J2525" s="397" t="n"/>
      <c r="K2525" s="395">
        <f>DATE(VALUE(LEFT(A2525,4)),VALUE(MID(A2525,5,2)),VALUE(RIGHT(A2525,2)))</f>
        <v/>
      </c>
      <c r="L2525" s="395">
        <f>DATEVALUE(LEFT(F2525,10))</f>
        <v/>
      </c>
      <c r="M2525" s="396">
        <f>TIMEVALUE(MID(F2525,12,8))</f>
        <v/>
      </c>
      <c r="N2525" s="395">
        <f>DATEVALUE(LEFT(G2525,10))</f>
        <v/>
      </c>
      <c r="O2525" s="396">
        <f>TIMEVALUE(MID(G2525,12,8))</f>
        <v/>
      </c>
      <c r="P2525" s="396">
        <f>IFERROR(_xlfn.MINIFS($M:$M,$E:$E,$E2525,$K:$K,$K2525,$M:$M,"&gt;"&amp;$O2525),"")</f>
        <v/>
      </c>
      <c r="Q2525" s="396">
        <f>IF($P2525="","",$P2525-$O2525)</f>
        <v/>
      </c>
    </row>
    <row r="2526" ht="15" customHeight="1" s="231">
      <c r="A2526" s="397" t="n"/>
      <c r="B2526" s="397" t="n"/>
      <c r="C2526" s="397" t="n"/>
      <c r="D2526" s="397" t="n"/>
      <c r="E2526" s="397" t="n"/>
      <c r="F2526" s="397" t="n"/>
      <c r="G2526" s="397" t="n"/>
      <c r="I2526" s="397" t="n"/>
      <c r="J2526" s="397" t="n"/>
      <c r="K2526" s="395">
        <f>DATE(VALUE(LEFT(A2526,4)),VALUE(MID(A2526,5,2)),VALUE(RIGHT(A2526,2)))</f>
        <v/>
      </c>
      <c r="L2526" s="395">
        <f>DATEVALUE(LEFT(F2526,10))</f>
        <v/>
      </c>
      <c r="M2526" s="396">
        <f>TIMEVALUE(MID(F2526,12,8))</f>
        <v/>
      </c>
      <c r="N2526" s="395">
        <f>DATEVALUE(LEFT(G2526,10))</f>
        <v/>
      </c>
      <c r="O2526" s="396">
        <f>TIMEVALUE(MID(G2526,12,8))</f>
        <v/>
      </c>
      <c r="P2526" s="396">
        <f>IFERROR(_xlfn.MINIFS($M:$M,$E:$E,$E2526,$K:$K,$K2526,$M:$M,"&gt;"&amp;$O2526),"")</f>
        <v/>
      </c>
      <c r="Q2526" s="396">
        <f>IF($P2526="","",$P2526-$O2526)</f>
        <v/>
      </c>
    </row>
    <row r="2527" ht="15" customHeight="1" s="231">
      <c r="A2527" s="397" t="n"/>
      <c r="B2527" s="397" t="n"/>
      <c r="C2527" s="397" t="n"/>
      <c r="D2527" s="397" t="n"/>
      <c r="E2527" s="397" t="n"/>
      <c r="F2527" s="397" t="n"/>
      <c r="G2527" s="397" t="n"/>
      <c r="I2527" s="397" t="n"/>
      <c r="J2527" s="397" t="n"/>
      <c r="K2527" s="395">
        <f>DATE(VALUE(LEFT(A2527,4)),VALUE(MID(A2527,5,2)),VALUE(RIGHT(A2527,2)))</f>
        <v/>
      </c>
      <c r="L2527" s="395">
        <f>DATEVALUE(LEFT(F2527,10))</f>
        <v/>
      </c>
      <c r="M2527" s="396">
        <f>TIMEVALUE(MID(F2527,12,8))</f>
        <v/>
      </c>
      <c r="N2527" s="395">
        <f>DATEVALUE(LEFT(G2527,10))</f>
        <v/>
      </c>
      <c r="O2527" s="396">
        <f>TIMEVALUE(MID(G2527,12,8))</f>
        <v/>
      </c>
      <c r="P2527" s="396">
        <f>IFERROR(_xlfn.MINIFS($M:$M,$E:$E,$E2527,$K:$K,$K2527,$M:$M,"&gt;"&amp;$O2527),"")</f>
        <v/>
      </c>
      <c r="Q2527" s="396">
        <f>IF($P2527="","",$P2527-$O2527)</f>
        <v/>
      </c>
    </row>
    <row r="2528" ht="15" customHeight="1" s="231">
      <c r="A2528" s="397" t="n"/>
      <c r="B2528" s="397" t="n"/>
      <c r="C2528" s="397" t="n"/>
      <c r="D2528" s="397" t="n"/>
      <c r="E2528" s="397" t="n"/>
      <c r="F2528" s="397" t="n"/>
      <c r="G2528" s="397" t="n"/>
      <c r="I2528" s="397" t="n"/>
      <c r="J2528" s="397" t="n"/>
      <c r="K2528" s="395">
        <f>DATE(VALUE(LEFT(A2528,4)),VALUE(MID(A2528,5,2)),VALUE(RIGHT(A2528,2)))</f>
        <v/>
      </c>
      <c r="L2528" s="395">
        <f>DATEVALUE(LEFT(F2528,10))</f>
        <v/>
      </c>
      <c r="M2528" s="396">
        <f>TIMEVALUE(MID(F2528,12,8))</f>
        <v/>
      </c>
      <c r="N2528" s="395">
        <f>DATEVALUE(LEFT(G2528,10))</f>
        <v/>
      </c>
      <c r="O2528" s="396">
        <f>TIMEVALUE(MID(G2528,12,8))</f>
        <v/>
      </c>
      <c r="P2528" s="396">
        <f>IFERROR(_xlfn.MINIFS($M:$M,$E:$E,$E2528,$K:$K,$K2528,$M:$M,"&gt;"&amp;$O2528),"")</f>
        <v/>
      </c>
      <c r="Q2528" s="396">
        <f>IF($P2528="","",$P2528-$O2528)</f>
        <v/>
      </c>
    </row>
    <row r="2529" ht="15" customHeight="1" s="231">
      <c r="A2529" s="397" t="n"/>
      <c r="B2529" s="397" t="n"/>
      <c r="C2529" s="397" t="n"/>
      <c r="D2529" s="397" t="n"/>
      <c r="E2529" s="397" t="n"/>
      <c r="F2529" s="397" t="n"/>
      <c r="G2529" s="397" t="n"/>
      <c r="I2529" s="397" t="n"/>
      <c r="J2529" s="397" t="n"/>
      <c r="K2529" s="395">
        <f>DATE(VALUE(LEFT(A2529,4)),VALUE(MID(A2529,5,2)),VALUE(RIGHT(A2529,2)))</f>
        <v/>
      </c>
      <c r="L2529" s="395">
        <f>DATEVALUE(LEFT(F2529,10))</f>
        <v/>
      </c>
      <c r="M2529" s="396">
        <f>TIMEVALUE(MID(F2529,12,8))</f>
        <v/>
      </c>
      <c r="N2529" s="395">
        <f>DATEVALUE(LEFT(G2529,10))</f>
        <v/>
      </c>
      <c r="O2529" s="396">
        <f>TIMEVALUE(MID(G2529,12,8))</f>
        <v/>
      </c>
      <c r="P2529" s="396">
        <f>IFERROR(_xlfn.MINIFS($M:$M,$E:$E,$E2529,$K:$K,$K2529,$M:$M,"&gt;"&amp;$O2529),"")</f>
        <v/>
      </c>
      <c r="Q2529" s="396">
        <f>IF($P2529="","",$P2529-$O2529)</f>
        <v/>
      </c>
    </row>
    <row r="2530" ht="15" customHeight="1" s="231">
      <c r="A2530" s="397" t="n"/>
      <c r="B2530" s="397" t="n"/>
      <c r="C2530" s="397" t="n"/>
      <c r="D2530" s="397" t="n"/>
      <c r="E2530" s="397" t="n"/>
      <c r="F2530" s="397" t="n"/>
      <c r="G2530" s="397" t="n"/>
      <c r="I2530" s="397" t="n"/>
      <c r="J2530" s="397" t="n"/>
      <c r="K2530" s="395">
        <f>DATE(VALUE(LEFT(A2530,4)),VALUE(MID(A2530,5,2)),VALUE(RIGHT(A2530,2)))</f>
        <v/>
      </c>
      <c r="L2530" s="395">
        <f>DATEVALUE(LEFT(F2530,10))</f>
        <v/>
      </c>
      <c r="M2530" s="396">
        <f>TIMEVALUE(MID(F2530,12,8))</f>
        <v/>
      </c>
      <c r="N2530" s="395">
        <f>DATEVALUE(LEFT(G2530,10))</f>
        <v/>
      </c>
      <c r="O2530" s="396">
        <f>TIMEVALUE(MID(G2530,12,8))</f>
        <v/>
      </c>
      <c r="P2530" s="396">
        <f>IFERROR(_xlfn.MINIFS($M:$M,$E:$E,$E2530,$K:$K,$K2530,$M:$M,"&gt;"&amp;$O2530),"")</f>
        <v/>
      </c>
      <c r="Q2530" s="396">
        <f>IF($P2530="","",$P2530-$O2530)</f>
        <v/>
      </c>
    </row>
    <row r="2531" ht="15" customHeight="1" s="231">
      <c r="A2531" s="397" t="n"/>
      <c r="B2531" s="397" t="n"/>
      <c r="C2531" s="397" t="n"/>
      <c r="D2531" s="397" t="n"/>
      <c r="E2531" s="397" t="n"/>
      <c r="F2531" s="397" t="n"/>
      <c r="G2531" s="397" t="n"/>
      <c r="I2531" s="397" t="n"/>
      <c r="J2531" s="397" t="n"/>
      <c r="K2531" s="395">
        <f>DATE(VALUE(LEFT(A2531,4)),VALUE(MID(A2531,5,2)),VALUE(RIGHT(A2531,2)))</f>
        <v/>
      </c>
      <c r="L2531" s="395">
        <f>DATEVALUE(LEFT(F2531,10))</f>
        <v/>
      </c>
      <c r="M2531" s="396">
        <f>TIMEVALUE(MID(F2531,12,8))</f>
        <v/>
      </c>
      <c r="N2531" s="395">
        <f>DATEVALUE(LEFT(G2531,10))</f>
        <v/>
      </c>
      <c r="O2531" s="396">
        <f>TIMEVALUE(MID(G2531,12,8))</f>
        <v/>
      </c>
      <c r="P2531" s="396">
        <f>IFERROR(_xlfn.MINIFS($M:$M,$E:$E,$E2531,$K:$K,$K2531,$M:$M,"&gt;"&amp;$O2531),"")</f>
        <v/>
      </c>
      <c r="Q2531" s="396">
        <f>IF($P2531="","",$P2531-$O2531)</f>
        <v/>
      </c>
    </row>
    <row r="2532" ht="15" customHeight="1" s="231">
      <c r="A2532" s="397" t="n"/>
      <c r="B2532" s="397" t="n"/>
      <c r="C2532" s="397" t="n"/>
      <c r="D2532" s="397" t="n"/>
      <c r="E2532" s="397" t="n"/>
      <c r="F2532" s="397" t="n"/>
      <c r="G2532" s="397" t="n"/>
      <c r="I2532" s="397" t="n"/>
      <c r="J2532" s="397" t="n"/>
      <c r="K2532" s="395">
        <f>DATE(VALUE(LEFT(A2532,4)),VALUE(MID(A2532,5,2)),VALUE(RIGHT(A2532,2)))</f>
        <v/>
      </c>
      <c r="L2532" s="395">
        <f>DATEVALUE(LEFT(F2532,10))</f>
        <v/>
      </c>
      <c r="M2532" s="396">
        <f>TIMEVALUE(MID(F2532,12,8))</f>
        <v/>
      </c>
      <c r="N2532" s="395">
        <f>DATEVALUE(LEFT(G2532,10))</f>
        <v/>
      </c>
      <c r="O2532" s="396">
        <f>TIMEVALUE(MID(G2532,12,8))</f>
        <v/>
      </c>
      <c r="P2532" s="396">
        <f>IFERROR(_xlfn.MINIFS($M:$M,$E:$E,$E2532,$K:$K,$K2532,$M:$M,"&gt;"&amp;$O2532),"")</f>
        <v/>
      </c>
      <c r="Q2532" s="396">
        <f>IF($P2532="","",$P2532-$O2532)</f>
        <v/>
      </c>
    </row>
    <row r="2533" ht="15" customHeight="1" s="231">
      <c r="A2533" s="397" t="n"/>
      <c r="B2533" s="397" t="n"/>
      <c r="C2533" s="397" t="n"/>
      <c r="D2533" s="397" t="n"/>
      <c r="E2533" s="397" t="n"/>
      <c r="F2533" s="397" t="n"/>
      <c r="G2533" s="397" t="n"/>
      <c r="I2533" s="397" t="n"/>
      <c r="J2533" s="397" t="n"/>
      <c r="K2533" s="395">
        <f>DATE(VALUE(LEFT(A2533,4)),VALUE(MID(A2533,5,2)),VALUE(RIGHT(A2533,2)))</f>
        <v/>
      </c>
      <c r="L2533" s="395">
        <f>DATEVALUE(LEFT(F2533,10))</f>
        <v/>
      </c>
      <c r="M2533" s="396">
        <f>TIMEVALUE(MID(F2533,12,8))</f>
        <v/>
      </c>
      <c r="N2533" s="395">
        <f>DATEVALUE(LEFT(G2533,10))</f>
        <v/>
      </c>
      <c r="O2533" s="396">
        <f>TIMEVALUE(MID(G2533,12,8))</f>
        <v/>
      </c>
      <c r="P2533" s="396">
        <f>IFERROR(_xlfn.MINIFS($M:$M,$E:$E,$E2533,$K:$K,$K2533,$M:$M,"&gt;"&amp;$O2533),"")</f>
        <v/>
      </c>
      <c r="Q2533" s="396">
        <f>IF($P2533="","",$P2533-$O2533)</f>
        <v/>
      </c>
    </row>
    <row r="2534" ht="15" customHeight="1" s="231">
      <c r="A2534" s="397" t="n"/>
      <c r="B2534" s="397" t="n"/>
      <c r="C2534" s="397" t="n"/>
      <c r="D2534" s="397" t="n"/>
      <c r="E2534" s="397" t="n"/>
      <c r="F2534" s="397" t="n"/>
      <c r="G2534" s="397" t="n"/>
      <c r="I2534" s="397" t="n"/>
      <c r="J2534" s="397" t="n"/>
      <c r="K2534" s="395">
        <f>DATE(VALUE(LEFT(A2534,4)),VALUE(MID(A2534,5,2)),VALUE(RIGHT(A2534,2)))</f>
        <v/>
      </c>
      <c r="L2534" s="395">
        <f>DATEVALUE(LEFT(F2534,10))</f>
        <v/>
      </c>
      <c r="M2534" s="396">
        <f>TIMEVALUE(MID(F2534,12,8))</f>
        <v/>
      </c>
      <c r="N2534" s="395">
        <f>DATEVALUE(LEFT(G2534,10))</f>
        <v/>
      </c>
      <c r="O2534" s="396">
        <f>TIMEVALUE(MID(G2534,12,8))</f>
        <v/>
      </c>
      <c r="P2534" s="396">
        <f>IFERROR(_xlfn.MINIFS($M:$M,$E:$E,$E2534,$K:$K,$K2534,$M:$M,"&gt;"&amp;$O2534),"")</f>
        <v/>
      </c>
      <c r="Q2534" s="396">
        <f>IF($P2534="","",$P2534-$O2534)</f>
        <v/>
      </c>
    </row>
    <row r="2535" ht="15" customHeight="1" s="231">
      <c r="A2535" s="397" t="n"/>
      <c r="B2535" s="397" t="n"/>
      <c r="C2535" s="397" t="n"/>
      <c r="D2535" s="397" t="n"/>
      <c r="E2535" s="397" t="n"/>
      <c r="F2535" s="397" t="n"/>
      <c r="G2535" s="397" t="n"/>
      <c r="I2535" s="397" t="n"/>
      <c r="J2535" s="397" t="n"/>
      <c r="K2535" s="395">
        <f>DATE(VALUE(LEFT(A2535,4)),VALUE(MID(A2535,5,2)),VALUE(RIGHT(A2535,2)))</f>
        <v/>
      </c>
      <c r="L2535" s="395">
        <f>DATEVALUE(LEFT(F2535,10))</f>
        <v/>
      </c>
      <c r="M2535" s="396">
        <f>TIMEVALUE(MID(F2535,12,8))</f>
        <v/>
      </c>
      <c r="N2535" s="395">
        <f>DATEVALUE(LEFT(G2535,10))</f>
        <v/>
      </c>
      <c r="O2535" s="396">
        <f>TIMEVALUE(MID(G2535,12,8))</f>
        <v/>
      </c>
      <c r="P2535" s="396">
        <f>IFERROR(_xlfn.MINIFS($M:$M,$E:$E,$E2535,$K:$K,$K2535,$M:$M,"&gt;"&amp;$O2535),"")</f>
        <v/>
      </c>
      <c r="Q2535" s="396">
        <f>IF($P2535="","",$P2535-$O2535)</f>
        <v/>
      </c>
    </row>
    <row r="2536" ht="15" customHeight="1" s="231">
      <c r="A2536" s="397" t="n"/>
      <c r="B2536" s="397" t="n"/>
      <c r="C2536" s="397" t="n"/>
      <c r="D2536" s="397" t="n"/>
      <c r="E2536" s="397" t="n"/>
      <c r="F2536" s="397" t="n"/>
      <c r="G2536" s="397" t="n"/>
      <c r="I2536" s="397" t="n"/>
      <c r="J2536" s="397" t="n"/>
      <c r="K2536" s="395">
        <f>DATE(VALUE(LEFT(A2536,4)),VALUE(MID(A2536,5,2)),VALUE(RIGHT(A2536,2)))</f>
        <v/>
      </c>
      <c r="L2536" s="395">
        <f>DATEVALUE(LEFT(F2536,10))</f>
        <v/>
      </c>
      <c r="M2536" s="396">
        <f>TIMEVALUE(MID(F2536,12,8))</f>
        <v/>
      </c>
      <c r="N2536" s="395">
        <f>DATEVALUE(LEFT(G2536,10))</f>
        <v/>
      </c>
      <c r="O2536" s="396">
        <f>TIMEVALUE(MID(G2536,12,8))</f>
        <v/>
      </c>
      <c r="P2536" s="396">
        <f>IFERROR(_xlfn.MINIFS($M:$M,$E:$E,$E2536,$K:$K,$K2536,$M:$M,"&gt;"&amp;$O2536),"")</f>
        <v/>
      </c>
      <c r="Q2536" s="396">
        <f>IF($P2536="","",$P2536-$O2536)</f>
        <v/>
      </c>
    </row>
    <row r="2537" ht="15" customHeight="1" s="231">
      <c r="A2537" s="397" t="n"/>
      <c r="B2537" s="397" t="n"/>
      <c r="C2537" s="397" t="n"/>
      <c r="D2537" s="397" t="n"/>
      <c r="E2537" s="397" t="n"/>
      <c r="F2537" s="397" t="n"/>
      <c r="G2537" s="397" t="n"/>
      <c r="I2537" s="397" t="n"/>
      <c r="J2537" s="397" t="n"/>
      <c r="K2537" s="395">
        <f>DATE(VALUE(LEFT(A2537,4)),VALUE(MID(A2537,5,2)),VALUE(RIGHT(A2537,2)))</f>
        <v/>
      </c>
      <c r="L2537" s="395">
        <f>DATEVALUE(LEFT(F2537,10))</f>
        <v/>
      </c>
      <c r="M2537" s="396">
        <f>TIMEVALUE(MID(F2537,12,8))</f>
        <v/>
      </c>
      <c r="N2537" s="395">
        <f>DATEVALUE(LEFT(G2537,10))</f>
        <v/>
      </c>
      <c r="O2537" s="396">
        <f>TIMEVALUE(MID(G2537,12,8))</f>
        <v/>
      </c>
      <c r="P2537" s="396">
        <f>IFERROR(_xlfn.MINIFS($M:$M,$E:$E,$E2537,$K:$K,$K2537,$M:$M,"&gt;"&amp;$O2537),"")</f>
        <v/>
      </c>
      <c r="Q2537" s="396">
        <f>IF($P2537="","",$P2537-$O2537)</f>
        <v/>
      </c>
    </row>
    <row r="2538" ht="15" customHeight="1" s="231">
      <c r="A2538" s="397" t="n"/>
      <c r="B2538" s="397" t="n"/>
      <c r="C2538" s="397" t="n"/>
      <c r="D2538" s="397" t="n"/>
      <c r="E2538" s="397" t="n"/>
      <c r="F2538" s="397" t="n"/>
      <c r="G2538" s="397" t="n"/>
      <c r="I2538" s="397" t="n"/>
      <c r="J2538" s="397" t="n"/>
      <c r="K2538" s="395">
        <f>DATE(VALUE(LEFT(A2538,4)),VALUE(MID(A2538,5,2)),VALUE(RIGHT(A2538,2)))</f>
        <v/>
      </c>
      <c r="L2538" s="395">
        <f>DATEVALUE(LEFT(F2538,10))</f>
        <v/>
      </c>
      <c r="M2538" s="396">
        <f>TIMEVALUE(MID(F2538,12,8))</f>
        <v/>
      </c>
      <c r="N2538" s="395">
        <f>DATEVALUE(LEFT(G2538,10))</f>
        <v/>
      </c>
      <c r="O2538" s="396">
        <f>TIMEVALUE(MID(G2538,12,8))</f>
        <v/>
      </c>
      <c r="P2538" s="396">
        <f>IFERROR(_xlfn.MINIFS($M:$M,$E:$E,$E2538,$K:$K,$K2538,$M:$M,"&gt;"&amp;$O2538),"")</f>
        <v/>
      </c>
      <c r="Q2538" s="396">
        <f>IF($P2538="","",$P2538-$O2538)</f>
        <v/>
      </c>
    </row>
    <row r="2539" ht="15" customHeight="1" s="231">
      <c r="A2539" s="397" t="n"/>
      <c r="B2539" s="397" t="n"/>
      <c r="C2539" s="397" t="n"/>
      <c r="D2539" s="397" t="n"/>
      <c r="E2539" s="397" t="n"/>
      <c r="F2539" s="397" t="n"/>
      <c r="G2539" s="397" t="n"/>
      <c r="I2539" s="397" t="n"/>
      <c r="J2539" s="397" t="n"/>
      <c r="K2539" s="395">
        <f>DATE(VALUE(LEFT(A2539,4)),VALUE(MID(A2539,5,2)),VALUE(RIGHT(A2539,2)))</f>
        <v/>
      </c>
      <c r="L2539" s="395">
        <f>DATEVALUE(LEFT(F2539,10))</f>
        <v/>
      </c>
      <c r="M2539" s="396">
        <f>TIMEVALUE(MID(F2539,12,8))</f>
        <v/>
      </c>
      <c r="N2539" s="395">
        <f>DATEVALUE(LEFT(G2539,10))</f>
        <v/>
      </c>
      <c r="O2539" s="396">
        <f>TIMEVALUE(MID(G2539,12,8))</f>
        <v/>
      </c>
      <c r="P2539" s="396">
        <f>IFERROR(_xlfn.MINIFS($M:$M,$E:$E,$E2539,$K:$K,$K2539,$M:$M,"&gt;"&amp;$O2539),"")</f>
        <v/>
      </c>
      <c r="Q2539" s="396">
        <f>IF($P2539="","",$P2539-$O2539)</f>
        <v/>
      </c>
    </row>
    <row r="2540" ht="15" customHeight="1" s="231">
      <c r="A2540" s="397" t="n"/>
      <c r="B2540" s="397" t="n"/>
      <c r="C2540" s="397" t="n"/>
      <c r="D2540" s="397" t="n"/>
      <c r="E2540" s="397" t="n"/>
      <c r="F2540" s="397" t="n"/>
      <c r="G2540" s="397" t="n"/>
      <c r="I2540" s="397" t="n"/>
      <c r="J2540" s="397" t="n"/>
      <c r="K2540" s="395">
        <f>DATE(VALUE(LEFT(A2540,4)),VALUE(MID(A2540,5,2)),VALUE(RIGHT(A2540,2)))</f>
        <v/>
      </c>
      <c r="L2540" s="395">
        <f>DATEVALUE(LEFT(F2540,10))</f>
        <v/>
      </c>
      <c r="M2540" s="396">
        <f>TIMEVALUE(MID(F2540,12,8))</f>
        <v/>
      </c>
      <c r="N2540" s="395">
        <f>DATEVALUE(LEFT(G2540,10))</f>
        <v/>
      </c>
      <c r="O2540" s="396">
        <f>TIMEVALUE(MID(G2540,12,8))</f>
        <v/>
      </c>
      <c r="P2540" s="396">
        <f>IFERROR(_xlfn.MINIFS($M:$M,$E:$E,$E2540,$K:$K,$K2540,$M:$M,"&gt;"&amp;$O2540),"")</f>
        <v/>
      </c>
      <c r="Q2540" s="396">
        <f>IF($P2540="","",$P2540-$O2540)</f>
        <v/>
      </c>
    </row>
    <row r="2541" ht="15" customHeight="1" s="231">
      <c r="A2541" s="397" t="n"/>
      <c r="B2541" s="397" t="n"/>
      <c r="C2541" s="397" t="n"/>
      <c r="D2541" s="397" t="n"/>
      <c r="E2541" s="397" t="n"/>
      <c r="F2541" s="397" t="n"/>
      <c r="G2541" s="397" t="n"/>
      <c r="I2541" s="397" t="n"/>
      <c r="J2541" s="397" t="n"/>
      <c r="K2541" s="395">
        <f>DATE(VALUE(LEFT(A2541,4)),VALUE(MID(A2541,5,2)),VALUE(RIGHT(A2541,2)))</f>
        <v/>
      </c>
      <c r="L2541" s="395">
        <f>DATEVALUE(LEFT(F2541,10))</f>
        <v/>
      </c>
      <c r="M2541" s="396">
        <f>TIMEVALUE(MID(F2541,12,8))</f>
        <v/>
      </c>
      <c r="N2541" s="395">
        <f>DATEVALUE(LEFT(G2541,10))</f>
        <v/>
      </c>
      <c r="O2541" s="396">
        <f>TIMEVALUE(MID(G2541,12,8))</f>
        <v/>
      </c>
      <c r="P2541" s="396">
        <f>IFERROR(_xlfn.MINIFS($M:$M,$E:$E,$E2541,$K:$K,$K2541,$M:$M,"&gt;"&amp;$O2541),"")</f>
        <v/>
      </c>
      <c r="Q2541" s="396">
        <f>IF($P2541="","",$P2541-$O2541)</f>
        <v/>
      </c>
    </row>
    <row r="2542" ht="15" customHeight="1" s="231">
      <c r="A2542" s="397" t="n"/>
      <c r="B2542" s="397" t="n"/>
      <c r="C2542" s="397" t="n"/>
      <c r="D2542" s="397" t="n"/>
      <c r="E2542" s="397" t="n"/>
      <c r="F2542" s="397" t="n"/>
      <c r="G2542" s="397" t="n"/>
      <c r="I2542" s="397" t="n"/>
      <c r="J2542" s="397" t="n"/>
      <c r="K2542" s="395">
        <f>DATE(VALUE(LEFT(A2542,4)),VALUE(MID(A2542,5,2)),VALUE(RIGHT(A2542,2)))</f>
        <v/>
      </c>
      <c r="L2542" s="395">
        <f>DATEVALUE(LEFT(F2542,10))</f>
        <v/>
      </c>
      <c r="M2542" s="396">
        <f>TIMEVALUE(MID(F2542,12,8))</f>
        <v/>
      </c>
      <c r="N2542" s="395">
        <f>DATEVALUE(LEFT(G2542,10))</f>
        <v/>
      </c>
      <c r="O2542" s="396">
        <f>TIMEVALUE(MID(G2542,12,8))</f>
        <v/>
      </c>
      <c r="P2542" s="396">
        <f>IFERROR(_xlfn.MINIFS($M:$M,$E:$E,$E2542,$K:$K,$K2542,$M:$M,"&gt;"&amp;$O2542),"")</f>
        <v/>
      </c>
      <c r="Q2542" s="396">
        <f>IF($P2542="","",$P2542-$O2542)</f>
        <v/>
      </c>
    </row>
    <row r="2543" ht="15" customHeight="1" s="231">
      <c r="A2543" s="397" t="n"/>
      <c r="B2543" s="397" t="n"/>
      <c r="C2543" s="397" t="n"/>
      <c r="D2543" s="397" t="n"/>
      <c r="E2543" s="397" t="n"/>
      <c r="F2543" s="397" t="n"/>
      <c r="G2543" s="397" t="n"/>
      <c r="I2543" s="397" t="n"/>
      <c r="J2543" s="397" t="n"/>
      <c r="K2543" s="395">
        <f>DATE(VALUE(LEFT(A2543,4)),VALUE(MID(A2543,5,2)),VALUE(RIGHT(A2543,2)))</f>
        <v/>
      </c>
      <c r="L2543" s="395">
        <f>DATEVALUE(LEFT(F2543,10))</f>
        <v/>
      </c>
      <c r="M2543" s="396">
        <f>TIMEVALUE(MID(F2543,12,8))</f>
        <v/>
      </c>
      <c r="N2543" s="395">
        <f>DATEVALUE(LEFT(G2543,10))</f>
        <v/>
      </c>
      <c r="O2543" s="396">
        <f>TIMEVALUE(MID(G2543,12,8))</f>
        <v/>
      </c>
      <c r="P2543" s="396">
        <f>IFERROR(_xlfn.MINIFS($M:$M,$E:$E,$E2543,$K:$K,$K2543,$M:$M,"&gt;"&amp;$O2543),"")</f>
        <v/>
      </c>
      <c r="Q2543" s="396">
        <f>IF($P2543="","",$P2543-$O2543)</f>
        <v/>
      </c>
    </row>
    <row r="2544" ht="15" customHeight="1" s="231">
      <c r="A2544" s="397" t="n"/>
      <c r="B2544" s="397" t="n"/>
      <c r="C2544" s="397" t="n"/>
      <c r="D2544" s="397" t="n"/>
      <c r="E2544" s="397" t="n"/>
      <c r="F2544" s="397" t="n"/>
      <c r="G2544" s="397" t="n"/>
      <c r="I2544" s="397" t="n"/>
      <c r="J2544" s="397" t="n"/>
      <c r="K2544" s="395">
        <f>DATE(VALUE(LEFT(A2544,4)),VALUE(MID(A2544,5,2)),VALUE(RIGHT(A2544,2)))</f>
        <v/>
      </c>
      <c r="L2544" s="395">
        <f>DATEVALUE(LEFT(F2544,10))</f>
        <v/>
      </c>
      <c r="M2544" s="396">
        <f>TIMEVALUE(MID(F2544,12,8))</f>
        <v/>
      </c>
      <c r="N2544" s="395">
        <f>DATEVALUE(LEFT(G2544,10))</f>
        <v/>
      </c>
      <c r="O2544" s="396">
        <f>TIMEVALUE(MID(G2544,12,8))</f>
        <v/>
      </c>
      <c r="P2544" s="396">
        <f>IFERROR(_xlfn.MINIFS($M:$M,$E:$E,$E2544,$K:$K,$K2544,$M:$M,"&gt;"&amp;$O2544),"")</f>
        <v/>
      </c>
      <c r="Q2544" s="396">
        <f>IF($P2544="","",$P2544-$O2544)</f>
        <v/>
      </c>
    </row>
    <row r="2545" ht="15" customHeight="1" s="231">
      <c r="A2545" s="397" t="n"/>
      <c r="B2545" s="397" t="n"/>
      <c r="C2545" s="397" t="n"/>
      <c r="D2545" s="397" t="n"/>
      <c r="E2545" s="397" t="n"/>
      <c r="F2545" s="397" t="n"/>
      <c r="G2545" s="397" t="n"/>
      <c r="I2545" s="397" t="n"/>
      <c r="J2545" s="397" t="n"/>
      <c r="K2545" s="395">
        <f>DATE(VALUE(LEFT(A2545,4)),VALUE(MID(A2545,5,2)),VALUE(RIGHT(A2545,2)))</f>
        <v/>
      </c>
      <c r="L2545" s="395">
        <f>DATEVALUE(LEFT(F2545,10))</f>
        <v/>
      </c>
      <c r="M2545" s="396">
        <f>TIMEVALUE(MID(F2545,12,8))</f>
        <v/>
      </c>
      <c r="N2545" s="395">
        <f>DATEVALUE(LEFT(G2545,10))</f>
        <v/>
      </c>
      <c r="O2545" s="396">
        <f>TIMEVALUE(MID(G2545,12,8))</f>
        <v/>
      </c>
      <c r="P2545" s="396">
        <f>IFERROR(_xlfn.MINIFS($M:$M,$E:$E,$E2545,$K:$K,$K2545,$M:$M,"&gt;"&amp;$O2545),"")</f>
        <v/>
      </c>
      <c r="Q2545" s="396">
        <f>IF($P2545="","",$P2545-$O2545)</f>
        <v/>
      </c>
    </row>
    <row r="2546" ht="15" customHeight="1" s="231">
      <c r="A2546" s="397" t="n"/>
      <c r="B2546" s="397" t="n"/>
      <c r="C2546" s="397" t="n"/>
      <c r="D2546" s="397" t="n"/>
      <c r="E2546" s="397" t="n"/>
      <c r="F2546" s="397" t="n"/>
      <c r="G2546" s="397" t="n"/>
      <c r="I2546" s="397" t="n"/>
      <c r="J2546" s="397" t="n"/>
      <c r="K2546" s="395">
        <f>DATE(VALUE(LEFT(A2546,4)),VALUE(MID(A2546,5,2)),VALUE(RIGHT(A2546,2)))</f>
        <v/>
      </c>
      <c r="L2546" s="395">
        <f>DATEVALUE(LEFT(F2546,10))</f>
        <v/>
      </c>
      <c r="M2546" s="396">
        <f>TIMEVALUE(MID(F2546,12,8))</f>
        <v/>
      </c>
      <c r="N2546" s="395">
        <f>DATEVALUE(LEFT(G2546,10))</f>
        <v/>
      </c>
      <c r="O2546" s="396">
        <f>TIMEVALUE(MID(G2546,12,8))</f>
        <v/>
      </c>
      <c r="P2546" s="396">
        <f>IFERROR(_xlfn.MINIFS($M:$M,$E:$E,$E2546,$K:$K,$K2546,$M:$M,"&gt;"&amp;$O2546),"")</f>
        <v/>
      </c>
      <c r="Q2546" s="396">
        <f>IF($P2546="","",$P2546-$O2546)</f>
        <v/>
      </c>
    </row>
    <row r="2547" ht="15" customHeight="1" s="231">
      <c r="A2547" s="397" t="n"/>
      <c r="B2547" s="397" t="n"/>
      <c r="C2547" s="397" t="n"/>
      <c r="D2547" s="397" t="n"/>
      <c r="E2547" s="397" t="n"/>
      <c r="F2547" s="397" t="n"/>
      <c r="G2547" s="397" t="n"/>
      <c r="I2547" s="397" t="n"/>
      <c r="J2547" s="397" t="n"/>
      <c r="K2547" s="395">
        <f>DATE(VALUE(LEFT(A2547,4)),VALUE(MID(A2547,5,2)),VALUE(RIGHT(A2547,2)))</f>
        <v/>
      </c>
      <c r="L2547" s="395">
        <f>DATEVALUE(LEFT(F2547,10))</f>
        <v/>
      </c>
      <c r="M2547" s="396">
        <f>TIMEVALUE(MID(F2547,12,8))</f>
        <v/>
      </c>
      <c r="N2547" s="395">
        <f>DATEVALUE(LEFT(G2547,10))</f>
        <v/>
      </c>
      <c r="O2547" s="396">
        <f>TIMEVALUE(MID(G2547,12,8))</f>
        <v/>
      </c>
      <c r="P2547" s="396">
        <f>IFERROR(_xlfn.MINIFS($M:$M,$E:$E,$E2547,$K:$K,$K2547,$M:$M,"&gt;"&amp;$O2547),"")</f>
        <v/>
      </c>
      <c r="Q2547" s="396">
        <f>IF($P2547="","",$P2547-$O2547)</f>
        <v/>
      </c>
    </row>
    <row r="2548" ht="15" customHeight="1" s="231">
      <c r="A2548" s="397" t="n"/>
      <c r="B2548" s="397" t="n"/>
      <c r="C2548" s="397" t="n"/>
      <c r="D2548" s="397" t="n"/>
      <c r="E2548" s="397" t="n"/>
      <c r="F2548" s="397" t="n"/>
      <c r="G2548" s="397" t="n"/>
      <c r="I2548" s="397" t="n"/>
      <c r="J2548" s="397" t="n"/>
      <c r="K2548" s="395">
        <f>DATE(VALUE(LEFT(A2548,4)),VALUE(MID(A2548,5,2)),VALUE(RIGHT(A2548,2)))</f>
        <v/>
      </c>
      <c r="L2548" s="395">
        <f>DATEVALUE(LEFT(F2548,10))</f>
        <v/>
      </c>
      <c r="M2548" s="396">
        <f>TIMEVALUE(MID(F2548,12,8))</f>
        <v/>
      </c>
      <c r="N2548" s="395">
        <f>DATEVALUE(LEFT(G2548,10))</f>
        <v/>
      </c>
      <c r="O2548" s="396">
        <f>TIMEVALUE(MID(G2548,12,8))</f>
        <v/>
      </c>
      <c r="P2548" s="396">
        <f>IFERROR(_xlfn.MINIFS($M:$M,$E:$E,$E2548,$K:$K,$K2548,$M:$M,"&gt;"&amp;$O2548),"")</f>
        <v/>
      </c>
      <c r="Q2548" s="396">
        <f>IF($P2548="","",$P2548-$O2548)</f>
        <v/>
      </c>
    </row>
    <row r="2549" ht="15" customHeight="1" s="231">
      <c r="A2549" s="397" t="n"/>
      <c r="B2549" s="397" t="n"/>
      <c r="C2549" s="397" t="n"/>
      <c r="D2549" s="397" t="n"/>
      <c r="E2549" s="397" t="n"/>
      <c r="F2549" s="397" t="n"/>
      <c r="G2549" s="397" t="n"/>
      <c r="I2549" s="397" t="n"/>
      <c r="J2549" s="397" t="n"/>
      <c r="K2549" s="395">
        <f>DATE(VALUE(LEFT(A2549,4)),VALUE(MID(A2549,5,2)),VALUE(RIGHT(A2549,2)))</f>
        <v/>
      </c>
      <c r="L2549" s="395">
        <f>DATEVALUE(LEFT(F2549,10))</f>
        <v/>
      </c>
      <c r="M2549" s="396">
        <f>TIMEVALUE(MID(F2549,12,8))</f>
        <v/>
      </c>
      <c r="N2549" s="395">
        <f>DATEVALUE(LEFT(G2549,10))</f>
        <v/>
      </c>
      <c r="O2549" s="396">
        <f>TIMEVALUE(MID(G2549,12,8))</f>
        <v/>
      </c>
      <c r="P2549" s="396">
        <f>IFERROR(_xlfn.MINIFS($M:$M,$E:$E,$E2549,$K:$K,$K2549,$M:$M,"&gt;"&amp;$O2549),"")</f>
        <v/>
      </c>
      <c r="Q2549" s="396">
        <f>IF($P2549="","",$P2549-$O2549)</f>
        <v/>
      </c>
    </row>
    <row r="2550" ht="15" customHeight="1" s="231">
      <c r="A2550" s="397" t="n"/>
      <c r="B2550" s="397" t="n"/>
      <c r="C2550" s="397" t="n"/>
      <c r="D2550" s="397" t="n"/>
      <c r="E2550" s="397" t="n"/>
      <c r="F2550" s="397" t="n"/>
      <c r="G2550" s="397" t="n"/>
      <c r="I2550" s="397" t="n"/>
      <c r="J2550" s="397" t="n"/>
      <c r="K2550" s="395">
        <f>DATE(VALUE(LEFT(A2550,4)),VALUE(MID(A2550,5,2)),VALUE(RIGHT(A2550,2)))</f>
        <v/>
      </c>
      <c r="L2550" s="395">
        <f>DATEVALUE(LEFT(F2550,10))</f>
        <v/>
      </c>
      <c r="M2550" s="396">
        <f>TIMEVALUE(MID(F2550,12,8))</f>
        <v/>
      </c>
      <c r="N2550" s="395">
        <f>DATEVALUE(LEFT(G2550,10))</f>
        <v/>
      </c>
      <c r="O2550" s="396">
        <f>TIMEVALUE(MID(G2550,12,8))</f>
        <v/>
      </c>
      <c r="P2550" s="396">
        <f>IFERROR(_xlfn.MINIFS($M:$M,$E:$E,$E2550,$K:$K,$K2550,$M:$M,"&gt;"&amp;$O2550),"")</f>
        <v/>
      </c>
      <c r="Q2550" s="396">
        <f>IF($P2550="","",$P2550-$O2550)</f>
        <v/>
      </c>
    </row>
    <row r="2551" ht="15" customHeight="1" s="231">
      <c r="A2551" s="397" t="n"/>
      <c r="B2551" s="397" t="n"/>
      <c r="C2551" s="397" t="n"/>
      <c r="D2551" s="397" t="n"/>
      <c r="E2551" s="397" t="n"/>
      <c r="F2551" s="397" t="n"/>
      <c r="G2551" s="397" t="n"/>
      <c r="I2551" s="397" t="n"/>
      <c r="J2551" s="397" t="n"/>
      <c r="K2551" s="395">
        <f>DATE(VALUE(LEFT(A2551,4)),VALUE(MID(A2551,5,2)),VALUE(RIGHT(A2551,2)))</f>
        <v/>
      </c>
      <c r="L2551" s="395">
        <f>DATEVALUE(LEFT(F2551,10))</f>
        <v/>
      </c>
      <c r="M2551" s="396">
        <f>TIMEVALUE(MID(F2551,12,8))</f>
        <v/>
      </c>
      <c r="N2551" s="395">
        <f>DATEVALUE(LEFT(G2551,10))</f>
        <v/>
      </c>
      <c r="O2551" s="396">
        <f>TIMEVALUE(MID(G2551,12,8))</f>
        <v/>
      </c>
      <c r="P2551" s="396">
        <f>IFERROR(_xlfn.MINIFS($M:$M,$E:$E,$E2551,$K:$K,$K2551,$M:$M,"&gt;"&amp;$O2551),"")</f>
        <v/>
      </c>
      <c r="Q2551" s="396">
        <f>IF($P2551="","",$P2551-$O2551)</f>
        <v/>
      </c>
    </row>
    <row r="2552" ht="15" customHeight="1" s="231">
      <c r="A2552" s="397" t="n"/>
      <c r="B2552" s="397" t="n"/>
      <c r="C2552" s="397" t="n"/>
      <c r="D2552" s="397" t="n"/>
      <c r="E2552" s="397" t="n"/>
      <c r="F2552" s="397" t="n"/>
      <c r="G2552" s="397" t="n"/>
      <c r="I2552" s="397" t="n"/>
      <c r="J2552" s="397" t="n"/>
      <c r="K2552" s="395">
        <f>DATE(VALUE(LEFT(A2552,4)),VALUE(MID(A2552,5,2)),VALUE(RIGHT(A2552,2)))</f>
        <v/>
      </c>
      <c r="L2552" s="395">
        <f>DATEVALUE(LEFT(F2552,10))</f>
        <v/>
      </c>
      <c r="M2552" s="396">
        <f>TIMEVALUE(MID(F2552,12,8))</f>
        <v/>
      </c>
      <c r="N2552" s="395">
        <f>DATEVALUE(LEFT(G2552,10))</f>
        <v/>
      </c>
      <c r="O2552" s="396">
        <f>TIMEVALUE(MID(G2552,12,8))</f>
        <v/>
      </c>
      <c r="P2552" s="396">
        <f>IFERROR(_xlfn.MINIFS($M:$M,$E:$E,$E2552,$K:$K,$K2552,$M:$M,"&gt;"&amp;$O2552),"")</f>
        <v/>
      </c>
      <c r="Q2552" s="396">
        <f>IF($P2552="","",$P2552-$O2552)</f>
        <v/>
      </c>
    </row>
    <row r="2553" ht="15" customHeight="1" s="231">
      <c r="A2553" s="397" t="n"/>
      <c r="B2553" s="397" t="n"/>
      <c r="C2553" s="397" t="n"/>
      <c r="D2553" s="397" t="n"/>
      <c r="E2553" s="397" t="n"/>
      <c r="F2553" s="397" t="n"/>
      <c r="G2553" s="397" t="n"/>
      <c r="I2553" s="397" t="n"/>
      <c r="J2553" s="397" t="n"/>
      <c r="K2553" s="395">
        <f>DATE(VALUE(LEFT(A2553,4)),VALUE(MID(A2553,5,2)),VALUE(RIGHT(A2553,2)))</f>
        <v/>
      </c>
      <c r="L2553" s="395">
        <f>DATEVALUE(LEFT(F2553,10))</f>
        <v/>
      </c>
      <c r="M2553" s="396">
        <f>TIMEVALUE(MID(F2553,12,8))</f>
        <v/>
      </c>
      <c r="N2553" s="395">
        <f>DATEVALUE(LEFT(G2553,10))</f>
        <v/>
      </c>
      <c r="O2553" s="396">
        <f>TIMEVALUE(MID(G2553,12,8))</f>
        <v/>
      </c>
      <c r="P2553" s="396">
        <f>IFERROR(_xlfn.MINIFS($M:$M,$E:$E,$E2553,$K:$K,$K2553,$M:$M,"&gt;"&amp;$O2553),"")</f>
        <v/>
      </c>
      <c r="Q2553" s="396">
        <f>IF($P2553="","",$P2553-$O2553)</f>
        <v/>
      </c>
    </row>
    <row r="2554" ht="15" customHeight="1" s="231">
      <c r="A2554" s="397" t="n"/>
      <c r="B2554" s="397" t="n"/>
      <c r="C2554" s="397" t="n"/>
      <c r="D2554" s="397" t="n"/>
      <c r="E2554" s="397" t="n"/>
      <c r="F2554" s="397" t="n"/>
      <c r="G2554" s="397" t="n"/>
      <c r="I2554" s="397" t="n"/>
      <c r="J2554" s="397" t="n"/>
      <c r="K2554" s="395">
        <f>DATE(VALUE(LEFT(A2554,4)),VALUE(MID(A2554,5,2)),VALUE(RIGHT(A2554,2)))</f>
        <v/>
      </c>
      <c r="L2554" s="395">
        <f>DATEVALUE(LEFT(F2554,10))</f>
        <v/>
      </c>
      <c r="M2554" s="396">
        <f>TIMEVALUE(MID(F2554,12,8))</f>
        <v/>
      </c>
      <c r="N2554" s="395">
        <f>DATEVALUE(LEFT(G2554,10))</f>
        <v/>
      </c>
      <c r="O2554" s="396">
        <f>TIMEVALUE(MID(G2554,12,8))</f>
        <v/>
      </c>
      <c r="P2554" s="396">
        <f>IFERROR(_xlfn.MINIFS($M:$M,$E:$E,$E2554,$K:$K,$K2554,$M:$M,"&gt;"&amp;$O2554),"")</f>
        <v/>
      </c>
      <c r="Q2554" s="396">
        <f>IF($P2554="","",$P2554-$O2554)</f>
        <v/>
      </c>
    </row>
    <row r="2555" ht="15" customHeight="1" s="231">
      <c r="A2555" s="397" t="n"/>
      <c r="B2555" s="397" t="n"/>
      <c r="C2555" s="397" t="n"/>
      <c r="D2555" s="397" t="n"/>
      <c r="E2555" s="397" t="n"/>
      <c r="F2555" s="397" t="n"/>
      <c r="G2555" s="397" t="n"/>
      <c r="I2555" s="397" t="n"/>
      <c r="J2555" s="397" t="n"/>
      <c r="K2555" s="395">
        <f>DATE(VALUE(LEFT(A2555,4)),VALUE(MID(A2555,5,2)),VALUE(RIGHT(A2555,2)))</f>
        <v/>
      </c>
      <c r="L2555" s="395">
        <f>DATEVALUE(LEFT(F2555,10))</f>
        <v/>
      </c>
      <c r="M2555" s="396">
        <f>TIMEVALUE(MID(F2555,12,8))</f>
        <v/>
      </c>
      <c r="N2555" s="395">
        <f>DATEVALUE(LEFT(G2555,10))</f>
        <v/>
      </c>
      <c r="O2555" s="396">
        <f>TIMEVALUE(MID(G2555,12,8))</f>
        <v/>
      </c>
      <c r="P2555" s="396">
        <f>IFERROR(_xlfn.MINIFS($M:$M,$E:$E,$E2555,$K:$K,$K2555,$M:$M,"&gt;"&amp;$O2555),"")</f>
        <v/>
      </c>
      <c r="Q2555" s="396">
        <f>IF($P2555="","",$P2555-$O2555)</f>
        <v/>
      </c>
    </row>
    <row r="2556" ht="15" customHeight="1" s="231">
      <c r="A2556" s="397" t="n"/>
      <c r="B2556" s="397" t="n"/>
      <c r="C2556" s="397" t="n"/>
      <c r="D2556" s="397" t="n"/>
      <c r="E2556" s="397" t="n"/>
      <c r="F2556" s="397" t="n"/>
      <c r="G2556" s="397" t="n"/>
      <c r="I2556" s="397" t="n"/>
      <c r="J2556" s="397" t="n"/>
      <c r="K2556" s="395">
        <f>DATE(VALUE(LEFT(A2556,4)),VALUE(MID(A2556,5,2)),VALUE(RIGHT(A2556,2)))</f>
        <v/>
      </c>
      <c r="L2556" s="395">
        <f>DATEVALUE(LEFT(F2556,10))</f>
        <v/>
      </c>
      <c r="M2556" s="396">
        <f>TIMEVALUE(MID(F2556,12,8))</f>
        <v/>
      </c>
      <c r="N2556" s="395">
        <f>DATEVALUE(LEFT(G2556,10))</f>
        <v/>
      </c>
      <c r="O2556" s="396">
        <f>TIMEVALUE(MID(G2556,12,8))</f>
        <v/>
      </c>
      <c r="P2556" s="396">
        <f>IFERROR(_xlfn.MINIFS($M:$M,$E:$E,$E2556,$K:$K,$K2556,$M:$M,"&gt;"&amp;$O2556),"")</f>
        <v/>
      </c>
      <c r="Q2556" s="396">
        <f>IF($P2556="","",$P2556-$O2556)</f>
        <v/>
      </c>
    </row>
    <row r="2557" ht="15" customHeight="1" s="231">
      <c r="A2557" s="397" t="n"/>
      <c r="B2557" s="397" t="n"/>
      <c r="C2557" s="397" t="n"/>
      <c r="D2557" s="397" t="n"/>
      <c r="E2557" s="397" t="n"/>
      <c r="F2557" s="397" t="n"/>
      <c r="G2557" s="397" t="n"/>
      <c r="I2557" s="397" t="n"/>
      <c r="J2557" s="397" t="n"/>
      <c r="K2557" s="395">
        <f>DATE(VALUE(LEFT(A2557,4)),VALUE(MID(A2557,5,2)),VALUE(RIGHT(A2557,2)))</f>
        <v/>
      </c>
      <c r="L2557" s="395">
        <f>DATEVALUE(LEFT(F2557,10))</f>
        <v/>
      </c>
      <c r="M2557" s="396">
        <f>TIMEVALUE(MID(F2557,12,8))</f>
        <v/>
      </c>
      <c r="N2557" s="395">
        <f>DATEVALUE(LEFT(G2557,10))</f>
        <v/>
      </c>
      <c r="O2557" s="396">
        <f>TIMEVALUE(MID(G2557,12,8))</f>
        <v/>
      </c>
      <c r="P2557" s="396">
        <f>IFERROR(_xlfn.MINIFS($M:$M,$E:$E,$E2557,$K:$K,$K2557,$M:$M,"&gt;"&amp;$O2557),"")</f>
        <v/>
      </c>
      <c r="Q2557" s="396">
        <f>IF($P2557="","",$P2557-$O2557)</f>
        <v/>
      </c>
    </row>
    <row r="2558" ht="15" customHeight="1" s="231">
      <c r="A2558" s="397" t="n"/>
      <c r="B2558" s="397" t="n"/>
      <c r="C2558" s="397" t="n"/>
      <c r="D2558" s="397" t="n"/>
      <c r="E2558" s="397" t="n"/>
      <c r="F2558" s="397" t="n"/>
      <c r="G2558" s="397" t="n"/>
      <c r="I2558" s="397" t="n"/>
      <c r="J2558" s="397" t="n"/>
      <c r="K2558" s="395">
        <f>DATE(VALUE(LEFT(A2558,4)),VALUE(MID(A2558,5,2)),VALUE(RIGHT(A2558,2)))</f>
        <v/>
      </c>
      <c r="L2558" s="395">
        <f>DATEVALUE(LEFT(F2558,10))</f>
        <v/>
      </c>
      <c r="M2558" s="396">
        <f>TIMEVALUE(MID(F2558,12,8))</f>
        <v/>
      </c>
      <c r="N2558" s="395">
        <f>DATEVALUE(LEFT(G2558,10))</f>
        <v/>
      </c>
      <c r="O2558" s="396">
        <f>TIMEVALUE(MID(G2558,12,8))</f>
        <v/>
      </c>
      <c r="P2558" s="396">
        <f>IFERROR(_xlfn.MINIFS($M:$M,$E:$E,$E2558,$K:$K,$K2558,$M:$M,"&gt;"&amp;$O2558),"")</f>
        <v/>
      </c>
      <c r="Q2558" s="396">
        <f>IF($P2558="","",$P2558-$O2558)</f>
        <v/>
      </c>
    </row>
    <row r="2559" ht="15" customHeight="1" s="231">
      <c r="A2559" s="397" t="n"/>
      <c r="B2559" s="397" t="n"/>
      <c r="C2559" s="397" t="n"/>
      <c r="D2559" s="397" t="n"/>
      <c r="E2559" s="397" t="n"/>
      <c r="F2559" s="397" t="n"/>
      <c r="G2559" s="397" t="n"/>
      <c r="I2559" s="397" t="n"/>
      <c r="J2559" s="397" t="n"/>
      <c r="K2559" s="395">
        <f>DATE(VALUE(LEFT(A2559,4)),VALUE(MID(A2559,5,2)),VALUE(RIGHT(A2559,2)))</f>
        <v/>
      </c>
      <c r="L2559" s="395">
        <f>DATEVALUE(LEFT(F2559,10))</f>
        <v/>
      </c>
      <c r="M2559" s="396">
        <f>TIMEVALUE(MID(F2559,12,8))</f>
        <v/>
      </c>
      <c r="N2559" s="395">
        <f>DATEVALUE(LEFT(G2559,10))</f>
        <v/>
      </c>
      <c r="O2559" s="396">
        <f>TIMEVALUE(MID(G2559,12,8))</f>
        <v/>
      </c>
      <c r="P2559" s="396">
        <f>IFERROR(_xlfn.MINIFS($M:$M,$E:$E,$E2559,$K:$K,$K2559,$M:$M,"&gt;"&amp;$O2559),"")</f>
        <v/>
      </c>
      <c r="Q2559" s="396">
        <f>IF($P2559="","",$P2559-$O2559)</f>
        <v/>
      </c>
    </row>
    <row r="2560" ht="15" customHeight="1" s="231">
      <c r="A2560" s="397" t="n"/>
      <c r="B2560" s="397" t="n"/>
      <c r="C2560" s="397" t="n"/>
      <c r="D2560" s="397" t="n"/>
      <c r="E2560" s="397" t="n"/>
      <c r="F2560" s="397" t="n"/>
      <c r="G2560" s="397" t="n"/>
      <c r="I2560" s="397" t="n"/>
      <c r="J2560" s="397" t="n"/>
      <c r="K2560" s="395">
        <f>DATE(VALUE(LEFT(A2560,4)),VALUE(MID(A2560,5,2)),VALUE(RIGHT(A2560,2)))</f>
        <v/>
      </c>
      <c r="L2560" s="395">
        <f>DATEVALUE(LEFT(F2560,10))</f>
        <v/>
      </c>
      <c r="M2560" s="396">
        <f>TIMEVALUE(MID(F2560,12,8))</f>
        <v/>
      </c>
      <c r="N2560" s="395">
        <f>DATEVALUE(LEFT(G2560,10))</f>
        <v/>
      </c>
      <c r="O2560" s="396">
        <f>TIMEVALUE(MID(G2560,12,8))</f>
        <v/>
      </c>
      <c r="P2560" s="396">
        <f>IFERROR(_xlfn.MINIFS($M:$M,$E:$E,$E2560,$K:$K,$K2560,$M:$M,"&gt;"&amp;$O2560),"")</f>
        <v/>
      </c>
      <c r="Q2560" s="396">
        <f>IF($P2560="","",$P2560-$O2560)</f>
        <v/>
      </c>
    </row>
    <row r="2561" ht="15" customHeight="1" s="231">
      <c r="A2561" s="397" t="n"/>
      <c r="B2561" s="397" t="n"/>
      <c r="C2561" s="397" t="n"/>
      <c r="D2561" s="397" t="n"/>
      <c r="E2561" s="397" t="n"/>
      <c r="F2561" s="397" t="n"/>
      <c r="G2561" s="397" t="n"/>
      <c r="I2561" s="397" t="n"/>
      <c r="J2561" s="397" t="n"/>
      <c r="K2561" s="395">
        <f>DATE(VALUE(LEFT(A2561,4)),VALUE(MID(A2561,5,2)),VALUE(RIGHT(A2561,2)))</f>
        <v/>
      </c>
      <c r="L2561" s="395">
        <f>DATEVALUE(LEFT(F2561,10))</f>
        <v/>
      </c>
      <c r="M2561" s="396">
        <f>TIMEVALUE(MID(F2561,12,8))</f>
        <v/>
      </c>
      <c r="N2561" s="395">
        <f>DATEVALUE(LEFT(G2561,10))</f>
        <v/>
      </c>
      <c r="O2561" s="396">
        <f>TIMEVALUE(MID(G2561,12,8))</f>
        <v/>
      </c>
      <c r="P2561" s="396">
        <f>IFERROR(_xlfn.MINIFS($M:$M,$E:$E,$E2561,$K:$K,$K2561,$M:$M,"&gt;"&amp;$O2561),"")</f>
        <v/>
      </c>
      <c r="Q2561" s="396">
        <f>IF($P2561="","",$P2561-$O2561)</f>
        <v/>
      </c>
    </row>
    <row r="2562" ht="15" customHeight="1" s="231">
      <c r="A2562" s="397" t="n"/>
      <c r="B2562" s="397" t="n"/>
      <c r="C2562" s="397" t="n"/>
      <c r="D2562" s="397" t="n"/>
      <c r="E2562" s="397" t="n"/>
      <c r="F2562" s="397" t="n"/>
      <c r="G2562" s="397" t="n"/>
      <c r="I2562" s="397" t="n"/>
      <c r="J2562" s="397" t="n"/>
      <c r="K2562" s="395">
        <f>DATE(VALUE(LEFT(A2562,4)),VALUE(MID(A2562,5,2)),VALUE(RIGHT(A2562,2)))</f>
        <v/>
      </c>
      <c r="L2562" s="395">
        <f>DATEVALUE(LEFT(F2562,10))</f>
        <v/>
      </c>
      <c r="M2562" s="396">
        <f>TIMEVALUE(MID(F2562,12,8))</f>
        <v/>
      </c>
      <c r="N2562" s="395">
        <f>DATEVALUE(LEFT(G2562,10))</f>
        <v/>
      </c>
      <c r="O2562" s="396">
        <f>TIMEVALUE(MID(G2562,12,8))</f>
        <v/>
      </c>
      <c r="P2562" s="396">
        <f>IFERROR(_xlfn.MINIFS($M:$M,$E:$E,$E2562,$K:$K,$K2562,$M:$M,"&gt;"&amp;$O2562),"")</f>
        <v/>
      </c>
      <c r="Q2562" s="396">
        <f>IF($P2562="","",$P2562-$O2562)</f>
        <v/>
      </c>
    </row>
    <row r="2563" ht="15" customHeight="1" s="231">
      <c r="A2563" s="397" t="n"/>
      <c r="B2563" s="397" t="n"/>
      <c r="C2563" s="397" t="n"/>
      <c r="D2563" s="397" t="n"/>
      <c r="E2563" s="397" t="n"/>
      <c r="F2563" s="397" t="n"/>
      <c r="G2563" s="397" t="n"/>
      <c r="I2563" s="397" t="n"/>
      <c r="J2563" s="397" t="n"/>
      <c r="K2563" s="395">
        <f>DATE(VALUE(LEFT(A2563,4)),VALUE(MID(A2563,5,2)),VALUE(RIGHT(A2563,2)))</f>
        <v/>
      </c>
      <c r="L2563" s="395">
        <f>DATEVALUE(LEFT(F2563,10))</f>
        <v/>
      </c>
      <c r="M2563" s="396">
        <f>TIMEVALUE(MID(F2563,12,8))</f>
        <v/>
      </c>
      <c r="N2563" s="395">
        <f>DATEVALUE(LEFT(G2563,10))</f>
        <v/>
      </c>
      <c r="O2563" s="396">
        <f>TIMEVALUE(MID(G2563,12,8))</f>
        <v/>
      </c>
      <c r="P2563" s="396">
        <f>IFERROR(_xlfn.MINIFS($M:$M,$E:$E,$E2563,$K:$K,$K2563,$M:$M,"&gt;"&amp;$O2563),"")</f>
        <v/>
      </c>
      <c r="Q2563" s="396">
        <f>IF($P2563="","",$P2563-$O2563)</f>
        <v/>
      </c>
    </row>
    <row r="2564" ht="15" customHeight="1" s="231">
      <c r="A2564" s="397" t="n"/>
      <c r="B2564" s="397" t="n"/>
      <c r="C2564" s="397" t="n"/>
      <c r="D2564" s="397" t="n"/>
      <c r="E2564" s="397" t="n"/>
      <c r="F2564" s="397" t="n"/>
      <c r="G2564" s="397" t="n"/>
      <c r="I2564" s="397" t="n"/>
      <c r="J2564" s="397" t="n"/>
      <c r="K2564" s="395">
        <f>DATE(VALUE(LEFT(A2564,4)),VALUE(MID(A2564,5,2)),VALUE(RIGHT(A2564,2)))</f>
        <v/>
      </c>
      <c r="L2564" s="395">
        <f>DATEVALUE(LEFT(F2564,10))</f>
        <v/>
      </c>
      <c r="M2564" s="396">
        <f>TIMEVALUE(MID(F2564,12,8))</f>
        <v/>
      </c>
      <c r="N2564" s="395">
        <f>DATEVALUE(LEFT(G2564,10))</f>
        <v/>
      </c>
      <c r="O2564" s="396">
        <f>TIMEVALUE(MID(G2564,12,8))</f>
        <v/>
      </c>
      <c r="P2564" s="396">
        <f>IFERROR(_xlfn.MINIFS($M:$M,$E:$E,$E2564,$K:$K,$K2564,$M:$M,"&gt;"&amp;$O2564),"")</f>
        <v/>
      </c>
      <c r="Q2564" s="396">
        <f>IF($P2564="","",$P2564-$O2564)</f>
        <v/>
      </c>
    </row>
    <row r="2565" ht="15" customHeight="1" s="231">
      <c r="A2565" s="397" t="n"/>
      <c r="B2565" s="397" t="n"/>
      <c r="C2565" s="397" t="n"/>
      <c r="D2565" s="397" t="n"/>
      <c r="E2565" s="397" t="n"/>
      <c r="F2565" s="397" t="n"/>
      <c r="G2565" s="397" t="n"/>
      <c r="I2565" s="397" t="n"/>
      <c r="J2565" s="397" t="n"/>
      <c r="K2565" s="395">
        <f>DATE(VALUE(LEFT(A2565,4)),VALUE(MID(A2565,5,2)),VALUE(RIGHT(A2565,2)))</f>
        <v/>
      </c>
      <c r="L2565" s="395">
        <f>DATEVALUE(LEFT(F2565,10))</f>
        <v/>
      </c>
      <c r="M2565" s="396">
        <f>TIMEVALUE(MID(F2565,12,8))</f>
        <v/>
      </c>
      <c r="N2565" s="395">
        <f>DATEVALUE(LEFT(G2565,10))</f>
        <v/>
      </c>
      <c r="O2565" s="396">
        <f>TIMEVALUE(MID(G2565,12,8))</f>
        <v/>
      </c>
      <c r="P2565" s="396">
        <f>IFERROR(_xlfn.MINIFS($M:$M,$E:$E,$E2565,$K:$K,$K2565,$M:$M,"&gt;"&amp;$O2565),"")</f>
        <v/>
      </c>
      <c r="Q2565" s="396">
        <f>IF($P2565="","",$P2565-$O2565)</f>
        <v/>
      </c>
    </row>
    <row r="2566" ht="15" customHeight="1" s="231">
      <c r="A2566" s="397" t="n"/>
      <c r="B2566" s="397" t="n"/>
      <c r="C2566" s="397" t="n"/>
      <c r="D2566" s="397" t="n"/>
      <c r="E2566" s="397" t="n"/>
      <c r="F2566" s="397" t="n"/>
      <c r="G2566" s="397" t="n"/>
      <c r="I2566" s="397" t="n"/>
      <c r="J2566" s="397" t="n"/>
      <c r="K2566" s="395">
        <f>DATE(VALUE(LEFT(A2566,4)),VALUE(MID(A2566,5,2)),VALUE(RIGHT(A2566,2)))</f>
        <v/>
      </c>
      <c r="L2566" s="395">
        <f>DATEVALUE(LEFT(F2566,10))</f>
        <v/>
      </c>
      <c r="M2566" s="396">
        <f>TIMEVALUE(MID(F2566,12,8))</f>
        <v/>
      </c>
      <c r="N2566" s="395">
        <f>DATEVALUE(LEFT(G2566,10))</f>
        <v/>
      </c>
      <c r="O2566" s="396">
        <f>TIMEVALUE(MID(G2566,12,8))</f>
        <v/>
      </c>
      <c r="P2566" s="396">
        <f>IFERROR(_xlfn.MINIFS($M:$M,$E:$E,$E2566,$K:$K,$K2566,$M:$M,"&gt;"&amp;$O2566),"")</f>
        <v/>
      </c>
      <c r="Q2566" s="396">
        <f>IF($P2566="","",$P2566-$O2566)</f>
        <v/>
      </c>
    </row>
    <row r="2567" ht="15" customHeight="1" s="231">
      <c r="A2567" s="397" t="n"/>
      <c r="B2567" s="397" t="n"/>
      <c r="C2567" s="397" t="n"/>
      <c r="D2567" s="397" t="n"/>
      <c r="E2567" s="397" t="n"/>
      <c r="F2567" s="397" t="n"/>
      <c r="G2567" s="397" t="n"/>
      <c r="I2567" s="397" t="n"/>
      <c r="J2567" s="397" t="n"/>
      <c r="K2567" s="395">
        <f>DATE(VALUE(LEFT(A2567,4)),VALUE(MID(A2567,5,2)),VALUE(RIGHT(A2567,2)))</f>
        <v/>
      </c>
      <c r="L2567" s="395">
        <f>DATEVALUE(LEFT(F2567,10))</f>
        <v/>
      </c>
      <c r="M2567" s="396">
        <f>TIMEVALUE(MID(F2567,12,8))</f>
        <v/>
      </c>
      <c r="N2567" s="395">
        <f>DATEVALUE(LEFT(G2567,10))</f>
        <v/>
      </c>
      <c r="O2567" s="396">
        <f>TIMEVALUE(MID(G2567,12,8))</f>
        <v/>
      </c>
      <c r="P2567" s="396">
        <f>IFERROR(_xlfn.MINIFS($M:$M,$E:$E,$E2567,$K:$K,$K2567,$M:$M,"&gt;"&amp;$O2567),"")</f>
        <v/>
      </c>
      <c r="Q2567" s="396">
        <f>IF($P2567="","",$P2567-$O2567)</f>
        <v/>
      </c>
    </row>
    <row r="2568" ht="15" customHeight="1" s="231">
      <c r="A2568" s="397" t="n"/>
      <c r="B2568" s="397" t="n"/>
      <c r="C2568" s="397" t="n"/>
      <c r="D2568" s="397" t="n"/>
      <c r="E2568" s="397" t="n"/>
      <c r="F2568" s="397" t="n"/>
      <c r="G2568" s="397" t="n"/>
      <c r="I2568" s="397" t="n"/>
      <c r="J2568" s="397" t="n"/>
      <c r="K2568" s="395">
        <f>DATE(VALUE(LEFT(A2568,4)),VALUE(MID(A2568,5,2)),VALUE(RIGHT(A2568,2)))</f>
        <v/>
      </c>
      <c r="L2568" s="395">
        <f>DATEVALUE(LEFT(F2568,10))</f>
        <v/>
      </c>
      <c r="M2568" s="396">
        <f>TIMEVALUE(MID(F2568,12,8))</f>
        <v/>
      </c>
      <c r="N2568" s="395">
        <f>DATEVALUE(LEFT(G2568,10))</f>
        <v/>
      </c>
      <c r="O2568" s="396">
        <f>TIMEVALUE(MID(G2568,12,8))</f>
        <v/>
      </c>
      <c r="P2568" s="396">
        <f>IFERROR(_xlfn.MINIFS($M:$M,$E:$E,$E2568,$K:$K,$K2568,$M:$M,"&gt;"&amp;$O2568),"")</f>
        <v/>
      </c>
      <c r="Q2568" s="396">
        <f>IF($P2568="","",$P2568-$O2568)</f>
        <v/>
      </c>
    </row>
    <row r="2569" ht="15" customHeight="1" s="231">
      <c r="A2569" s="397" t="n"/>
      <c r="B2569" s="397" t="n"/>
      <c r="C2569" s="397" t="n"/>
      <c r="D2569" s="397" t="n"/>
      <c r="E2569" s="397" t="n"/>
      <c r="F2569" s="397" t="n"/>
      <c r="G2569" s="397" t="n"/>
      <c r="I2569" s="397" t="n"/>
      <c r="J2569" s="397" t="n"/>
      <c r="K2569" s="395">
        <f>DATE(VALUE(LEFT(A2569,4)),VALUE(MID(A2569,5,2)),VALUE(RIGHT(A2569,2)))</f>
        <v/>
      </c>
      <c r="L2569" s="395">
        <f>DATEVALUE(LEFT(F2569,10))</f>
        <v/>
      </c>
      <c r="M2569" s="396">
        <f>TIMEVALUE(MID(F2569,12,8))</f>
        <v/>
      </c>
      <c r="N2569" s="395">
        <f>DATEVALUE(LEFT(G2569,10))</f>
        <v/>
      </c>
      <c r="O2569" s="396">
        <f>TIMEVALUE(MID(G2569,12,8))</f>
        <v/>
      </c>
      <c r="P2569" s="396">
        <f>IFERROR(_xlfn.MINIFS($M:$M,$E:$E,$E2569,$K:$K,$K2569,$M:$M,"&gt;"&amp;$O2569),"")</f>
        <v/>
      </c>
      <c r="Q2569" s="396">
        <f>IF($P2569="","",$P2569-$O2569)</f>
        <v/>
      </c>
    </row>
    <row r="2570" ht="15" customHeight="1" s="231">
      <c r="A2570" s="397" t="n"/>
      <c r="B2570" s="397" t="n"/>
      <c r="C2570" s="397" t="n"/>
      <c r="D2570" s="397" t="n"/>
      <c r="E2570" s="397" t="n"/>
      <c r="F2570" s="397" t="n"/>
      <c r="G2570" s="397" t="n"/>
      <c r="I2570" s="397" t="n"/>
      <c r="J2570" s="397" t="n"/>
      <c r="K2570" s="395">
        <f>DATE(VALUE(LEFT(A2570,4)),VALUE(MID(A2570,5,2)),VALUE(RIGHT(A2570,2)))</f>
        <v/>
      </c>
      <c r="L2570" s="395">
        <f>DATEVALUE(LEFT(F2570,10))</f>
        <v/>
      </c>
      <c r="M2570" s="396">
        <f>TIMEVALUE(MID(F2570,12,8))</f>
        <v/>
      </c>
      <c r="N2570" s="395">
        <f>DATEVALUE(LEFT(G2570,10))</f>
        <v/>
      </c>
      <c r="O2570" s="396">
        <f>TIMEVALUE(MID(G2570,12,8))</f>
        <v/>
      </c>
      <c r="P2570" s="396">
        <f>IFERROR(_xlfn.MINIFS($M:$M,$E:$E,$E2570,$K:$K,$K2570,$M:$M,"&gt;"&amp;$O2570),"")</f>
        <v/>
      </c>
      <c r="Q2570" s="396">
        <f>IF($P2570="","",$P2570-$O2570)</f>
        <v/>
      </c>
    </row>
    <row r="2571" ht="15" customHeight="1" s="231">
      <c r="A2571" s="397" t="n"/>
      <c r="B2571" s="397" t="n"/>
      <c r="C2571" s="397" t="n"/>
      <c r="D2571" s="397" t="n"/>
      <c r="E2571" s="397" t="n"/>
      <c r="F2571" s="397" t="n"/>
      <c r="G2571" s="397" t="n"/>
      <c r="I2571" s="397" t="n"/>
      <c r="J2571" s="397" t="n"/>
      <c r="K2571" s="395">
        <f>DATE(VALUE(LEFT(A2571,4)),VALUE(MID(A2571,5,2)),VALUE(RIGHT(A2571,2)))</f>
        <v/>
      </c>
      <c r="L2571" s="395">
        <f>DATEVALUE(LEFT(F2571,10))</f>
        <v/>
      </c>
      <c r="M2571" s="396">
        <f>TIMEVALUE(MID(F2571,12,8))</f>
        <v/>
      </c>
      <c r="N2571" s="395">
        <f>DATEVALUE(LEFT(G2571,10))</f>
        <v/>
      </c>
      <c r="O2571" s="396">
        <f>TIMEVALUE(MID(G2571,12,8))</f>
        <v/>
      </c>
      <c r="P2571" s="396">
        <f>IFERROR(_xlfn.MINIFS($M:$M,$E:$E,$E2571,$K:$K,$K2571,$M:$M,"&gt;"&amp;$O2571),"")</f>
        <v/>
      </c>
      <c r="Q2571" s="396">
        <f>IF($P2571="","",$P2571-$O2571)</f>
        <v/>
      </c>
    </row>
    <row r="2572" ht="15" customHeight="1" s="231">
      <c r="A2572" s="397" t="n"/>
      <c r="B2572" s="397" t="n"/>
      <c r="C2572" s="397" t="n"/>
      <c r="D2572" s="397" t="n"/>
      <c r="E2572" s="397" t="n"/>
      <c r="F2572" s="397" t="n"/>
      <c r="G2572" s="397" t="n"/>
      <c r="I2572" s="397" t="n"/>
      <c r="J2572" s="397" t="n"/>
      <c r="K2572" s="395">
        <f>DATE(VALUE(LEFT(A2572,4)),VALUE(MID(A2572,5,2)),VALUE(RIGHT(A2572,2)))</f>
        <v/>
      </c>
      <c r="L2572" s="395">
        <f>DATEVALUE(LEFT(F2572,10))</f>
        <v/>
      </c>
      <c r="M2572" s="396">
        <f>TIMEVALUE(MID(F2572,12,8))</f>
        <v/>
      </c>
      <c r="N2572" s="395">
        <f>DATEVALUE(LEFT(G2572,10))</f>
        <v/>
      </c>
      <c r="O2572" s="396">
        <f>TIMEVALUE(MID(G2572,12,8))</f>
        <v/>
      </c>
      <c r="P2572" s="396">
        <f>IFERROR(_xlfn.MINIFS($M:$M,$E:$E,$E2572,$K:$K,$K2572,$M:$M,"&gt;"&amp;$O2572),"")</f>
        <v/>
      </c>
      <c r="Q2572" s="396">
        <f>IF($P2572="","",$P2572-$O2572)</f>
        <v/>
      </c>
    </row>
    <row r="2573" ht="15" customHeight="1" s="231">
      <c r="A2573" s="397" t="n"/>
      <c r="B2573" s="397" t="n"/>
      <c r="C2573" s="397" t="n"/>
      <c r="D2573" s="397" t="n"/>
      <c r="E2573" s="397" t="n"/>
      <c r="F2573" s="397" t="n"/>
      <c r="G2573" s="397" t="n"/>
      <c r="I2573" s="397" t="n"/>
      <c r="J2573" s="397" t="n"/>
      <c r="K2573" s="395">
        <f>DATE(VALUE(LEFT(A2573,4)),VALUE(MID(A2573,5,2)),VALUE(RIGHT(A2573,2)))</f>
        <v/>
      </c>
      <c r="L2573" s="395">
        <f>DATEVALUE(LEFT(F2573,10))</f>
        <v/>
      </c>
      <c r="M2573" s="396">
        <f>TIMEVALUE(MID(F2573,12,8))</f>
        <v/>
      </c>
      <c r="N2573" s="395">
        <f>DATEVALUE(LEFT(G2573,10))</f>
        <v/>
      </c>
      <c r="O2573" s="396">
        <f>TIMEVALUE(MID(G2573,12,8))</f>
        <v/>
      </c>
      <c r="P2573" s="396">
        <f>IFERROR(_xlfn.MINIFS($M:$M,$E:$E,$E2573,$K:$K,$K2573,$M:$M,"&gt;"&amp;$O2573),"")</f>
        <v/>
      </c>
      <c r="Q2573" s="396">
        <f>IF($P2573="","",$P2573-$O2573)</f>
        <v/>
      </c>
    </row>
    <row r="2574" ht="15" customHeight="1" s="231">
      <c r="A2574" s="397" t="n"/>
      <c r="B2574" s="397" t="n"/>
      <c r="C2574" s="397" t="n"/>
      <c r="D2574" s="397" t="n"/>
      <c r="E2574" s="397" t="n"/>
      <c r="F2574" s="397" t="n"/>
      <c r="G2574" s="397" t="n"/>
      <c r="I2574" s="397" t="n"/>
      <c r="J2574" s="397" t="n"/>
      <c r="K2574" s="395">
        <f>DATE(VALUE(LEFT(A2574,4)),VALUE(MID(A2574,5,2)),VALUE(RIGHT(A2574,2)))</f>
        <v/>
      </c>
      <c r="L2574" s="395">
        <f>DATEVALUE(LEFT(F2574,10))</f>
        <v/>
      </c>
      <c r="M2574" s="396">
        <f>TIMEVALUE(MID(F2574,12,8))</f>
        <v/>
      </c>
      <c r="N2574" s="395">
        <f>DATEVALUE(LEFT(G2574,10))</f>
        <v/>
      </c>
      <c r="O2574" s="396">
        <f>TIMEVALUE(MID(G2574,12,8))</f>
        <v/>
      </c>
      <c r="P2574" s="396">
        <f>IFERROR(_xlfn.MINIFS($M:$M,$E:$E,$E2574,$K:$K,$K2574,$M:$M,"&gt;"&amp;$O2574),"")</f>
        <v/>
      </c>
      <c r="Q2574" s="396">
        <f>IF($P2574="","",$P2574-$O2574)</f>
        <v/>
      </c>
    </row>
    <row r="2575" ht="15" customHeight="1" s="231">
      <c r="A2575" s="397" t="n"/>
      <c r="B2575" s="397" t="n"/>
      <c r="C2575" s="397" t="n"/>
      <c r="D2575" s="397" t="n"/>
      <c r="E2575" s="397" t="n"/>
      <c r="F2575" s="397" t="n"/>
      <c r="G2575" s="397" t="n"/>
      <c r="I2575" s="397" t="n"/>
      <c r="J2575" s="397" t="n"/>
      <c r="K2575" s="395">
        <f>DATE(VALUE(LEFT(A2575,4)),VALUE(MID(A2575,5,2)),VALUE(RIGHT(A2575,2)))</f>
        <v/>
      </c>
      <c r="L2575" s="395">
        <f>DATEVALUE(LEFT(F2575,10))</f>
        <v/>
      </c>
      <c r="M2575" s="396">
        <f>TIMEVALUE(MID(F2575,12,8))</f>
        <v/>
      </c>
      <c r="N2575" s="395">
        <f>DATEVALUE(LEFT(G2575,10))</f>
        <v/>
      </c>
      <c r="O2575" s="396">
        <f>TIMEVALUE(MID(G2575,12,8))</f>
        <v/>
      </c>
      <c r="P2575" s="396">
        <f>IFERROR(_xlfn.MINIFS($M:$M,$E:$E,$E2575,$K:$K,$K2575,$M:$M,"&gt;"&amp;$O2575),"")</f>
        <v/>
      </c>
      <c r="Q2575" s="396">
        <f>IF($P2575="","",$P2575-$O2575)</f>
        <v/>
      </c>
    </row>
    <row r="2576" ht="15" customHeight="1" s="231">
      <c r="A2576" s="397" t="n"/>
      <c r="B2576" s="397" t="n"/>
      <c r="C2576" s="397" t="n"/>
      <c r="D2576" s="397" t="n"/>
      <c r="E2576" s="397" t="n"/>
      <c r="F2576" s="397" t="n"/>
      <c r="G2576" s="397" t="n"/>
      <c r="I2576" s="397" t="n"/>
      <c r="J2576" s="397" t="n"/>
      <c r="K2576" s="395">
        <f>DATE(VALUE(LEFT(A2576,4)),VALUE(MID(A2576,5,2)),VALUE(RIGHT(A2576,2)))</f>
        <v/>
      </c>
      <c r="L2576" s="395">
        <f>DATEVALUE(LEFT(F2576,10))</f>
        <v/>
      </c>
      <c r="M2576" s="396">
        <f>TIMEVALUE(MID(F2576,12,8))</f>
        <v/>
      </c>
      <c r="N2576" s="395">
        <f>DATEVALUE(LEFT(G2576,10))</f>
        <v/>
      </c>
      <c r="O2576" s="396">
        <f>TIMEVALUE(MID(G2576,12,8))</f>
        <v/>
      </c>
      <c r="P2576" s="396">
        <f>IFERROR(_xlfn.MINIFS($M:$M,$E:$E,$E2576,$K:$K,$K2576,$M:$M,"&gt;"&amp;$O2576),"")</f>
        <v/>
      </c>
      <c r="Q2576" s="396">
        <f>IF($P2576="","",$P2576-$O2576)</f>
        <v/>
      </c>
    </row>
    <row r="2577" ht="15" customHeight="1" s="231">
      <c r="A2577" s="397" t="n"/>
      <c r="B2577" s="397" t="n"/>
      <c r="C2577" s="397" t="n"/>
      <c r="D2577" s="397" t="n"/>
      <c r="E2577" s="397" t="n"/>
      <c r="F2577" s="397" t="n"/>
      <c r="G2577" s="397" t="n"/>
      <c r="I2577" s="397" t="n"/>
      <c r="J2577" s="397" t="n"/>
      <c r="K2577" s="395">
        <f>DATE(VALUE(LEFT(A2577,4)),VALUE(MID(A2577,5,2)),VALUE(RIGHT(A2577,2)))</f>
        <v/>
      </c>
      <c r="L2577" s="395">
        <f>DATEVALUE(LEFT(F2577,10))</f>
        <v/>
      </c>
      <c r="M2577" s="396">
        <f>TIMEVALUE(MID(F2577,12,8))</f>
        <v/>
      </c>
      <c r="N2577" s="395">
        <f>DATEVALUE(LEFT(G2577,10))</f>
        <v/>
      </c>
      <c r="O2577" s="396">
        <f>TIMEVALUE(MID(G2577,12,8))</f>
        <v/>
      </c>
      <c r="P2577" s="396">
        <f>IFERROR(_xlfn.MINIFS($M:$M,$E:$E,$E2577,$K:$K,$K2577,$M:$M,"&gt;"&amp;$O2577),"")</f>
        <v/>
      </c>
      <c r="Q2577" s="396">
        <f>IF($P2577="","",$P2577-$O2577)</f>
        <v/>
      </c>
    </row>
    <row r="2578" ht="15" customHeight="1" s="231">
      <c r="A2578" s="397" t="n"/>
      <c r="B2578" s="397" t="n"/>
      <c r="C2578" s="397" t="n"/>
      <c r="D2578" s="397" t="n"/>
      <c r="E2578" s="397" t="n"/>
      <c r="F2578" s="397" t="n"/>
      <c r="G2578" s="397" t="n"/>
      <c r="I2578" s="397" t="n"/>
      <c r="J2578" s="397" t="n"/>
      <c r="K2578" s="395">
        <f>DATE(VALUE(LEFT(A2578,4)),VALUE(MID(A2578,5,2)),VALUE(RIGHT(A2578,2)))</f>
        <v/>
      </c>
      <c r="L2578" s="395">
        <f>DATEVALUE(LEFT(F2578,10))</f>
        <v/>
      </c>
      <c r="M2578" s="396">
        <f>TIMEVALUE(MID(F2578,12,8))</f>
        <v/>
      </c>
      <c r="N2578" s="395">
        <f>DATEVALUE(LEFT(G2578,10))</f>
        <v/>
      </c>
      <c r="O2578" s="396">
        <f>TIMEVALUE(MID(G2578,12,8))</f>
        <v/>
      </c>
      <c r="P2578" s="396">
        <f>IFERROR(_xlfn.MINIFS($M:$M,$E:$E,$E2578,$K:$K,$K2578,$M:$M,"&gt;"&amp;$O2578),"")</f>
        <v/>
      </c>
      <c r="Q2578" s="396">
        <f>IF($P2578="","",$P2578-$O2578)</f>
        <v/>
      </c>
    </row>
    <row r="2579" ht="15" customHeight="1" s="231">
      <c r="A2579" s="397" t="n"/>
      <c r="B2579" s="397" t="n"/>
      <c r="C2579" s="397" t="n"/>
      <c r="D2579" s="397" t="n"/>
      <c r="E2579" s="397" t="n"/>
      <c r="F2579" s="397" t="n"/>
      <c r="G2579" s="397" t="n"/>
      <c r="I2579" s="397" t="n"/>
      <c r="J2579" s="397" t="n"/>
      <c r="K2579" s="395">
        <f>DATE(VALUE(LEFT(A2579,4)),VALUE(MID(A2579,5,2)),VALUE(RIGHT(A2579,2)))</f>
        <v/>
      </c>
      <c r="L2579" s="395">
        <f>DATEVALUE(LEFT(F2579,10))</f>
        <v/>
      </c>
      <c r="M2579" s="396">
        <f>TIMEVALUE(MID(F2579,12,8))</f>
        <v/>
      </c>
      <c r="N2579" s="395">
        <f>DATEVALUE(LEFT(G2579,10))</f>
        <v/>
      </c>
      <c r="O2579" s="396">
        <f>TIMEVALUE(MID(G2579,12,8))</f>
        <v/>
      </c>
      <c r="P2579" s="396">
        <f>IFERROR(_xlfn.MINIFS($M:$M,$E:$E,$E2579,$K:$K,$K2579,$M:$M,"&gt;"&amp;$O2579),"")</f>
        <v/>
      </c>
      <c r="Q2579" s="396">
        <f>IF($P2579="","",$P2579-$O2579)</f>
        <v/>
      </c>
    </row>
    <row r="2580" ht="15" customHeight="1" s="231">
      <c r="A2580" s="397" t="n"/>
      <c r="B2580" s="397" t="n"/>
      <c r="C2580" s="397" t="n"/>
      <c r="D2580" s="397" t="n"/>
      <c r="E2580" s="397" t="n"/>
      <c r="F2580" s="397" t="n"/>
      <c r="G2580" s="397" t="n"/>
      <c r="I2580" s="397" t="n"/>
      <c r="J2580" s="397" t="n"/>
      <c r="K2580" s="395">
        <f>DATE(VALUE(LEFT(A2580,4)),VALUE(MID(A2580,5,2)),VALUE(RIGHT(A2580,2)))</f>
        <v/>
      </c>
      <c r="L2580" s="395">
        <f>DATEVALUE(LEFT(F2580,10))</f>
        <v/>
      </c>
      <c r="M2580" s="396">
        <f>TIMEVALUE(MID(F2580,12,8))</f>
        <v/>
      </c>
      <c r="N2580" s="395">
        <f>DATEVALUE(LEFT(G2580,10))</f>
        <v/>
      </c>
      <c r="O2580" s="396">
        <f>TIMEVALUE(MID(G2580,12,8))</f>
        <v/>
      </c>
      <c r="P2580" s="396">
        <f>IFERROR(_xlfn.MINIFS($M:$M,$E:$E,$E2580,$K:$K,$K2580,$M:$M,"&gt;"&amp;$O2580),"")</f>
        <v/>
      </c>
      <c r="Q2580" s="396">
        <f>IF($P2580="","",$P2580-$O2580)</f>
        <v/>
      </c>
    </row>
    <row r="2581" ht="15" customHeight="1" s="231">
      <c r="A2581" s="397" t="n"/>
      <c r="B2581" s="397" t="n"/>
      <c r="C2581" s="397" t="n"/>
      <c r="D2581" s="397" t="n"/>
      <c r="E2581" s="397" t="n"/>
      <c r="F2581" s="397" t="n"/>
      <c r="G2581" s="397" t="n"/>
      <c r="I2581" s="397" t="n"/>
      <c r="J2581" s="397" t="n"/>
      <c r="K2581" s="395">
        <f>DATE(VALUE(LEFT(A2581,4)),VALUE(MID(A2581,5,2)),VALUE(RIGHT(A2581,2)))</f>
        <v/>
      </c>
      <c r="L2581" s="395">
        <f>DATEVALUE(LEFT(F2581,10))</f>
        <v/>
      </c>
      <c r="M2581" s="396">
        <f>TIMEVALUE(MID(F2581,12,8))</f>
        <v/>
      </c>
      <c r="N2581" s="395">
        <f>DATEVALUE(LEFT(G2581,10))</f>
        <v/>
      </c>
      <c r="O2581" s="396">
        <f>TIMEVALUE(MID(G2581,12,8))</f>
        <v/>
      </c>
      <c r="P2581" s="396">
        <f>IFERROR(_xlfn.MINIFS($M:$M,$E:$E,$E2581,$K:$K,$K2581,$M:$M,"&gt;"&amp;$O2581),"")</f>
        <v/>
      </c>
      <c r="Q2581" s="396">
        <f>IF($P2581="","",$P2581-$O2581)</f>
        <v/>
      </c>
    </row>
    <row r="2582" ht="15" customHeight="1" s="231">
      <c r="A2582" s="397" t="n"/>
      <c r="B2582" s="397" t="n"/>
      <c r="C2582" s="397" t="n"/>
      <c r="D2582" s="397" t="n"/>
      <c r="E2582" s="397" t="n"/>
      <c r="F2582" s="397" t="n"/>
      <c r="G2582" s="397" t="n"/>
      <c r="I2582" s="397" t="n"/>
      <c r="J2582" s="397" t="n"/>
      <c r="K2582" s="395">
        <f>DATE(VALUE(LEFT(A2582,4)),VALUE(MID(A2582,5,2)),VALUE(RIGHT(A2582,2)))</f>
        <v/>
      </c>
      <c r="L2582" s="395">
        <f>DATEVALUE(LEFT(F2582,10))</f>
        <v/>
      </c>
      <c r="M2582" s="396">
        <f>TIMEVALUE(MID(F2582,12,8))</f>
        <v/>
      </c>
      <c r="N2582" s="395">
        <f>DATEVALUE(LEFT(G2582,10))</f>
        <v/>
      </c>
      <c r="O2582" s="396">
        <f>TIMEVALUE(MID(G2582,12,8))</f>
        <v/>
      </c>
      <c r="P2582" s="396">
        <f>IFERROR(_xlfn.MINIFS($M:$M,$E:$E,$E2582,$K:$K,$K2582,$M:$M,"&gt;"&amp;$O2582),"")</f>
        <v/>
      </c>
      <c r="Q2582" s="396">
        <f>IF($P2582="","",$P2582-$O2582)</f>
        <v/>
      </c>
    </row>
    <row r="2583" ht="15" customHeight="1" s="231">
      <c r="A2583" s="397" t="n"/>
      <c r="B2583" s="397" t="n"/>
      <c r="C2583" s="397" t="n"/>
      <c r="D2583" s="397" t="n"/>
      <c r="E2583" s="397" t="n"/>
      <c r="F2583" s="397" t="n"/>
      <c r="G2583" s="397" t="n"/>
      <c r="I2583" s="397" t="n"/>
      <c r="J2583" s="397" t="n"/>
      <c r="K2583" s="395">
        <f>DATE(VALUE(LEFT(A2583,4)),VALUE(MID(A2583,5,2)),VALUE(RIGHT(A2583,2)))</f>
        <v/>
      </c>
      <c r="L2583" s="395">
        <f>DATEVALUE(LEFT(F2583,10))</f>
        <v/>
      </c>
      <c r="M2583" s="396">
        <f>TIMEVALUE(MID(F2583,12,8))</f>
        <v/>
      </c>
      <c r="N2583" s="395">
        <f>DATEVALUE(LEFT(G2583,10))</f>
        <v/>
      </c>
      <c r="O2583" s="396">
        <f>TIMEVALUE(MID(G2583,12,8))</f>
        <v/>
      </c>
      <c r="P2583" s="396">
        <f>IFERROR(_xlfn.MINIFS($M:$M,$E:$E,$E2583,$K:$K,$K2583,$M:$M,"&gt;"&amp;$O2583),"")</f>
        <v/>
      </c>
      <c r="Q2583" s="396">
        <f>IF($P2583="","",$P2583-$O2583)</f>
        <v/>
      </c>
    </row>
    <row r="2584" ht="15" customHeight="1" s="231">
      <c r="A2584" s="397" t="n"/>
      <c r="B2584" s="397" t="n"/>
      <c r="C2584" s="397" t="n"/>
      <c r="D2584" s="397" t="n"/>
      <c r="E2584" s="397" t="n"/>
      <c r="F2584" s="397" t="n"/>
      <c r="G2584" s="397" t="n"/>
      <c r="I2584" s="397" t="n"/>
      <c r="J2584" s="397" t="n"/>
      <c r="K2584" s="395">
        <f>DATE(VALUE(LEFT(A2584,4)),VALUE(MID(A2584,5,2)),VALUE(RIGHT(A2584,2)))</f>
        <v/>
      </c>
      <c r="L2584" s="395">
        <f>DATEVALUE(LEFT(F2584,10))</f>
        <v/>
      </c>
      <c r="M2584" s="396">
        <f>TIMEVALUE(MID(F2584,12,8))</f>
        <v/>
      </c>
      <c r="N2584" s="395">
        <f>DATEVALUE(LEFT(G2584,10))</f>
        <v/>
      </c>
      <c r="O2584" s="396">
        <f>TIMEVALUE(MID(G2584,12,8))</f>
        <v/>
      </c>
      <c r="P2584" s="396">
        <f>IFERROR(_xlfn.MINIFS($M:$M,$E:$E,$E2584,$K:$K,$K2584,$M:$M,"&gt;"&amp;$O2584),"")</f>
        <v/>
      </c>
      <c r="Q2584" s="396">
        <f>IF($P2584="","",$P2584-$O2584)</f>
        <v/>
      </c>
    </row>
    <row r="2585" ht="15" customHeight="1" s="231">
      <c r="A2585" s="397" t="n"/>
      <c r="B2585" s="397" t="n"/>
      <c r="C2585" s="397" t="n"/>
      <c r="D2585" s="397" t="n"/>
      <c r="E2585" s="397" t="n"/>
      <c r="F2585" s="397" t="n"/>
      <c r="G2585" s="397" t="n"/>
      <c r="I2585" s="397" t="n"/>
      <c r="J2585" s="397" t="n"/>
      <c r="K2585" s="395">
        <f>DATE(VALUE(LEFT(A2585,4)),VALUE(MID(A2585,5,2)),VALUE(RIGHT(A2585,2)))</f>
        <v/>
      </c>
      <c r="L2585" s="395">
        <f>DATEVALUE(LEFT(F2585,10))</f>
        <v/>
      </c>
      <c r="M2585" s="396">
        <f>TIMEVALUE(MID(F2585,12,8))</f>
        <v/>
      </c>
      <c r="N2585" s="395">
        <f>DATEVALUE(LEFT(G2585,10))</f>
        <v/>
      </c>
      <c r="O2585" s="396">
        <f>TIMEVALUE(MID(G2585,12,8))</f>
        <v/>
      </c>
      <c r="P2585" s="396">
        <f>IFERROR(_xlfn.MINIFS($M:$M,$E:$E,$E2585,$K:$K,$K2585,$M:$M,"&gt;"&amp;$O2585),"")</f>
        <v/>
      </c>
      <c r="Q2585" s="396">
        <f>IF($P2585="","",$P2585-$O2585)</f>
        <v/>
      </c>
    </row>
    <row r="2586" ht="15" customHeight="1" s="231">
      <c r="A2586" s="397" t="n"/>
      <c r="B2586" s="397" t="n"/>
      <c r="C2586" s="397" t="n"/>
      <c r="D2586" s="397" t="n"/>
      <c r="E2586" s="397" t="n"/>
      <c r="F2586" s="397" t="n"/>
      <c r="G2586" s="397" t="n"/>
      <c r="I2586" s="397" t="n"/>
      <c r="J2586" s="397" t="n"/>
      <c r="K2586" s="395">
        <f>DATE(VALUE(LEFT(A2586,4)),VALUE(MID(A2586,5,2)),VALUE(RIGHT(A2586,2)))</f>
        <v/>
      </c>
      <c r="L2586" s="395">
        <f>DATEVALUE(LEFT(F2586,10))</f>
        <v/>
      </c>
      <c r="M2586" s="396">
        <f>TIMEVALUE(MID(F2586,12,8))</f>
        <v/>
      </c>
      <c r="N2586" s="395">
        <f>DATEVALUE(LEFT(G2586,10))</f>
        <v/>
      </c>
      <c r="O2586" s="396">
        <f>TIMEVALUE(MID(G2586,12,8))</f>
        <v/>
      </c>
      <c r="P2586" s="396">
        <f>IFERROR(_xlfn.MINIFS($M:$M,$E:$E,$E2586,$K:$K,$K2586,$M:$M,"&gt;"&amp;$O2586),"")</f>
        <v/>
      </c>
      <c r="Q2586" s="396">
        <f>IF($P2586="","",$P2586-$O2586)</f>
        <v/>
      </c>
    </row>
    <row r="2587" ht="15" customHeight="1" s="231">
      <c r="A2587" s="397" t="n"/>
      <c r="B2587" s="397" t="n"/>
      <c r="C2587" s="397" t="n"/>
      <c r="D2587" s="397" t="n"/>
      <c r="E2587" s="397" t="n"/>
      <c r="F2587" s="397" t="n"/>
      <c r="G2587" s="397" t="n"/>
      <c r="I2587" s="397" t="n"/>
      <c r="J2587" s="397" t="n"/>
      <c r="K2587" s="395">
        <f>DATE(VALUE(LEFT(A2587,4)),VALUE(MID(A2587,5,2)),VALUE(RIGHT(A2587,2)))</f>
        <v/>
      </c>
      <c r="L2587" s="395">
        <f>DATEVALUE(LEFT(F2587,10))</f>
        <v/>
      </c>
      <c r="M2587" s="396">
        <f>TIMEVALUE(MID(F2587,12,8))</f>
        <v/>
      </c>
      <c r="N2587" s="395">
        <f>DATEVALUE(LEFT(G2587,10))</f>
        <v/>
      </c>
      <c r="O2587" s="396">
        <f>TIMEVALUE(MID(G2587,12,8))</f>
        <v/>
      </c>
      <c r="P2587" s="396">
        <f>IFERROR(_xlfn.MINIFS($M:$M,$E:$E,$E2587,$K:$K,$K2587,$M:$M,"&gt;"&amp;$O2587),"")</f>
        <v/>
      </c>
      <c r="Q2587" s="396">
        <f>IF($P2587="","",$P2587-$O2587)</f>
        <v/>
      </c>
    </row>
    <row r="2588" ht="15" customHeight="1" s="231">
      <c r="A2588" s="397" t="n"/>
      <c r="B2588" s="397" t="n"/>
      <c r="C2588" s="397" t="n"/>
      <c r="D2588" s="397" t="n"/>
      <c r="E2588" s="397" t="n"/>
      <c r="F2588" s="397" t="n"/>
      <c r="G2588" s="397" t="n"/>
      <c r="I2588" s="397" t="n"/>
      <c r="J2588" s="397" t="n"/>
      <c r="K2588" s="395">
        <f>DATE(VALUE(LEFT(A2588,4)),VALUE(MID(A2588,5,2)),VALUE(RIGHT(A2588,2)))</f>
        <v/>
      </c>
      <c r="L2588" s="395">
        <f>DATEVALUE(LEFT(F2588,10))</f>
        <v/>
      </c>
      <c r="M2588" s="396">
        <f>TIMEVALUE(MID(F2588,12,8))</f>
        <v/>
      </c>
      <c r="N2588" s="395">
        <f>DATEVALUE(LEFT(G2588,10))</f>
        <v/>
      </c>
      <c r="O2588" s="396">
        <f>TIMEVALUE(MID(G2588,12,8))</f>
        <v/>
      </c>
      <c r="P2588" s="396">
        <f>IFERROR(_xlfn.MINIFS($M:$M,$E:$E,$E2588,$K:$K,$K2588,$M:$M,"&gt;"&amp;$O2588),"")</f>
        <v/>
      </c>
      <c r="Q2588" s="396">
        <f>IF($P2588="","",$P2588-$O2588)</f>
        <v/>
      </c>
    </row>
    <row r="2589" ht="15" customHeight="1" s="231">
      <c r="A2589" s="397" t="n"/>
      <c r="B2589" s="397" t="n"/>
      <c r="C2589" s="397" t="n"/>
      <c r="D2589" s="397" t="n"/>
      <c r="E2589" s="397" t="n"/>
      <c r="F2589" s="397" t="n"/>
      <c r="G2589" s="397" t="n"/>
      <c r="I2589" s="397" t="n"/>
      <c r="J2589" s="397" t="n"/>
      <c r="K2589" s="395">
        <f>DATE(VALUE(LEFT(A2589,4)),VALUE(MID(A2589,5,2)),VALUE(RIGHT(A2589,2)))</f>
        <v/>
      </c>
      <c r="L2589" s="395">
        <f>DATEVALUE(LEFT(F2589,10))</f>
        <v/>
      </c>
      <c r="M2589" s="396">
        <f>TIMEVALUE(MID(F2589,12,8))</f>
        <v/>
      </c>
      <c r="N2589" s="395">
        <f>DATEVALUE(LEFT(G2589,10))</f>
        <v/>
      </c>
      <c r="O2589" s="396">
        <f>TIMEVALUE(MID(G2589,12,8))</f>
        <v/>
      </c>
      <c r="P2589" s="396">
        <f>IFERROR(_xlfn.MINIFS($M:$M,$E:$E,$E2589,$K:$K,$K2589,$M:$M,"&gt;"&amp;$O2589),"")</f>
        <v/>
      </c>
      <c r="Q2589" s="396">
        <f>IF($P2589="","",$P2589-$O2589)</f>
        <v/>
      </c>
    </row>
    <row r="2590" ht="15" customHeight="1" s="231">
      <c r="A2590" s="397" t="n"/>
      <c r="B2590" s="397" t="n"/>
      <c r="C2590" s="397" t="n"/>
      <c r="D2590" s="397" t="n"/>
      <c r="E2590" s="397" t="n"/>
      <c r="F2590" s="397" t="n"/>
      <c r="G2590" s="397" t="n"/>
      <c r="I2590" s="397" t="n"/>
      <c r="J2590" s="397" t="n"/>
      <c r="K2590" s="395">
        <f>DATE(VALUE(LEFT(A2590,4)),VALUE(MID(A2590,5,2)),VALUE(RIGHT(A2590,2)))</f>
        <v/>
      </c>
      <c r="L2590" s="395">
        <f>DATEVALUE(LEFT(F2590,10))</f>
        <v/>
      </c>
      <c r="M2590" s="396">
        <f>TIMEVALUE(MID(F2590,12,8))</f>
        <v/>
      </c>
      <c r="N2590" s="395">
        <f>DATEVALUE(LEFT(G2590,10))</f>
        <v/>
      </c>
      <c r="O2590" s="396">
        <f>TIMEVALUE(MID(G2590,12,8))</f>
        <v/>
      </c>
      <c r="P2590" s="396">
        <f>IFERROR(_xlfn.MINIFS($M:$M,$E:$E,$E2590,$K:$K,$K2590,$M:$M,"&gt;"&amp;$O2590),"")</f>
        <v/>
      </c>
      <c r="Q2590" s="396">
        <f>IF($P2590="","",$P2590-$O2590)</f>
        <v/>
      </c>
    </row>
    <row r="2591" ht="15" customHeight="1" s="231">
      <c r="A2591" s="397" t="n"/>
      <c r="B2591" s="397" t="n"/>
      <c r="C2591" s="397" t="n"/>
      <c r="D2591" s="397" t="n"/>
      <c r="E2591" s="397" t="n"/>
      <c r="F2591" s="397" t="n"/>
      <c r="G2591" s="397" t="n"/>
      <c r="I2591" s="397" t="n"/>
      <c r="J2591" s="397" t="n"/>
      <c r="K2591" s="395">
        <f>DATE(VALUE(LEFT(A2591,4)),VALUE(MID(A2591,5,2)),VALUE(RIGHT(A2591,2)))</f>
        <v/>
      </c>
      <c r="L2591" s="395">
        <f>DATEVALUE(LEFT(F2591,10))</f>
        <v/>
      </c>
      <c r="M2591" s="396">
        <f>TIMEVALUE(MID(F2591,12,8))</f>
        <v/>
      </c>
      <c r="N2591" s="395">
        <f>DATEVALUE(LEFT(G2591,10))</f>
        <v/>
      </c>
      <c r="O2591" s="396">
        <f>TIMEVALUE(MID(G2591,12,8))</f>
        <v/>
      </c>
      <c r="P2591" s="396">
        <f>IFERROR(_xlfn.MINIFS($M:$M,$E:$E,$E2591,$K:$K,$K2591,$M:$M,"&gt;"&amp;$O2591),"")</f>
        <v/>
      </c>
      <c r="Q2591" s="396">
        <f>IF($P2591="","",$P2591-$O2591)</f>
        <v/>
      </c>
    </row>
    <row r="2592" ht="15" customHeight="1" s="231">
      <c r="A2592" s="397" t="n"/>
      <c r="B2592" s="397" t="n"/>
      <c r="C2592" s="397" t="n"/>
      <c r="D2592" s="397" t="n"/>
      <c r="E2592" s="397" t="n"/>
      <c r="F2592" s="397" t="n"/>
      <c r="G2592" s="397" t="n"/>
      <c r="I2592" s="397" t="n"/>
      <c r="J2592" s="397" t="n"/>
      <c r="K2592" s="395">
        <f>DATE(VALUE(LEFT(A2592,4)),VALUE(MID(A2592,5,2)),VALUE(RIGHT(A2592,2)))</f>
        <v/>
      </c>
      <c r="L2592" s="395">
        <f>DATEVALUE(LEFT(F2592,10))</f>
        <v/>
      </c>
      <c r="M2592" s="396">
        <f>TIMEVALUE(MID(F2592,12,8))</f>
        <v/>
      </c>
      <c r="N2592" s="395">
        <f>DATEVALUE(LEFT(G2592,10))</f>
        <v/>
      </c>
      <c r="O2592" s="396">
        <f>TIMEVALUE(MID(G2592,12,8))</f>
        <v/>
      </c>
      <c r="P2592" s="396">
        <f>IFERROR(_xlfn.MINIFS($M:$M,$E:$E,$E2592,$K:$K,$K2592,$M:$M,"&gt;"&amp;$O2592),"")</f>
        <v/>
      </c>
      <c r="Q2592" s="396">
        <f>IF($P2592="","",$P2592-$O2592)</f>
        <v/>
      </c>
    </row>
    <row r="2593" ht="15" customHeight="1" s="231">
      <c r="A2593" s="397" t="n"/>
      <c r="B2593" s="397" t="n"/>
      <c r="C2593" s="397" t="n"/>
      <c r="D2593" s="397" t="n"/>
      <c r="E2593" s="397" t="n"/>
      <c r="F2593" s="397" t="n"/>
      <c r="G2593" s="397" t="n"/>
      <c r="I2593" s="397" t="n"/>
      <c r="J2593" s="397" t="n"/>
      <c r="K2593" s="395">
        <f>DATE(VALUE(LEFT(A2593,4)),VALUE(MID(A2593,5,2)),VALUE(RIGHT(A2593,2)))</f>
        <v/>
      </c>
      <c r="L2593" s="395">
        <f>DATEVALUE(LEFT(F2593,10))</f>
        <v/>
      </c>
      <c r="M2593" s="396">
        <f>TIMEVALUE(MID(F2593,12,8))</f>
        <v/>
      </c>
      <c r="N2593" s="395">
        <f>DATEVALUE(LEFT(G2593,10))</f>
        <v/>
      </c>
      <c r="O2593" s="396">
        <f>TIMEVALUE(MID(G2593,12,8))</f>
        <v/>
      </c>
      <c r="P2593" s="396">
        <f>IFERROR(_xlfn.MINIFS($M:$M,$E:$E,$E2593,$K:$K,$K2593,$M:$M,"&gt;"&amp;$O2593),"")</f>
        <v/>
      </c>
      <c r="Q2593" s="396">
        <f>IF($P2593="","",$P2593-$O2593)</f>
        <v/>
      </c>
    </row>
    <row r="2594" ht="15" customHeight="1" s="231">
      <c r="A2594" s="397" t="n"/>
      <c r="B2594" s="397" t="n"/>
      <c r="C2594" s="397" t="n"/>
      <c r="D2594" s="397" t="n"/>
      <c r="E2594" s="397" t="n"/>
      <c r="F2594" s="397" t="n"/>
      <c r="G2594" s="397" t="n"/>
      <c r="I2594" s="397" t="n"/>
      <c r="J2594" s="397" t="n"/>
      <c r="K2594" s="395">
        <f>DATE(VALUE(LEFT(A2594,4)),VALUE(MID(A2594,5,2)),VALUE(RIGHT(A2594,2)))</f>
        <v/>
      </c>
      <c r="L2594" s="395">
        <f>DATEVALUE(LEFT(F2594,10))</f>
        <v/>
      </c>
      <c r="M2594" s="396">
        <f>TIMEVALUE(MID(F2594,12,8))</f>
        <v/>
      </c>
      <c r="N2594" s="395">
        <f>DATEVALUE(LEFT(G2594,10))</f>
        <v/>
      </c>
      <c r="O2594" s="396">
        <f>TIMEVALUE(MID(G2594,12,8))</f>
        <v/>
      </c>
      <c r="P2594" s="396">
        <f>IFERROR(_xlfn.MINIFS($M:$M,$E:$E,$E2594,$K:$K,$K2594,$M:$M,"&gt;"&amp;$O2594),"")</f>
        <v/>
      </c>
      <c r="Q2594" s="396">
        <f>IF($P2594="","",$P2594-$O2594)</f>
        <v/>
      </c>
    </row>
    <row r="2595" ht="15" customHeight="1" s="231">
      <c r="A2595" s="397" t="n"/>
      <c r="B2595" s="397" t="n"/>
      <c r="C2595" s="397" t="n"/>
      <c r="D2595" s="397" t="n"/>
      <c r="E2595" s="397" t="n"/>
      <c r="F2595" s="397" t="n"/>
      <c r="G2595" s="397" t="n"/>
      <c r="I2595" s="397" t="n"/>
      <c r="J2595" s="397" t="n"/>
      <c r="K2595" s="395">
        <f>DATE(VALUE(LEFT(A2595,4)),VALUE(MID(A2595,5,2)),VALUE(RIGHT(A2595,2)))</f>
        <v/>
      </c>
      <c r="L2595" s="395">
        <f>DATEVALUE(LEFT(F2595,10))</f>
        <v/>
      </c>
      <c r="M2595" s="396">
        <f>TIMEVALUE(MID(F2595,12,8))</f>
        <v/>
      </c>
      <c r="N2595" s="395">
        <f>DATEVALUE(LEFT(G2595,10))</f>
        <v/>
      </c>
      <c r="O2595" s="396">
        <f>TIMEVALUE(MID(G2595,12,8))</f>
        <v/>
      </c>
      <c r="P2595" s="396">
        <f>IFERROR(_xlfn.MINIFS($M:$M,$E:$E,$E2595,$K:$K,$K2595,$M:$M,"&gt;"&amp;$O2595),"")</f>
        <v/>
      </c>
      <c r="Q2595" s="396">
        <f>IF($P2595="","",$P2595-$O2595)</f>
        <v/>
      </c>
    </row>
    <row r="2596" ht="15" customHeight="1" s="231">
      <c r="A2596" s="397" t="n"/>
      <c r="B2596" s="397" t="n"/>
      <c r="C2596" s="397" t="n"/>
      <c r="D2596" s="397" t="n"/>
      <c r="E2596" s="397" t="n"/>
      <c r="F2596" s="397" t="n"/>
      <c r="G2596" s="397" t="n"/>
      <c r="I2596" s="397" t="n"/>
      <c r="J2596" s="397" t="n"/>
      <c r="K2596" s="395">
        <f>DATE(VALUE(LEFT(A2596,4)),VALUE(MID(A2596,5,2)),VALUE(RIGHT(A2596,2)))</f>
        <v/>
      </c>
      <c r="L2596" s="395">
        <f>DATEVALUE(LEFT(F2596,10))</f>
        <v/>
      </c>
      <c r="M2596" s="396">
        <f>TIMEVALUE(MID(F2596,12,8))</f>
        <v/>
      </c>
      <c r="N2596" s="395">
        <f>DATEVALUE(LEFT(G2596,10))</f>
        <v/>
      </c>
      <c r="O2596" s="396">
        <f>TIMEVALUE(MID(G2596,12,8))</f>
        <v/>
      </c>
      <c r="P2596" s="396">
        <f>IFERROR(_xlfn.MINIFS($M:$M,$E:$E,$E2596,$K:$K,$K2596,$M:$M,"&gt;"&amp;$O2596),"")</f>
        <v/>
      </c>
      <c r="Q2596" s="396">
        <f>IF($P2596="","",$P2596-$O2596)</f>
        <v/>
      </c>
    </row>
    <row r="2597" ht="15" customHeight="1" s="231">
      <c r="A2597" s="397" t="n"/>
      <c r="B2597" s="397" t="n"/>
      <c r="C2597" s="397" t="n"/>
      <c r="D2597" s="397" t="n"/>
      <c r="E2597" s="397" t="n"/>
      <c r="F2597" s="397" t="n"/>
      <c r="G2597" s="397" t="n"/>
      <c r="I2597" s="397" t="n"/>
      <c r="J2597" s="397" t="n"/>
      <c r="K2597" s="395">
        <f>DATE(VALUE(LEFT(A2597,4)),VALUE(MID(A2597,5,2)),VALUE(RIGHT(A2597,2)))</f>
        <v/>
      </c>
      <c r="L2597" s="395">
        <f>DATEVALUE(LEFT(F2597,10))</f>
        <v/>
      </c>
      <c r="M2597" s="396">
        <f>TIMEVALUE(MID(F2597,12,8))</f>
        <v/>
      </c>
      <c r="N2597" s="395">
        <f>DATEVALUE(LEFT(G2597,10))</f>
        <v/>
      </c>
      <c r="O2597" s="396">
        <f>TIMEVALUE(MID(G2597,12,8))</f>
        <v/>
      </c>
      <c r="P2597" s="396">
        <f>IFERROR(_xlfn.MINIFS($M:$M,$E:$E,$E2597,$K:$K,$K2597,$M:$M,"&gt;"&amp;$O2597),"")</f>
        <v/>
      </c>
      <c r="Q2597" s="396">
        <f>IF($P2597="","",$P2597-$O2597)</f>
        <v/>
      </c>
    </row>
    <row r="2598" ht="15" customHeight="1" s="231">
      <c r="A2598" s="397" t="n"/>
      <c r="B2598" s="397" t="n"/>
      <c r="C2598" s="397" t="n"/>
      <c r="D2598" s="397" t="n"/>
      <c r="E2598" s="397" t="n"/>
      <c r="F2598" s="397" t="n"/>
      <c r="G2598" s="397" t="n"/>
      <c r="I2598" s="397" t="n"/>
      <c r="J2598" s="397" t="n"/>
      <c r="K2598" s="395">
        <f>DATE(VALUE(LEFT(A2598,4)),VALUE(MID(A2598,5,2)),VALUE(RIGHT(A2598,2)))</f>
        <v/>
      </c>
      <c r="L2598" s="395">
        <f>DATEVALUE(LEFT(F2598,10))</f>
        <v/>
      </c>
      <c r="M2598" s="396">
        <f>TIMEVALUE(MID(F2598,12,8))</f>
        <v/>
      </c>
      <c r="N2598" s="395">
        <f>DATEVALUE(LEFT(G2598,10))</f>
        <v/>
      </c>
      <c r="O2598" s="396">
        <f>TIMEVALUE(MID(G2598,12,8))</f>
        <v/>
      </c>
      <c r="P2598" s="396">
        <f>IFERROR(_xlfn.MINIFS($M:$M,$E:$E,$E2598,$K:$K,$K2598,$M:$M,"&gt;"&amp;$O2598),"")</f>
        <v/>
      </c>
      <c r="Q2598" s="396">
        <f>IF($P2598="","",$P2598-$O2598)</f>
        <v/>
      </c>
    </row>
    <row r="2599" ht="15" customHeight="1" s="231">
      <c r="A2599" s="397" t="n"/>
      <c r="B2599" s="397" t="n"/>
      <c r="C2599" s="397" t="n"/>
      <c r="D2599" s="397" t="n"/>
      <c r="E2599" s="397" t="n"/>
      <c r="F2599" s="397" t="n"/>
      <c r="G2599" s="397" t="n"/>
      <c r="I2599" s="397" t="n"/>
      <c r="J2599" s="397" t="n"/>
      <c r="K2599" s="395">
        <f>DATE(VALUE(LEFT(A2599,4)),VALUE(MID(A2599,5,2)),VALUE(RIGHT(A2599,2)))</f>
        <v/>
      </c>
      <c r="L2599" s="395">
        <f>DATEVALUE(LEFT(F2599,10))</f>
        <v/>
      </c>
      <c r="M2599" s="396">
        <f>TIMEVALUE(MID(F2599,12,8))</f>
        <v/>
      </c>
      <c r="N2599" s="395">
        <f>DATEVALUE(LEFT(G2599,10))</f>
        <v/>
      </c>
      <c r="O2599" s="396">
        <f>TIMEVALUE(MID(G2599,12,8))</f>
        <v/>
      </c>
      <c r="P2599" s="396">
        <f>IFERROR(_xlfn.MINIFS($M:$M,$E:$E,$E2599,$K:$K,$K2599,$M:$M,"&gt;"&amp;$O2599),"")</f>
        <v/>
      </c>
      <c r="Q2599" s="396">
        <f>IF($P2599="","",$P2599-$O2599)</f>
        <v/>
      </c>
    </row>
    <row r="2600" ht="15" customHeight="1" s="231">
      <c r="A2600" s="397" t="n"/>
      <c r="B2600" s="397" t="n"/>
      <c r="C2600" s="397" t="n"/>
      <c r="D2600" s="397" t="n"/>
      <c r="E2600" s="397" t="n"/>
      <c r="F2600" s="397" t="n"/>
      <c r="G2600" s="397" t="n"/>
      <c r="I2600" s="397" t="n"/>
      <c r="J2600" s="397" t="n"/>
      <c r="K2600" s="395">
        <f>DATE(VALUE(LEFT(A2600,4)),VALUE(MID(A2600,5,2)),VALUE(RIGHT(A2600,2)))</f>
        <v/>
      </c>
      <c r="L2600" s="395">
        <f>DATEVALUE(LEFT(F2600,10))</f>
        <v/>
      </c>
      <c r="M2600" s="396">
        <f>TIMEVALUE(MID(F2600,12,8))</f>
        <v/>
      </c>
      <c r="N2600" s="395">
        <f>DATEVALUE(LEFT(G2600,10))</f>
        <v/>
      </c>
      <c r="O2600" s="396">
        <f>TIMEVALUE(MID(G2600,12,8))</f>
        <v/>
      </c>
      <c r="P2600" s="396">
        <f>IFERROR(_xlfn.MINIFS($M:$M,$E:$E,$E2600,$K:$K,$K2600,$M:$M,"&gt;"&amp;$O2600),"")</f>
        <v/>
      </c>
      <c r="Q2600" s="396">
        <f>IF($P2600="","",$P2600-$O2600)</f>
        <v/>
      </c>
    </row>
    <row r="2601" ht="15" customHeight="1" s="231">
      <c r="A2601" s="397" t="n"/>
      <c r="B2601" s="397" t="n"/>
      <c r="C2601" s="397" t="n"/>
      <c r="D2601" s="397" t="n"/>
      <c r="E2601" s="397" t="n"/>
      <c r="F2601" s="397" t="n"/>
      <c r="G2601" s="397" t="n"/>
      <c r="I2601" s="397" t="n"/>
      <c r="J2601" s="397" t="n"/>
      <c r="K2601" s="395">
        <f>DATE(VALUE(LEFT(A2601,4)),VALUE(MID(A2601,5,2)),VALUE(RIGHT(A2601,2)))</f>
        <v/>
      </c>
      <c r="L2601" s="395">
        <f>DATEVALUE(LEFT(F2601,10))</f>
        <v/>
      </c>
      <c r="M2601" s="396">
        <f>TIMEVALUE(MID(F2601,12,8))</f>
        <v/>
      </c>
      <c r="N2601" s="395">
        <f>DATEVALUE(LEFT(G2601,10))</f>
        <v/>
      </c>
      <c r="O2601" s="396">
        <f>TIMEVALUE(MID(G2601,12,8))</f>
        <v/>
      </c>
      <c r="P2601" s="396">
        <f>IFERROR(_xlfn.MINIFS($M:$M,$E:$E,$E2601,$K:$K,$K2601,$M:$M,"&gt;"&amp;$O2601),"")</f>
        <v/>
      </c>
      <c r="Q2601" s="396">
        <f>IF($P2601="","",$P2601-$O2601)</f>
        <v/>
      </c>
    </row>
    <row r="2602" ht="15" customHeight="1" s="231">
      <c r="A2602" s="397" t="n"/>
      <c r="B2602" s="397" t="n"/>
      <c r="C2602" s="397" t="n"/>
      <c r="D2602" s="397" t="n"/>
      <c r="E2602" s="397" t="n"/>
      <c r="F2602" s="397" t="n"/>
      <c r="G2602" s="397" t="n"/>
      <c r="I2602" s="397" t="n"/>
      <c r="J2602" s="397" t="n"/>
      <c r="K2602" s="395">
        <f>DATE(VALUE(LEFT(A2602,4)),VALUE(MID(A2602,5,2)),VALUE(RIGHT(A2602,2)))</f>
        <v/>
      </c>
      <c r="L2602" s="395">
        <f>DATEVALUE(LEFT(F2602,10))</f>
        <v/>
      </c>
      <c r="M2602" s="396">
        <f>TIMEVALUE(MID(F2602,12,8))</f>
        <v/>
      </c>
      <c r="N2602" s="395">
        <f>DATEVALUE(LEFT(G2602,10))</f>
        <v/>
      </c>
      <c r="O2602" s="396">
        <f>TIMEVALUE(MID(G2602,12,8))</f>
        <v/>
      </c>
      <c r="P2602" s="396">
        <f>IFERROR(_xlfn.MINIFS($M:$M,$E:$E,$E2602,$K:$K,$K2602,$M:$M,"&gt;"&amp;$O2602),"")</f>
        <v/>
      </c>
      <c r="Q2602" s="396">
        <f>IF($P2602="","",$P2602-$O2602)</f>
        <v/>
      </c>
    </row>
    <row r="2603" ht="15" customHeight="1" s="231">
      <c r="A2603" s="397" t="n"/>
      <c r="B2603" s="397" t="n"/>
      <c r="C2603" s="397" t="n"/>
      <c r="D2603" s="397" t="n"/>
      <c r="E2603" s="397" t="n"/>
      <c r="F2603" s="397" t="n"/>
      <c r="G2603" s="397" t="n"/>
      <c r="I2603" s="397" t="n"/>
      <c r="J2603" s="397" t="n"/>
      <c r="K2603" s="395">
        <f>DATE(VALUE(LEFT(A2603,4)),VALUE(MID(A2603,5,2)),VALUE(RIGHT(A2603,2)))</f>
        <v/>
      </c>
      <c r="L2603" s="395">
        <f>DATEVALUE(LEFT(F2603,10))</f>
        <v/>
      </c>
      <c r="M2603" s="396">
        <f>TIMEVALUE(MID(F2603,12,8))</f>
        <v/>
      </c>
      <c r="N2603" s="395">
        <f>DATEVALUE(LEFT(G2603,10))</f>
        <v/>
      </c>
      <c r="O2603" s="396">
        <f>TIMEVALUE(MID(G2603,12,8))</f>
        <v/>
      </c>
      <c r="P2603" s="396">
        <f>IFERROR(_xlfn.MINIFS($M:$M,$E:$E,$E2603,$K:$K,$K2603,$M:$M,"&gt;"&amp;$O2603),"")</f>
        <v/>
      </c>
      <c r="Q2603" s="396">
        <f>IF($P2603="","",$P2603-$O2603)</f>
        <v/>
      </c>
    </row>
    <row r="2604" ht="15" customHeight="1" s="231">
      <c r="A2604" s="397" t="n"/>
      <c r="B2604" s="397" t="n"/>
      <c r="C2604" s="397" t="n"/>
      <c r="D2604" s="397" t="n"/>
      <c r="E2604" s="397" t="n"/>
      <c r="F2604" s="397" t="n"/>
      <c r="G2604" s="397" t="n"/>
      <c r="I2604" s="397" t="n"/>
      <c r="J2604" s="397" t="n"/>
      <c r="K2604" s="395">
        <f>DATE(VALUE(LEFT(A2604,4)),VALUE(MID(A2604,5,2)),VALUE(RIGHT(A2604,2)))</f>
        <v/>
      </c>
      <c r="L2604" s="395">
        <f>DATEVALUE(LEFT(F2604,10))</f>
        <v/>
      </c>
      <c r="M2604" s="396">
        <f>TIMEVALUE(MID(F2604,12,8))</f>
        <v/>
      </c>
      <c r="N2604" s="395">
        <f>DATEVALUE(LEFT(G2604,10))</f>
        <v/>
      </c>
      <c r="O2604" s="396">
        <f>TIMEVALUE(MID(G2604,12,8))</f>
        <v/>
      </c>
      <c r="P2604" s="396">
        <f>IFERROR(_xlfn.MINIFS($M:$M,$E:$E,$E2604,$K:$K,$K2604,$M:$M,"&gt;"&amp;$O2604),"")</f>
        <v/>
      </c>
      <c r="Q2604" s="396">
        <f>IF($P2604="","",$P2604-$O2604)</f>
        <v/>
      </c>
    </row>
    <row r="2605" ht="15" customHeight="1" s="231">
      <c r="A2605" s="397" t="n"/>
      <c r="B2605" s="397" t="n"/>
      <c r="C2605" s="397" t="n"/>
      <c r="D2605" s="397" t="n"/>
      <c r="E2605" s="397" t="n"/>
      <c r="F2605" s="397" t="n"/>
      <c r="G2605" s="397" t="n"/>
      <c r="I2605" s="397" t="n"/>
      <c r="J2605" s="397" t="n"/>
      <c r="K2605" s="395">
        <f>DATE(VALUE(LEFT(A2605,4)),VALUE(MID(A2605,5,2)),VALUE(RIGHT(A2605,2)))</f>
        <v/>
      </c>
      <c r="L2605" s="395">
        <f>DATEVALUE(LEFT(F2605,10))</f>
        <v/>
      </c>
      <c r="M2605" s="396">
        <f>TIMEVALUE(MID(F2605,12,8))</f>
        <v/>
      </c>
      <c r="N2605" s="395">
        <f>DATEVALUE(LEFT(G2605,10))</f>
        <v/>
      </c>
      <c r="O2605" s="396">
        <f>TIMEVALUE(MID(G2605,12,8))</f>
        <v/>
      </c>
      <c r="P2605" s="396">
        <f>IFERROR(_xlfn.MINIFS($M:$M,$E:$E,$E2605,$K:$K,$K2605,$M:$M,"&gt;"&amp;$O2605),"")</f>
        <v/>
      </c>
      <c r="Q2605" s="396">
        <f>IF($P2605="","",$P2605-$O2605)</f>
        <v/>
      </c>
    </row>
    <row r="2606" ht="15" customHeight="1" s="231">
      <c r="A2606" s="397" t="n"/>
      <c r="B2606" s="397" t="n"/>
      <c r="C2606" s="397" t="n"/>
      <c r="D2606" s="397" t="n"/>
      <c r="E2606" s="397" t="n"/>
      <c r="F2606" s="397" t="n"/>
      <c r="G2606" s="397" t="n"/>
      <c r="I2606" s="397" t="n"/>
      <c r="J2606" s="397" t="n"/>
      <c r="K2606" s="395">
        <f>DATE(VALUE(LEFT(A2606,4)),VALUE(MID(A2606,5,2)),VALUE(RIGHT(A2606,2)))</f>
        <v/>
      </c>
      <c r="L2606" s="395">
        <f>DATEVALUE(LEFT(F2606,10))</f>
        <v/>
      </c>
      <c r="M2606" s="396">
        <f>TIMEVALUE(MID(F2606,12,8))</f>
        <v/>
      </c>
      <c r="N2606" s="395">
        <f>DATEVALUE(LEFT(G2606,10))</f>
        <v/>
      </c>
      <c r="O2606" s="396">
        <f>TIMEVALUE(MID(G2606,12,8))</f>
        <v/>
      </c>
      <c r="P2606" s="396">
        <f>IFERROR(_xlfn.MINIFS($M:$M,$E:$E,$E2606,$K:$K,$K2606,$M:$M,"&gt;"&amp;$O2606),"")</f>
        <v/>
      </c>
      <c r="Q2606" s="396">
        <f>IF($P2606="","",$P2606-$O2606)</f>
        <v/>
      </c>
    </row>
    <row r="2607" ht="15" customHeight="1" s="231">
      <c r="A2607" s="397" t="n"/>
      <c r="B2607" s="397" t="n"/>
      <c r="C2607" s="397" t="n"/>
      <c r="D2607" s="397" t="n"/>
      <c r="E2607" s="397" t="n"/>
      <c r="F2607" s="397" t="n"/>
      <c r="G2607" s="397" t="n"/>
      <c r="I2607" s="397" t="n"/>
      <c r="J2607" s="397" t="n"/>
      <c r="K2607" s="395">
        <f>DATE(VALUE(LEFT(A2607,4)),VALUE(MID(A2607,5,2)),VALUE(RIGHT(A2607,2)))</f>
        <v/>
      </c>
      <c r="L2607" s="395">
        <f>DATEVALUE(LEFT(F2607,10))</f>
        <v/>
      </c>
      <c r="M2607" s="396">
        <f>TIMEVALUE(MID(F2607,12,8))</f>
        <v/>
      </c>
      <c r="N2607" s="395">
        <f>DATEVALUE(LEFT(G2607,10))</f>
        <v/>
      </c>
      <c r="O2607" s="396">
        <f>TIMEVALUE(MID(G2607,12,8))</f>
        <v/>
      </c>
      <c r="P2607" s="396">
        <f>IFERROR(_xlfn.MINIFS($M:$M,$E:$E,$E2607,$K:$K,$K2607,$M:$M,"&gt;"&amp;$O2607),"")</f>
        <v/>
      </c>
      <c r="Q2607" s="396">
        <f>IF($P2607="","",$P2607-$O2607)</f>
        <v/>
      </c>
    </row>
    <row r="2608" ht="15" customHeight="1" s="231">
      <c r="A2608" s="397" t="n"/>
      <c r="B2608" s="397" t="n"/>
      <c r="C2608" s="397" t="n"/>
      <c r="D2608" s="397" t="n"/>
      <c r="E2608" s="397" t="n"/>
      <c r="F2608" s="397" t="n"/>
      <c r="G2608" s="397" t="n"/>
      <c r="I2608" s="397" t="n"/>
      <c r="J2608" s="397" t="n"/>
      <c r="K2608" s="395">
        <f>DATE(VALUE(LEFT(A2608,4)),VALUE(MID(A2608,5,2)),VALUE(RIGHT(A2608,2)))</f>
        <v/>
      </c>
      <c r="L2608" s="395">
        <f>DATEVALUE(LEFT(F2608,10))</f>
        <v/>
      </c>
      <c r="M2608" s="396">
        <f>TIMEVALUE(MID(F2608,12,8))</f>
        <v/>
      </c>
      <c r="N2608" s="395">
        <f>DATEVALUE(LEFT(G2608,10))</f>
        <v/>
      </c>
      <c r="O2608" s="396">
        <f>TIMEVALUE(MID(G2608,12,8))</f>
        <v/>
      </c>
      <c r="P2608" s="396">
        <f>IFERROR(_xlfn.MINIFS($M:$M,$E:$E,$E2608,$K:$K,$K2608,$M:$M,"&gt;"&amp;$O2608),"")</f>
        <v/>
      </c>
      <c r="Q2608" s="396">
        <f>IF($P2608="","",$P2608-$O2608)</f>
        <v/>
      </c>
    </row>
    <row r="2609" ht="15" customHeight="1" s="231">
      <c r="A2609" s="397" t="n"/>
      <c r="B2609" s="397" t="n"/>
      <c r="C2609" s="397" t="n"/>
      <c r="D2609" s="397" t="n"/>
      <c r="E2609" s="397" t="n"/>
      <c r="F2609" s="397" t="n"/>
      <c r="G2609" s="397" t="n"/>
      <c r="I2609" s="397" t="n"/>
      <c r="J2609" s="397" t="n"/>
      <c r="K2609" s="395">
        <f>DATE(VALUE(LEFT(A2609,4)),VALUE(MID(A2609,5,2)),VALUE(RIGHT(A2609,2)))</f>
        <v/>
      </c>
      <c r="L2609" s="395">
        <f>DATEVALUE(LEFT(F2609,10))</f>
        <v/>
      </c>
      <c r="M2609" s="396">
        <f>TIMEVALUE(MID(F2609,12,8))</f>
        <v/>
      </c>
      <c r="N2609" s="395">
        <f>DATEVALUE(LEFT(G2609,10))</f>
        <v/>
      </c>
      <c r="O2609" s="396">
        <f>TIMEVALUE(MID(G2609,12,8))</f>
        <v/>
      </c>
      <c r="P2609" s="396">
        <f>IFERROR(_xlfn.MINIFS($M:$M,$E:$E,$E2609,$K:$K,$K2609,$M:$M,"&gt;"&amp;$O2609),"")</f>
        <v/>
      </c>
      <c r="Q2609" s="396">
        <f>IF($P2609="","",$P2609-$O2609)</f>
        <v/>
      </c>
    </row>
    <row r="2610" ht="15" customHeight="1" s="231">
      <c r="A2610" s="397" t="n"/>
      <c r="B2610" s="397" t="n"/>
      <c r="C2610" s="397" t="n"/>
      <c r="D2610" s="397" t="n"/>
      <c r="E2610" s="397" t="n"/>
      <c r="F2610" s="397" t="n"/>
      <c r="G2610" s="397" t="n"/>
      <c r="I2610" s="397" t="n"/>
      <c r="J2610" s="397" t="n"/>
      <c r="K2610" s="395">
        <f>DATE(VALUE(LEFT(A2610,4)),VALUE(MID(A2610,5,2)),VALUE(RIGHT(A2610,2)))</f>
        <v/>
      </c>
      <c r="L2610" s="395">
        <f>DATEVALUE(LEFT(F2610,10))</f>
        <v/>
      </c>
      <c r="M2610" s="396">
        <f>TIMEVALUE(MID(F2610,12,8))</f>
        <v/>
      </c>
      <c r="N2610" s="395">
        <f>DATEVALUE(LEFT(G2610,10))</f>
        <v/>
      </c>
      <c r="O2610" s="396">
        <f>TIMEVALUE(MID(G2610,12,8))</f>
        <v/>
      </c>
      <c r="P2610" s="396">
        <f>IFERROR(_xlfn.MINIFS($M:$M,$E:$E,$E2610,$K:$K,$K2610,$M:$M,"&gt;"&amp;$O2610),"")</f>
        <v/>
      </c>
      <c r="Q2610" s="396">
        <f>IF($P2610="","",$P2610-$O2610)</f>
        <v/>
      </c>
    </row>
    <row r="2611" ht="15" customHeight="1" s="231">
      <c r="A2611" s="397" t="n"/>
      <c r="B2611" s="397" t="n"/>
      <c r="C2611" s="397" t="n"/>
      <c r="D2611" s="397" t="n"/>
      <c r="E2611" s="397" t="n"/>
      <c r="F2611" s="397" t="n"/>
      <c r="G2611" s="397" t="n"/>
      <c r="I2611" s="397" t="n"/>
      <c r="J2611" s="397" t="n"/>
      <c r="K2611" s="395">
        <f>DATE(VALUE(LEFT(A2611,4)),VALUE(MID(A2611,5,2)),VALUE(RIGHT(A2611,2)))</f>
        <v/>
      </c>
      <c r="L2611" s="395">
        <f>DATEVALUE(LEFT(F2611,10))</f>
        <v/>
      </c>
      <c r="M2611" s="396">
        <f>TIMEVALUE(MID(F2611,12,8))</f>
        <v/>
      </c>
      <c r="N2611" s="395">
        <f>DATEVALUE(LEFT(G2611,10))</f>
        <v/>
      </c>
      <c r="O2611" s="396">
        <f>TIMEVALUE(MID(G2611,12,8))</f>
        <v/>
      </c>
      <c r="P2611" s="396">
        <f>IFERROR(_xlfn.MINIFS($M:$M,$E:$E,$E2611,$K:$K,$K2611,$M:$M,"&gt;"&amp;$O2611),"")</f>
        <v/>
      </c>
      <c r="Q2611" s="396">
        <f>IF($P2611="","",$P2611-$O2611)</f>
        <v/>
      </c>
    </row>
    <row r="2612" ht="15" customHeight="1" s="231">
      <c r="A2612" s="397" t="n"/>
      <c r="B2612" s="397" t="n"/>
      <c r="C2612" s="397" t="n"/>
      <c r="D2612" s="397" t="n"/>
      <c r="E2612" s="397" t="n"/>
      <c r="F2612" s="397" t="n"/>
      <c r="G2612" s="397" t="n"/>
      <c r="I2612" s="397" t="n"/>
      <c r="J2612" s="397" t="n"/>
      <c r="K2612" s="395">
        <f>DATE(VALUE(LEFT(A2612,4)),VALUE(MID(A2612,5,2)),VALUE(RIGHT(A2612,2)))</f>
        <v/>
      </c>
      <c r="L2612" s="395">
        <f>DATEVALUE(LEFT(F2612,10))</f>
        <v/>
      </c>
      <c r="M2612" s="396">
        <f>TIMEVALUE(MID(F2612,12,8))</f>
        <v/>
      </c>
      <c r="N2612" s="395">
        <f>DATEVALUE(LEFT(G2612,10))</f>
        <v/>
      </c>
      <c r="O2612" s="396">
        <f>TIMEVALUE(MID(G2612,12,8))</f>
        <v/>
      </c>
      <c r="P2612" s="396">
        <f>IFERROR(_xlfn.MINIFS($M:$M,$E:$E,$E2612,$K:$K,$K2612,$M:$M,"&gt;"&amp;$O2612),"")</f>
        <v/>
      </c>
      <c r="Q2612" s="396">
        <f>IF($P2612="","",$P2612-$O2612)</f>
        <v/>
      </c>
    </row>
    <row r="2613" ht="15" customHeight="1" s="231">
      <c r="A2613" s="397" t="n"/>
      <c r="B2613" s="397" t="n"/>
      <c r="C2613" s="397" t="n"/>
      <c r="D2613" s="397" t="n"/>
      <c r="E2613" s="397" t="n"/>
      <c r="F2613" s="397" t="n"/>
      <c r="G2613" s="397" t="n"/>
      <c r="I2613" s="397" t="n"/>
      <c r="J2613" s="397" t="n"/>
      <c r="K2613" s="395">
        <f>DATE(VALUE(LEFT(A2613,4)),VALUE(MID(A2613,5,2)),VALUE(RIGHT(A2613,2)))</f>
        <v/>
      </c>
      <c r="L2613" s="395">
        <f>DATEVALUE(LEFT(F2613,10))</f>
        <v/>
      </c>
      <c r="M2613" s="396">
        <f>TIMEVALUE(MID(F2613,12,8))</f>
        <v/>
      </c>
      <c r="N2613" s="395">
        <f>DATEVALUE(LEFT(G2613,10))</f>
        <v/>
      </c>
      <c r="O2613" s="396">
        <f>TIMEVALUE(MID(G2613,12,8))</f>
        <v/>
      </c>
      <c r="P2613" s="396">
        <f>IFERROR(_xlfn.MINIFS($M:$M,$E:$E,$E2613,$K:$K,$K2613,$M:$M,"&gt;"&amp;$O2613),"")</f>
        <v/>
      </c>
      <c r="Q2613" s="396">
        <f>IF($P2613="","",$P2613-$O2613)</f>
        <v/>
      </c>
    </row>
    <row r="2614" ht="15" customHeight="1" s="231">
      <c r="A2614" s="397" t="n"/>
      <c r="B2614" s="397" t="n"/>
      <c r="C2614" s="397" t="n"/>
      <c r="D2614" s="397" t="n"/>
      <c r="E2614" s="397" t="n"/>
      <c r="F2614" s="397" t="n"/>
      <c r="G2614" s="397" t="n"/>
      <c r="I2614" s="397" t="n"/>
      <c r="J2614" s="397" t="n"/>
      <c r="K2614" s="395">
        <f>DATE(VALUE(LEFT(A2614,4)),VALUE(MID(A2614,5,2)),VALUE(RIGHT(A2614,2)))</f>
        <v/>
      </c>
      <c r="L2614" s="395">
        <f>DATEVALUE(LEFT(F2614,10))</f>
        <v/>
      </c>
      <c r="M2614" s="396">
        <f>TIMEVALUE(MID(F2614,12,8))</f>
        <v/>
      </c>
      <c r="N2614" s="395">
        <f>DATEVALUE(LEFT(G2614,10))</f>
        <v/>
      </c>
      <c r="O2614" s="396">
        <f>TIMEVALUE(MID(G2614,12,8))</f>
        <v/>
      </c>
      <c r="P2614" s="396">
        <f>IFERROR(_xlfn.MINIFS($M:$M,$E:$E,$E2614,$K:$K,$K2614,$M:$M,"&gt;"&amp;$O2614),"")</f>
        <v/>
      </c>
      <c r="Q2614" s="396">
        <f>IF($P2614="","",$P2614-$O2614)</f>
        <v/>
      </c>
    </row>
    <row r="2615" ht="15" customHeight="1" s="231">
      <c r="A2615" s="397" t="n"/>
      <c r="B2615" s="397" t="n"/>
      <c r="C2615" s="397" t="n"/>
      <c r="D2615" s="397" t="n"/>
      <c r="E2615" s="397" t="n"/>
      <c r="F2615" s="397" t="n"/>
      <c r="G2615" s="397" t="n"/>
      <c r="I2615" s="397" t="n"/>
      <c r="J2615" s="397" t="n"/>
      <c r="K2615" s="395">
        <f>DATE(VALUE(LEFT(A2615,4)),VALUE(MID(A2615,5,2)),VALUE(RIGHT(A2615,2)))</f>
        <v/>
      </c>
      <c r="L2615" s="395">
        <f>DATEVALUE(LEFT(F2615,10))</f>
        <v/>
      </c>
      <c r="M2615" s="396">
        <f>TIMEVALUE(MID(F2615,12,8))</f>
        <v/>
      </c>
      <c r="N2615" s="395">
        <f>DATEVALUE(LEFT(G2615,10))</f>
        <v/>
      </c>
      <c r="O2615" s="396">
        <f>TIMEVALUE(MID(G2615,12,8))</f>
        <v/>
      </c>
      <c r="P2615" s="396">
        <f>IFERROR(_xlfn.MINIFS($M:$M,$E:$E,$E2615,$K:$K,$K2615,$M:$M,"&gt;"&amp;$O2615),"")</f>
        <v/>
      </c>
      <c r="Q2615" s="396">
        <f>IF($P2615="","",$P2615-$O2615)</f>
        <v/>
      </c>
    </row>
    <row r="2616" ht="15" customHeight="1" s="231">
      <c r="A2616" s="397" t="n"/>
      <c r="B2616" s="397" t="n"/>
      <c r="C2616" s="397" t="n"/>
      <c r="D2616" s="397" t="n"/>
      <c r="E2616" s="397" t="n"/>
      <c r="F2616" s="397" t="n"/>
      <c r="G2616" s="397" t="n"/>
      <c r="I2616" s="397" t="n"/>
      <c r="J2616" s="397" t="n"/>
      <c r="K2616" s="395">
        <f>DATE(VALUE(LEFT(A2616,4)),VALUE(MID(A2616,5,2)),VALUE(RIGHT(A2616,2)))</f>
        <v/>
      </c>
      <c r="L2616" s="395">
        <f>DATEVALUE(LEFT(F2616,10))</f>
        <v/>
      </c>
      <c r="M2616" s="396">
        <f>TIMEVALUE(MID(F2616,12,8))</f>
        <v/>
      </c>
      <c r="N2616" s="395">
        <f>DATEVALUE(LEFT(G2616,10))</f>
        <v/>
      </c>
      <c r="O2616" s="396">
        <f>TIMEVALUE(MID(G2616,12,8))</f>
        <v/>
      </c>
      <c r="P2616" s="396">
        <f>IFERROR(_xlfn.MINIFS($M:$M,$E:$E,$E2616,$K:$K,$K2616,$M:$M,"&gt;"&amp;$O2616),"")</f>
        <v/>
      </c>
      <c r="Q2616" s="396">
        <f>IF($P2616="","",$P2616-$O2616)</f>
        <v/>
      </c>
    </row>
    <row r="2617" ht="15" customHeight="1" s="231">
      <c r="A2617" s="397" t="n"/>
      <c r="B2617" s="397" t="n"/>
      <c r="C2617" s="397" t="n"/>
      <c r="D2617" s="397" t="n"/>
      <c r="E2617" s="397" t="n"/>
      <c r="F2617" s="397" t="n"/>
      <c r="G2617" s="397" t="n"/>
      <c r="I2617" s="397" t="n"/>
      <c r="J2617" s="397" t="n"/>
      <c r="K2617" s="395">
        <f>DATE(VALUE(LEFT(A2617,4)),VALUE(MID(A2617,5,2)),VALUE(RIGHT(A2617,2)))</f>
        <v/>
      </c>
      <c r="L2617" s="395">
        <f>DATEVALUE(LEFT(F2617,10))</f>
        <v/>
      </c>
      <c r="M2617" s="396">
        <f>TIMEVALUE(MID(F2617,12,8))</f>
        <v/>
      </c>
      <c r="N2617" s="395">
        <f>DATEVALUE(LEFT(G2617,10))</f>
        <v/>
      </c>
      <c r="O2617" s="396">
        <f>TIMEVALUE(MID(G2617,12,8))</f>
        <v/>
      </c>
      <c r="P2617" s="396">
        <f>IFERROR(_xlfn.MINIFS($M:$M,$E:$E,$E2617,$K:$K,$K2617,$M:$M,"&gt;"&amp;$O2617),"")</f>
        <v/>
      </c>
      <c r="Q2617" s="396">
        <f>IF($P2617="","",$P2617-$O2617)</f>
        <v/>
      </c>
    </row>
    <row r="2618" ht="15" customHeight="1" s="231">
      <c r="A2618" s="397" t="n"/>
      <c r="B2618" s="397" t="n"/>
      <c r="C2618" s="397" t="n"/>
      <c r="D2618" s="397" t="n"/>
      <c r="E2618" s="397" t="n"/>
      <c r="F2618" s="397" t="n"/>
      <c r="G2618" s="397" t="n"/>
      <c r="I2618" s="397" t="n"/>
      <c r="J2618" s="397" t="n"/>
      <c r="K2618" s="395">
        <f>DATE(VALUE(LEFT(A2618,4)),VALUE(MID(A2618,5,2)),VALUE(RIGHT(A2618,2)))</f>
        <v/>
      </c>
      <c r="L2618" s="395">
        <f>DATEVALUE(LEFT(F2618,10))</f>
        <v/>
      </c>
      <c r="M2618" s="396">
        <f>TIMEVALUE(MID(F2618,12,8))</f>
        <v/>
      </c>
      <c r="N2618" s="395">
        <f>DATEVALUE(LEFT(G2618,10))</f>
        <v/>
      </c>
      <c r="O2618" s="396">
        <f>TIMEVALUE(MID(G2618,12,8))</f>
        <v/>
      </c>
      <c r="P2618" s="396">
        <f>IFERROR(_xlfn.MINIFS($M:$M,$E:$E,$E2618,$K:$K,$K2618,$M:$M,"&gt;"&amp;$O2618),"")</f>
        <v/>
      </c>
      <c r="Q2618" s="396">
        <f>IF($P2618="","",$P2618-$O2618)</f>
        <v/>
      </c>
    </row>
    <row r="2619" ht="15" customHeight="1" s="231">
      <c r="A2619" s="397" t="n"/>
      <c r="B2619" s="397" t="n"/>
      <c r="C2619" s="397" t="n"/>
      <c r="D2619" s="397" t="n"/>
      <c r="E2619" s="397" t="n"/>
      <c r="F2619" s="397" t="n"/>
      <c r="G2619" s="397" t="n"/>
      <c r="I2619" s="397" t="n"/>
      <c r="J2619" s="397" t="n"/>
      <c r="K2619" s="395">
        <f>DATE(VALUE(LEFT(A2619,4)),VALUE(MID(A2619,5,2)),VALUE(RIGHT(A2619,2)))</f>
        <v/>
      </c>
      <c r="L2619" s="395">
        <f>DATEVALUE(LEFT(F2619,10))</f>
        <v/>
      </c>
      <c r="M2619" s="396">
        <f>TIMEVALUE(MID(F2619,12,8))</f>
        <v/>
      </c>
      <c r="N2619" s="395">
        <f>DATEVALUE(LEFT(G2619,10))</f>
        <v/>
      </c>
      <c r="O2619" s="396">
        <f>TIMEVALUE(MID(G2619,12,8))</f>
        <v/>
      </c>
      <c r="P2619" s="396">
        <f>IFERROR(_xlfn.MINIFS($M:$M,$E:$E,$E2619,$K:$K,$K2619,$M:$M,"&gt;"&amp;$O2619),"")</f>
        <v/>
      </c>
      <c r="Q2619" s="396">
        <f>IF($P2619="","",$P2619-$O2619)</f>
        <v/>
      </c>
    </row>
    <row r="2620" ht="15" customHeight="1" s="231">
      <c r="A2620" s="397" t="n"/>
      <c r="B2620" s="397" t="n"/>
      <c r="C2620" s="397" t="n"/>
      <c r="D2620" s="397" t="n"/>
      <c r="E2620" s="397" t="n"/>
      <c r="F2620" s="397" t="n"/>
      <c r="G2620" s="397" t="n"/>
      <c r="I2620" s="397" t="n"/>
      <c r="J2620" s="397" t="n"/>
      <c r="K2620" s="395">
        <f>DATE(VALUE(LEFT(A2620,4)),VALUE(MID(A2620,5,2)),VALUE(RIGHT(A2620,2)))</f>
        <v/>
      </c>
      <c r="L2620" s="395">
        <f>DATEVALUE(LEFT(F2620,10))</f>
        <v/>
      </c>
      <c r="M2620" s="396">
        <f>TIMEVALUE(MID(F2620,12,8))</f>
        <v/>
      </c>
      <c r="N2620" s="395">
        <f>DATEVALUE(LEFT(G2620,10))</f>
        <v/>
      </c>
      <c r="O2620" s="396">
        <f>TIMEVALUE(MID(G2620,12,8))</f>
        <v/>
      </c>
      <c r="P2620" s="396">
        <f>IFERROR(_xlfn.MINIFS($M:$M,$E:$E,$E2620,$K:$K,$K2620,$M:$M,"&gt;"&amp;$O2620),"")</f>
        <v/>
      </c>
      <c r="Q2620" s="396">
        <f>IF($P2620="","",$P2620-$O2620)</f>
        <v/>
      </c>
    </row>
    <row r="2621" ht="15" customHeight="1" s="231">
      <c r="A2621" s="397" t="n"/>
      <c r="B2621" s="397" t="n"/>
      <c r="C2621" s="397" t="n"/>
      <c r="D2621" s="397" t="n"/>
      <c r="E2621" s="397" t="n"/>
      <c r="F2621" s="397" t="n"/>
      <c r="G2621" s="397" t="n"/>
      <c r="I2621" s="397" t="n"/>
      <c r="J2621" s="397" t="n"/>
      <c r="K2621" s="395">
        <f>DATE(VALUE(LEFT(A2621,4)),VALUE(MID(A2621,5,2)),VALUE(RIGHT(A2621,2)))</f>
        <v/>
      </c>
      <c r="L2621" s="395">
        <f>DATEVALUE(LEFT(F2621,10))</f>
        <v/>
      </c>
      <c r="M2621" s="396">
        <f>TIMEVALUE(MID(F2621,12,8))</f>
        <v/>
      </c>
      <c r="N2621" s="395">
        <f>DATEVALUE(LEFT(G2621,10))</f>
        <v/>
      </c>
      <c r="O2621" s="396">
        <f>TIMEVALUE(MID(G2621,12,8))</f>
        <v/>
      </c>
      <c r="P2621" s="396">
        <f>IFERROR(_xlfn.MINIFS($M:$M,$E:$E,$E2621,$K:$K,$K2621,$M:$M,"&gt;"&amp;$O2621),"")</f>
        <v/>
      </c>
      <c r="Q2621" s="396">
        <f>IF($P2621="","",$P2621-$O2621)</f>
        <v/>
      </c>
    </row>
    <row r="2622" ht="15" customHeight="1" s="231">
      <c r="A2622" s="397" t="n"/>
      <c r="B2622" s="397" t="n"/>
      <c r="C2622" s="397" t="n"/>
      <c r="D2622" s="397" t="n"/>
      <c r="E2622" s="397" t="n"/>
      <c r="F2622" s="397" t="n"/>
      <c r="G2622" s="397" t="n"/>
      <c r="I2622" s="397" t="n"/>
      <c r="J2622" s="397" t="n"/>
      <c r="K2622" s="395">
        <f>DATE(VALUE(LEFT(A2622,4)),VALUE(MID(A2622,5,2)),VALUE(RIGHT(A2622,2)))</f>
        <v/>
      </c>
      <c r="L2622" s="395">
        <f>DATEVALUE(LEFT(F2622,10))</f>
        <v/>
      </c>
      <c r="M2622" s="396">
        <f>TIMEVALUE(MID(F2622,12,8))</f>
        <v/>
      </c>
      <c r="N2622" s="395">
        <f>DATEVALUE(LEFT(G2622,10))</f>
        <v/>
      </c>
      <c r="O2622" s="396">
        <f>TIMEVALUE(MID(G2622,12,8))</f>
        <v/>
      </c>
      <c r="P2622" s="396">
        <f>IFERROR(_xlfn.MINIFS($M:$M,$E:$E,$E2622,$K:$K,$K2622,$M:$M,"&gt;"&amp;$O2622),"")</f>
        <v/>
      </c>
      <c r="Q2622" s="396">
        <f>IF($P2622="","",$P2622-$O2622)</f>
        <v/>
      </c>
    </row>
    <row r="2623" ht="15" customHeight="1" s="231">
      <c r="A2623" s="397" t="n"/>
      <c r="B2623" s="397" t="n"/>
      <c r="C2623" s="397" t="n"/>
      <c r="D2623" s="397" t="n"/>
      <c r="E2623" s="397" t="n"/>
      <c r="F2623" s="397" t="n"/>
      <c r="G2623" s="397" t="n"/>
      <c r="I2623" s="397" t="n"/>
      <c r="J2623" s="397" t="n"/>
      <c r="K2623" s="395">
        <f>DATE(VALUE(LEFT(A2623,4)),VALUE(MID(A2623,5,2)),VALUE(RIGHT(A2623,2)))</f>
        <v/>
      </c>
      <c r="L2623" s="395">
        <f>DATEVALUE(LEFT(F2623,10))</f>
        <v/>
      </c>
      <c r="M2623" s="396">
        <f>TIMEVALUE(MID(F2623,12,8))</f>
        <v/>
      </c>
      <c r="N2623" s="395">
        <f>DATEVALUE(LEFT(G2623,10))</f>
        <v/>
      </c>
      <c r="O2623" s="396">
        <f>TIMEVALUE(MID(G2623,12,8))</f>
        <v/>
      </c>
      <c r="P2623" s="396">
        <f>IFERROR(_xlfn.MINIFS($M:$M,$E:$E,$E2623,$K:$K,$K2623,$M:$M,"&gt;"&amp;$O2623),"")</f>
        <v/>
      </c>
      <c r="Q2623" s="396">
        <f>IF($P2623="","",$P2623-$O2623)</f>
        <v/>
      </c>
    </row>
    <row r="2624" ht="15" customHeight="1" s="231">
      <c r="A2624" s="397" t="n"/>
      <c r="B2624" s="397" t="n"/>
      <c r="C2624" s="397" t="n"/>
      <c r="D2624" s="397" t="n"/>
      <c r="E2624" s="397" t="n"/>
      <c r="F2624" s="397" t="n"/>
      <c r="G2624" s="397" t="n"/>
      <c r="I2624" s="397" t="n"/>
      <c r="J2624" s="397" t="n"/>
      <c r="K2624" s="395">
        <f>DATE(VALUE(LEFT(A2624,4)),VALUE(MID(A2624,5,2)),VALUE(RIGHT(A2624,2)))</f>
        <v/>
      </c>
      <c r="L2624" s="395">
        <f>DATEVALUE(LEFT(F2624,10))</f>
        <v/>
      </c>
      <c r="M2624" s="396">
        <f>TIMEVALUE(MID(F2624,12,8))</f>
        <v/>
      </c>
      <c r="N2624" s="395">
        <f>DATEVALUE(LEFT(G2624,10))</f>
        <v/>
      </c>
      <c r="O2624" s="396">
        <f>TIMEVALUE(MID(G2624,12,8))</f>
        <v/>
      </c>
      <c r="P2624" s="396">
        <f>IFERROR(_xlfn.MINIFS($M:$M,$E:$E,$E2624,$K:$K,$K2624,$M:$M,"&gt;"&amp;$O2624),"")</f>
        <v/>
      </c>
      <c r="Q2624" s="396">
        <f>IF($P2624="","",$P2624-$O2624)</f>
        <v/>
      </c>
    </row>
    <row r="2625" ht="15" customHeight="1" s="231">
      <c r="A2625" s="397" t="n"/>
      <c r="B2625" s="397" t="n"/>
      <c r="C2625" s="397" t="n"/>
      <c r="D2625" s="397" t="n"/>
      <c r="E2625" s="397" t="n"/>
      <c r="F2625" s="397" t="n"/>
      <c r="G2625" s="397" t="n"/>
      <c r="I2625" s="397" t="n"/>
      <c r="J2625" s="397" t="n"/>
      <c r="K2625" s="395">
        <f>DATE(VALUE(LEFT(A2625,4)),VALUE(MID(A2625,5,2)),VALUE(RIGHT(A2625,2)))</f>
        <v/>
      </c>
      <c r="L2625" s="395">
        <f>DATEVALUE(LEFT(F2625,10))</f>
        <v/>
      </c>
      <c r="M2625" s="396">
        <f>TIMEVALUE(MID(F2625,12,8))</f>
        <v/>
      </c>
      <c r="N2625" s="395">
        <f>DATEVALUE(LEFT(G2625,10))</f>
        <v/>
      </c>
      <c r="O2625" s="396">
        <f>TIMEVALUE(MID(G2625,12,8))</f>
        <v/>
      </c>
      <c r="P2625" s="396">
        <f>IFERROR(_xlfn.MINIFS($M:$M,$E:$E,$E2625,$K:$K,$K2625,$M:$M,"&gt;"&amp;$O2625),"")</f>
        <v/>
      </c>
      <c r="Q2625" s="396">
        <f>IF($P2625="","",$P2625-$O2625)</f>
        <v/>
      </c>
    </row>
    <row r="2626" ht="15" customHeight="1" s="231">
      <c r="A2626" s="397" t="n"/>
      <c r="B2626" s="397" t="n"/>
      <c r="C2626" s="397" t="n"/>
      <c r="D2626" s="397" t="n"/>
      <c r="E2626" s="397" t="n"/>
      <c r="F2626" s="397" t="n"/>
      <c r="G2626" s="397" t="n"/>
      <c r="I2626" s="397" t="n"/>
      <c r="J2626" s="397" t="n"/>
      <c r="K2626" s="395">
        <f>DATE(VALUE(LEFT(A2626,4)),VALUE(MID(A2626,5,2)),VALUE(RIGHT(A2626,2)))</f>
        <v/>
      </c>
      <c r="L2626" s="395">
        <f>DATEVALUE(LEFT(F2626,10))</f>
        <v/>
      </c>
      <c r="M2626" s="396">
        <f>TIMEVALUE(MID(F2626,12,8))</f>
        <v/>
      </c>
      <c r="N2626" s="395">
        <f>DATEVALUE(LEFT(G2626,10))</f>
        <v/>
      </c>
      <c r="O2626" s="396">
        <f>TIMEVALUE(MID(G2626,12,8))</f>
        <v/>
      </c>
      <c r="P2626" s="396">
        <f>IFERROR(_xlfn.MINIFS($M:$M,$E:$E,$E2626,$K:$K,$K2626,$M:$M,"&gt;"&amp;$O2626),"")</f>
        <v/>
      </c>
      <c r="Q2626" s="396">
        <f>IF($P2626="","",$P2626-$O2626)</f>
        <v/>
      </c>
    </row>
    <row r="2627" ht="15" customHeight="1" s="231">
      <c r="A2627" s="397" t="n"/>
      <c r="B2627" s="397" t="n"/>
      <c r="C2627" s="397" t="n"/>
      <c r="D2627" s="397" t="n"/>
      <c r="E2627" s="397" t="n"/>
      <c r="F2627" s="397" t="n"/>
      <c r="G2627" s="397" t="n"/>
      <c r="I2627" s="397" t="n"/>
      <c r="J2627" s="397" t="n"/>
      <c r="K2627" s="395">
        <f>DATE(VALUE(LEFT(A2627,4)),VALUE(MID(A2627,5,2)),VALUE(RIGHT(A2627,2)))</f>
        <v/>
      </c>
      <c r="L2627" s="395">
        <f>DATEVALUE(LEFT(F2627,10))</f>
        <v/>
      </c>
      <c r="M2627" s="396">
        <f>TIMEVALUE(MID(F2627,12,8))</f>
        <v/>
      </c>
      <c r="N2627" s="395">
        <f>DATEVALUE(LEFT(G2627,10))</f>
        <v/>
      </c>
      <c r="O2627" s="396">
        <f>TIMEVALUE(MID(G2627,12,8))</f>
        <v/>
      </c>
      <c r="P2627" s="396">
        <f>IFERROR(_xlfn.MINIFS($M:$M,$E:$E,$E2627,$K:$K,$K2627,$M:$M,"&gt;"&amp;$O2627),"")</f>
        <v/>
      </c>
      <c r="Q2627" s="396">
        <f>IF($P2627="","",$P2627-$O2627)</f>
        <v/>
      </c>
    </row>
    <row r="2628" ht="15" customHeight="1" s="231">
      <c r="A2628" s="397" t="n"/>
      <c r="B2628" s="397" t="n"/>
      <c r="C2628" s="397" t="n"/>
      <c r="D2628" s="397" t="n"/>
      <c r="E2628" s="397" t="n"/>
      <c r="F2628" s="397" t="n"/>
      <c r="G2628" s="397" t="n"/>
      <c r="I2628" s="397" t="n"/>
      <c r="J2628" s="397" t="n"/>
      <c r="K2628" s="395">
        <f>DATE(VALUE(LEFT(A2628,4)),VALUE(MID(A2628,5,2)),VALUE(RIGHT(A2628,2)))</f>
        <v/>
      </c>
      <c r="L2628" s="395">
        <f>DATEVALUE(LEFT(F2628,10))</f>
        <v/>
      </c>
      <c r="M2628" s="396">
        <f>TIMEVALUE(MID(F2628,12,8))</f>
        <v/>
      </c>
      <c r="N2628" s="395">
        <f>DATEVALUE(LEFT(G2628,10))</f>
        <v/>
      </c>
      <c r="O2628" s="396">
        <f>TIMEVALUE(MID(G2628,12,8))</f>
        <v/>
      </c>
      <c r="P2628" s="396">
        <f>IFERROR(_xlfn.MINIFS($M:$M,$E:$E,$E2628,$K:$K,$K2628,$M:$M,"&gt;"&amp;$O2628),"")</f>
        <v/>
      </c>
      <c r="Q2628" s="396">
        <f>IF($P2628="","",$P2628-$O2628)</f>
        <v/>
      </c>
    </row>
    <row r="2629" ht="15" customHeight="1" s="231">
      <c r="A2629" s="397" t="n"/>
      <c r="B2629" s="397" t="n"/>
      <c r="C2629" s="397" t="n"/>
      <c r="D2629" s="397" t="n"/>
      <c r="E2629" s="397" t="n"/>
      <c r="F2629" s="397" t="n"/>
      <c r="G2629" s="397" t="n"/>
      <c r="I2629" s="397" t="n"/>
      <c r="J2629" s="397" t="n"/>
      <c r="K2629" s="395">
        <f>DATE(VALUE(LEFT(A2629,4)),VALUE(MID(A2629,5,2)),VALUE(RIGHT(A2629,2)))</f>
        <v/>
      </c>
      <c r="L2629" s="395">
        <f>DATEVALUE(LEFT(F2629,10))</f>
        <v/>
      </c>
      <c r="M2629" s="396">
        <f>TIMEVALUE(MID(F2629,12,8))</f>
        <v/>
      </c>
      <c r="N2629" s="395">
        <f>DATEVALUE(LEFT(G2629,10))</f>
        <v/>
      </c>
      <c r="O2629" s="396">
        <f>TIMEVALUE(MID(G2629,12,8))</f>
        <v/>
      </c>
      <c r="P2629" s="396">
        <f>IFERROR(_xlfn.MINIFS($M:$M,$E:$E,$E2629,$K:$K,$K2629,$M:$M,"&gt;"&amp;$O2629),"")</f>
        <v/>
      </c>
      <c r="Q2629" s="396">
        <f>IF($P2629="","",$P2629-$O2629)</f>
        <v/>
      </c>
    </row>
    <row r="2630" ht="15" customHeight="1" s="231">
      <c r="A2630" s="397" t="n"/>
      <c r="B2630" s="397" t="n"/>
      <c r="C2630" s="397" t="n"/>
      <c r="D2630" s="397" t="n"/>
      <c r="E2630" s="397" t="n"/>
      <c r="F2630" s="397" t="n"/>
      <c r="G2630" s="397" t="n"/>
      <c r="I2630" s="397" t="n"/>
      <c r="J2630" s="397" t="n"/>
      <c r="K2630" s="395">
        <f>DATE(VALUE(LEFT(A2630,4)),VALUE(MID(A2630,5,2)),VALUE(RIGHT(A2630,2)))</f>
        <v/>
      </c>
      <c r="L2630" s="395">
        <f>DATEVALUE(LEFT(F2630,10))</f>
        <v/>
      </c>
      <c r="M2630" s="396">
        <f>TIMEVALUE(MID(F2630,12,8))</f>
        <v/>
      </c>
      <c r="N2630" s="395">
        <f>DATEVALUE(LEFT(G2630,10))</f>
        <v/>
      </c>
      <c r="O2630" s="396">
        <f>TIMEVALUE(MID(G2630,12,8))</f>
        <v/>
      </c>
      <c r="P2630" s="396">
        <f>IFERROR(_xlfn.MINIFS($M:$M,$E:$E,$E2630,$K:$K,$K2630,$M:$M,"&gt;"&amp;$O2630),"")</f>
        <v/>
      </c>
      <c r="Q2630" s="396">
        <f>IF($P2630="","",$P2630-$O2630)</f>
        <v/>
      </c>
    </row>
    <row r="2631" ht="15" customHeight="1" s="231">
      <c r="A2631" s="397" t="n"/>
      <c r="B2631" s="397" t="n"/>
      <c r="C2631" s="397" t="n"/>
      <c r="D2631" s="397" t="n"/>
      <c r="E2631" s="397" t="n"/>
      <c r="F2631" s="397" t="n"/>
      <c r="G2631" s="397" t="n"/>
      <c r="I2631" s="397" t="n"/>
      <c r="J2631" s="397" t="n"/>
      <c r="K2631" s="395">
        <f>DATE(VALUE(LEFT(A2631,4)),VALUE(MID(A2631,5,2)),VALUE(RIGHT(A2631,2)))</f>
        <v/>
      </c>
      <c r="L2631" s="395">
        <f>DATEVALUE(LEFT(F2631,10))</f>
        <v/>
      </c>
      <c r="M2631" s="396">
        <f>TIMEVALUE(MID(F2631,12,8))</f>
        <v/>
      </c>
      <c r="N2631" s="395">
        <f>DATEVALUE(LEFT(G2631,10))</f>
        <v/>
      </c>
      <c r="O2631" s="396">
        <f>TIMEVALUE(MID(G2631,12,8))</f>
        <v/>
      </c>
      <c r="P2631" s="396">
        <f>IFERROR(_xlfn.MINIFS($M:$M,$E:$E,$E2631,$K:$K,$K2631,$M:$M,"&gt;"&amp;$O2631),"")</f>
        <v/>
      </c>
      <c r="Q2631" s="396">
        <f>IF($P2631="","",$P2631-$O2631)</f>
        <v/>
      </c>
    </row>
    <row r="2632" ht="15" customHeight="1" s="231">
      <c r="A2632" s="397" t="n"/>
      <c r="B2632" s="397" t="n"/>
      <c r="C2632" s="397" t="n"/>
      <c r="D2632" s="397" t="n"/>
      <c r="E2632" s="397" t="n"/>
      <c r="F2632" s="397" t="n"/>
      <c r="G2632" s="397" t="n"/>
      <c r="I2632" s="397" t="n"/>
      <c r="J2632" s="397" t="n"/>
      <c r="K2632" s="395">
        <f>DATE(VALUE(LEFT(A2632,4)),VALUE(MID(A2632,5,2)),VALUE(RIGHT(A2632,2)))</f>
        <v/>
      </c>
      <c r="L2632" s="395">
        <f>DATEVALUE(LEFT(F2632,10))</f>
        <v/>
      </c>
      <c r="M2632" s="396">
        <f>TIMEVALUE(MID(F2632,12,8))</f>
        <v/>
      </c>
      <c r="N2632" s="395">
        <f>DATEVALUE(LEFT(G2632,10))</f>
        <v/>
      </c>
      <c r="O2632" s="396">
        <f>TIMEVALUE(MID(G2632,12,8))</f>
        <v/>
      </c>
      <c r="P2632" s="396">
        <f>IFERROR(_xlfn.MINIFS($M:$M,$E:$E,$E2632,$K:$K,$K2632,$M:$M,"&gt;"&amp;$O2632),"")</f>
        <v/>
      </c>
      <c r="Q2632" s="396">
        <f>IF($P2632="","",$P2632-$O2632)</f>
        <v/>
      </c>
    </row>
    <row r="2633" ht="15" customHeight="1" s="231">
      <c r="A2633" s="397" t="n"/>
      <c r="B2633" s="397" t="n"/>
      <c r="C2633" s="397" t="n"/>
      <c r="D2633" s="397" t="n"/>
      <c r="E2633" s="397" t="n"/>
      <c r="F2633" s="397" t="n"/>
      <c r="G2633" s="397" t="n"/>
      <c r="I2633" s="397" t="n"/>
      <c r="J2633" s="397" t="n"/>
      <c r="K2633" s="395">
        <f>DATE(VALUE(LEFT(A2633,4)),VALUE(MID(A2633,5,2)),VALUE(RIGHT(A2633,2)))</f>
        <v/>
      </c>
      <c r="L2633" s="395">
        <f>DATEVALUE(LEFT(F2633,10))</f>
        <v/>
      </c>
      <c r="M2633" s="396">
        <f>TIMEVALUE(MID(F2633,12,8))</f>
        <v/>
      </c>
      <c r="N2633" s="395">
        <f>DATEVALUE(LEFT(G2633,10))</f>
        <v/>
      </c>
      <c r="O2633" s="396">
        <f>TIMEVALUE(MID(G2633,12,8))</f>
        <v/>
      </c>
      <c r="P2633" s="396">
        <f>IFERROR(_xlfn.MINIFS($M:$M,$E:$E,$E2633,$K:$K,$K2633,$M:$M,"&gt;"&amp;$O2633),"")</f>
        <v/>
      </c>
      <c r="Q2633" s="396">
        <f>IF($P2633="","",$P2633-$O2633)</f>
        <v/>
      </c>
    </row>
    <row r="2634" ht="15" customHeight="1" s="231">
      <c r="A2634" s="397" t="n"/>
      <c r="B2634" s="397" t="n"/>
      <c r="C2634" s="397" t="n"/>
      <c r="D2634" s="397" t="n"/>
      <c r="E2634" s="397" t="n"/>
      <c r="F2634" s="397" t="n"/>
      <c r="G2634" s="397" t="n"/>
      <c r="I2634" s="397" t="n"/>
      <c r="J2634" s="397" t="n"/>
      <c r="K2634" s="395">
        <f>DATE(VALUE(LEFT(A2634,4)),VALUE(MID(A2634,5,2)),VALUE(RIGHT(A2634,2)))</f>
        <v/>
      </c>
      <c r="L2634" s="395">
        <f>DATEVALUE(LEFT(F2634,10))</f>
        <v/>
      </c>
      <c r="M2634" s="396">
        <f>TIMEVALUE(MID(F2634,12,8))</f>
        <v/>
      </c>
      <c r="N2634" s="395">
        <f>DATEVALUE(LEFT(G2634,10))</f>
        <v/>
      </c>
      <c r="O2634" s="396">
        <f>TIMEVALUE(MID(G2634,12,8))</f>
        <v/>
      </c>
      <c r="P2634" s="396">
        <f>IFERROR(_xlfn.MINIFS($M:$M,$E:$E,$E2634,$K:$K,$K2634,$M:$M,"&gt;"&amp;$O2634),"")</f>
        <v/>
      </c>
      <c r="Q2634" s="396">
        <f>IF($P2634="","",$P2634-$O2634)</f>
        <v/>
      </c>
    </row>
    <row r="2635" ht="15" customHeight="1" s="231">
      <c r="A2635" s="397" t="n"/>
      <c r="B2635" s="397" t="n"/>
      <c r="C2635" s="397" t="n"/>
      <c r="D2635" s="397" t="n"/>
      <c r="E2635" s="397" t="n"/>
      <c r="F2635" s="397" t="n"/>
      <c r="G2635" s="397" t="n"/>
      <c r="I2635" s="397" t="n"/>
      <c r="J2635" s="397" t="n"/>
      <c r="K2635" s="395">
        <f>DATE(VALUE(LEFT(A2635,4)),VALUE(MID(A2635,5,2)),VALUE(RIGHT(A2635,2)))</f>
        <v/>
      </c>
      <c r="L2635" s="395">
        <f>DATEVALUE(LEFT(F2635,10))</f>
        <v/>
      </c>
      <c r="M2635" s="396">
        <f>TIMEVALUE(MID(F2635,12,8))</f>
        <v/>
      </c>
      <c r="N2635" s="395">
        <f>DATEVALUE(LEFT(G2635,10))</f>
        <v/>
      </c>
      <c r="O2635" s="396">
        <f>TIMEVALUE(MID(G2635,12,8))</f>
        <v/>
      </c>
      <c r="P2635" s="396">
        <f>IFERROR(_xlfn.MINIFS($M:$M,$E:$E,$E2635,$K:$K,$K2635,$M:$M,"&gt;"&amp;$O2635),"")</f>
        <v/>
      </c>
      <c r="Q2635" s="396">
        <f>IF($P2635="","",$P2635-$O2635)</f>
        <v/>
      </c>
    </row>
    <row r="2636" ht="15" customHeight="1" s="231">
      <c r="A2636" s="397" t="n"/>
      <c r="B2636" s="397" t="n"/>
      <c r="C2636" s="397" t="n"/>
      <c r="D2636" s="397" t="n"/>
      <c r="E2636" s="397" t="n"/>
      <c r="F2636" s="397" t="n"/>
      <c r="G2636" s="397" t="n"/>
      <c r="I2636" s="397" t="n"/>
      <c r="J2636" s="397" t="n"/>
      <c r="K2636" s="395">
        <f>DATE(VALUE(LEFT(A2636,4)),VALUE(MID(A2636,5,2)),VALUE(RIGHT(A2636,2)))</f>
        <v/>
      </c>
      <c r="L2636" s="395">
        <f>DATEVALUE(LEFT(F2636,10))</f>
        <v/>
      </c>
      <c r="M2636" s="396">
        <f>TIMEVALUE(MID(F2636,12,8))</f>
        <v/>
      </c>
      <c r="N2636" s="395">
        <f>DATEVALUE(LEFT(G2636,10))</f>
        <v/>
      </c>
      <c r="O2636" s="396">
        <f>TIMEVALUE(MID(G2636,12,8))</f>
        <v/>
      </c>
      <c r="P2636" s="396">
        <f>IFERROR(_xlfn.MINIFS($M:$M,$E:$E,$E2636,$K:$K,$K2636,$M:$M,"&gt;"&amp;$O2636),"")</f>
        <v/>
      </c>
      <c r="Q2636" s="396">
        <f>IF($P2636="","",$P2636-$O2636)</f>
        <v/>
      </c>
    </row>
    <row r="2637" ht="15" customHeight="1" s="231">
      <c r="A2637" s="397" t="n"/>
      <c r="B2637" s="397" t="n"/>
      <c r="C2637" s="397" t="n"/>
      <c r="D2637" s="397" t="n"/>
      <c r="E2637" s="397" t="n"/>
      <c r="F2637" s="397" t="n"/>
      <c r="G2637" s="397" t="n"/>
      <c r="I2637" s="397" t="n"/>
      <c r="J2637" s="397" t="n"/>
      <c r="K2637" s="395">
        <f>DATE(VALUE(LEFT(A2637,4)),VALUE(MID(A2637,5,2)),VALUE(RIGHT(A2637,2)))</f>
        <v/>
      </c>
      <c r="L2637" s="395">
        <f>DATEVALUE(LEFT(F2637,10))</f>
        <v/>
      </c>
      <c r="M2637" s="396">
        <f>TIMEVALUE(MID(F2637,12,8))</f>
        <v/>
      </c>
      <c r="N2637" s="395">
        <f>DATEVALUE(LEFT(G2637,10))</f>
        <v/>
      </c>
      <c r="O2637" s="396">
        <f>TIMEVALUE(MID(G2637,12,8))</f>
        <v/>
      </c>
      <c r="P2637" s="396">
        <f>IFERROR(_xlfn.MINIFS($M:$M,$E:$E,$E2637,$K:$K,$K2637,$M:$M,"&gt;"&amp;$O2637),"")</f>
        <v/>
      </c>
      <c r="Q2637" s="396">
        <f>IF($P2637="","",$P2637-$O2637)</f>
        <v/>
      </c>
    </row>
    <row r="2638" ht="15" customHeight="1" s="231">
      <c r="A2638" s="397" t="n"/>
      <c r="B2638" s="397" t="n"/>
      <c r="C2638" s="397" t="n"/>
      <c r="D2638" s="397" t="n"/>
      <c r="E2638" s="397" t="n"/>
      <c r="F2638" s="397" t="n"/>
      <c r="G2638" s="397" t="n"/>
      <c r="I2638" s="397" t="n"/>
      <c r="J2638" s="397" t="n"/>
      <c r="K2638" s="395">
        <f>DATE(VALUE(LEFT(A2638,4)),VALUE(MID(A2638,5,2)),VALUE(RIGHT(A2638,2)))</f>
        <v/>
      </c>
      <c r="L2638" s="395">
        <f>DATEVALUE(LEFT(F2638,10))</f>
        <v/>
      </c>
      <c r="M2638" s="396">
        <f>TIMEVALUE(MID(F2638,12,8))</f>
        <v/>
      </c>
      <c r="N2638" s="395">
        <f>DATEVALUE(LEFT(G2638,10))</f>
        <v/>
      </c>
      <c r="O2638" s="396">
        <f>TIMEVALUE(MID(G2638,12,8))</f>
        <v/>
      </c>
      <c r="P2638" s="396">
        <f>IFERROR(_xlfn.MINIFS($M:$M,$E:$E,$E2638,$K:$K,$K2638,$M:$M,"&gt;"&amp;$O2638),"")</f>
        <v/>
      </c>
      <c r="Q2638" s="396">
        <f>IF($P2638="","",$P2638-$O2638)</f>
        <v/>
      </c>
    </row>
    <row r="2639" ht="15" customHeight="1" s="231">
      <c r="A2639" s="397" t="n"/>
      <c r="B2639" s="397" t="n"/>
      <c r="C2639" s="397" t="n"/>
      <c r="D2639" s="397" t="n"/>
      <c r="E2639" s="397" t="n"/>
      <c r="F2639" s="397" t="n"/>
      <c r="G2639" s="397" t="n"/>
      <c r="I2639" s="397" t="n"/>
      <c r="J2639" s="397" t="n"/>
      <c r="K2639" s="395">
        <f>DATE(VALUE(LEFT(A2639,4)),VALUE(MID(A2639,5,2)),VALUE(RIGHT(A2639,2)))</f>
        <v/>
      </c>
      <c r="L2639" s="395">
        <f>DATEVALUE(LEFT(F2639,10))</f>
        <v/>
      </c>
      <c r="M2639" s="396">
        <f>TIMEVALUE(MID(F2639,12,8))</f>
        <v/>
      </c>
      <c r="N2639" s="395">
        <f>DATEVALUE(LEFT(G2639,10))</f>
        <v/>
      </c>
      <c r="O2639" s="396">
        <f>TIMEVALUE(MID(G2639,12,8))</f>
        <v/>
      </c>
      <c r="P2639" s="396">
        <f>IFERROR(_xlfn.MINIFS($M:$M,$E:$E,$E2639,$K:$K,$K2639,$M:$M,"&gt;"&amp;$O2639),"")</f>
        <v/>
      </c>
      <c r="Q2639" s="396">
        <f>IF($P2639="","",$P2639-$O2639)</f>
        <v/>
      </c>
    </row>
    <row r="2640" ht="15" customHeight="1" s="231">
      <c r="A2640" s="397" t="n"/>
      <c r="B2640" s="397" t="n"/>
      <c r="C2640" s="397" t="n"/>
      <c r="D2640" s="397" t="n"/>
      <c r="E2640" s="397" t="n"/>
      <c r="F2640" s="397" t="n"/>
      <c r="G2640" s="397" t="n"/>
      <c r="I2640" s="397" t="n"/>
      <c r="J2640" s="397" t="n"/>
      <c r="K2640" s="395">
        <f>DATE(VALUE(LEFT(A2640,4)),VALUE(MID(A2640,5,2)),VALUE(RIGHT(A2640,2)))</f>
        <v/>
      </c>
      <c r="L2640" s="395">
        <f>DATEVALUE(LEFT(F2640,10))</f>
        <v/>
      </c>
      <c r="M2640" s="396">
        <f>TIMEVALUE(MID(F2640,12,8))</f>
        <v/>
      </c>
      <c r="N2640" s="395">
        <f>DATEVALUE(LEFT(G2640,10))</f>
        <v/>
      </c>
      <c r="O2640" s="396">
        <f>TIMEVALUE(MID(G2640,12,8))</f>
        <v/>
      </c>
      <c r="P2640" s="396">
        <f>IFERROR(_xlfn.MINIFS($M:$M,$E:$E,$E2640,$K:$K,$K2640,$M:$M,"&gt;"&amp;$O2640),"")</f>
        <v/>
      </c>
      <c r="Q2640" s="396">
        <f>IF($P2640="","",$P2640-$O2640)</f>
        <v/>
      </c>
    </row>
    <row r="2641" ht="15" customHeight="1" s="231">
      <c r="A2641" s="397" t="n"/>
      <c r="B2641" s="397" t="n"/>
      <c r="C2641" s="397" t="n"/>
      <c r="D2641" s="397" t="n"/>
      <c r="E2641" s="397" t="n"/>
      <c r="F2641" s="397" t="n"/>
      <c r="G2641" s="397" t="n"/>
      <c r="I2641" s="397" t="n"/>
      <c r="J2641" s="397" t="n"/>
      <c r="K2641" s="395">
        <f>DATE(VALUE(LEFT(A2641,4)),VALUE(MID(A2641,5,2)),VALUE(RIGHT(A2641,2)))</f>
        <v/>
      </c>
      <c r="L2641" s="395">
        <f>DATEVALUE(LEFT(F2641,10))</f>
        <v/>
      </c>
      <c r="M2641" s="396">
        <f>TIMEVALUE(MID(F2641,12,8))</f>
        <v/>
      </c>
      <c r="N2641" s="395">
        <f>DATEVALUE(LEFT(G2641,10))</f>
        <v/>
      </c>
      <c r="O2641" s="396">
        <f>TIMEVALUE(MID(G2641,12,8))</f>
        <v/>
      </c>
      <c r="P2641" s="396">
        <f>IFERROR(_xlfn.MINIFS($M:$M,$E:$E,$E2641,$K:$K,$K2641,$M:$M,"&gt;"&amp;$O2641),"")</f>
        <v/>
      </c>
      <c r="Q2641" s="396">
        <f>IF($P2641="","",$P2641-$O2641)</f>
        <v/>
      </c>
    </row>
    <row r="2642" ht="15" customHeight="1" s="231">
      <c r="A2642" s="397" t="n"/>
      <c r="B2642" s="397" t="n"/>
      <c r="C2642" s="397" t="n"/>
      <c r="D2642" s="397" t="n"/>
      <c r="E2642" s="397" t="n"/>
      <c r="F2642" s="397" t="n"/>
      <c r="G2642" s="397" t="n"/>
      <c r="I2642" s="397" t="n"/>
      <c r="J2642" s="397" t="n"/>
      <c r="K2642" s="395">
        <f>DATE(VALUE(LEFT(A2642,4)),VALUE(MID(A2642,5,2)),VALUE(RIGHT(A2642,2)))</f>
        <v/>
      </c>
      <c r="L2642" s="395">
        <f>DATEVALUE(LEFT(F2642,10))</f>
        <v/>
      </c>
      <c r="M2642" s="396">
        <f>TIMEVALUE(MID(F2642,12,8))</f>
        <v/>
      </c>
      <c r="N2642" s="395">
        <f>DATEVALUE(LEFT(G2642,10))</f>
        <v/>
      </c>
      <c r="O2642" s="396">
        <f>TIMEVALUE(MID(G2642,12,8))</f>
        <v/>
      </c>
      <c r="P2642" s="396">
        <f>IFERROR(_xlfn.MINIFS($M:$M,$E:$E,$E2642,$K:$K,$K2642,$M:$M,"&gt;"&amp;$O2642),"")</f>
        <v/>
      </c>
      <c r="Q2642" s="396">
        <f>IF($P2642="","",$P2642-$O2642)</f>
        <v/>
      </c>
    </row>
    <row r="2643" ht="15" customHeight="1" s="231">
      <c r="A2643" s="397" t="n"/>
      <c r="B2643" s="397" t="n"/>
      <c r="C2643" s="397" t="n"/>
      <c r="D2643" s="397" t="n"/>
      <c r="E2643" s="397" t="n"/>
      <c r="F2643" s="397" t="n"/>
      <c r="G2643" s="397" t="n"/>
      <c r="I2643" s="397" t="n"/>
      <c r="J2643" s="397" t="n"/>
      <c r="K2643" s="395">
        <f>DATE(VALUE(LEFT(A2643,4)),VALUE(MID(A2643,5,2)),VALUE(RIGHT(A2643,2)))</f>
        <v/>
      </c>
      <c r="L2643" s="395">
        <f>DATEVALUE(LEFT(F2643,10))</f>
        <v/>
      </c>
      <c r="M2643" s="396">
        <f>TIMEVALUE(MID(F2643,12,8))</f>
        <v/>
      </c>
      <c r="N2643" s="395">
        <f>DATEVALUE(LEFT(G2643,10))</f>
        <v/>
      </c>
      <c r="O2643" s="396">
        <f>TIMEVALUE(MID(G2643,12,8))</f>
        <v/>
      </c>
      <c r="P2643" s="396">
        <f>IFERROR(_xlfn.MINIFS($M:$M,$E:$E,$E2643,$K:$K,$K2643,$M:$M,"&gt;"&amp;$O2643),"")</f>
        <v/>
      </c>
      <c r="Q2643" s="396">
        <f>IF($P2643="","",$P2643-$O2643)</f>
        <v/>
      </c>
    </row>
    <row r="2644" ht="15" customHeight="1" s="231">
      <c r="A2644" s="397" t="n"/>
      <c r="B2644" s="397" t="n"/>
      <c r="C2644" s="397" t="n"/>
      <c r="D2644" s="397" t="n"/>
      <c r="E2644" s="397" t="n"/>
      <c r="F2644" s="397" t="n"/>
      <c r="G2644" s="397" t="n"/>
      <c r="I2644" s="397" t="n"/>
      <c r="J2644" s="397" t="n"/>
      <c r="K2644" s="395">
        <f>DATE(VALUE(LEFT(A2644,4)),VALUE(MID(A2644,5,2)),VALUE(RIGHT(A2644,2)))</f>
        <v/>
      </c>
      <c r="L2644" s="395">
        <f>DATEVALUE(LEFT(F2644,10))</f>
        <v/>
      </c>
      <c r="M2644" s="396">
        <f>TIMEVALUE(MID(F2644,12,8))</f>
        <v/>
      </c>
      <c r="N2644" s="395">
        <f>DATEVALUE(LEFT(G2644,10))</f>
        <v/>
      </c>
      <c r="O2644" s="396">
        <f>TIMEVALUE(MID(G2644,12,8))</f>
        <v/>
      </c>
      <c r="P2644" s="396">
        <f>IFERROR(_xlfn.MINIFS($M:$M,$E:$E,$E2644,$K:$K,$K2644,$M:$M,"&gt;"&amp;$O2644),"")</f>
        <v/>
      </c>
      <c r="Q2644" s="396">
        <f>IF($P2644="","",$P2644-$O2644)</f>
        <v/>
      </c>
    </row>
    <row r="2645" ht="15" customHeight="1" s="231">
      <c r="A2645" s="397" t="n"/>
      <c r="B2645" s="397" t="n"/>
      <c r="C2645" s="397" t="n"/>
      <c r="D2645" s="397" t="n"/>
      <c r="E2645" s="397" t="n"/>
      <c r="F2645" s="397" t="n"/>
      <c r="G2645" s="397" t="n"/>
      <c r="I2645" s="397" t="n"/>
      <c r="J2645" s="397" t="n"/>
      <c r="K2645" s="395">
        <f>DATE(VALUE(LEFT(A2645,4)),VALUE(MID(A2645,5,2)),VALUE(RIGHT(A2645,2)))</f>
        <v/>
      </c>
      <c r="L2645" s="395">
        <f>DATEVALUE(LEFT(F2645,10))</f>
        <v/>
      </c>
      <c r="M2645" s="396">
        <f>TIMEVALUE(MID(F2645,12,8))</f>
        <v/>
      </c>
      <c r="N2645" s="395">
        <f>DATEVALUE(LEFT(G2645,10))</f>
        <v/>
      </c>
      <c r="O2645" s="396">
        <f>TIMEVALUE(MID(G2645,12,8))</f>
        <v/>
      </c>
      <c r="P2645" s="396">
        <f>IFERROR(_xlfn.MINIFS($M:$M,$E:$E,$E2645,$K:$K,$K2645,$M:$M,"&gt;"&amp;$O2645),"")</f>
        <v/>
      </c>
      <c r="Q2645" s="396">
        <f>IF($P2645="","",$P2645-$O2645)</f>
        <v/>
      </c>
    </row>
    <row r="2646" ht="15" customHeight="1" s="231">
      <c r="A2646" s="397" t="n"/>
      <c r="B2646" s="397" t="n"/>
      <c r="C2646" s="397" t="n"/>
      <c r="D2646" s="397" t="n"/>
      <c r="E2646" s="397" t="n"/>
      <c r="F2646" s="397" t="n"/>
      <c r="G2646" s="397" t="n"/>
      <c r="I2646" s="397" t="n"/>
      <c r="J2646" s="397" t="n"/>
      <c r="K2646" s="395">
        <f>DATE(VALUE(LEFT(A2646,4)),VALUE(MID(A2646,5,2)),VALUE(RIGHT(A2646,2)))</f>
        <v/>
      </c>
      <c r="L2646" s="395">
        <f>DATEVALUE(LEFT(F2646,10))</f>
        <v/>
      </c>
      <c r="M2646" s="396">
        <f>TIMEVALUE(MID(F2646,12,8))</f>
        <v/>
      </c>
      <c r="N2646" s="395">
        <f>DATEVALUE(LEFT(G2646,10))</f>
        <v/>
      </c>
      <c r="O2646" s="396">
        <f>TIMEVALUE(MID(G2646,12,8))</f>
        <v/>
      </c>
      <c r="P2646" s="396">
        <f>IFERROR(_xlfn.MINIFS($M:$M,$E:$E,$E2646,$K:$K,$K2646,$M:$M,"&gt;"&amp;$O2646),"")</f>
        <v/>
      </c>
      <c r="Q2646" s="396">
        <f>IF($P2646="","",$P2646-$O2646)</f>
        <v/>
      </c>
    </row>
    <row r="2647" ht="15" customHeight="1" s="231">
      <c r="A2647" s="397" t="n"/>
      <c r="B2647" s="397" t="n"/>
      <c r="C2647" s="397" t="n"/>
      <c r="D2647" s="397" t="n"/>
      <c r="E2647" s="397" t="n"/>
      <c r="F2647" s="397" t="n"/>
      <c r="G2647" s="397" t="n"/>
      <c r="I2647" s="397" t="n"/>
      <c r="J2647" s="397" t="n"/>
      <c r="K2647" s="395">
        <f>DATE(VALUE(LEFT(A2647,4)),VALUE(MID(A2647,5,2)),VALUE(RIGHT(A2647,2)))</f>
        <v/>
      </c>
      <c r="L2647" s="395">
        <f>DATEVALUE(LEFT(F2647,10))</f>
        <v/>
      </c>
      <c r="M2647" s="396">
        <f>TIMEVALUE(MID(F2647,12,8))</f>
        <v/>
      </c>
      <c r="N2647" s="395">
        <f>DATEVALUE(LEFT(G2647,10))</f>
        <v/>
      </c>
      <c r="O2647" s="396">
        <f>TIMEVALUE(MID(G2647,12,8))</f>
        <v/>
      </c>
      <c r="P2647" s="396">
        <f>IFERROR(_xlfn.MINIFS($M:$M,$E:$E,$E2647,$K:$K,$K2647,$M:$M,"&gt;"&amp;$O2647),"")</f>
        <v/>
      </c>
      <c r="Q2647" s="396">
        <f>IF($P2647="","",$P2647-$O2647)</f>
        <v/>
      </c>
    </row>
    <row r="2648" ht="15" customHeight="1" s="231">
      <c r="A2648" s="397" t="n"/>
      <c r="B2648" s="397" t="n"/>
      <c r="C2648" s="397" t="n"/>
      <c r="D2648" s="397" t="n"/>
      <c r="E2648" s="397" t="n"/>
      <c r="F2648" s="397" t="n"/>
      <c r="G2648" s="397" t="n"/>
      <c r="I2648" s="397" t="n"/>
      <c r="J2648" s="397" t="n"/>
      <c r="K2648" s="395">
        <f>DATE(VALUE(LEFT(A2648,4)),VALUE(MID(A2648,5,2)),VALUE(RIGHT(A2648,2)))</f>
        <v/>
      </c>
      <c r="L2648" s="395">
        <f>DATEVALUE(LEFT(F2648,10))</f>
        <v/>
      </c>
      <c r="M2648" s="396">
        <f>TIMEVALUE(MID(F2648,12,8))</f>
        <v/>
      </c>
      <c r="N2648" s="395">
        <f>DATEVALUE(LEFT(G2648,10))</f>
        <v/>
      </c>
      <c r="O2648" s="396">
        <f>TIMEVALUE(MID(G2648,12,8))</f>
        <v/>
      </c>
      <c r="P2648" s="396">
        <f>IFERROR(_xlfn.MINIFS($M:$M,$E:$E,$E2648,$K:$K,$K2648,$M:$M,"&gt;"&amp;$O2648),"")</f>
        <v/>
      </c>
      <c r="Q2648" s="396">
        <f>IF($P2648="","",$P2648-$O2648)</f>
        <v/>
      </c>
    </row>
    <row r="2649" ht="15" customHeight="1" s="231">
      <c r="A2649" s="397" t="n"/>
      <c r="B2649" s="397" t="n"/>
      <c r="C2649" s="397" t="n"/>
      <c r="D2649" s="397" t="n"/>
      <c r="E2649" s="397" t="n"/>
      <c r="F2649" s="397" t="n"/>
      <c r="G2649" s="397" t="n"/>
      <c r="I2649" s="397" t="n"/>
      <c r="J2649" s="397" t="n"/>
      <c r="K2649" s="395">
        <f>DATE(VALUE(LEFT(A2649,4)),VALUE(MID(A2649,5,2)),VALUE(RIGHT(A2649,2)))</f>
        <v/>
      </c>
      <c r="L2649" s="395">
        <f>DATEVALUE(LEFT(F2649,10))</f>
        <v/>
      </c>
      <c r="M2649" s="396">
        <f>TIMEVALUE(MID(F2649,12,8))</f>
        <v/>
      </c>
      <c r="N2649" s="395">
        <f>DATEVALUE(LEFT(G2649,10))</f>
        <v/>
      </c>
      <c r="O2649" s="396">
        <f>TIMEVALUE(MID(G2649,12,8))</f>
        <v/>
      </c>
      <c r="P2649" s="396">
        <f>IFERROR(_xlfn.MINIFS($M:$M,$E:$E,$E2649,$K:$K,$K2649,$M:$M,"&gt;"&amp;$O2649),"")</f>
        <v/>
      </c>
      <c r="Q2649" s="396">
        <f>IF($P2649="","",$P2649-$O2649)</f>
        <v/>
      </c>
    </row>
    <row r="2650" ht="15" customHeight="1" s="231">
      <c r="A2650" s="397" t="n"/>
      <c r="B2650" s="397" t="n"/>
      <c r="C2650" s="397" t="n"/>
      <c r="D2650" s="397" t="n"/>
      <c r="E2650" s="397" t="n"/>
      <c r="F2650" s="397" t="n"/>
      <c r="G2650" s="397" t="n"/>
      <c r="I2650" s="397" t="n"/>
      <c r="J2650" s="397" t="n"/>
      <c r="K2650" s="395">
        <f>DATE(VALUE(LEFT(A2650,4)),VALUE(MID(A2650,5,2)),VALUE(RIGHT(A2650,2)))</f>
        <v/>
      </c>
      <c r="L2650" s="395">
        <f>DATEVALUE(LEFT(F2650,10))</f>
        <v/>
      </c>
      <c r="M2650" s="396">
        <f>TIMEVALUE(MID(F2650,12,8))</f>
        <v/>
      </c>
      <c r="N2650" s="395">
        <f>DATEVALUE(LEFT(G2650,10))</f>
        <v/>
      </c>
      <c r="O2650" s="396">
        <f>TIMEVALUE(MID(G2650,12,8))</f>
        <v/>
      </c>
      <c r="P2650" s="396">
        <f>IFERROR(_xlfn.MINIFS($M:$M,$E:$E,$E2650,$K:$K,$K2650,$M:$M,"&gt;"&amp;$O2650),"")</f>
        <v/>
      </c>
      <c r="Q2650" s="396">
        <f>IF($P2650="","",$P2650-$O2650)</f>
        <v/>
      </c>
    </row>
    <row r="2651" ht="15" customHeight="1" s="231">
      <c r="A2651" s="397" t="n"/>
      <c r="B2651" s="397" t="n"/>
      <c r="C2651" s="397" t="n"/>
      <c r="D2651" s="397" t="n"/>
      <c r="E2651" s="397" t="n"/>
      <c r="F2651" s="397" t="n"/>
      <c r="G2651" s="397" t="n"/>
      <c r="I2651" s="397" t="n"/>
      <c r="J2651" s="397" t="n"/>
      <c r="K2651" s="395">
        <f>DATE(VALUE(LEFT(A2651,4)),VALUE(MID(A2651,5,2)),VALUE(RIGHT(A2651,2)))</f>
        <v/>
      </c>
      <c r="L2651" s="395">
        <f>DATEVALUE(LEFT(F2651,10))</f>
        <v/>
      </c>
      <c r="M2651" s="396">
        <f>TIMEVALUE(MID(F2651,12,8))</f>
        <v/>
      </c>
      <c r="N2651" s="395">
        <f>DATEVALUE(LEFT(G2651,10))</f>
        <v/>
      </c>
      <c r="O2651" s="396">
        <f>TIMEVALUE(MID(G2651,12,8))</f>
        <v/>
      </c>
      <c r="P2651" s="396">
        <f>IFERROR(_xlfn.MINIFS($M:$M,$E:$E,$E2651,$K:$K,$K2651,$M:$M,"&gt;"&amp;$O2651),"")</f>
        <v/>
      </c>
      <c r="Q2651" s="396">
        <f>IF($P2651="","",$P2651-$O2651)</f>
        <v/>
      </c>
    </row>
    <row r="2652" ht="15" customHeight="1" s="231">
      <c r="A2652" s="397" t="n"/>
      <c r="B2652" s="397" t="n"/>
      <c r="C2652" s="397" t="n"/>
      <c r="D2652" s="397" t="n"/>
      <c r="E2652" s="397" t="n"/>
      <c r="F2652" s="397" t="n"/>
      <c r="G2652" s="397" t="n"/>
      <c r="I2652" s="397" t="n"/>
      <c r="J2652" s="397" t="n"/>
      <c r="K2652" s="395">
        <f>DATE(VALUE(LEFT(A2652,4)),VALUE(MID(A2652,5,2)),VALUE(RIGHT(A2652,2)))</f>
        <v/>
      </c>
      <c r="L2652" s="395">
        <f>DATEVALUE(LEFT(F2652,10))</f>
        <v/>
      </c>
      <c r="M2652" s="396">
        <f>TIMEVALUE(MID(F2652,12,8))</f>
        <v/>
      </c>
      <c r="N2652" s="395">
        <f>DATEVALUE(LEFT(G2652,10))</f>
        <v/>
      </c>
      <c r="O2652" s="396">
        <f>TIMEVALUE(MID(G2652,12,8))</f>
        <v/>
      </c>
      <c r="P2652" s="396">
        <f>IFERROR(_xlfn.MINIFS($M:$M,$E:$E,$E2652,$K:$K,$K2652,$M:$M,"&gt;"&amp;$O2652),"")</f>
        <v/>
      </c>
      <c r="Q2652" s="396">
        <f>IF($P2652="","",$P2652-$O2652)</f>
        <v/>
      </c>
    </row>
    <row r="2653" ht="15" customHeight="1" s="231">
      <c r="A2653" s="397" t="n"/>
      <c r="B2653" s="397" t="n"/>
      <c r="C2653" s="397" t="n"/>
      <c r="D2653" s="397" t="n"/>
      <c r="E2653" s="397" t="n"/>
      <c r="F2653" s="397" t="n"/>
      <c r="G2653" s="397" t="n"/>
      <c r="I2653" s="397" t="n"/>
      <c r="J2653" s="397" t="n"/>
      <c r="K2653" s="395">
        <f>DATE(VALUE(LEFT(A2653,4)),VALUE(MID(A2653,5,2)),VALUE(RIGHT(A2653,2)))</f>
        <v/>
      </c>
      <c r="L2653" s="395">
        <f>DATEVALUE(LEFT(F2653,10))</f>
        <v/>
      </c>
      <c r="M2653" s="396">
        <f>TIMEVALUE(MID(F2653,12,8))</f>
        <v/>
      </c>
      <c r="N2653" s="395">
        <f>DATEVALUE(LEFT(G2653,10))</f>
        <v/>
      </c>
      <c r="O2653" s="396">
        <f>TIMEVALUE(MID(G2653,12,8))</f>
        <v/>
      </c>
      <c r="P2653" s="396">
        <f>IFERROR(_xlfn.MINIFS($M:$M,$E:$E,$E2653,$K:$K,$K2653,$M:$M,"&gt;"&amp;$O2653),"")</f>
        <v/>
      </c>
      <c r="Q2653" s="396">
        <f>IF($P2653="","",$P2653-$O2653)</f>
        <v/>
      </c>
    </row>
    <row r="2654" ht="15" customHeight="1" s="231">
      <c r="A2654" s="397" t="n"/>
      <c r="B2654" s="397" t="n"/>
      <c r="C2654" s="397" t="n"/>
      <c r="D2654" s="397" t="n"/>
      <c r="E2654" s="397" t="n"/>
      <c r="F2654" s="397" t="n"/>
      <c r="G2654" s="397" t="n"/>
      <c r="I2654" s="397" t="n"/>
      <c r="J2654" s="397" t="n"/>
      <c r="K2654" s="395">
        <f>DATE(VALUE(LEFT(A2654,4)),VALUE(MID(A2654,5,2)),VALUE(RIGHT(A2654,2)))</f>
        <v/>
      </c>
      <c r="L2654" s="395">
        <f>DATEVALUE(LEFT(F2654,10))</f>
        <v/>
      </c>
      <c r="M2654" s="396">
        <f>TIMEVALUE(MID(F2654,12,8))</f>
        <v/>
      </c>
      <c r="N2654" s="395">
        <f>DATEVALUE(LEFT(G2654,10))</f>
        <v/>
      </c>
      <c r="O2654" s="396">
        <f>TIMEVALUE(MID(G2654,12,8))</f>
        <v/>
      </c>
      <c r="P2654" s="396">
        <f>IFERROR(_xlfn.MINIFS($M:$M,$E:$E,$E2654,$K:$K,$K2654,$M:$M,"&gt;"&amp;$O2654),"")</f>
        <v/>
      </c>
      <c r="Q2654" s="396">
        <f>IF($P2654="","",$P2654-$O2654)</f>
        <v/>
      </c>
    </row>
    <row r="2655" ht="15" customHeight="1" s="231">
      <c r="A2655" s="397" t="n"/>
      <c r="B2655" s="397" t="n"/>
      <c r="C2655" s="397" t="n"/>
      <c r="D2655" s="397" t="n"/>
      <c r="E2655" s="397" t="n"/>
      <c r="F2655" s="397" t="n"/>
      <c r="G2655" s="397" t="n"/>
      <c r="I2655" s="397" t="n"/>
      <c r="J2655" s="397" t="n"/>
      <c r="K2655" s="395">
        <f>DATE(VALUE(LEFT(A2655,4)),VALUE(MID(A2655,5,2)),VALUE(RIGHT(A2655,2)))</f>
        <v/>
      </c>
      <c r="L2655" s="395">
        <f>DATEVALUE(LEFT(F2655,10))</f>
        <v/>
      </c>
      <c r="M2655" s="396">
        <f>TIMEVALUE(MID(F2655,12,8))</f>
        <v/>
      </c>
      <c r="N2655" s="395">
        <f>DATEVALUE(LEFT(G2655,10))</f>
        <v/>
      </c>
      <c r="O2655" s="396">
        <f>TIMEVALUE(MID(G2655,12,8))</f>
        <v/>
      </c>
      <c r="P2655" s="396">
        <f>IFERROR(_xlfn.MINIFS($M:$M,$E:$E,$E2655,$K:$K,$K2655,$M:$M,"&gt;"&amp;$O2655),"")</f>
        <v/>
      </c>
      <c r="Q2655" s="396">
        <f>IF($P2655="","",$P2655-$O2655)</f>
        <v/>
      </c>
    </row>
    <row r="2656" ht="15" customHeight="1" s="231">
      <c r="A2656" s="397" t="n"/>
      <c r="B2656" s="397" t="n"/>
      <c r="C2656" s="397" t="n"/>
      <c r="D2656" s="397" t="n"/>
      <c r="E2656" s="397" t="n"/>
      <c r="F2656" s="397" t="n"/>
      <c r="G2656" s="397" t="n"/>
      <c r="I2656" s="397" t="n"/>
      <c r="J2656" s="397" t="n"/>
      <c r="K2656" s="395">
        <f>DATE(VALUE(LEFT(A2656,4)),VALUE(MID(A2656,5,2)),VALUE(RIGHT(A2656,2)))</f>
        <v/>
      </c>
      <c r="L2656" s="395">
        <f>DATEVALUE(LEFT(F2656,10))</f>
        <v/>
      </c>
      <c r="M2656" s="396">
        <f>TIMEVALUE(MID(F2656,12,8))</f>
        <v/>
      </c>
      <c r="N2656" s="395">
        <f>DATEVALUE(LEFT(G2656,10))</f>
        <v/>
      </c>
      <c r="O2656" s="396">
        <f>TIMEVALUE(MID(G2656,12,8))</f>
        <v/>
      </c>
      <c r="P2656" s="396">
        <f>IFERROR(_xlfn.MINIFS($M:$M,$E:$E,$E2656,$K:$K,$K2656,$M:$M,"&gt;"&amp;$O2656),"")</f>
        <v/>
      </c>
      <c r="Q2656" s="396">
        <f>IF($P2656="","",$P2656-$O2656)</f>
        <v/>
      </c>
    </row>
    <row r="2657" ht="15" customHeight="1" s="231">
      <c r="A2657" s="397" t="n"/>
      <c r="B2657" s="397" t="n"/>
      <c r="C2657" s="397" t="n"/>
      <c r="D2657" s="397" t="n"/>
      <c r="E2657" s="397" t="n"/>
      <c r="F2657" s="397" t="n"/>
      <c r="G2657" s="397" t="n"/>
      <c r="I2657" s="397" t="n"/>
      <c r="J2657" s="397" t="n"/>
      <c r="K2657" s="395">
        <f>DATE(VALUE(LEFT(A2657,4)),VALUE(MID(A2657,5,2)),VALUE(RIGHT(A2657,2)))</f>
        <v/>
      </c>
      <c r="L2657" s="395">
        <f>DATEVALUE(LEFT(F2657,10))</f>
        <v/>
      </c>
      <c r="M2657" s="396">
        <f>TIMEVALUE(MID(F2657,12,8))</f>
        <v/>
      </c>
      <c r="N2657" s="395">
        <f>DATEVALUE(LEFT(G2657,10))</f>
        <v/>
      </c>
      <c r="O2657" s="396">
        <f>TIMEVALUE(MID(G2657,12,8))</f>
        <v/>
      </c>
      <c r="P2657" s="396">
        <f>IFERROR(_xlfn.MINIFS($M:$M,$E:$E,$E2657,$K:$K,$K2657,$M:$M,"&gt;"&amp;$O2657),"")</f>
        <v/>
      </c>
      <c r="Q2657" s="396">
        <f>IF($P2657="","",$P2657-$O2657)</f>
        <v/>
      </c>
    </row>
    <row r="2658" ht="15" customHeight="1" s="231">
      <c r="A2658" s="397" t="n"/>
      <c r="B2658" s="397" t="n"/>
      <c r="C2658" s="397" t="n"/>
      <c r="D2658" s="397" t="n"/>
      <c r="E2658" s="397" t="n"/>
      <c r="F2658" s="397" t="n"/>
      <c r="G2658" s="397" t="n"/>
      <c r="I2658" s="397" t="n"/>
      <c r="J2658" s="397" t="n"/>
      <c r="K2658" s="395">
        <f>DATE(VALUE(LEFT(A2658,4)),VALUE(MID(A2658,5,2)),VALUE(RIGHT(A2658,2)))</f>
        <v/>
      </c>
      <c r="L2658" s="395">
        <f>DATEVALUE(LEFT(F2658,10))</f>
        <v/>
      </c>
      <c r="M2658" s="396">
        <f>TIMEVALUE(MID(F2658,12,8))</f>
        <v/>
      </c>
      <c r="N2658" s="395">
        <f>DATEVALUE(LEFT(G2658,10))</f>
        <v/>
      </c>
      <c r="O2658" s="396">
        <f>TIMEVALUE(MID(G2658,12,8))</f>
        <v/>
      </c>
      <c r="P2658" s="396">
        <f>IFERROR(_xlfn.MINIFS($M:$M,$E:$E,$E2658,$K:$K,$K2658,$M:$M,"&gt;"&amp;$O2658),"")</f>
        <v/>
      </c>
      <c r="Q2658" s="396">
        <f>IF($P2658="","",$P2658-$O2658)</f>
        <v/>
      </c>
    </row>
    <row r="2659" ht="15" customHeight="1" s="231">
      <c r="A2659" s="397" t="n"/>
      <c r="B2659" s="397" t="n"/>
      <c r="C2659" s="397" t="n"/>
      <c r="D2659" s="397" t="n"/>
      <c r="E2659" s="397" t="n"/>
      <c r="F2659" s="397" t="n"/>
      <c r="G2659" s="397" t="n"/>
      <c r="I2659" s="397" t="n"/>
      <c r="J2659" s="397" t="n"/>
      <c r="K2659" s="395">
        <f>DATE(VALUE(LEFT(A2659,4)),VALUE(MID(A2659,5,2)),VALUE(RIGHT(A2659,2)))</f>
        <v/>
      </c>
      <c r="L2659" s="395">
        <f>DATEVALUE(LEFT(F2659,10))</f>
        <v/>
      </c>
      <c r="M2659" s="396">
        <f>TIMEVALUE(MID(F2659,12,8))</f>
        <v/>
      </c>
      <c r="N2659" s="395">
        <f>DATEVALUE(LEFT(G2659,10))</f>
        <v/>
      </c>
      <c r="O2659" s="396">
        <f>TIMEVALUE(MID(G2659,12,8))</f>
        <v/>
      </c>
      <c r="P2659" s="396">
        <f>IFERROR(_xlfn.MINIFS($M:$M,$E:$E,$E2659,$K:$K,$K2659,$M:$M,"&gt;"&amp;$O2659),"")</f>
        <v/>
      </c>
      <c r="Q2659" s="396">
        <f>IF($P2659="","",$P2659-$O2659)</f>
        <v/>
      </c>
    </row>
    <row r="2660" ht="15" customHeight="1" s="231">
      <c r="A2660" s="397" t="n"/>
      <c r="B2660" s="397" t="n"/>
      <c r="C2660" s="397" t="n"/>
      <c r="D2660" s="397" t="n"/>
      <c r="E2660" s="397" t="n"/>
      <c r="F2660" s="397" t="n"/>
      <c r="G2660" s="397" t="n"/>
      <c r="I2660" s="397" t="n"/>
      <c r="J2660" s="397" t="n"/>
      <c r="K2660" s="395">
        <f>DATE(VALUE(LEFT(A2660,4)),VALUE(MID(A2660,5,2)),VALUE(RIGHT(A2660,2)))</f>
        <v/>
      </c>
      <c r="L2660" s="395">
        <f>DATEVALUE(LEFT(F2660,10))</f>
        <v/>
      </c>
      <c r="M2660" s="396">
        <f>TIMEVALUE(MID(F2660,12,8))</f>
        <v/>
      </c>
      <c r="N2660" s="395">
        <f>DATEVALUE(LEFT(G2660,10))</f>
        <v/>
      </c>
      <c r="O2660" s="396">
        <f>TIMEVALUE(MID(G2660,12,8))</f>
        <v/>
      </c>
      <c r="P2660" s="396">
        <f>IFERROR(_xlfn.MINIFS($M:$M,$E:$E,$E2660,$K:$K,$K2660,$M:$M,"&gt;"&amp;$O2660),"")</f>
        <v/>
      </c>
      <c r="Q2660" s="396">
        <f>IF($P2660="","",$P2660-$O2660)</f>
        <v/>
      </c>
    </row>
    <row r="2661" ht="15" customHeight="1" s="231">
      <c r="A2661" s="397" t="n"/>
      <c r="B2661" s="397" t="n"/>
      <c r="C2661" s="397" t="n"/>
      <c r="D2661" s="397" t="n"/>
      <c r="E2661" s="397" t="n"/>
      <c r="F2661" s="397" t="n"/>
      <c r="G2661" s="397" t="n"/>
      <c r="I2661" s="397" t="n"/>
      <c r="J2661" s="397" t="n"/>
      <c r="K2661" s="395">
        <f>DATE(VALUE(LEFT(A2661,4)),VALUE(MID(A2661,5,2)),VALUE(RIGHT(A2661,2)))</f>
        <v/>
      </c>
      <c r="L2661" s="395">
        <f>DATEVALUE(LEFT(F2661,10))</f>
        <v/>
      </c>
      <c r="M2661" s="396">
        <f>TIMEVALUE(MID(F2661,12,8))</f>
        <v/>
      </c>
      <c r="N2661" s="395">
        <f>DATEVALUE(LEFT(G2661,10))</f>
        <v/>
      </c>
      <c r="O2661" s="396">
        <f>TIMEVALUE(MID(G2661,12,8))</f>
        <v/>
      </c>
      <c r="P2661" s="396">
        <f>IFERROR(_xlfn.MINIFS($M:$M,$E:$E,$E2661,$K:$K,$K2661,$M:$M,"&gt;"&amp;$O2661),"")</f>
        <v/>
      </c>
      <c r="Q2661" s="396">
        <f>IF($P2661="","",$P2661-$O2661)</f>
        <v/>
      </c>
    </row>
    <row r="2662" ht="15" customHeight="1" s="231">
      <c r="A2662" s="397" t="n"/>
      <c r="B2662" s="397" t="n"/>
      <c r="C2662" s="397" t="n"/>
      <c r="D2662" s="397" t="n"/>
      <c r="E2662" s="397" t="n"/>
      <c r="F2662" s="397" t="n"/>
      <c r="G2662" s="397" t="n"/>
      <c r="I2662" s="397" t="n"/>
      <c r="J2662" s="397" t="n"/>
      <c r="K2662" s="395">
        <f>DATE(VALUE(LEFT(A2662,4)),VALUE(MID(A2662,5,2)),VALUE(RIGHT(A2662,2)))</f>
        <v/>
      </c>
      <c r="L2662" s="395">
        <f>DATEVALUE(LEFT(F2662,10))</f>
        <v/>
      </c>
      <c r="M2662" s="396">
        <f>TIMEVALUE(MID(F2662,12,8))</f>
        <v/>
      </c>
      <c r="N2662" s="395">
        <f>DATEVALUE(LEFT(G2662,10))</f>
        <v/>
      </c>
      <c r="O2662" s="396">
        <f>TIMEVALUE(MID(G2662,12,8))</f>
        <v/>
      </c>
      <c r="P2662" s="396">
        <f>IFERROR(_xlfn.MINIFS($M:$M,$E:$E,$E2662,$K:$K,$K2662,$M:$M,"&gt;"&amp;$O2662),"")</f>
        <v/>
      </c>
      <c r="Q2662" s="396">
        <f>IF($P2662="","",$P2662-$O2662)</f>
        <v/>
      </c>
    </row>
    <row r="2663" ht="15" customHeight="1" s="231">
      <c r="A2663" s="397" t="n"/>
      <c r="B2663" s="397" t="n"/>
      <c r="C2663" s="397" t="n"/>
      <c r="D2663" s="397" t="n"/>
      <c r="E2663" s="397" t="n"/>
      <c r="F2663" s="397" t="n"/>
      <c r="G2663" s="397" t="n"/>
      <c r="I2663" s="397" t="n"/>
      <c r="J2663" s="397" t="n"/>
      <c r="K2663" s="395">
        <f>DATE(VALUE(LEFT(A2663,4)),VALUE(MID(A2663,5,2)),VALUE(RIGHT(A2663,2)))</f>
        <v/>
      </c>
      <c r="L2663" s="395">
        <f>DATEVALUE(LEFT(F2663,10))</f>
        <v/>
      </c>
      <c r="M2663" s="396">
        <f>TIMEVALUE(MID(F2663,12,8))</f>
        <v/>
      </c>
      <c r="N2663" s="395">
        <f>DATEVALUE(LEFT(G2663,10))</f>
        <v/>
      </c>
      <c r="O2663" s="396">
        <f>TIMEVALUE(MID(G2663,12,8))</f>
        <v/>
      </c>
      <c r="P2663" s="396">
        <f>IFERROR(_xlfn.MINIFS($M:$M,$E:$E,$E2663,$K:$K,$K2663,$M:$M,"&gt;"&amp;$O2663),"")</f>
        <v/>
      </c>
      <c r="Q2663" s="396">
        <f>IF($P2663="","",$P2663-$O2663)</f>
        <v/>
      </c>
    </row>
    <row r="2664" ht="15" customHeight="1" s="231">
      <c r="A2664" s="397" t="n"/>
      <c r="B2664" s="397" t="n"/>
      <c r="C2664" s="397" t="n"/>
      <c r="D2664" s="397" t="n"/>
      <c r="E2664" s="397" t="n"/>
      <c r="F2664" s="397" t="n"/>
      <c r="G2664" s="397" t="n"/>
      <c r="I2664" s="397" t="n"/>
      <c r="J2664" s="397" t="n"/>
      <c r="K2664" s="395">
        <f>DATE(VALUE(LEFT(A2664,4)),VALUE(MID(A2664,5,2)),VALUE(RIGHT(A2664,2)))</f>
        <v/>
      </c>
      <c r="L2664" s="395">
        <f>DATEVALUE(LEFT(F2664,10))</f>
        <v/>
      </c>
      <c r="M2664" s="396">
        <f>TIMEVALUE(MID(F2664,12,8))</f>
        <v/>
      </c>
      <c r="N2664" s="395">
        <f>DATEVALUE(LEFT(G2664,10))</f>
        <v/>
      </c>
      <c r="O2664" s="396">
        <f>TIMEVALUE(MID(G2664,12,8))</f>
        <v/>
      </c>
      <c r="P2664" s="396">
        <f>IFERROR(_xlfn.MINIFS($M:$M,$E:$E,$E2664,$K:$K,$K2664,$M:$M,"&gt;"&amp;$O2664),"")</f>
        <v/>
      </c>
      <c r="Q2664" s="396">
        <f>IF($P2664="","",$P2664-$O2664)</f>
        <v/>
      </c>
    </row>
    <row r="2665" ht="15" customHeight="1" s="231">
      <c r="A2665" s="397" t="n"/>
      <c r="B2665" s="397" t="n"/>
      <c r="C2665" s="397" t="n"/>
      <c r="D2665" s="397" t="n"/>
      <c r="E2665" s="397" t="n"/>
      <c r="F2665" s="397" t="n"/>
      <c r="G2665" s="397" t="n"/>
      <c r="I2665" s="397" t="n"/>
      <c r="J2665" s="397" t="n"/>
      <c r="K2665" s="395">
        <f>DATE(VALUE(LEFT(A2665,4)),VALUE(MID(A2665,5,2)),VALUE(RIGHT(A2665,2)))</f>
        <v/>
      </c>
      <c r="L2665" s="395">
        <f>DATEVALUE(LEFT(F2665,10))</f>
        <v/>
      </c>
      <c r="M2665" s="396">
        <f>TIMEVALUE(MID(F2665,12,8))</f>
        <v/>
      </c>
      <c r="N2665" s="395">
        <f>DATEVALUE(LEFT(G2665,10))</f>
        <v/>
      </c>
      <c r="O2665" s="396">
        <f>TIMEVALUE(MID(G2665,12,8))</f>
        <v/>
      </c>
      <c r="P2665" s="396">
        <f>IFERROR(_xlfn.MINIFS($M:$M,$E:$E,$E2665,$K:$K,$K2665,$M:$M,"&gt;"&amp;$O2665),"")</f>
        <v/>
      </c>
      <c r="Q2665" s="396">
        <f>IF($P2665="","",$P2665-$O2665)</f>
        <v/>
      </c>
    </row>
    <row r="2666" ht="15" customHeight="1" s="231">
      <c r="A2666" s="397" t="n"/>
      <c r="B2666" s="397" t="n"/>
      <c r="C2666" s="397" t="n"/>
      <c r="D2666" s="397" t="n"/>
      <c r="E2666" s="397" t="n"/>
      <c r="F2666" s="397" t="n"/>
      <c r="G2666" s="397" t="n"/>
      <c r="I2666" s="397" t="n"/>
      <c r="J2666" s="397" t="n"/>
      <c r="K2666" s="395">
        <f>DATE(VALUE(LEFT(A2666,4)),VALUE(MID(A2666,5,2)),VALUE(RIGHT(A2666,2)))</f>
        <v/>
      </c>
      <c r="L2666" s="395">
        <f>DATEVALUE(LEFT(F2666,10))</f>
        <v/>
      </c>
      <c r="M2666" s="396">
        <f>TIMEVALUE(MID(F2666,12,8))</f>
        <v/>
      </c>
      <c r="N2666" s="395">
        <f>DATEVALUE(LEFT(G2666,10))</f>
        <v/>
      </c>
      <c r="O2666" s="396">
        <f>TIMEVALUE(MID(G2666,12,8))</f>
        <v/>
      </c>
      <c r="P2666" s="396">
        <f>IFERROR(_xlfn.MINIFS($M:$M,$E:$E,$E2666,$K:$K,$K2666,$M:$M,"&gt;"&amp;$O2666),"")</f>
        <v/>
      </c>
      <c r="Q2666" s="396">
        <f>IF($P2666="","",$P2666-$O2666)</f>
        <v/>
      </c>
    </row>
    <row r="2667" ht="15" customHeight="1" s="231">
      <c r="A2667" s="397" t="n"/>
      <c r="B2667" s="397" t="n"/>
      <c r="C2667" s="397" t="n"/>
      <c r="D2667" s="397" t="n"/>
      <c r="E2667" s="397" t="n"/>
      <c r="F2667" s="397" t="n"/>
      <c r="G2667" s="397" t="n"/>
      <c r="I2667" s="397" t="n"/>
      <c r="J2667" s="397" t="n"/>
      <c r="K2667" s="395">
        <f>DATE(VALUE(LEFT(A2667,4)),VALUE(MID(A2667,5,2)),VALUE(RIGHT(A2667,2)))</f>
        <v/>
      </c>
      <c r="L2667" s="395">
        <f>DATEVALUE(LEFT(F2667,10))</f>
        <v/>
      </c>
      <c r="M2667" s="396">
        <f>TIMEVALUE(MID(F2667,12,8))</f>
        <v/>
      </c>
      <c r="N2667" s="395">
        <f>DATEVALUE(LEFT(G2667,10))</f>
        <v/>
      </c>
      <c r="O2667" s="396">
        <f>TIMEVALUE(MID(G2667,12,8))</f>
        <v/>
      </c>
      <c r="P2667" s="396">
        <f>IFERROR(_xlfn.MINIFS($M:$M,$E:$E,$E2667,$K:$K,$K2667,$M:$M,"&gt;"&amp;$O2667),"")</f>
        <v/>
      </c>
      <c r="Q2667" s="396">
        <f>IF($P2667="","",$P2667-$O2667)</f>
        <v/>
      </c>
    </row>
    <row r="2668" ht="15" customHeight="1" s="231">
      <c r="A2668" s="397" t="n"/>
      <c r="B2668" s="397" t="n"/>
      <c r="C2668" s="397" t="n"/>
      <c r="D2668" s="397" t="n"/>
      <c r="E2668" s="397" t="n"/>
      <c r="F2668" s="397" t="n"/>
      <c r="G2668" s="397" t="n"/>
      <c r="I2668" s="397" t="n"/>
      <c r="J2668" s="397" t="n"/>
      <c r="K2668" s="395">
        <f>DATE(VALUE(LEFT(A2668,4)),VALUE(MID(A2668,5,2)),VALUE(RIGHT(A2668,2)))</f>
        <v/>
      </c>
      <c r="L2668" s="395">
        <f>DATEVALUE(LEFT(F2668,10))</f>
        <v/>
      </c>
      <c r="M2668" s="396">
        <f>TIMEVALUE(MID(F2668,12,8))</f>
        <v/>
      </c>
      <c r="N2668" s="395">
        <f>DATEVALUE(LEFT(G2668,10))</f>
        <v/>
      </c>
      <c r="O2668" s="396">
        <f>TIMEVALUE(MID(G2668,12,8))</f>
        <v/>
      </c>
      <c r="P2668" s="396">
        <f>IFERROR(_xlfn.MINIFS($M:$M,$E:$E,$E2668,$K:$K,$K2668,$M:$M,"&gt;"&amp;$O2668),"")</f>
        <v/>
      </c>
      <c r="Q2668" s="396">
        <f>IF($P2668="","",$P2668-$O2668)</f>
        <v/>
      </c>
    </row>
    <row r="2669" ht="15" customHeight="1" s="231">
      <c r="A2669" s="397" t="n"/>
      <c r="B2669" s="397" t="n"/>
      <c r="C2669" s="397" t="n"/>
      <c r="D2669" s="397" t="n"/>
      <c r="E2669" s="397" t="n"/>
      <c r="F2669" s="397" t="n"/>
      <c r="G2669" s="397" t="n"/>
      <c r="I2669" s="397" t="n"/>
      <c r="J2669" s="397" t="n"/>
      <c r="K2669" s="395">
        <f>DATE(VALUE(LEFT(A2669,4)),VALUE(MID(A2669,5,2)),VALUE(RIGHT(A2669,2)))</f>
        <v/>
      </c>
      <c r="L2669" s="395">
        <f>DATEVALUE(LEFT(F2669,10))</f>
        <v/>
      </c>
      <c r="M2669" s="396">
        <f>TIMEVALUE(MID(F2669,12,8))</f>
        <v/>
      </c>
      <c r="N2669" s="395">
        <f>DATEVALUE(LEFT(G2669,10))</f>
        <v/>
      </c>
      <c r="O2669" s="396">
        <f>TIMEVALUE(MID(G2669,12,8))</f>
        <v/>
      </c>
      <c r="P2669" s="396">
        <f>IFERROR(_xlfn.MINIFS($M:$M,$E:$E,$E2669,$K:$K,$K2669,$M:$M,"&gt;"&amp;$O2669),"")</f>
        <v/>
      </c>
      <c r="Q2669" s="396">
        <f>IF($P2669="","",$P2669-$O2669)</f>
        <v/>
      </c>
    </row>
    <row r="2670" ht="15" customHeight="1" s="231">
      <c r="A2670" s="397" t="n"/>
      <c r="B2670" s="397" t="n"/>
      <c r="C2670" s="397" t="n"/>
      <c r="D2670" s="397" t="n"/>
      <c r="E2670" s="397" t="n"/>
      <c r="F2670" s="397" t="n"/>
      <c r="G2670" s="397" t="n"/>
      <c r="I2670" s="397" t="n"/>
      <c r="J2670" s="397" t="n"/>
      <c r="K2670" s="395">
        <f>DATE(VALUE(LEFT(A2670,4)),VALUE(MID(A2670,5,2)),VALUE(RIGHT(A2670,2)))</f>
        <v/>
      </c>
      <c r="L2670" s="395">
        <f>DATEVALUE(LEFT(F2670,10))</f>
        <v/>
      </c>
      <c r="M2670" s="396">
        <f>TIMEVALUE(MID(F2670,12,8))</f>
        <v/>
      </c>
      <c r="N2670" s="395">
        <f>DATEVALUE(LEFT(G2670,10))</f>
        <v/>
      </c>
      <c r="O2670" s="396">
        <f>TIMEVALUE(MID(G2670,12,8))</f>
        <v/>
      </c>
      <c r="P2670" s="396">
        <f>IFERROR(_xlfn.MINIFS($M:$M,$E:$E,$E2670,$K:$K,$K2670,$M:$M,"&gt;"&amp;$O2670),"")</f>
        <v/>
      </c>
      <c r="Q2670" s="396">
        <f>IF($P2670="","",$P2670-$O2670)</f>
        <v/>
      </c>
    </row>
    <row r="2671" ht="15" customHeight="1" s="231">
      <c r="A2671" s="397" t="n"/>
      <c r="B2671" s="397" t="n"/>
      <c r="C2671" s="397" t="n"/>
      <c r="D2671" s="397" t="n"/>
      <c r="E2671" s="397" t="n"/>
      <c r="F2671" s="397" t="n"/>
      <c r="G2671" s="397" t="n"/>
      <c r="I2671" s="397" t="n"/>
      <c r="J2671" s="397" t="n"/>
      <c r="K2671" s="395">
        <f>DATE(VALUE(LEFT(A2671,4)),VALUE(MID(A2671,5,2)),VALUE(RIGHT(A2671,2)))</f>
        <v/>
      </c>
      <c r="L2671" s="395">
        <f>DATEVALUE(LEFT(F2671,10))</f>
        <v/>
      </c>
      <c r="M2671" s="396">
        <f>TIMEVALUE(MID(F2671,12,8))</f>
        <v/>
      </c>
      <c r="N2671" s="395">
        <f>DATEVALUE(LEFT(G2671,10))</f>
        <v/>
      </c>
      <c r="O2671" s="396">
        <f>TIMEVALUE(MID(G2671,12,8))</f>
        <v/>
      </c>
      <c r="P2671" s="396">
        <f>IFERROR(_xlfn.MINIFS($M:$M,$E:$E,$E2671,$K:$K,$K2671,$M:$M,"&gt;"&amp;$O2671),"")</f>
        <v/>
      </c>
      <c r="Q2671" s="396">
        <f>IF($P2671="","",$P2671-$O2671)</f>
        <v/>
      </c>
    </row>
    <row r="2672" ht="15" customHeight="1" s="231">
      <c r="A2672" s="397" t="n"/>
      <c r="B2672" s="397" t="n"/>
      <c r="C2672" s="397" t="n"/>
      <c r="D2672" s="397" t="n"/>
      <c r="E2672" s="397" t="n"/>
      <c r="F2672" s="397" t="n"/>
      <c r="G2672" s="397" t="n"/>
      <c r="I2672" s="397" t="n"/>
      <c r="J2672" s="397" t="n"/>
      <c r="K2672" s="395">
        <f>DATE(VALUE(LEFT(A2672,4)),VALUE(MID(A2672,5,2)),VALUE(RIGHT(A2672,2)))</f>
        <v/>
      </c>
      <c r="L2672" s="395">
        <f>DATEVALUE(LEFT(F2672,10))</f>
        <v/>
      </c>
      <c r="M2672" s="396">
        <f>TIMEVALUE(MID(F2672,12,8))</f>
        <v/>
      </c>
      <c r="N2672" s="395">
        <f>DATEVALUE(LEFT(G2672,10))</f>
        <v/>
      </c>
      <c r="O2672" s="396">
        <f>TIMEVALUE(MID(G2672,12,8))</f>
        <v/>
      </c>
      <c r="P2672" s="396">
        <f>IFERROR(_xlfn.MINIFS($M:$M,$E:$E,$E2672,$K:$K,$K2672,$M:$M,"&gt;"&amp;$O2672),"")</f>
        <v/>
      </c>
      <c r="Q2672" s="396">
        <f>IF($P2672="","",$P2672-$O2672)</f>
        <v/>
      </c>
    </row>
    <row r="2673" ht="15" customHeight="1" s="231">
      <c r="A2673" s="397" t="n"/>
      <c r="B2673" s="397" t="n"/>
      <c r="C2673" s="397" t="n"/>
      <c r="D2673" s="397" t="n"/>
      <c r="E2673" s="397" t="n"/>
      <c r="F2673" s="397" t="n"/>
      <c r="G2673" s="397" t="n"/>
      <c r="I2673" s="397" t="n"/>
      <c r="J2673" s="397" t="n"/>
      <c r="K2673" s="395">
        <f>DATE(VALUE(LEFT(A2673,4)),VALUE(MID(A2673,5,2)),VALUE(RIGHT(A2673,2)))</f>
        <v/>
      </c>
      <c r="L2673" s="395">
        <f>DATEVALUE(LEFT(F2673,10))</f>
        <v/>
      </c>
      <c r="M2673" s="396">
        <f>TIMEVALUE(MID(F2673,12,8))</f>
        <v/>
      </c>
      <c r="N2673" s="395">
        <f>DATEVALUE(LEFT(G2673,10))</f>
        <v/>
      </c>
      <c r="O2673" s="396">
        <f>TIMEVALUE(MID(G2673,12,8))</f>
        <v/>
      </c>
      <c r="P2673" s="396">
        <f>IFERROR(_xlfn.MINIFS($M:$M,$E:$E,$E2673,$K:$K,$K2673,$M:$M,"&gt;"&amp;$O2673),"")</f>
        <v/>
      </c>
      <c r="Q2673" s="396">
        <f>IF($P2673="","",$P2673-$O2673)</f>
        <v/>
      </c>
    </row>
    <row r="2674" ht="15" customHeight="1" s="231">
      <c r="A2674" s="397" t="n"/>
      <c r="B2674" s="397" t="n"/>
      <c r="C2674" s="397" t="n"/>
      <c r="D2674" s="397" t="n"/>
      <c r="E2674" s="397" t="n"/>
      <c r="F2674" s="397" t="n"/>
      <c r="G2674" s="397" t="n"/>
      <c r="I2674" s="397" t="n"/>
      <c r="J2674" s="397" t="n"/>
      <c r="K2674" s="395">
        <f>DATE(VALUE(LEFT(A2674,4)),VALUE(MID(A2674,5,2)),VALUE(RIGHT(A2674,2)))</f>
        <v/>
      </c>
      <c r="L2674" s="395">
        <f>DATEVALUE(LEFT(F2674,10))</f>
        <v/>
      </c>
      <c r="M2674" s="396">
        <f>TIMEVALUE(MID(F2674,12,8))</f>
        <v/>
      </c>
      <c r="N2674" s="395">
        <f>DATEVALUE(LEFT(G2674,10))</f>
        <v/>
      </c>
      <c r="O2674" s="396">
        <f>TIMEVALUE(MID(G2674,12,8))</f>
        <v/>
      </c>
      <c r="P2674" s="396">
        <f>IFERROR(_xlfn.MINIFS($M:$M,$E:$E,$E2674,$K:$K,$K2674,$M:$M,"&gt;"&amp;$O2674),"")</f>
        <v/>
      </c>
      <c r="Q2674" s="396">
        <f>IF($P2674="","",$P2674-$O2674)</f>
        <v/>
      </c>
    </row>
    <row r="2675" ht="15" customHeight="1" s="231">
      <c r="A2675" s="397" t="n"/>
      <c r="B2675" s="397" t="n"/>
      <c r="C2675" s="397" t="n"/>
      <c r="D2675" s="397" t="n"/>
      <c r="E2675" s="397" t="n"/>
      <c r="F2675" s="397" t="n"/>
      <c r="G2675" s="397" t="n"/>
      <c r="I2675" s="397" t="n"/>
      <c r="J2675" s="397" t="n"/>
      <c r="K2675" s="395">
        <f>DATE(VALUE(LEFT(A2675,4)),VALUE(MID(A2675,5,2)),VALUE(RIGHT(A2675,2)))</f>
        <v/>
      </c>
      <c r="L2675" s="395">
        <f>DATEVALUE(LEFT(F2675,10))</f>
        <v/>
      </c>
      <c r="M2675" s="396">
        <f>TIMEVALUE(MID(F2675,12,8))</f>
        <v/>
      </c>
      <c r="N2675" s="395">
        <f>DATEVALUE(LEFT(G2675,10))</f>
        <v/>
      </c>
      <c r="O2675" s="396">
        <f>TIMEVALUE(MID(G2675,12,8))</f>
        <v/>
      </c>
      <c r="P2675" s="396">
        <f>IFERROR(_xlfn.MINIFS($M:$M,$E:$E,$E2675,$K:$K,$K2675,$M:$M,"&gt;"&amp;$O2675),"")</f>
        <v/>
      </c>
      <c r="Q2675" s="396">
        <f>IF($P2675="","",$P2675-$O2675)</f>
        <v/>
      </c>
    </row>
    <row r="2676" ht="15" customHeight="1" s="231">
      <c r="A2676" s="397" t="n"/>
      <c r="B2676" s="397" t="n"/>
      <c r="C2676" s="397" t="n"/>
      <c r="D2676" s="397" t="n"/>
      <c r="E2676" s="397" t="n"/>
      <c r="F2676" s="397" t="n"/>
      <c r="G2676" s="397" t="n"/>
      <c r="I2676" s="397" t="n"/>
      <c r="J2676" s="397" t="n"/>
      <c r="K2676" s="395">
        <f>DATE(VALUE(LEFT(A2676,4)),VALUE(MID(A2676,5,2)),VALUE(RIGHT(A2676,2)))</f>
        <v/>
      </c>
      <c r="L2676" s="395">
        <f>DATEVALUE(LEFT(F2676,10))</f>
        <v/>
      </c>
      <c r="M2676" s="396">
        <f>TIMEVALUE(MID(F2676,12,8))</f>
        <v/>
      </c>
      <c r="N2676" s="395">
        <f>DATEVALUE(LEFT(G2676,10))</f>
        <v/>
      </c>
      <c r="O2676" s="396">
        <f>TIMEVALUE(MID(G2676,12,8))</f>
        <v/>
      </c>
      <c r="P2676" s="396">
        <f>IFERROR(_xlfn.MINIFS($M:$M,$E:$E,$E2676,$K:$K,$K2676,$M:$M,"&gt;"&amp;$O2676),"")</f>
        <v/>
      </c>
      <c r="Q2676" s="396">
        <f>IF($P2676="","",$P2676-$O2676)</f>
        <v/>
      </c>
    </row>
    <row r="2677" ht="15" customHeight="1" s="231">
      <c r="A2677" s="397" t="n"/>
      <c r="B2677" s="397" t="n"/>
      <c r="C2677" s="397" t="n"/>
      <c r="D2677" s="397" t="n"/>
      <c r="E2677" s="397" t="n"/>
      <c r="F2677" s="397" t="n"/>
      <c r="G2677" s="397" t="n"/>
      <c r="I2677" s="397" t="n"/>
      <c r="J2677" s="397" t="n"/>
      <c r="K2677" s="395">
        <f>DATE(VALUE(LEFT(A2677,4)),VALUE(MID(A2677,5,2)),VALUE(RIGHT(A2677,2)))</f>
        <v/>
      </c>
      <c r="L2677" s="395">
        <f>DATEVALUE(LEFT(F2677,10))</f>
        <v/>
      </c>
      <c r="M2677" s="396">
        <f>TIMEVALUE(MID(F2677,12,8))</f>
        <v/>
      </c>
      <c r="N2677" s="395">
        <f>DATEVALUE(LEFT(G2677,10))</f>
        <v/>
      </c>
      <c r="O2677" s="396">
        <f>TIMEVALUE(MID(G2677,12,8))</f>
        <v/>
      </c>
      <c r="P2677" s="396">
        <f>IFERROR(_xlfn.MINIFS($M:$M,$E:$E,$E2677,$K:$K,$K2677,$M:$M,"&gt;"&amp;$O2677),"")</f>
        <v/>
      </c>
      <c r="Q2677" s="396">
        <f>IF($P2677="","",$P2677-$O2677)</f>
        <v/>
      </c>
    </row>
    <row r="2678" ht="15" customHeight="1" s="231">
      <c r="A2678" s="397" t="n"/>
      <c r="B2678" s="397" t="n"/>
      <c r="C2678" s="397" t="n"/>
      <c r="D2678" s="397" t="n"/>
      <c r="E2678" s="397" t="n"/>
      <c r="F2678" s="397" t="n"/>
      <c r="G2678" s="397" t="n"/>
      <c r="I2678" s="397" t="n"/>
      <c r="J2678" s="397" t="n"/>
      <c r="K2678" s="395">
        <f>DATE(VALUE(LEFT(A2678,4)),VALUE(MID(A2678,5,2)),VALUE(RIGHT(A2678,2)))</f>
        <v/>
      </c>
      <c r="L2678" s="395">
        <f>DATEVALUE(LEFT(F2678,10))</f>
        <v/>
      </c>
      <c r="M2678" s="396">
        <f>TIMEVALUE(MID(F2678,12,8))</f>
        <v/>
      </c>
      <c r="N2678" s="395">
        <f>DATEVALUE(LEFT(G2678,10))</f>
        <v/>
      </c>
      <c r="O2678" s="396">
        <f>TIMEVALUE(MID(G2678,12,8))</f>
        <v/>
      </c>
      <c r="P2678" s="396">
        <f>IFERROR(_xlfn.MINIFS($M:$M,$E:$E,$E2678,$K:$K,$K2678,$M:$M,"&gt;"&amp;$O2678),"")</f>
        <v/>
      </c>
      <c r="Q2678" s="396">
        <f>IF($P2678="","",$P2678-$O2678)</f>
        <v/>
      </c>
    </row>
    <row r="2679" ht="15" customHeight="1" s="231">
      <c r="A2679" s="397" t="n"/>
      <c r="B2679" s="397" t="n"/>
      <c r="C2679" s="397" t="n"/>
      <c r="D2679" s="397" t="n"/>
      <c r="E2679" s="397" t="n"/>
      <c r="F2679" s="397" t="n"/>
      <c r="G2679" s="397" t="n"/>
      <c r="I2679" s="397" t="n"/>
      <c r="J2679" s="397" t="n"/>
      <c r="K2679" s="395">
        <f>DATE(VALUE(LEFT(A2679,4)),VALUE(MID(A2679,5,2)),VALUE(RIGHT(A2679,2)))</f>
        <v/>
      </c>
      <c r="L2679" s="395">
        <f>DATEVALUE(LEFT(F2679,10))</f>
        <v/>
      </c>
      <c r="M2679" s="396">
        <f>TIMEVALUE(MID(F2679,12,8))</f>
        <v/>
      </c>
      <c r="N2679" s="395">
        <f>DATEVALUE(LEFT(G2679,10))</f>
        <v/>
      </c>
      <c r="O2679" s="396">
        <f>TIMEVALUE(MID(G2679,12,8))</f>
        <v/>
      </c>
      <c r="P2679" s="396">
        <f>IFERROR(_xlfn.MINIFS($M:$M,$E:$E,$E2679,$K:$K,$K2679,$M:$M,"&gt;"&amp;$O2679),"")</f>
        <v/>
      </c>
      <c r="Q2679" s="396">
        <f>IF($P2679="","",$P2679-$O2679)</f>
        <v/>
      </c>
    </row>
    <row r="2680" ht="15" customHeight="1" s="231">
      <c r="A2680" s="397" t="n"/>
      <c r="B2680" s="397" t="n"/>
      <c r="C2680" s="397" t="n"/>
      <c r="D2680" s="397" t="n"/>
      <c r="E2680" s="397" t="n"/>
      <c r="F2680" s="397" t="n"/>
      <c r="G2680" s="397" t="n"/>
      <c r="I2680" s="397" t="n"/>
      <c r="J2680" s="397" t="n"/>
      <c r="K2680" s="395">
        <f>DATE(VALUE(LEFT(A2680,4)),VALUE(MID(A2680,5,2)),VALUE(RIGHT(A2680,2)))</f>
        <v/>
      </c>
      <c r="L2680" s="395">
        <f>DATEVALUE(LEFT(F2680,10))</f>
        <v/>
      </c>
      <c r="M2680" s="396">
        <f>TIMEVALUE(MID(F2680,12,8))</f>
        <v/>
      </c>
      <c r="N2680" s="395">
        <f>DATEVALUE(LEFT(G2680,10))</f>
        <v/>
      </c>
      <c r="O2680" s="396">
        <f>TIMEVALUE(MID(G2680,12,8))</f>
        <v/>
      </c>
      <c r="P2680" s="396">
        <f>IFERROR(_xlfn.MINIFS($M:$M,$E:$E,$E2680,$K:$K,$K2680,$M:$M,"&gt;"&amp;$O2680),"")</f>
        <v/>
      </c>
      <c r="Q2680" s="396">
        <f>IF($P2680="","",$P2680-$O2680)</f>
        <v/>
      </c>
    </row>
    <row r="2681" ht="15" customHeight="1" s="231">
      <c r="A2681" s="397" t="n"/>
      <c r="B2681" s="397" t="n"/>
      <c r="C2681" s="397" t="n"/>
      <c r="D2681" s="397" t="n"/>
      <c r="E2681" s="397" t="n"/>
      <c r="F2681" s="397" t="n"/>
      <c r="G2681" s="397" t="n"/>
      <c r="I2681" s="397" t="n"/>
      <c r="J2681" s="397" t="n"/>
      <c r="K2681" s="395">
        <f>DATE(VALUE(LEFT(A2681,4)),VALUE(MID(A2681,5,2)),VALUE(RIGHT(A2681,2)))</f>
        <v/>
      </c>
      <c r="L2681" s="395">
        <f>DATEVALUE(LEFT(F2681,10))</f>
        <v/>
      </c>
      <c r="M2681" s="396">
        <f>TIMEVALUE(MID(F2681,12,8))</f>
        <v/>
      </c>
      <c r="N2681" s="395">
        <f>DATEVALUE(LEFT(G2681,10))</f>
        <v/>
      </c>
      <c r="O2681" s="396">
        <f>TIMEVALUE(MID(G2681,12,8))</f>
        <v/>
      </c>
      <c r="P2681" s="396">
        <f>IFERROR(_xlfn.MINIFS($M:$M,$E:$E,$E2681,$K:$K,$K2681,$M:$M,"&gt;"&amp;$O2681),"")</f>
        <v/>
      </c>
      <c r="Q2681" s="396">
        <f>IF($P2681="","",$P2681-$O2681)</f>
        <v/>
      </c>
    </row>
    <row r="2682" ht="15" customHeight="1" s="231">
      <c r="A2682" s="397" t="n"/>
      <c r="B2682" s="397" t="n"/>
      <c r="C2682" s="397" t="n"/>
      <c r="D2682" s="397" t="n"/>
      <c r="E2682" s="397" t="n"/>
      <c r="F2682" s="397" t="n"/>
      <c r="G2682" s="397" t="n"/>
      <c r="I2682" s="397" t="n"/>
      <c r="J2682" s="397" t="n"/>
      <c r="K2682" s="395">
        <f>DATE(VALUE(LEFT(A2682,4)),VALUE(MID(A2682,5,2)),VALUE(RIGHT(A2682,2)))</f>
        <v/>
      </c>
      <c r="L2682" s="395">
        <f>DATEVALUE(LEFT(F2682,10))</f>
        <v/>
      </c>
      <c r="M2682" s="396">
        <f>TIMEVALUE(MID(F2682,12,8))</f>
        <v/>
      </c>
      <c r="N2682" s="395">
        <f>DATEVALUE(LEFT(G2682,10))</f>
        <v/>
      </c>
      <c r="O2682" s="396">
        <f>TIMEVALUE(MID(G2682,12,8))</f>
        <v/>
      </c>
      <c r="P2682" s="396">
        <f>IFERROR(_xlfn.MINIFS($M:$M,$E:$E,$E2682,$K:$K,$K2682,$M:$M,"&gt;"&amp;$O2682),"")</f>
        <v/>
      </c>
      <c r="Q2682" s="396">
        <f>IF($P2682="","",$P2682-$O2682)</f>
        <v/>
      </c>
    </row>
    <row r="2683" ht="15" customHeight="1" s="231">
      <c r="A2683" s="397" t="n"/>
      <c r="B2683" s="397" t="n"/>
      <c r="C2683" s="397" t="n"/>
      <c r="D2683" s="397" t="n"/>
      <c r="E2683" s="397" t="n"/>
      <c r="F2683" s="397" t="n"/>
      <c r="G2683" s="397" t="n"/>
      <c r="I2683" s="397" t="n"/>
      <c r="J2683" s="397" t="n"/>
      <c r="K2683" s="395">
        <f>DATE(VALUE(LEFT(A2683,4)),VALUE(MID(A2683,5,2)),VALUE(RIGHT(A2683,2)))</f>
        <v/>
      </c>
      <c r="L2683" s="395">
        <f>DATEVALUE(LEFT(F2683,10))</f>
        <v/>
      </c>
      <c r="M2683" s="396">
        <f>TIMEVALUE(MID(F2683,12,8))</f>
        <v/>
      </c>
      <c r="N2683" s="395">
        <f>DATEVALUE(LEFT(G2683,10))</f>
        <v/>
      </c>
      <c r="O2683" s="396">
        <f>TIMEVALUE(MID(G2683,12,8))</f>
        <v/>
      </c>
      <c r="P2683" s="396">
        <f>IFERROR(_xlfn.MINIFS($M:$M,$E:$E,$E2683,$K:$K,$K2683,$M:$M,"&gt;"&amp;$O2683),"")</f>
        <v/>
      </c>
      <c r="Q2683" s="396">
        <f>IF($P2683="","",$P2683-$O2683)</f>
        <v/>
      </c>
    </row>
    <row r="2684" ht="15" customHeight="1" s="231">
      <c r="A2684" s="397" t="n"/>
      <c r="B2684" s="397" t="n"/>
      <c r="C2684" s="397" t="n"/>
      <c r="D2684" s="397" t="n"/>
      <c r="E2684" s="397" t="n"/>
      <c r="F2684" s="397" t="n"/>
      <c r="G2684" s="397" t="n"/>
      <c r="I2684" s="397" t="n"/>
      <c r="J2684" s="397" t="n"/>
      <c r="K2684" s="395">
        <f>DATE(VALUE(LEFT(A2684,4)),VALUE(MID(A2684,5,2)),VALUE(RIGHT(A2684,2)))</f>
        <v/>
      </c>
      <c r="L2684" s="395">
        <f>DATEVALUE(LEFT(F2684,10))</f>
        <v/>
      </c>
      <c r="M2684" s="396">
        <f>TIMEVALUE(MID(F2684,12,8))</f>
        <v/>
      </c>
      <c r="N2684" s="395">
        <f>DATEVALUE(LEFT(G2684,10))</f>
        <v/>
      </c>
      <c r="O2684" s="396">
        <f>TIMEVALUE(MID(G2684,12,8))</f>
        <v/>
      </c>
      <c r="P2684" s="396">
        <f>IFERROR(_xlfn.MINIFS($M:$M,$E:$E,$E2684,$K:$K,$K2684,$M:$M,"&gt;"&amp;$O2684),"")</f>
        <v/>
      </c>
      <c r="Q2684" s="396">
        <f>IF($P2684="","",$P2684-$O2684)</f>
        <v/>
      </c>
    </row>
    <row r="2685" ht="15" customHeight="1" s="231">
      <c r="A2685" s="397" t="n"/>
      <c r="B2685" s="397" t="n"/>
      <c r="C2685" s="397" t="n"/>
      <c r="D2685" s="397" t="n"/>
      <c r="E2685" s="397" t="n"/>
      <c r="F2685" s="397" t="n"/>
      <c r="G2685" s="397" t="n"/>
      <c r="I2685" s="397" t="n"/>
      <c r="J2685" s="397" t="n"/>
      <c r="K2685" s="395">
        <f>DATE(VALUE(LEFT(A2685,4)),VALUE(MID(A2685,5,2)),VALUE(RIGHT(A2685,2)))</f>
        <v/>
      </c>
      <c r="L2685" s="395">
        <f>DATEVALUE(LEFT(F2685,10))</f>
        <v/>
      </c>
      <c r="M2685" s="396">
        <f>TIMEVALUE(MID(F2685,12,8))</f>
        <v/>
      </c>
      <c r="N2685" s="395">
        <f>DATEVALUE(LEFT(G2685,10))</f>
        <v/>
      </c>
      <c r="O2685" s="396">
        <f>TIMEVALUE(MID(G2685,12,8))</f>
        <v/>
      </c>
      <c r="P2685" s="396">
        <f>IFERROR(_xlfn.MINIFS($M:$M,$E:$E,$E2685,$K:$K,$K2685,$M:$M,"&gt;"&amp;$O2685),"")</f>
        <v/>
      </c>
      <c r="Q2685" s="396">
        <f>IF($P2685="","",$P2685-$O2685)</f>
        <v/>
      </c>
    </row>
    <row r="2686" ht="15" customHeight="1" s="231">
      <c r="A2686" s="397" t="n"/>
      <c r="B2686" s="397" t="n"/>
      <c r="C2686" s="397" t="n"/>
      <c r="D2686" s="397" t="n"/>
      <c r="E2686" s="397" t="n"/>
      <c r="F2686" s="397" t="n"/>
      <c r="G2686" s="397" t="n"/>
      <c r="I2686" s="397" t="n"/>
      <c r="J2686" s="397" t="n"/>
      <c r="K2686" s="395">
        <f>DATE(VALUE(LEFT(A2686,4)),VALUE(MID(A2686,5,2)),VALUE(RIGHT(A2686,2)))</f>
        <v/>
      </c>
      <c r="L2686" s="395">
        <f>DATEVALUE(LEFT(F2686,10))</f>
        <v/>
      </c>
      <c r="M2686" s="396">
        <f>TIMEVALUE(MID(F2686,12,8))</f>
        <v/>
      </c>
      <c r="N2686" s="395">
        <f>DATEVALUE(LEFT(G2686,10))</f>
        <v/>
      </c>
      <c r="O2686" s="396">
        <f>TIMEVALUE(MID(G2686,12,8))</f>
        <v/>
      </c>
      <c r="P2686" s="396">
        <f>IFERROR(_xlfn.MINIFS($M:$M,$E:$E,$E2686,$K:$K,$K2686,$M:$M,"&gt;"&amp;$O2686),"")</f>
        <v/>
      </c>
      <c r="Q2686" s="396">
        <f>IF($P2686="","",$P2686-$O2686)</f>
        <v/>
      </c>
    </row>
    <row r="2687" ht="15" customHeight="1" s="231">
      <c r="A2687" s="397" t="n"/>
      <c r="B2687" s="397" t="n"/>
      <c r="C2687" s="397" t="n"/>
      <c r="D2687" s="397" t="n"/>
      <c r="E2687" s="397" t="n"/>
      <c r="F2687" s="397" t="n"/>
      <c r="G2687" s="397" t="n"/>
      <c r="I2687" s="397" t="n"/>
      <c r="J2687" s="397" t="n"/>
      <c r="K2687" s="395">
        <f>DATE(VALUE(LEFT(A2687,4)),VALUE(MID(A2687,5,2)),VALUE(RIGHT(A2687,2)))</f>
        <v/>
      </c>
      <c r="L2687" s="395">
        <f>DATEVALUE(LEFT(F2687,10))</f>
        <v/>
      </c>
      <c r="M2687" s="396">
        <f>TIMEVALUE(MID(F2687,12,8))</f>
        <v/>
      </c>
      <c r="N2687" s="395">
        <f>DATEVALUE(LEFT(G2687,10))</f>
        <v/>
      </c>
      <c r="O2687" s="396">
        <f>TIMEVALUE(MID(G2687,12,8))</f>
        <v/>
      </c>
      <c r="P2687" s="396">
        <f>IFERROR(_xlfn.MINIFS($M:$M,$E:$E,$E2687,$K:$K,$K2687,$M:$M,"&gt;"&amp;$O2687),"")</f>
        <v/>
      </c>
      <c r="Q2687" s="396">
        <f>IF($P2687="","",$P2687-$O2687)</f>
        <v/>
      </c>
    </row>
    <row r="2688" ht="15" customHeight="1" s="231">
      <c r="A2688" s="397" t="n"/>
      <c r="B2688" s="397" t="n"/>
      <c r="C2688" s="397" t="n"/>
      <c r="D2688" s="397" t="n"/>
      <c r="E2688" s="397" t="n"/>
      <c r="F2688" s="397" t="n"/>
      <c r="G2688" s="397" t="n"/>
      <c r="I2688" s="397" t="n"/>
      <c r="J2688" s="397" t="n"/>
      <c r="K2688" s="395">
        <f>DATE(VALUE(LEFT(A2688,4)),VALUE(MID(A2688,5,2)),VALUE(RIGHT(A2688,2)))</f>
        <v/>
      </c>
      <c r="L2688" s="395">
        <f>DATEVALUE(LEFT(F2688,10))</f>
        <v/>
      </c>
      <c r="M2688" s="396">
        <f>TIMEVALUE(MID(F2688,12,8))</f>
        <v/>
      </c>
      <c r="N2688" s="395">
        <f>DATEVALUE(LEFT(G2688,10))</f>
        <v/>
      </c>
      <c r="O2688" s="396">
        <f>TIMEVALUE(MID(G2688,12,8))</f>
        <v/>
      </c>
      <c r="P2688" s="396">
        <f>IFERROR(_xlfn.MINIFS($M:$M,$E:$E,$E2688,$K:$K,$K2688,$M:$M,"&gt;"&amp;$O2688),"")</f>
        <v/>
      </c>
      <c r="Q2688" s="396">
        <f>IF($P2688="","",$P2688-$O2688)</f>
        <v/>
      </c>
    </row>
    <row r="2689" ht="15" customHeight="1" s="231">
      <c r="A2689" s="397" t="n"/>
      <c r="B2689" s="397" t="n"/>
      <c r="C2689" s="397" t="n"/>
      <c r="D2689" s="397" t="n"/>
      <c r="E2689" s="397" t="n"/>
      <c r="F2689" s="397" t="n"/>
      <c r="G2689" s="397" t="n"/>
      <c r="I2689" s="397" t="n"/>
      <c r="J2689" s="397" t="n"/>
      <c r="K2689" s="395">
        <f>DATE(VALUE(LEFT(A2689,4)),VALUE(MID(A2689,5,2)),VALUE(RIGHT(A2689,2)))</f>
        <v/>
      </c>
      <c r="L2689" s="395">
        <f>DATEVALUE(LEFT(F2689,10))</f>
        <v/>
      </c>
      <c r="M2689" s="396">
        <f>TIMEVALUE(MID(F2689,12,8))</f>
        <v/>
      </c>
      <c r="N2689" s="395">
        <f>DATEVALUE(LEFT(G2689,10))</f>
        <v/>
      </c>
      <c r="O2689" s="396">
        <f>TIMEVALUE(MID(G2689,12,8))</f>
        <v/>
      </c>
      <c r="P2689" s="396">
        <f>IFERROR(_xlfn.MINIFS($M:$M,$E:$E,$E2689,$K:$K,$K2689,$M:$M,"&gt;"&amp;$O2689),"")</f>
        <v/>
      </c>
      <c r="Q2689" s="396">
        <f>IF($P2689="","",$P2689-$O2689)</f>
        <v/>
      </c>
    </row>
    <row r="2690" ht="15" customHeight="1" s="231">
      <c r="A2690" s="397" t="n"/>
      <c r="B2690" s="397" t="n"/>
      <c r="C2690" s="397" t="n"/>
      <c r="D2690" s="397" t="n"/>
      <c r="E2690" s="397" t="n"/>
      <c r="F2690" s="397" t="n"/>
      <c r="G2690" s="397" t="n"/>
      <c r="I2690" s="397" t="n"/>
      <c r="J2690" s="397" t="n"/>
      <c r="K2690" s="395">
        <f>DATE(VALUE(LEFT(A2690,4)),VALUE(MID(A2690,5,2)),VALUE(RIGHT(A2690,2)))</f>
        <v/>
      </c>
      <c r="L2690" s="395">
        <f>DATEVALUE(LEFT(F2690,10))</f>
        <v/>
      </c>
      <c r="M2690" s="396">
        <f>TIMEVALUE(MID(F2690,12,8))</f>
        <v/>
      </c>
      <c r="N2690" s="395">
        <f>DATEVALUE(LEFT(G2690,10))</f>
        <v/>
      </c>
      <c r="O2690" s="396">
        <f>TIMEVALUE(MID(G2690,12,8))</f>
        <v/>
      </c>
      <c r="P2690" s="396">
        <f>IFERROR(_xlfn.MINIFS($M:$M,$E:$E,$E2690,$K:$K,$K2690,$M:$M,"&gt;"&amp;$O2690),"")</f>
        <v/>
      </c>
      <c r="Q2690" s="396">
        <f>IF($P2690="","",$P2690-$O2690)</f>
        <v/>
      </c>
    </row>
    <row r="2691" ht="15" customHeight="1" s="231">
      <c r="A2691" s="397" t="n"/>
      <c r="B2691" s="397" t="n"/>
      <c r="C2691" s="397" t="n"/>
      <c r="D2691" s="397" t="n"/>
      <c r="E2691" s="397" t="n"/>
      <c r="F2691" s="397" t="n"/>
      <c r="G2691" s="397" t="n"/>
      <c r="I2691" s="397" t="n"/>
      <c r="J2691" s="397" t="n"/>
      <c r="K2691" s="395">
        <f>DATE(VALUE(LEFT(A2691,4)),VALUE(MID(A2691,5,2)),VALUE(RIGHT(A2691,2)))</f>
        <v/>
      </c>
      <c r="L2691" s="395">
        <f>DATEVALUE(LEFT(F2691,10))</f>
        <v/>
      </c>
      <c r="M2691" s="396">
        <f>TIMEVALUE(MID(F2691,12,8))</f>
        <v/>
      </c>
      <c r="N2691" s="395">
        <f>DATEVALUE(LEFT(G2691,10))</f>
        <v/>
      </c>
      <c r="O2691" s="396">
        <f>TIMEVALUE(MID(G2691,12,8))</f>
        <v/>
      </c>
      <c r="P2691" s="396">
        <f>IFERROR(_xlfn.MINIFS($M:$M,$E:$E,$E2691,$K:$K,$K2691,$M:$M,"&gt;"&amp;$O2691),"")</f>
        <v/>
      </c>
      <c r="Q2691" s="396">
        <f>IF($P2691="","",$P2691-$O2691)</f>
        <v/>
      </c>
    </row>
    <row r="2692" ht="15" customHeight="1" s="231">
      <c r="A2692" s="397" t="n"/>
      <c r="B2692" s="397" t="n"/>
      <c r="C2692" s="397" t="n"/>
      <c r="D2692" s="397" t="n"/>
      <c r="E2692" s="397" t="n"/>
      <c r="F2692" s="397" t="n"/>
      <c r="G2692" s="397" t="n"/>
      <c r="I2692" s="397" t="n"/>
      <c r="J2692" s="397" t="n"/>
      <c r="K2692" s="395">
        <f>DATE(VALUE(LEFT(A2692,4)),VALUE(MID(A2692,5,2)),VALUE(RIGHT(A2692,2)))</f>
        <v/>
      </c>
      <c r="L2692" s="395">
        <f>DATEVALUE(LEFT(F2692,10))</f>
        <v/>
      </c>
      <c r="M2692" s="396">
        <f>TIMEVALUE(MID(F2692,12,8))</f>
        <v/>
      </c>
      <c r="N2692" s="395">
        <f>DATEVALUE(LEFT(G2692,10))</f>
        <v/>
      </c>
      <c r="O2692" s="396">
        <f>TIMEVALUE(MID(G2692,12,8))</f>
        <v/>
      </c>
      <c r="P2692" s="396">
        <f>IFERROR(_xlfn.MINIFS($M:$M,$E:$E,$E2692,$K:$K,$K2692,$M:$M,"&gt;"&amp;$O2692),"")</f>
        <v/>
      </c>
      <c r="Q2692" s="396">
        <f>IF($P2692="","",$P2692-$O2692)</f>
        <v/>
      </c>
    </row>
    <row r="2693" ht="15" customHeight="1" s="231">
      <c r="A2693" s="397" t="n"/>
      <c r="B2693" s="397" t="n"/>
      <c r="C2693" s="397" t="n"/>
      <c r="D2693" s="397" t="n"/>
      <c r="E2693" s="397" t="n"/>
      <c r="F2693" s="397" t="n"/>
      <c r="G2693" s="397" t="n"/>
      <c r="I2693" s="397" t="n"/>
      <c r="J2693" s="397" t="n"/>
      <c r="K2693" s="395">
        <f>DATE(VALUE(LEFT(A2693,4)),VALUE(MID(A2693,5,2)),VALUE(RIGHT(A2693,2)))</f>
        <v/>
      </c>
      <c r="L2693" s="395">
        <f>DATEVALUE(LEFT(F2693,10))</f>
        <v/>
      </c>
      <c r="M2693" s="396">
        <f>TIMEVALUE(MID(F2693,12,8))</f>
        <v/>
      </c>
      <c r="N2693" s="395">
        <f>DATEVALUE(LEFT(G2693,10))</f>
        <v/>
      </c>
      <c r="O2693" s="396">
        <f>TIMEVALUE(MID(G2693,12,8))</f>
        <v/>
      </c>
      <c r="P2693" s="396">
        <f>IFERROR(_xlfn.MINIFS($M:$M,$E:$E,$E2693,$K:$K,$K2693,$M:$M,"&gt;"&amp;$O2693),"")</f>
        <v/>
      </c>
      <c r="Q2693" s="396">
        <f>IF($P2693="","",$P2693-$O2693)</f>
        <v/>
      </c>
    </row>
    <row r="2694" ht="15" customHeight="1" s="231">
      <c r="A2694" s="397" t="n"/>
      <c r="B2694" s="397" t="n"/>
      <c r="C2694" s="397" t="n"/>
      <c r="D2694" s="397" t="n"/>
      <c r="E2694" s="397" t="n"/>
      <c r="F2694" s="397" t="n"/>
      <c r="G2694" s="397" t="n"/>
      <c r="I2694" s="397" t="n"/>
      <c r="J2694" s="397" t="n"/>
      <c r="K2694" s="395">
        <f>DATE(VALUE(LEFT(A2694,4)),VALUE(MID(A2694,5,2)),VALUE(RIGHT(A2694,2)))</f>
        <v/>
      </c>
      <c r="L2694" s="395">
        <f>DATEVALUE(LEFT(F2694,10))</f>
        <v/>
      </c>
      <c r="M2694" s="396">
        <f>TIMEVALUE(MID(F2694,12,8))</f>
        <v/>
      </c>
      <c r="N2694" s="395">
        <f>DATEVALUE(LEFT(G2694,10))</f>
        <v/>
      </c>
      <c r="O2694" s="396">
        <f>TIMEVALUE(MID(G2694,12,8))</f>
        <v/>
      </c>
      <c r="P2694" s="396">
        <f>IFERROR(_xlfn.MINIFS($M:$M,$E:$E,$E2694,$K:$K,$K2694,$M:$M,"&gt;"&amp;$O2694),"")</f>
        <v/>
      </c>
      <c r="Q2694" s="396">
        <f>IF($P2694="","",$P2694-$O2694)</f>
        <v/>
      </c>
    </row>
    <row r="2695" ht="15" customHeight="1" s="231">
      <c r="A2695" s="397" t="n"/>
      <c r="B2695" s="397" t="n"/>
      <c r="C2695" s="397" t="n"/>
      <c r="D2695" s="397" t="n"/>
      <c r="E2695" s="397" t="n"/>
      <c r="F2695" s="397" t="n"/>
      <c r="G2695" s="397" t="n"/>
      <c r="I2695" s="397" t="n"/>
      <c r="J2695" s="397" t="n"/>
      <c r="K2695" s="395">
        <f>DATE(VALUE(LEFT(A2695,4)),VALUE(MID(A2695,5,2)),VALUE(RIGHT(A2695,2)))</f>
        <v/>
      </c>
      <c r="L2695" s="395">
        <f>DATEVALUE(LEFT(F2695,10))</f>
        <v/>
      </c>
      <c r="M2695" s="396">
        <f>TIMEVALUE(MID(F2695,12,8))</f>
        <v/>
      </c>
      <c r="N2695" s="395">
        <f>DATEVALUE(LEFT(G2695,10))</f>
        <v/>
      </c>
      <c r="O2695" s="396">
        <f>TIMEVALUE(MID(G2695,12,8))</f>
        <v/>
      </c>
      <c r="P2695" s="396">
        <f>IFERROR(_xlfn.MINIFS($M:$M,$E:$E,$E2695,$K:$K,$K2695,$M:$M,"&gt;"&amp;$O2695),"")</f>
        <v/>
      </c>
      <c r="Q2695" s="396">
        <f>IF($P2695="","",$P2695-$O2695)</f>
        <v/>
      </c>
    </row>
    <row r="2696" ht="15" customHeight="1" s="231">
      <c r="A2696" s="397" t="n"/>
      <c r="B2696" s="397" t="n"/>
      <c r="C2696" s="397" t="n"/>
      <c r="D2696" s="397" t="n"/>
      <c r="E2696" s="397" t="n"/>
      <c r="F2696" s="397" t="n"/>
      <c r="G2696" s="397" t="n"/>
      <c r="I2696" s="397" t="n"/>
      <c r="J2696" s="397" t="n"/>
      <c r="K2696" s="395">
        <f>DATE(VALUE(LEFT(A2696,4)),VALUE(MID(A2696,5,2)),VALUE(RIGHT(A2696,2)))</f>
        <v/>
      </c>
      <c r="L2696" s="395">
        <f>DATEVALUE(LEFT(F2696,10))</f>
        <v/>
      </c>
      <c r="M2696" s="396">
        <f>TIMEVALUE(MID(F2696,12,8))</f>
        <v/>
      </c>
      <c r="N2696" s="395">
        <f>DATEVALUE(LEFT(G2696,10))</f>
        <v/>
      </c>
      <c r="O2696" s="396">
        <f>TIMEVALUE(MID(G2696,12,8))</f>
        <v/>
      </c>
      <c r="P2696" s="396">
        <f>IFERROR(_xlfn.MINIFS($M:$M,$E:$E,$E2696,$K:$K,$K2696,$M:$M,"&gt;"&amp;$O2696),"")</f>
        <v/>
      </c>
      <c r="Q2696" s="396">
        <f>IF($P2696="","",$P2696-$O2696)</f>
        <v/>
      </c>
    </row>
    <row r="2697" ht="15" customHeight="1" s="231">
      <c r="A2697" s="397" t="n"/>
      <c r="B2697" s="397" t="n"/>
      <c r="C2697" s="397" t="n"/>
      <c r="D2697" s="397" t="n"/>
      <c r="E2697" s="397" t="n"/>
      <c r="F2697" s="397" t="n"/>
      <c r="G2697" s="397" t="n"/>
      <c r="I2697" s="397" t="n"/>
      <c r="J2697" s="397" t="n"/>
      <c r="K2697" s="395">
        <f>DATE(VALUE(LEFT(A2697,4)),VALUE(MID(A2697,5,2)),VALUE(RIGHT(A2697,2)))</f>
        <v/>
      </c>
      <c r="L2697" s="395">
        <f>DATEVALUE(LEFT(F2697,10))</f>
        <v/>
      </c>
      <c r="M2697" s="396">
        <f>TIMEVALUE(MID(F2697,12,8))</f>
        <v/>
      </c>
      <c r="N2697" s="395">
        <f>DATEVALUE(LEFT(G2697,10))</f>
        <v/>
      </c>
      <c r="O2697" s="396">
        <f>TIMEVALUE(MID(G2697,12,8))</f>
        <v/>
      </c>
      <c r="P2697" s="396">
        <f>IFERROR(_xlfn.MINIFS($M:$M,$E:$E,$E2697,$K:$K,$K2697,$M:$M,"&gt;"&amp;$O2697),"")</f>
        <v/>
      </c>
      <c r="Q2697" s="396">
        <f>IF($P2697="","",$P2697-$O2697)</f>
        <v/>
      </c>
    </row>
    <row r="2698" ht="15" customHeight="1" s="231">
      <c r="A2698" s="397" t="n"/>
      <c r="B2698" s="397" t="n"/>
      <c r="C2698" s="397" t="n"/>
      <c r="D2698" s="397" t="n"/>
      <c r="E2698" s="397" t="n"/>
      <c r="F2698" s="397" t="n"/>
      <c r="G2698" s="397" t="n"/>
      <c r="I2698" s="397" t="n"/>
      <c r="J2698" s="397" t="n"/>
      <c r="K2698" s="395">
        <f>DATE(VALUE(LEFT(A2698,4)),VALUE(MID(A2698,5,2)),VALUE(RIGHT(A2698,2)))</f>
        <v/>
      </c>
      <c r="L2698" s="395">
        <f>DATEVALUE(LEFT(F2698,10))</f>
        <v/>
      </c>
      <c r="M2698" s="396">
        <f>TIMEVALUE(MID(F2698,12,8))</f>
        <v/>
      </c>
      <c r="N2698" s="395">
        <f>DATEVALUE(LEFT(G2698,10))</f>
        <v/>
      </c>
      <c r="O2698" s="396">
        <f>TIMEVALUE(MID(G2698,12,8))</f>
        <v/>
      </c>
      <c r="P2698" s="396">
        <f>IFERROR(_xlfn.MINIFS($M:$M,$E:$E,$E2698,$K:$K,$K2698,$M:$M,"&gt;"&amp;$O2698),"")</f>
        <v/>
      </c>
      <c r="Q2698" s="396">
        <f>IF($P2698="","",$P2698-$O2698)</f>
        <v/>
      </c>
    </row>
    <row r="2699" ht="15" customHeight="1" s="231">
      <c r="A2699" s="397" t="n"/>
      <c r="B2699" s="397" t="n"/>
      <c r="C2699" s="397" t="n"/>
      <c r="D2699" s="397" t="n"/>
      <c r="E2699" s="397" t="n"/>
      <c r="F2699" s="397" t="n"/>
      <c r="G2699" s="397" t="n"/>
      <c r="I2699" s="397" t="n"/>
      <c r="J2699" s="397" t="n"/>
      <c r="K2699" s="395">
        <f>DATE(VALUE(LEFT(A2699,4)),VALUE(MID(A2699,5,2)),VALUE(RIGHT(A2699,2)))</f>
        <v/>
      </c>
      <c r="L2699" s="395">
        <f>DATEVALUE(LEFT(F2699,10))</f>
        <v/>
      </c>
      <c r="M2699" s="396">
        <f>TIMEVALUE(MID(F2699,12,8))</f>
        <v/>
      </c>
      <c r="N2699" s="395">
        <f>DATEVALUE(LEFT(G2699,10))</f>
        <v/>
      </c>
      <c r="O2699" s="396">
        <f>TIMEVALUE(MID(G2699,12,8))</f>
        <v/>
      </c>
      <c r="P2699" s="396">
        <f>IFERROR(_xlfn.MINIFS($M:$M,$E:$E,$E2699,$K:$K,$K2699,$M:$M,"&gt;"&amp;$O2699),"")</f>
        <v/>
      </c>
      <c r="Q2699" s="396">
        <f>IF($P2699="","",$P2699-$O2699)</f>
        <v/>
      </c>
    </row>
    <row r="2700" ht="15" customHeight="1" s="231">
      <c r="A2700" s="397" t="n"/>
      <c r="B2700" s="397" t="n"/>
      <c r="C2700" s="397" t="n"/>
      <c r="D2700" s="397" t="n"/>
      <c r="E2700" s="397" t="n"/>
      <c r="F2700" s="397" t="n"/>
      <c r="G2700" s="397" t="n"/>
      <c r="I2700" s="397" t="n"/>
      <c r="J2700" s="397" t="n"/>
      <c r="K2700" s="395">
        <f>DATE(VALUE(LEFT(A2700,4)),VALUE(MID(A2700,5,2)),VALUE(RIGHT(A2700,2)))</f>
        <v/>
      </c>
      <c r="L2700" s="395">
        <f>DATEVALUE(LEFT(F2700,10))</f>
        <v/>
      </c>
      <c r="M2700" s="396">
        <f>TIMEVALUE(MID(F2700,12,8))</f>
        <v/>
      </c>
      <c r="N2700" s="395">
        <f>DATEVALUE(LEFT(G2700,10))</f>
        <v/>
      </c>
      <c r="O2700" s="396">
        <f>TIMEVALUE(MID(G2700,12,8))</f>
        <v/>
      </c>
      <c r="P2700" s="396">
        <f>IFERROR(_xlfn.MINIFS($M:$M,$E:$E,$E2700,$K:$K,$K2700,$M:$M,"&gt;"&amp;$O2700),"")</f>
        <v/>
      </c>
      <c r="Q2700" s="396">
        <f>IF($P2700="","",$P2700-$O2700)</f>
        <v/>
      </c>
    </row>
    <row r="2701" ht="15" customHeight="1" s="231">
      <c r="A2701" s="397" t="n"/>
      <c r="B2701" s="397" t="n"/>
      <c r="C2701" s="397" t="n"/>
      <c r="D2701" s="397" t="n"/>
      <c r="E2701" s="397" t="n"/>
      <c r="F2701" s="397" t="n"/>
      <c r="G2701" s="397" t="n"/>
      <c r="I2701" s="397" t="n"/>
      <c r="J2701" s="397" t="n"/>
      <c r="K2701" s="395">
        <f>DATE(VALUE(LEFT(A2701,4)),VALUE(MID(A2701,5,2)),VALUE(RIGHT(A2701,2)))</f>
        <v/>
      </c>
      <c r="L2701" s="395">
        <f>DATEVALUE(LEFT(F2701,10))</f>
        <v/>
      </c>
      <c r="M2701" s="396">
        <f>TIMEVALUE(MID(F2701,12,8))</f>
        <v/>
      </c>
      <c r="N2701" s="395">
        <f>DATEVALUE(LEFT(G2701,10))</f>
        <v/>
      </c>
      <c r="O2701" s="396">
        <f>TIMEVALUE(MID(G2701,12,8))</f>
        <v/>
      </c>
      <c r="P2701" s="396">
        <f>IFERROR(_xlfn.MINIFS($M:$M,$E:$E,$E2701,$K:$K,$K2701,$M:$M,"&gt;"&amp;$O2701),"")</f>
        <v/>
      </c>
      <c r="Q2701" s="396">
        <f>IF($P2701="","",$P2701-$O2701)</f>
        <v/>
      </c>
    </row>
    <row r="2702" ht="15" customHeight="1" s="231">
      <c r="A2702" s="397" t="n"/>
      <c r="B2702" s="397" t="n"/>
      <c r="C2702" s="397" t="n"/>
      <c r="D2702" s="397" t="n"/>
      <c r="E2702" s="397" t="n"/>
      <c r="F2702" s="397" t="n"/>
      <c r="G2702" s="397" t="n"/>
      <c r="I2702" s="397" t="n"/>
      <c r="J2702" s="397" t="n"/>
      <c r="K2702" s="395">
        <f>DATE(VALUE(LEFT(A2702,4)),VALUE(MID(A2702,5,2)),VALUE(RIGHT(A2702,2)))</f>
        <v/>
      </c>
      <c r="L2702" s="395">
        <f>DATEVALUE(LEFT(F2702,10))</f>
        <v/>
      </c>
      <c r="M2702" s="396">
        <f>TIMEVALUE(MID(F2702,12,8))</f>
        <v/>
      </c>
      <c r="N2702" s="395">
        <f>DATEVALUE(LEFT(G2702,10))</f>
        <v/>
      </c>
      <c r="O2702" s="396">
        <f>TIMEVALUE(MID(G2702,12,8))</f>
        <v/>
      </c>
      <c r="P2702" s="396">
        <f>IFERROR(_xlfn.MINIFS($M:$M,$E:$E,$E2702,$K:$K,$K2702,$M:$M,"&gt;"&amp;$O2702),"")</f>
        <v/>
      </c>
      <c r="Q2702" s="396">
        <f>IF($P2702="","",$P2702-$O2702)</f>
        <v/>
      </c>
    </row>
    <row r="2703" ht="15" customHeight="1" s="231">
      <c r="A2703" s="397" t="n"/>
      <c r="B2703" s="397" t="n"/>
      <c r="C2703" s="397" t="n"/>
      <c r="D2703" s="397" t="n"/>
      <c r="E2703" s="397" t="n"/>
      <c r="F2703" s="397" t="n"/>
      <c r="G2703" s="397" t="n"/>
      <c r="I2703" s="397" t="n"/>
      <c r="J2703" s="397" t="n"/>
      <c r="K2703" s="395">
        <f>DATE(VALUE(LEFT(A2703,4)),VALUE(MID(A2703,5,2)),VALUE(RIGHT(A2703,2)))</f>
        <v/>
      </c>
      <c r="L2703" s="395">
        <f>DATEVALUE(LEFT(F2703,10))</f>
        <v/>
      </c>
      <c r="M2703" s="396">
        <f>TIMEVALUE(MID(F2703,12,8))</f>
        <v/>
      </c>
      <c r="N2703" s="395">
        <f>DATEVALUE(LEFT(G2703,10))</f>
        <v/>
      </c>
      <c r="O2703" s="396">
        <f>TIMEVALUE(MID(G2703,12,8))</f>
        <v/>
      </c>
      <c r="P2703" s="396">
        <f>IFERROR(_xlfn.MINIFS($M:$M,$E:$E,$E2703,$K:$K,$K2703,$M:$M,"&gt;"&amp;$O2703),"")</f>
        <v/>
      </c>
      <c r="Q2703" s="396">
        <f>IF($P2703="","",$P2703-$O2703)</f>
        <v/>
      </c>
    </row>
    <row r="2704" ht="15" customHeight="1" s="231">
      <c r="A2704" s="397" t="n"/>
      <c r="B2704" s="397" t="n"/>
      <c r="C2704" s="397" t="n"/>
      <c r="D2704" s="397" t="n"/>
      <c r="E2704" s="397" t="n"/>
      <c r="F2704" s="397" t="n"/>
      <c r="G2704" s="397" t="n"/>
      <c r="I2704" s="397" t="n"/>
      <c r="J2704" s="397" t="n"/>
      <c r="K2704" s="395">
        <f>DATE(VALUE(LEFT(A2704,4)),VALUE(MID(A2704,5,2)),VALUE(RIGHT(A2704,2)))</f>
        <v/>
      </c>
      <c r="L2704" s="395">
        <f>DATEVALUE(LEFT(F2704,10))</f>
        <v/>
      </c>
      <c r="M2704" s="396">
        <f>TIMEVALUE(MID(F2704,12,8))</f>
        <v/>
      </c>
      <c r="N2704" s="395">
        <f>DATEVALUE(LEFT(G2704,10))</f>
        <v/>
      </c>
      <c r="O2704" s="396">
        <f>TIMEVALUE(MID(G2704,12,8))</f>
        <v/>
      </c>
      <c r="P2704" s="396">
        <f>IFERROR(_xlfn.MINIFS($M:$M,$E:$E,$E2704,$K:$K,$K2704,$M:$M,"&gt;"&amp;$O2704),"")</f>
        <v/>
      </c>
      <c r="Q2704" s="396">
        <f>IF($P2704="","",$P2704-$O2704)</f>
        <v/>
      </c>
    </row>
    <row r="2705" ht="15" customHeight="1" s="231">
      <c r="A2705" s="397" t="n"/>
      <c r="B2705" s="397" t="n"/>
      <c r="C2705" s="397" t="n"/>
      <c r="D2705" s="397" t="n"/>
      <c r="E2705" s="397" t="n"/>
      <c r="F2705" s="397" t="n"/>
      <c r="G2705" s="397" t="n"/>
      <c r="I2705" s="397" t="n"/>
      <c r="J2705" s="397" t="n"/>
      <c r="K2705" s="395">
        <f>DATE(VALUE(LEFT(A2705,4)),VALUE(MID(A2705,5,2)),VALUE(RIGHT(A2705,2)))</f>
        <v/>
      </c>
      <c r="L2705" s="395">
        <f>DATEVALUE(LEFT(F2705,10))</f>
        <v/>
      </c>
      <c r="M2705" s="396">
        <f>TIMEVALUE(MID(F2705,12,8))</f>
        <v/>
      </c>
      <c r="N2705" s="395">
        <f>DATEVALUE(LEFT(G2705,10))</f>
        <v/>
      </c>
      <c r="O2705" s="396">
        <f>TIMEVALUE(MID(G2705,12,8))</f>
        <v/>
      </c>
      <c r="P2705" s="396">
        <f>IFERROR(_xlfn.MINIFS($M:$M,$E:$E,$E2705,$K:$K,$K2705,$M:$M,"&gt;"&amp;$O2705),"")</f>
        <v/>
      </c>
      <c r="Q2705" s="396">
        <f>IF($P2705="","",$P2705-$O2705)</f>
        <v/>
      </c>
    </row>
    <row r="2706" ht="15" customHeight="1" s="231">
      <c r="A2706" s="397" t="n"/>
      <c r="B2706" s="397" t="n"/>
      <c r="C2706" s="397" t="n"/>
      <c r="D2706" s="397" t="n"/>
      <c r="E2706" s="397" t="n"/>
      <c r="F2706" s="397" t="n"/>
      <c r="G2706" s="397" t="n"/>
      <c r="I2706" s="397" t="n"/>
      <c r="J2706" s="397" t="n"/>
      <c r="K2706" s="395">
        <f>DATE(VALUE(LEFT(A2706,4)),VALUE(MID(A2706,5,2)),VALUE(RIGHT(A2706,2)))</f>
        <v/>
      </c>
      <c r="L2706" s="395">
        <f>DATEVALUE(LEFT(F2706,10))</f>
        <v/>
      </c>
      <c r="M2706" s="396">
        <f>TIMEVALUE(MID(F2706,12,8))</f>
        <v/>
      </c>
      <c r="N2706" s="395">
        <f>DATEVALUE(LEFT(G2706,10))</f>
        <v/>
      </c>
      <c r="O2706" s="396">
        <f>TIMEVALUE(MID(G2706,12,8))</f>
        <v/>
      </c>
      <c r="P2706" s="396">
        <f>IFERROR(_xlfn.MINIFS($M:$M,$E:$E,$E2706,$K:$K,$K2706,$M:$M,"&gt;"&amp;$O2706),"")</f>
        <v/>
      </c>
      <c r="Q2706" s="396">
        <f>IF($P2706="","",$P2706-$O2706)</f>
        <v/>
      </c>
    </row>
    <row r="2707" ht="15" customHeight="1" s="231">
      <c r="A2707" s="397" t="n"/>
      <c r="B2707" s="397" t="n"/>
      <c r="C2707" s="397" t="n"/>
      <c r="D2707" s="397" t="n"/>
      <c r="E2707" s="397" t="n"/>
      <c r="F2707" s="397" t="n"/>
      <c r="G2707" s="397" t="n"/>
      <c r="I2707" s="397" t="n"/>
      <c r="J2707" s="397" t="n"/>
      <c r="K2707" s="395">
        <f>DATE(VALUE(LEFT(A2707,4)),VALUE(MID(A2707,5,2)),VALUE(RIGHT(A2707,2)))</f>
        <v/>
      </c>
      <c r="L2707" s="395">
        <f>DATEVALUE(LEFT(F2707,10))</f>
        <v/>
      </c>
      <c r="M2707" s="396">
        <f>TIMEVALUE(MID(F2707,12,8))</f>
        <v/>
      </c>
      <c r="N2707" s="395">
        <f>DATEVALUE(LEFT(G2707,10))</f>
        <v/>
      </c>
      <c r="O2707" s="396">
        <f>TIMEVALUE(MID(G2707,12,8))</f>
        <v/>
      </c>
      <c r="P2707" s="396">
        <f>IFERROR(_xlfn.MINIFS($M:$M,$E:$E,$E2707,$K:$K,$K2707,$M:$M,"&gt;"&amp;$O2707),"")</f>
        <v/>
      </c>
      <c r="Q2707" s="396">
        <f>IF($P2707="","",$P2707-$O2707)</f>
        <v/>
      </c>
    </row>
    <row r="2708" ht="15" customHeight="1" s="231">
      <c r="A2708" s="397" t="n"/>
      <c r="B2708" s="397" t="n"/>
      <c r="C2708" s="397" t="n"/>
      <c r="D2708" s="397" t="n"/>
      <c r="E2708" s="397" t="n"/>
      <c r="F2708" s="397" t="n"/>
      <c r="G2708" s="397" t="n"/>
      <c r="I2708" s="397" t="n"/>
      <c r="J2708" s="397" t="n"/>
      <c r="K2708" s="395">
        <f>DATE(VALUE(LEFT(A2708,4)),VALUE(MID(A2708,5,2)),VALUE(RIGHT(A2708,2)))</f>
        <v/>
      </c>
      <c r="L2708" s="395">
        <f>DATEVALUE(LEFT(F2708,10))</f>
        <v/>
      </c>
      <c r="M2708" s="396">
        <f>TIMEVALUE(MID(F2708,12,8))</f>
        <v/>
      </c>
      <c r="N2708" s="395">
        <f>DATEVALUE(LEFT(G2708,10))</f>
        <v/>
      </c>
      <c r="O2708" s="396">
        <f>TIMEVALUE(MID(G2708,12,8))</f>
        <v/>
      </c>
      <c r="P2708" s="396">
        <f>IFERROR(_xlfn.MINIFS($M:$M,$E:$E,$E2708,$K:$K,$K2708,$M:$M,"&gt;"&amp;$O2708),"")</f>
        <v/>
      </c>
      <c r="Q2708" s="396">
        <f>IF($P2708="","",$P2708-$O2708)</f>
        <v/>
      </c>
    </row>
    <row r="2709" ht="15" customHeight="1" s="231">
      <c r="A2709" s="397" t="n"/>
      <c r="B2709" s="397" t="n"/>
      <c r="C2709" s="397" t="n"/>
      <c r="D2709" s="397" t="n"/>
      <c r="E2709" s="397" t="n"/>
      <c r="F2709" s="397" t="n"/>
      <c r="G2709" s="397" t="n"/>
      <c r="I2709" s="397" t="n"/>
      <c r="J2709" s="397" t="n"/>
      <c r="K2709" s="395">
        <f>DATE(VALUE(LEFT(A2709,4)),VALUE(MID(A2709,5,2)),VALUE(RIGHT(A2709,2)))</f>
        <v/>
      </c>
      <c r="L2709" s="395">
        <f>DATEVALUE(LEFT(F2709,10))</f>
        <v/>
      </c>
      <c r="M2709" s="396">
        <f>TIMEVALUE(MID(F2709,12,8))</f>
        <v/>
      </c>
      <c r="N2709" s="395">
        <f>DATEVALUE(LEFT(G2709,10))</f>
        <v/>
      </c>
      <c r="O2709" s="396">
        <f>TIMEVALUE(MID(G2709,12,8))</f>
        <v/>
      </c>
      <c r="P2709" s="396">
        <f>IFERROR(_xlfn.MINIFS($M:$M,$E:$E,$E2709,$K:$K,$K2709,$M:$M,"&gt;"&amp;$O2709),"")</f>
        <v/>
      </c>
      <c r="Q2709" s="396">
        <f>IF($P2709="","",$P2709-$O2709)</f>
        <v/>
      </c>
    </row>
    <row r="2710" ht="15" customHeight="1" s="231">
      <c r="A2710" s="397" t="n"/>
      <c r="B2710" s="397" t="n"/>
      <c r="C2710" s="397" t="n"/>
      <c r="D2710" s="397" t="n"/>
      <c r="E2710" s="397" t="n"/>
      <c r="F2710" s="397" t="n"/>
      <c r="G2710" s="397" t="n"/>
      <c r="I2710" s="397" t="n"/>
      <c r="J2710" s="397" t="n"/>
      <c r="K2710" s="395">
        <f>DATE(VALUE(LEFT(A2710,4)),VALUE(MID(A2710,5,2)),VALUE(RIGHT(A2710,2)))</f>
        <v/>
      </c>
      <c r="L2710" s="395">
        <f>DATEVALUE(LEFT(F2710,10))</f>
        <v/>
      </c>
      <c r="M2710" s="396">
        <f>TIMEVALUE(MID(F2710,12,8))</f>
        <v/>
      </c>
      <c r="N2710" s="395">
        <f>DATEVALUE(LEFT(G2710,10))</f>
        <v/>
      </c>
      <c r="O2710" s="396">
        <f>TIMEVALUE(MID(G2710,12,8))</f>
        <v/>
      </c>
      <c r="P2710" s="396">
        <f>IFERROR(_xlfn.MINIFS($M:$M,$E:$E,$E2710,$K:$K,$K2710,$M:$M,"&gt;"&amp;$O2710),"")</f>
        <v/>
      </c>
      <c r="Q2710" s="396">
        <f>IF($P2710="","",$P2710-$O2710)</f>
        <v/>
      </c>
    </row>
    <row r="2711" ht="15" customHeight="1" s="231">
      <c r="A2711" s="397" t="n"/>
      <c r="B2711" s="397" t="n"/>
      <c r="C2711" s="397" t="n"/>
      <c r="D2711" s="397" t="n"/>
      <c r="E2711" s="397" t="n"/>
      <c r="F2711" s="397" t="n"/>
      <c r="G2711" s="397" t="n"/>
      <c r="I2711" s="397" t="n"/>
      <c r="J2711" s="397" t="n"/>
      <c r="K2711" s="395">
        <f>DATE(VALUE(LEFT(A2711,4)),VALUE(MID(A2711,5,2)),VALUE(RIGHT(A2711,2)))</f>
        <v/>
      </c>
      <c r="L2711" s="395">
        <f>DATEVALUE(LEFT(F2711,10))</f>
        <v/>
      </c>
      <c r="M2711" s="396">
        <f>TIMEVALUE(MID(F2711,12,8))</f>
        <v/>
      </c>
      <c r="N2711" s="395">
        <f>DATEVALUE(LEFT(G2711,10))</f>
        <v/>
      </c>
      <c r="O2711" s="396">
        <f>TIMEVALUE(MID(G2711,12,8))</f>
        <v/>
      </c>
      <c r="P2711" s="396">
        <f>IFERROR(_xlfn.MINIFS($M:$M,$E:$E,$E2711,$K:$K,$K2711,$M:$M,"&gt;"&amp;$O2711),"")</f>
        <v/>
      </c>
      <c r="Q2711" s="396">
        <f>IF($P2711="","",$P2711-$O2711)</f>
        <v/>
      </c>
    </row>
    <row r="2712" ht="15" customHeight="1" s="231">
      <c r="A2712" s="397" t="n"/>
      <c r="B2712" s="397" t="n"/>
      <c r="C2712" s="397" t="n"/>
      <c r="D2712" s="397" t="n"/>
      <c r="E2712" s="397" t="n"/>
      <c r="F2712" s="397" t="n"/>
      <c r="G2712" s="397" t="n"/>
      <c r="I2712" s="397" t="n"/>
      <c r="J2712" s="397" t="n"/>
      <c r="K2712" s="395">
        <f>DATE(VALUE(LEFT(A2712,4)),VALUE(MID(A2712,5,2)),VALUE(RIGHT(A2712,2)))</f>
        <v/>
      </c>
      <c r="L2712" s="395">
        <f>DATEVALUE(LEFT(F2712,10))</f>
        <v/>
      </c>
      <c r="M2712" s="396">
        <f>TIMEVALUE(MID(F2712,12,8))</f>
        <v/>
      </c>
      <c r="N2712" s="395">
        <f>DATEVALUE(LEFT(G2712,10))</f>
        <v/>
      </c>
      <c r="O2712" s="396">
        <f>TIMEVALUE(MID(G2712,12,8))</f>
        <v/>
      </c>
      <c r="P2712" s="396">
        <f>IFERROR(_xlfn.MINIFS($M:$M,$E:$E,$E2712,$K:$K,$K2712,$M:$M,"&gt;"&amp;$O2712),"")</f>
        <v/>
      </c>
      <c r="Q2712" s="396">
        <f>IF($P2712="","",$P2712-$O2712)</f>
        <v/>
      </c>
    </row>
    <row r="2713" ht="15" customHeight="1" s="231">
      <c r="A2713" s="397" t="n"/>
      <c r="B2713" s="397" t="n"/>
      <c r="C2713" s="397" t="n"/>
      <c r="D2713" s="397" t="n"/>
      <c r="E2713" s="397" t="n"/>
      <c r="F2713" s="397" t="n"/>
      <c r="G2713" s="397" t="n"/>
      <c r="I2713" s="397" t="n"/>
      <c r="J2713" s="397" t="n"/>
      <c r="K2713" s="395">
        <f>DATE(VALUE(LEFT(A2713,4)),VALUE(MID(A2713,5,2)),VALUE(RIGHT(A2713,2)))</f>
        <v/>
      </c>
      <c r="L2713" s="395">
        <f>DATEVALUE(LEFT(F2713,10))</f>
        <v/>
      </c>
      <c r="M2713" s="396">
        <f>TIMEVALUE(MID(F2713,12,8))</f>
        <v/>
      </c>
      <c r="N2713" s="395">
        <f>DATEVALUE(LEFT(G2713,10))</f>
        <v/>
      </c>
      <c r="O2713" s="396">
        <f>TIMEVALUE(MID(G2713,12,8))</f>
        <v/>
      </c>
      <c r="P2713" s="396">
        <f>IFERROR(_xlfn.MINIFS($M:$M,$E:$E,$E2713,$K:$K,$K2713,$M:$M,"&gt;"&amp;$O2713),"")</f>
        <v/>
      </c>
      <c r="Q2713" s="396">
        <f>IF($P2713="","",$P2713-$O2713)</f>
        <v/>
      </c>
    </row>
    <row r="2714" ht="15" customHeight="1" s="231">
      <c r="A2714" s="397" t="n"/>
      <c r="B2714" s="397" t="n"/>
      <c r="C2714" s="397" t="n"/>
      <c r="D2714" s="397" t="n"/>
      <c r="E2714" s="397" t="n"/>
      <c r="F2714" s="397" t="n"/>
      <c r="G2714" s="397" t="n"/>
      <c r="I2714" s="397" t="n"/>
      <c r="J2714" s="397" t="n"/>
      <c r="K2714" s="395">
        <f>DATE(VALUE(LEFT(A2714,4)),VALUE(MID(A2714,5,2)),VALUE(RIGHT(A2714,2)))</f>
        <v/>
      </c>
      <c r="L2714" s="395">
        <f>DATEVALUE(LEFT(F2714,10))</f>
        <v/>
      </c>
      <c r="M2714" s="396">
        <f>TIMEVALUE(MID(F2714,12,8))</f>
        <v/>
      </c>
      <c r="N2714" s="395">
        <f>DATEVALUE(LEFT(G2714,10))</f>
        <v/>
      </c>
      <c r="O2714" s="396">
        <f>TIMEVALUE(MID(G2714,12,8))</f>
        <v/>
      </c>
      <c r="P2714" s="396">
        <f>IFERROR(_xlfn.MINIFS($M:$M,$E:$E,$E2714,$K:$K,$K2714,$M:$M,"&gt;"&amp;$O2714),"")</f>
        <v/>
      </c>
      <c r="Q2714" s="396">
        <f>IF($P2714="","",$P2714-$O2714)</f>
        <v/>
      </c>
    </row>
    <row r="2715" ht="15" customHeight="1" s="231">
      <c r="A2715" s="397" t="n"/>
      <c r="B2715" s="397" t="n"/>
      <c r="C2715" s="397" t="n"/>
      <c r="D2715" s="397" t="n"/>
      <c r="E2715" s="397" t="n"/>
      <c r="F2715" s="397" t="n"/>
      <c r="G2715" s="397" t="n"/>
      <c r="I2715" s="397" t="n"/>
      <c r="J2715" s="397" t="n"/>
      <c r="K2715" s="395">
        <f>DATE(VALUE(LEFT(A2715,4)),VALUE(MID(A2715,5,2)),VALUE(RIGHT(A2715,2)))</f>
        <v/>
      </c>
      <c r="L2715" s="395">
        <f>DATEVALUE(LEFT(F2715,10))</f>
        <v/>
      </c>
      <c r="M2715" s="396">
        <f>TIMEVALUE(MID(F2715,12,8))</f>
        <v/>
      </c>
      <c r="N2715" s="395">
        <f>DATEVALUE(LEFT(G2715,10))</f>
        <v/>
      </c>
      <c r="O2715" s="396">
        <f>TIMEVALUE(MID(G2715,12,8))</f>
        <v/>
      </c>
      <c r="P2715" s="396">
        <f>IFERROR(_xlfn.MINIFS($M:$M,$E:$E,$E2715,$K:$K,$K2715,$M:$M,"&gt;"&amp;$O2715),"")</f>
        <v/>
      </c>
      <c r="Q2715" s="396">
        <f>IF($P2715="","",$P2715-$O2715)</f>
        <v/>
      </c>
    </row>
    <row r="2716" ht="15" customHeight="1" s="231">
      <c r="A2716" s="397" t="n"/>
      <c r="B2716" s="397" t="n"/>
      <c r="C2716" s="397" t="n"/>
      <c r="D2716" s="397" t="n"/>
      <c r="E2716" s="397" t="n"/>
      <c r="F2716" s="397" t="n"/>
      <c r="G2716" s="397" t="n"/>
      <c r="I2716" s="397" t="n"/>
      <c r="J2716" s="397" t="n"/>
      <c r="K2716" s="395">
        <f>DATE(VALUE(LEFT(A2716,4)),VALUE(MID(A2716,5,2)),VALUE(RIGHT(A2716,2)))</f>
        <v/>
      </c>
      <c r="L2716" s="395">
        <f>DATEVALUE(LEFT(F2716,10))</f>
        <v/>
      </c>
      <c r="M2716" s="396">
        <f>TIMEVALUE(MID(F2716,12,8))</f>
        <v/>
      </c>
      <c r="N2716" s="395">
        <f>DATEVALUE(LEFT(G2716,10))</f>
        <v/>
      </c>
      <c r="O2716" s="396">
        <f>TIMEVALUE(MID(G2716,12,8))</f>
        <v/>
      </c>
      <c r="P2716" s="396">
        <f>IFERROR(_xlfn.MINIFS($M:$M,$E:$E,$E2716,$K:$K,$K2716,$M:$M,"&gt;"&amp;$O2716),"")</f>
        <v/>
      </c>
      <c r="Q2716" s="396">
        <f>IF($P2716="","",$P2716-$O2716)</f>
        <v/>
      </c>
    </row>
    <row r="2717" ht="15" customHeight="1" s="231">
      <c r="A2717" s="397" t="n"/>
      <c r="B2717" s="397" t="n"/>
      <c r="C2717" s="397" t="n"/>
      <c r="D2717" s="397" t="n"/>
      <c r="E2717" s="397" t="n"/>
      <c r="F2717" s="397" t="n"/>
      <c r="G2717" s="397" t="n"/>
      <c r="I2717" s="397" t="n"/>
      <c r="J2717" s="397" t="n"/>
      <c r="K2717" s="395">
        <f>DATE(VALUE(LEFT(A2717,4)),VALUE(MID(A2717,5,2)),VALUE(RIGHT(A2717,2)))</f>
        <v/>
      </c>
      <c r="L2717" s="395">
        <f>DATEVALUE(LEFT(F2717,10))</f>
        <v/>
      </c>
      <c r="M2717" s="396">
        <f>TIMEVALUE(MID(F2717,12,8))</f>
        <v/>
      </c>
      <c r="N2717" s="395">
        <f>DATEVALUE(LEFT(G2717,10))</f>
        <v/>
      </c>
      <c r="O2717" s="396">
        <f>TIMEVALUE(MID(G2717,12,8))</f>
        <v/>
      </c>
      <c r="P2717" s="396">
        <f>IFERROR(_xlfn.MINIFS($M:$M,$E:$E,$E2717,$K:$K,$K2717,$M:$M,"&gt;"&amp;$O2717),"")</f>
        <v/>
      </c>
      <c r="Q2717" s="396">
        <f>IF($P2717="","",$P2717-$O2717)</f>
        <v/>
      </c>
    </row>
    <row r="2718" ht="15" customHeight="1" s="231">
      <c r="A2718" s="397" t="n"/>
      <c r="B2718" s="397" t="n"/>
      <c r="C2718" s="397" t="n"/>
      <c r="D2718" s="397" t="n"/>
      <c r="E2718" s="397" t="n"/>
      <c r="F2718" s="397" t="n"/>
      <c r="G2718" s="397" t="n"/>
      <c r="I2718" s="397" t="n"/>
      <c r="J2718" s="397" t="n"/>
      <c r="K2718" s="395">
        <f>DATE(VALUE(LEFT(A2718,4)),VALUE(MID(A2718,5,2)),VALUE(RIGHT(A2718,2)))</f>
        <v/>
      </c>
      <c r="L2718" s="395">
        <f>DATEVALUE(LEFT(F2718,10))</f>
        <v/>
      </c>
      <c r="M2718" s="396">
        <f>TIMEVALUE(MID(F2718,12,8))</f>
        <v/>
      </c>
      <c r="N2718" s="395">
        <f>DATEVALUE(LEFT(G2718,10))</f>
        <v/>
      </c>
      <c r="O2718" s="396">
        <f>TIMEVALUE(MID(G2718,12,8))</f>
        <v/>
      </c>
      <c r="P2718" s="396">
        <f>IFERROR(_xlfn.MINIFS($M:$M,$E:$E,$E2718,$K:$K,$K2718,$M:$M,"&gt;"&amp;$O2718),"")</f>
        <v/>
      </c>
      <c r="Q2718" s="396">
        <f>IF($P2718="","",$P2718-$O2718)</f>
        <v/>
      </c>
    </row>
    <row r="2719" ht="15" customHeight="1" s="231">
      <c r="A2719" s="397" t="n"/>
      <c r="B2719" s="397" t="n"/>
      <c r="C2719" s="397" t="n"/>
      <c r="D2719" s="397" t="n"/>
      <c r="E2719" s="397" t="n"/>
      <c r="F2719" s="397" t="n"/>
      <c r="G2719" s="397" t="n"/>
      <c r="I2719" s="397" t="n"/>
      <c r="J2719" s="397" t="n"/>
      <c r="K2719" s="395">
        <f>DATE(VALUE(LEFT(A2719,4)),VALUE(MID(A2719,5,2)),VALUE(RIGHT(A2719,2)))</f>
        <v/>
      </c>
      <c r="L2719" s="395">
        <f>DATEVALUE(LEFT(F2719,10))</f>
        <v/>
      </c>
      <c r="M2719" s="396">
        <f>TIMEVALUE(MID(F2719,12,8))</f>
        <v/>
      </c>
      <c r="N2719" s="395">
        <f>DATEVALUE(LEFT(G2719,10))</f>
        <v/>
      </c>
      <c r="O2719" s="396">
        <f>TIMEVALUE(MID(G2719,12,8))</f>
        <v/>
      </c>
      <c r="P2719" s="396">
        <f>IFERROR(_xlfn.MINIFS($M:$M,$E:$E,$E2719,$K:$K,$K2719,$M:$M,"&gt;"&amp;$O2719),"")</f>
        <v/>
      </c>
      <c r="Q2719" s="396">
        <f>IF($P2719="","",$P2719-$O2719)</f>
        <v/>
      </c>
    </row>
    <row r="2720" ht="15" customHeight="1" s="231">
      <c r="A2720" s="397" t="n"/>
      <c r="B2720" s="397" t="n"/>
      <c r="C2720" s="397" t="n"/>
      <c r="D2720" s="397" t="n"/>
      <c r="E2720" s="397" t="n"/>
      <c r="F2720" s="397" t="n"/>
      <c r="G2720" s="397" t="n"/>
      <c r="I2720" s="397" t="n"/>
      <c r="J2720" s="397" t="n"/>
      <c r="K2720" s="395">
        <f>DATE(VALUE(LEFT(A2720,4)),VALUE(MID(A2720,5,2)),VALUE(RIGHT(A2720,2)))</f>
        <v/>
      </c>
      <c r="L2720" s="395">
        <f>DATEVALUE(LEFT(F2720,10))</f>
        <v/>
      </c>
      <c r="M2720" s="396">
        <f>TIMEVALUE(MID(F2720,12,8))</f>
        <v/>
      </c>
      <c r="N2720" s="395">
        <f>DATEVALUE(LEFT(G2720,10))</f>
        <v/>
      </c>
      <c r="O2720" s="396">
        <f>TIMEVALUE(MID(G2720,12,8))</f>
        <v/>
      </c>
      <c r="P2720" s="396">
        <f>IFERROR(_xlfn.MINIFS($M:$M,$E:$E,$E2720,$K:$K,$K2720,$M:$M,"&gt;"&amp;$O2720),"")</f>
        <v/>
      </c>
      <c r="Q2720" s="396">
        <f>IF($P2720="","",$P2720-$O2720)</f>
        <v/>
      </c>
    </row>
    <row r="2721" ht="15" customHeight="1" s="231">
      <c r="A2721" s="397" t="n"/>
      <c r="B2721" s="397" t="n"/>
      <c r="C2721" s="397" t="n"/>
      <c r="D2721" s="397" t="n"/>
      <c r="E2721" s="397" t="n"/>
      <c r="F2721" s="397" t="n"/>
      <c r="G2721" s="397" t="n"/>
      <c r="I2721" s="397" t="n"/>
      <c r="J2721" s="397" t="n"/>
      <c r="K2721" s="395">
        <f>DATE(VALUE(LEFT(A2721,4)),VALUE(MID(A2721,5,2)),VALUE(RIGHT(A2721,2)))</f>
        <v/>
      </c>
      <c r="L2721" s="395">
        <f>DATEVALUE(LEFT(F2721,10))</f>
        <v/>
      </c>
      <c r="M2721" s="396">
        <f>TIMEVALUE(MID(F2721,12,8))</f>
        <v/>
      </c>
      <c r="N2721" s="395">
        <f>DATEVALUE(LEFT(G2721,10))</f>
        <v/>
      </c>
      <c r="O2721" s="396">
        <f>TIMEVALUE(MID(G2721,12,8))</f>
        <v/>
      </c>
      <c r="P2721" s="396">
        <f>IFERROR(_xlfn.MINIFS($M:$M,$E:$E,$E2721,$K:$K,$K2721,$M:$M,"&gt;"&amp;$O2721),"")</f>
        <v/>
      </c>
      <c r="Q2721" s="396">
        <f>IF($P2721="","",$P2721-$O2721)</f>
        <v/>
      </c>
    </row>
    <row r="2722" ht="15" customHeight="1" s="231">
      <c r="A2722" s="397" t="n"/>
      <c r="B2722" s="397" t="n"/>
      <c r="C2722" s="397" t="n"/>
      <c r="D2722" s="397" t="n"/>
      <c r="E2722" s="397" t="n"/>
      <c r="F2722" s="397" t="n"/>
      <c r="G2722" s="397" t="n"/>
      <c r="I2722" s="397" t="n"/>
      <c r="J2722" s="397" t="n"/>
      <c r="K2722" s="395">
        <f>DATE(VALUE(LEFT(A2722,4)),VALUE(MID(A2722,5,2)),VALUE(RIGHT(A2722,2)))</f>
        <v/>
      </c>
      <c r="L2722" s="395">
        <f>DATEVALUE(LEFT(F2722,10))</f>
        <v/>
      </c>
      <c r="M2722" s="396">
        <f>TIMEVALUE(MID(F2722,12,8))</f>
        <v/>
      </c>
      <c r="N2722" s="395">
        <f>DATEVALUE(LEFT(G2722,10))</f>
        <v/>
      </c>
      <c r="O2722" s="396">
        <f>TIMEVALUE(MID(G2722,12,8))</f>
        <v/>
      </c>
      <c r="P2722" s="396">
        <f>IFERROR(_xlfn.MINIFS($M:$M,$E:$E,$E2722,$K:$K,$K2722,$M:$M,"&gt;"&amp;$O2722),"")</f>
        <v/>
      </c>
      <c r="Q2722" s="396">
        <f>IF($P2722="","",$P2722-$O2722)</f>
        <v/>
      </c>
    </row>
    <row r="2723" ht="15" customHeight="1" s="231">
      <c r="A2723" s="397" t="n"/>
      <c r="B2723" s="397" t="n"/>
      <c r="C2723" s="397" t="n"/>
      <c r="D2723" s="397" t="n"/>
      <c r="E2723" s="397" t="n"/>
      <c r="F2723" s="397" t="n"/>
      <c r="G2723" s="397" t="n"/>
      <c r="I2723" s="397" t="n"/>
      <c r="J2723" s="397" t="n"/>
      <c r="K2723" s="395">
        <f>DATE(VALUE(LEFT(A2723,4)),VALUE(MID(A2723,5,2)),VALUE(RIGHT(A2723,2)))</f>
        <v/>
      </c>
      <c r="L2723" s="395">
        <f>DATEVALUE(LEFT(F2723,10))</f>
        <v/>
      </c>
      <c r="M2723" s="396">
        <f>TIMEVALUE(MID(F2723,12,8))</f>
        <v/>
      </c>
      <c r="N2723" s="395">
        <f>DATEVALUE(LEFT(G2723,10))</f>
        <v/>
      </c>
      <c r="O2723" s="396">
        <f>TIMEVALUE(MID(G2723,12,8))</f>
        <v/>
      </c>
      <c r="P2723" s="396">
        <f>IFERROR(_xlfn.MINIFS($M:$M,$E:$E,$E2723,$K:$K,$K2723,$M:$M,"&gt;"&amp;$O2723),"")</f>
        <v/>
      </c>
      <c r="Q2723" s="396">
        <f>IF($P2723="","",$P2723-$O2723)</f>
        <v/>
      </c>
    </row>
    <row r="2724" ht="15" customHeight="1" s="231">
      <c r="A2724" s="397" t="n"/>
      <c r="B2724" s="397" t="n"/>
      <c r="C2724" s="397" t="n"/>
      <c r="D2724" s="397" t="n"/>
      <c r="E2724" s="397" t="n"/>
      <c r="F2724" s="397" t="n"/>
      <c r="G2724" s="397" t="n"/>
      <c r="I2724" s="397" t="n"/>
      <c r="J2724" s="397" t="n"/>
      <c r="K2724" s="395">
        <f>DATE(VALUE(LEFT(A2724,4)),VALUE(MID(A2724,5,2)),VALUE(RIGHT(A2724,2)))</f>
        <v/>
      </c>
      <c r="L2724" s="395">
        <f>DATEVALUE(LEFT(F2724,10))</f>
        <v/>
      </c>
      <c r="M2724" s="396">
        <f>TIMEVALUE(MID(F2724,12,8))</f>
        <v/>
      </c>
      <c r="N2724" s="395">
        <f>DATEVALUE(LEFT(G2724,10))</f>
        <v/>
      </c>
      <c r="O2724" s="396">
        <f>TIMEVALUE(MID(G2724,12,8))</f>
        <v/>
      </c>
      <c r="P2724" s="396">
        <f>IFERROR(_xlfn.MINIFS($M:$M,$E:$E,$E2724,$K:$K,$K2724,$M:$M,"&gt;"&amp;$O2724),"")</f>
        <v/>
      </c>
      <c r="Q2724" s="396">
        <f>IF($P2724="","",$P2724-$O2724)</f>
        <v/>
      </c>
    </row>
    <row r="2725" ht="15" customHeight="1" s="231">
      <c r="A2725" s="397" t="n"/>
      <c r="B2725" s="397" t="n"/>
      <c r="C2725" s="397" t="n"/>
      <c r="D2725" s="397" t="n"/>
      <c r="E2725" s="397" t="n"/>
      <c r="F2725" s="397" t="n"/>
      <c r="G2725" s="397" t="n"/>
      <c r="I2725" s="397" t="n"/>
      <c r="J2725" s="397" t="n"/>
      <c r="K2725" s="395">
        <f>DATE(VALUE(LEFT(A2725,4)),VALUE(MID(A2725,5,2)),VALUE(RIGHT(A2725,2)))</f>
        <v/>
      </c>
      <c r="L2725" s="395">
        <f>DATEVALUE(LEFT(F2725,10))</f>
        <v/>
      </c>
      <c r="M2725" s="396">
        <f>TIMEVALUE(MID(F2725,12,8))</f>
        <v/>
      </c>
      <c r="N2725" s="395">
        <f>DATEVALUE(LEFT(G2725,10))</f>
        <v/>
      </c>
      <c r="O2725" s="396">
        <f>TIMEVALUE(MID(G2725,12,8))</f>
        <v/>
      </c>
      <c r="P2725" s="396">
        <f>IFERROR(_xlfn.MINIFS($M:$M,$E:$E,$E2725,$K:$K,$K2725,$M:$M,"&gt;"&amp;$O2725),"")</f>
        <v/>
      </c>
      <c r="Q2725" s="396">
        <f>IF($P2725="","",$P2725-$O2725)</f>
        <v/>
      </c>
    </row>
    <row r="2726" ht="15" customHeight="1" s="231">
      <c r="A2726" s="397" t="n"/>
      <c r="B2726" s="397" t="n"/>
      <c r="C2726" s="397" t="n"/>
      <c r="D2726" s="397" t="n"/>
      <c r="E2726" s="397" t="n"/>
      <c r="F2726" s="397" t="n"/>
      <c r="G2726" s="397" t="n"/>
      <c r="I2726" s="397" t="n"/>
      <c r="J2726" s="397" t="n"/>
      <c r="K2726" s="395">
        <f>DATE(VALUE(LEFT(A2726,4)),VALUE(MID(A2726,5,2)),VALUE(RIGHT(A2726,2)))</f>
        <v/>
      </c>
      <c r="L2726" s="395">
        <f>DATEVALUE(LEFT(F2726,10))</f>
        <v/>
      </c>
      <c r="M2726" s="396">
        <f>TIMEVALUE(MID(F2726,12,8))</f>
        <v/>
      </c>
      <c r="N2726" s="395">
        <f>DATEVALUE(LEFT(G2726,10))</f>
        <v/>
      </c>
      <c r="O2726" s="396">
        <f>TIMEVALUE(MID(G2726,12,8))</f>
        <v/>
      </c>
      <c r="P2726" s="396">
        <f>IFERROR(_xlfn.MINIFS($M:$M,$E:$E,$E2726,$K:$K,$K2726,$M:$M,"&gt;"&amp;$O2726),"")</f>
        <v/>
      </c>
      <c r="Q2726" s="396">
        <f>IF($P2726="","",$P2726-$O2726)</f>
        <v/>
      </c>
    </row>
    <row r="2727" ht="15" customHeight="1" s="231">
      <c r="A2727" s="397" t="n"/>
      <c r="B2727" s="397" t="n"/>
      <c r="C2727" s="397" t="n"/>
      <c r="D2727" s="397" t="n"/>
      <c r="E2727" s="397" t="n"/>
      <c r="F2727" s="397" t="n"/>
      <c r="G2727" s="397" t="n"/>
      <c r="I2727" s="397" t="n"/>
      <c r="J2727" s="397" t="n"/>
      <c r="K2727" s="395">
        <f>DATE(VALUE(LEFT(A2727,4)),VALUE(MID(A2727,5,2)),VALUE(RIGHT(A2727,2)))</f>
        <v/>
      </c>
      <c r="L2727" s="395">
        <f>DATEVALUE(LEFT(F2727,10))</f>
        <v/>
      </c>
      <c r="M2727" s="396">
        <f>TIMEVALUE(MID(F2727,12,8))</f>
        <v/>
      </c>
      <c r="N2727" s="395">
        <f>DATEVALUE(LEFT(G2727,10))</f>
        <v/>
      </c>
      <c r="O2727" s="396">
        <f>TIMEVALUE(MID(G2727,12,8))</f>
        <v/>
      </c>
      <c r="P2727" s="396">
        <f>IFERROR(_xlfn.MINIFS($M:$M,$E:$E,$E2727,$K:$K,$K2727,$M:$M,"&gt;"&amp;$O2727),"")</f>
        <v/>
      </c>
      <c r="Q2727" s="396">
        <f>IF($P2727="","",$P2727-$O2727)</f>
        <v/>
      </c>
    </row>
    <row r="2728" ht="15" customHeight="1" s="231">
      <c r="A2728" s="397" t="n"/>
      <c r="B2728" s="397" t="n"/>
      <c r="C2728" s="397" t="n"/>
      <c r="D2728" s="397" t="n"/>
      <c r="E2728" s="397" t="n"/>
      <c r="F2728" s="397" t="n"/>
      <c r="G2728" s="397" t="n"/>
      <c r="I2728" s="397" t="n"/>
      <c r="J2728" s="397" t="n"/>
      <c r="K2728" s="395">
        <f>DATE(VALUE(LEFT(A2728,4)),VALUE(MID(A2728,5,2)),VALUE(RIGHT(A2728,2)))</f>
        <v/>
      </c>
      <c r="L2728" s="395">
        <f>DATEVALUE(LEFT(F2728,10))</f>
        <v/>
      </c>
      <c r="M2728" s="396">
        <f>TIMEVALUE(MID(F2728,12,8))</f>
        <v/>
      </c>
      <c r="N2728" s="395">
        <f>DATEVALUE(LEFT(G2728,10))</f>
        <v/>
      </c>
      <c r="O2728" s="396">
        <f>TIMEVALUE(MID(G2728,12,8))</f>
        <v/>
      </c>
      <c r="P2728" s="396">
        <f>IFERROR(_xlfn.MINIFS($M:$M,$E:$E,$E2728,$K:$K,$K2728,$M:$M,"&gt;"&amp;$O2728),"")</f>
        <v/>
      </c>
      <c r="Q2728" s="396">
        <f>IF($P2728="","",$P2728-$O2728)</f>
        <v/>
      </c>
    </row>
    <row r="2729" ht="15" customHeight="1" s="231">
      <c r="A2729" s="397" t="n"/>
      <c r="B2729" s="397" t="n"/>
      <c r="C2729" s="397" t="n"/>
      <c r="D2729" s="397" t="n"/>
      <c r="E2729" s="397" t="n"/>
      <c r="F2729" s="397" t="n"/>
      <c r="G2729" s="397" t="n"/>
      <c r="I2729" s="397" t="n"/>
      <c r="J2729" s="397" t="n"/>
      <c r="K2729" s="395">
        <f>DATE(VALUE(LEFT(A2729,4)),VALUE(MID(A2729,5,2)),VALUE(RIGHT(A2729,2)))</f>
        <v/>
      </c>
      <c r="L2729" s="395">
        <f>DATEVALUE(LEFT(F2729,10))</f>
        <v/>
      </c>
      <c r="M2729" s="396">
        <f>TIMEVALUE(MID(F2729,12,8))</f>
        <v/>
      </c>
      <c r="N2729" s="395">
        <f>DATEVALUE(LEFT(G2729,10))</f>
        <v/>
      </c>
      <c r="O2729" s="396">
        <f>TIMEVALUE(MID(G2729,12,8))</f>
        <v/>
      </c>
      <c r="P2729" s="396">
        <f>IFERROR(_xlfn.MINIFS($M:$M,$E:$E,$E2729,$K:$K,$K2729,$M:$M,"&gt;"&amp;$O2729),"")</f>
        <v/>
      </c>
      <c r="Q2729" s="396">
        <f>IF($P2729="","",$P2729-$O2729)</f>
        <v/>
      </c>
    </row>
    <row r="2730" ht="15" customHeight="1" s="231">
      <c r="A2730" s="397" t="n"/>
      <c r="B2730" s="397" t="n"/>
      <c r="C2730" s="397" t="n"/>
      <c r="D2730" s="397" t="n"/>
      <c r="E2730" s="397" t="n"/>
      <c r="F2730" s="397" t="n"/>
      <c r="G2730" s="397" t="n"/>
      <c r="I2730" s="397" t="n"/>
      <c r="J2730" s="397" t="n"/>
      <c r="K2730" s="395">
        <f>DATE(VALUE(LEFT(A2730,4)),VALUE(MID(A2730,5,2)),VALUE(RIGHT(A2730,2)))</f>
        <v/>
      </c>
      <c r="L2730" s="395">
        <f>DATEVALUE(LEFT(F2730,10))</f>
        <v/>
      </c>
      <c r="M2730" s="396">
        <f>TIMEVALUE(MID(F2730,12,8))</f>
        <v/>
      </c>
      <c r="N2730" s="395">
        <f>DATEVALUE(LEFT(G2730,10))</f>
        <v/>
      </c>
      <c r="O2730" s="396">
        <f>TIMEVALUE(MID(G2730,12,8))</f>
        <v/>
      </c>
      <c r="P2730" s="396">
        <f>IFERROR(_xlfn.MINIFS($M:$M,$E:$E,$E2730,$K:$K,$K2730,$M:$M,"&gt;"&amp;$O2730),"")</f>
        <v/>
      </c>
      <c r="Q2730" s="396">
        <f>IF($P2730="","",$P2730-$O2730)</f>
        <v/>
      </c>
    </row>
    <row r="2731" ht="15" customHeight="1" s="231">
      <c r="A2731" s="397" t="n"/>
      <c r="B2731" s="397" t="n"/>
      <c r="C2731" s="397" t="n"/>
      <c r="D2731" s="397" t="n"/>
      <c r="E2731" s="397" t="n"/>
      <c r="F2731" s="397" t="n"/>
      <c r="G2731" s="397" t="n"/>
      <c r="I2731" s="397" t="n"/>
      <c r="J2731" s="397" t="n"/>
      <c r="K2731" s="395">
        <f>DATE(VALUE(LEFT(A2731,4)),VALUE(MID(A2731,5,2)),VALUE(RIGHT(A2731,2)))</f>
        <v/>
      </c>
      <c r="L2731" s="395">
        <f>DATEVALUE(LEFT(F2731,10))</f>
        <v/>
      </c>
      <c r="M2731" s="396">
        <f>TIMEVALUE(MID(F2731,12,8))</f>
        <v/>
      </c>
      <c r="N2731" s="395">
        <f>DATEVALUE(LEFT(G2731,10))</f>
        <v/>
      </c>
      <c r="O2731" s="396">
        <f>TIMEVALUE(MID(G2731,12,8))</f>
        <v/>
      </c>
      <c r="P2731" s="396">
        <f>IFERROR(_xlfn.MINIFS($M:$M,$E:$E,$E2731,$K:$K,$K2731,$M:$M,"&gt;"&amp;$O2731),"")</f>
        <v/>
      </c>
      <c r="Q2731" s="396">
        <f>IF($P2731="","",$P2731-$O2731)</f>
        <v/>
      </c>
    </row>
    <row r="2732" ht="15" customHeight="1" s="231">
      <c r="A2732" s="397" t="n"/>
      <c r="B2732" s="397" t="n"/>
      <c r="C2732" s="397" t="n"/>
      <c r="D2732" s="397" t="n"/>
      <c r="E2732" s="397" t="n"/>
      <c r="F2732" s="397" t="n"/>
      <c r="G2732" s="397" t="n"/>
      <c r="I2732" s="397" t="n"/>
      <c r="J2732" s="397" t="n"/>
      <c r="K2732" s="395">
        <f>DATE(VALUE(LEFT(A2732,4)),VALUE(MID(A2732,5,2)),VALUE(RIGHT(A2732,2)))</f>
        <v/>
      </c>
      <c r="L2732" s="395">
        <f>DATEVALUE(LEFT(F2732,10))</f>
        <v/>
      </c>
      <c r="M2732" s="396">
        <f>TIMEVALUE(MID(F2732,12,8))</f>
        <v/>
      </c>
      <c r="N2732" s="395">
        <f>DATEVALUE(LEFT(G2732,10))</f>
        <v/>
      </c>
      <c r="O2732" s="396">
        <f>TIMEVALUE(MID(G2732,12,8))</f>
        <v/>
      </c>
      <c r="P2732" s="396">
        <f>IFERROR(_xlfn.MINIFS($M:$M,$E:$E,$E2732,$K:$K,$K2732,$M:$M,"&gt;"&amp;$O2732),"")</f>
        <v/>
      </c>
      <c r="Q2732" s="396">
        <f>IF($P2732="","",$P2732-$O2732)</f>
        <v/>
      </c>
    </row>
    <row r="2733" ht="15" customHeight="1" s="231">
      <c r="A2733" s="397" t="n"/>
      <c r="B2733" s="397" t="n"/>
      <c r="C2733" s="397" t="n"/>
      <c r="D2733" s="397" t="n"/>
      <c r="E2733" s="397" t="n"/>
      <c r="F2733" s="397" t="n"/>
      <c r="G2733" s="397" t="n"/>
      <c r="I2733" s="397" t="n"/>
      <c r="J2733" s="397" t="n"/>
      <c r="K2733" s="395">
        <f>DATE(VALUE(LEFT(A2733,4)),VALUE(MID(A2733,5,2)),VALUE(RIGHT(A2733,2)))</f>
        <v/>
      </c>
      <c r="L2733" s="395">
        <f>DATEVALUE(LEFT(F2733,10))</f>
        <v/>
      </c>
      <c r="M2733" s="396">
        <f>TIMEVALUE(MID(F2733,12,8))</f>
        <v/>
      </c>
      <c r="N2733" s="395">
        <f>DATEVALUE(LEFT(G2733,10))</f>
        <v/>
      </c>
      <c r="O2733" s="396">
        <f>TIMEVALUE(MID(G2733,12,8))</f>
        <v/>
      </c>
      <c r="P2733" s="396">
        <f>IFERROR(_xlfn.MINIFS($M:$M,$E:$E,$E2733,$K:$K,$K2733,$M:$M,"&gt;"&amp;$O2733),"")</f>
        <v/>
      </c>
      <c r="Q2733" s="396">
        <f>IF($P2733="","",$P2733-$O2733)</f>
        <v/>
      </c>
    </row>
    <row r="2734" ht="15" customHeight="1" s="231">
      <c r="A2734" s="397" t="n"/>
      <c r="B2734" s="397" t="n"/>
      <c r="C2734" s="397" t="n"/>
      <c r="D2734" s="397" t="n"/>
      <c r="E2734" s="397" t="n"/>
      <c r="F2734" s="397" t="n"/>
      <c r="G2734" s="397" t="n"/>
      <c r="I2734" s="397" t="n"/>
      <c r="J2734" s="397" t="n"/>
      <c r="K2734" s="395">
        <f>DATE(VALUE(LEFT(A2734,4)),VALUE(MID(A2734,5,2)),VALUE(RIGHT(A2734,2)))</f>
        <v/>
      </c>
      <c r="L2734" s="395">
        <f>DATEVALUE(LEFT(F2734,10))</f>
        <v/>
      </c>
      <c r="M2734" s="396">
        <f>TIMEVALUE(MID(F2734,12,8))</f>
        <v/>
      </c>
      <c r="N2734" s="395">
        <f>DATEVALUE(LEFT(G2734,10))</f>
        <v/>
      </c>
      <c r="O2734" s="396">
        <f>TIMEVALUE(MID(G2734,12,8))</f>
        <v/>
      </c>
      <c r="P2734" s="396">
        <f>IFERROR(_xlfn.MINIFS($M:$M,$E:$E,$E2734,$K:$K,$K2734,$M:$M,"&gt;"&amp;$O2734),"")</f>
        <v/>
      </c>
      <c r="Q2734" s="396">
        <f>IF($P2734="","",$P2734-$O2734)</f>
        <v/>
      </c>
    </row>
    <row r="2735" ht="15" customHeight="1" s="231">
      <c r="A2735" s="397" t="n"/>
      <c r="B2735" s="397" t="n"/>
      <c r="C2735" s="397" t="n"/>
      <c r="D2735" s="397" t="n"/>
      <c r="E2735" s="397" t="n"/>
      <c r="F2735" s="397" t="n"/>
      <c r="G2735" s="397" t="n"/>
      <c r="I2735" s="397" t="n"/>
      <c r="J2735" s="397" t="n"/>
      <c r="K2735" s="395">
        <f>DATE(VALUE(LEFT(A2735,4)),VALUE(MID(A2735,5,2)),VALUE(RIGHT(A2735,2)))</f>
        <v/>
      </c>
      <c r="L2735" s="395">
        <f>DATEVALUE(LEFT(F2735,10))</f>
        <v/>
      </c>
      <c r="M2735" s="396">
        <f>TIMEVALUE(MID(F2735,12,8))</f>
        <v/>
      </c>
      <c r="N2735" s="395">
        <f>DATEVALUE(LEFT(G2735,10))</f>
        <v/>
      </c>
      <c r="O2735" s="396">
        <f>TIMEVALUE(MID(G2735,12,8))</f>
        <v/>
      </c>
      <c r="P2735" s="396">
        <f>IFERROR(_xlfn.MINIFS($M:$M,$E:$E,$E2735,$K:$K,$K2735,$M:$M,"&gt;"&amp;$O2735),"")</f>
        <v/>
      </c>
      <c r="Q2735" s="396">
        <f>IF($P2735="","",$P2735-$O2735)</f>
        <v/>
      </c>
    </row>
    <row r="2736" ht="15" customHeight="1" s="231">
      <c r="A2736" s="397" t="n"/>
      <c r="B2736" s="397" t="n"/>
      <c r="C2736" s="397" t="n"/>
      <c r="D2736" s="397" t="n"/>
      <c r="E2736" s="397" t="n"/>
      <c r="F2736" s="397" t="n"/>
      <c r="G2736" s="397" t="n"/>
      <c r="I2736" s="397" t="n"/>
      <c r="J2736" s="397" t="n"/>
      <c r="K2736" s="395">
        <f>DATE(VALUE(LEFT(A2736,4)),VALUE(MID(A2736,5,2)),VALUE(RIGHT(A2736,2)))</f>
        <v/>
      </c>
      <c r="L2736" s="395">
        <f>DATEVALUE(LEFT(F2736,10))</f>
        <v/>
      </c>
      <c r="M2736" s="396">
        <f>TIMEVALUE(MID(F2736,12,8))</f>
        <v/>
      </c>
      <c r="N2736" s="395">
        <f>DATEVALUE(LEFT(G2736,10))</f>
        <v/>
      </c>
      <c r="O2736" s="396">
        <f>TIMEVALUE(MID(G2736,12,8))</f>
        <v/>
      </c>
      <c r="P2736" s="396">
        <f>IFERROR(_xlfn.MINIFS($M:$M,$E:$E,$E2736,$K:$K,$K2736,$M:$M,"&gt;"&amp;$O2736),"")</f>
        <v/>
      </c>
      <c r="Q2736" s="396">
        <f>IF($P2736="","",$P2736-$O2736)</f>
        <v/>
      </c>
    </row>
    <row r="2737" ht="15" customHeight="1" s="231">
      <c r="A2737" s="397" t="n"/>
      <c r="B2737" s="397" t="n"/>
      <c r="C2737" s="397" t="n"/>
      <c r="D2737" s="397" t="n"/>
      <c r="E2737" s="397" t="n"/>
      <c r="F2737" s="397" t="n"/>
      <c r="G2737" s="397" t="n"/>
      <c r="I2737" s="397" t="n"/>
      <c r="J2737" s="397" t="n"/>
      <c r="K2737" s="395">
        <f>DATE(VALUE(LEFT(A2737,4)),VALUE(MID(A2737,5,2)),VALUE(RIGHT(A2737,2)))</f>
        <v/>
      </c>
      <c r="L2737" s="395">
        <f>DATEVALUE(LEFT(F2737,10))</f>
        <v/>
      </c>
      <c r="M2737" s="396">
        <f>TIMEVALUE(MID(F2737,12,8))</f>
        <v/>
      </c>
      <c r="N2737" s="395">
        <f>DATEVALUE(LEFT(G2737,10))</f>
        <v/>
      </c>
      <c r="O2737" s="396">
        <f>TIMEVALUE(MID(G2737,12,8))</f>
        <v/>
      </c>
      <c r="P2737" s="396">
        <f>IFERROR(_xlfn.MINIFS($M:$M,$E:$E,$E2737,$K:$K,$K2737,$M:$M,"&gt;"&amp;$O2737),"")</f>
        <v/>
      </c>
      <c r="Q2737" s="396">
        <f>IF($P2737="","",$P2737-$O2737)</f>
        <v/>
      </c>
    </row>
    <row r="2738" ht="15" customHeight="1" s="231">
      <c r="A2738" s="397" t="n"/>
      <c r="B2738" s="397" t="n"/>
      <c r="C2738" s="397" t="n"/>
      <c r="D2738" s="397" t="n"/>
      <c r="E2738" s="397" t="n"/>
      <c r="F2738" s="397" t="n"/>
      <c r="G2738" s="397" t="n"/>
      <c r="I2738" s="397" t="n"/>
      <c r="J2738" s="397" t="n"/>
      <c r="K2738" s="395">
        <f>DATE(VALUE(LEFT(A2738,4)),VALUE(MID(A2738,5,2)),VALUE(RIGHT(A2738,2)))</f>
        <v/>
      </c>
      <c r="L2738" s="395">
        <f>DATEVALUE(LEFT(F2738,10))</f>
        <v/>
      </c>
      <c r="M2738" s="396">
        <f>TIMEVALUE(MID(F2738,12,8))</f>
        <v/>
      </c>
      <c r="N2738" s="395">
        <f>DATEVALUE(LEFT(G2738,10))</f>
        <v/>
      </c>
      <c r="O2738" s="396">
        <f>TIMEVALUE(MID(G2738,12,8))</f>
        <v/>
      </c>
      <c r="P2738" s="396">
        <f>IFERROR(_xlfn.MINIFS($M:$M,$E:$E,$E2738,$K:$K,$K2738,$M:$M,"&gt;"&amp;$O2738),"")</f>
        <v/>
      </c>
      <c r="Q2738" s="396">
        <f>IF($P2738="","",$P2738-$O2738)</f>
        <v/>
      </c>
    </row>
    <row r="2739" ht="15" customHeight="1" s="231">
      <c r="A2739" s="397" t="n"/>
      <c r="B2739" s="397" t="n"/>
      <c r="C2739" s="397" t="n"/>
      <c r="D2739" s="397" t="n"/>
      <c r="E2739" s="397" t="n"/>
      <c r="F2739" s="397" t="n"/>
      <c r="G2739" s="397" t="n"/>
      <c r="I2739" s="397" t="n"/>
      <c r="J2739" s="397" t="n"/>
      <c r="K2739" s="395">
        <f>DATE(VALUE(LEFT(A2739,4)),VALUE(MID(A2739,5,2)),VALUE(RIGHT(A2739,2)))</f>
        <v/>
      </c>
      <c r="L2739" s="395">
        <f>DATEVALUE(LEFT(F2739,10))</f>
        <v/>
      </c>
      <c r="M2739" s="396">
        <f>TIMEVALUE(MID(F2739,12,8))</f>
        <v/>
      </c>
      <c r="N2739" s="395">
        <f>DATEVALUE(LEFT(G2739,10))</f>
        <v/>
      </c>
      <c r="O2739" s="396">
        <f>TIMEVALUE(MID(G2739,12,8))</f>
        <v/>
      </c>
      <c r="P2739" s="396">
        <f>IFERROR(_xlfn.MINIFS($M:$M,$E:$E,$E2739,$K:$K,$K2739,$M:$M,"&gt;"&amp;$O2739),"")</f>
        <v/>
      </c>
      <c r="Q2739" s="396">
        <f>IF($P2739="","",$P2739-$O2739)</f>
        <v/>
      </c>
    </row>
    <row r="2740" ht="15" customHeight="1" s="231">
      <c r="A2740" s="397" t="n"/>
      <c r="B2740" s="397" t="n"/>
      <c r="C2740" s="397" t="n"/>
      <c r="D2740" s="397" t="n"/>
      <c r="E2740" s="397" t="n"/>
      <c r="F2740" s="397" t="n"/>
      <c r="G2740" s="397" t="n"/>
      <c r="I2740" s="397" t="n"/>
      <c r="J2740" s="397" t="n"/>
      <c r="K2740" s="395">
        <f>DATE(VALUE(LEFT(A2740,4)),VALUE(MID(A2740,5,2)),VALUE(RIGHT(A2740,2)))</f>
        <v/>
      </c>
      <c r="L2740" s="395">
        <f>DATEVALUE(LEFT(F2740,10))</f>
        <v/>
      </c>
      <c r="M2740" s="396">
        <f>TIMEVALUE(MID(F2740,12,8))</f>
        <v/>
      </c>
      <c r="N2740" s="395">
        <f>DATEVALUE(LEFT(G2740,10))</f>
        <v/>
      </c>
      <c r="O2740" s="396">
        <f>TIMEVALUE(MID(G2740,12,8))</f>
        <v/>
      </c>
      <c r="P2740" s="396">
        <f>IFERROR(_xlfn.MINIFS($M:$M,$E:$E,$E2740,$K:$K,$K2740,$M:$M,"&gt;"&amp;$O2740),"")</f>
        <v/>
      </c>
      <c r="Q2740" s="396">
        <f>IF($P2740="","",$P2740-$O2740)</f>
        <v/>
      </c>
    </row>
    <row r="2741" ht="15" customHeight="1" s="231">
      <c r="A2741" s="397" t="n"/>
      <c r="B2741" s="397" t="n"/>
      <c r="C2741" s="397" t="n"/>
      <c r="D2741" s="397" t="n"/>
      <c r="E2741" s="397" t="n"/>
      <c r="F2741" s="397" t="n"/>
      <c r="G2741" s="397" t="n"/>
      <c r="I2741" s="397" t="n"/>
      <c r="J2741" s="397" t="n"/>
      <c r="K2741" s="395">
        <f>DATE(VALUE(LEFT(A2741,4)),VALUE(MID(A2741,5,2)),VALUE(RIGHT(A2741,2)))</f>
        <v/>
      </c>
      <c r="L2741" s="395">
        <f>DATEVALUE(LEFT(F2741,10))</f>
        <v/>
      </c>
      <c r="M2741" s="396">
        <f>TIMEVALUE(MID(F2741,12,8))</f>
        <v/>
      </c>
      <c r="N2741" s="395">
        <f>DATEVALUE(LEFT(G2741,10))</f>
        <v/>
      </c>
      <c r="O2741" s="396">
        <f>TIMEVALUE(MID(G2741,12,8))</f>
        <v/>
      </c>
      <c r="P2741" s="396">
        <f>IFERROR(_xlfn.MINIFS($M:$M,$E:$E,$E2741,$K:$K,$K2741,$M:$M,"&gt;"&amp;$O2741),"")</f>
        <v/>
      </c>
      <c r="Q2741" s="396">
        <f>IF($P2741="","",$P2741-$O2741)</f>
        <v/>
      </c>
    </row>
    <row r="2742" ht="15" customHeight="1" s="231">
      <c r="A2742" s="397" t="n"/>
      <c r="B2742" s="397" t="n"/>
      <c r="C2742" s="397" t="n"/>
      <c r="D2742" s="397" t="n"/>
      <c r="E2742" s="397" t="n"/>
      <c r="F2742" s="397" t="n"/>
      <c r="G2742" s="397" t="n"/>
      <c r="I2742" s="397" t="n"/>
      <c r="J2742" s="397" t="n"/>
      <c r="K2742" s="395">
        <f>DATE(VALUE(LEFT(A2742,4)),VALUE(MID(A2742,5,2)),VALUE(RIGHT(A2742,2)))</f>
        <v/>
      </c>
      <c r="L2742" s="395">
        <f>DATEVALUE(LEFT(F2742,10))</f>
        <v/>
      </c>
      <c r="M2742" s="396">
        <f>TIMEVALUE(MID(F2742,12,8))</f>
        <v/>
      </c>
      <c r="N2742" s="395">
        <f>DATEVALUE(LEFT(G2742,10))</f>
        <v/>
      </c>
      <c r="O2742" s="396">
        <f>TIMEVALUE(MID(G2742,12,8))</f>
        <v/>
      </c>
      <c r="P2742" s="396">
        <f>IFERROR(_xlfn.MINIFS($M:$M,$E:$E,$E2742,$K:$K,$K2742,$M:$M,"&gt;"&amp;$O2742),"")</f>
        <v/>
      </c>
      <c r="Q2742" s="396">
        <f>IF($P2742="","",$P2742-$O2742)</f>
        <v/>
      </c>
    </row>
    <row r="2743" ht="15" customHeight="1" s="231">
      <c r="A2743" s="397" t="n"/>
      <c r="B2743" s="397" t="n"/>
      <c r="C2743" s="397" t="n"/>
      <c r="D2743" s="397" t="n"/>
      <c r="E2743" s="397" t="n"/>
      <c r="F2743" s="397" t="n"/>
      <c r="G2743" s="397" t="n"/>
      <c r="I2743" s="397" t="n"/>
      <c r="J2743" s="397" t="n"/>
      <c r="K2743" s="395">
        <f>DATE(VALUE(LEFT(A2743,4)),VALUE(MID(A2743,5,2)),VALUE(RIGHT(A2743,2)))</f>
        <v/>
      </c>
      <c r="L2743" s="395">
        <f>DATEVALUE(LEFT(F2743,10))</f>
        <v/>
      </c>
      <c r="M2743" s="396">
        <f>TIMEVALUE(MID(F2743,12,8))</f>
        <v/>
      </c>
      <c r="N2743" s="395">
        <f>DATEVALUE(LEFT(G2743,10))</f>
        <v/>
      </c>
      <c r="O2743" s="396">
        <f>TIMEVALUE(MID(G2743,12,8))</f>
        <v/>
      </c>
      <c r="P2743" s="396">
        <f>IFERROR(_xlfn.MINIFS($M:$M,$E:$E,$E2743,$K:$K,$K2743,$M:$M,"&gt;"&amp;$O2743),"")</f>
        <v/>
      </c>
      <c r="Q2743" s="396">
        <f>IF($P2743="","",$P2743-$O2743)</f>
        <v/>
      </c>
    </row>
    <row r="2744" ht="15" customHeight="1" s="231">
      <c r="A2744" s="397" t="n"/>
      <c r="B2744" s="397" t="n"/>
      <c r="C2744" s="397" t="n"/>
      <c r="D2744" s="397" t="n"/>
      <c r="E2744" s="397" t="n"/>
      <c r="F2744" s="397" t="n"/>
      <c r="G2744" s="397" t="n"/>
      <c r="I2744" s="397" t="n"/>
      <c r="J2744" s="397" t="n"/>
      <c r="K2744" s="395">
        <f>DATE(VALUE(LEFT(A2744,4)),VALUE(MID(A2744,5,2)),VALUE(RIGHT(A2744,2)))</f>
        <v/>
      </c>
      <c r="L2744" s="395">
        <f>DATEVALUE(LEFT(F2744,10))</f>
        <v/>
      </c>
      <c r="M2744" s="396">
        <f>TIMEVALUE(MID(F2744,12,8))</f>
        <v/>
      </c>
      <c r="N2744" s="395">
        <f>DATEVALUE(LEFT(G2744,10))</f>
        <v/>
      </c>
      <c r="O2744" s="396">
        <f>TIMEVALUE(MID(G2744,12,8))</f>
        <v/>
      </c>
      <c r="P2744" s="396">
        <f>IFERROR(_xlfn.MINIFS($M:$M,$E:$E,$E2744,$K:$K,$K2744,$M:$M,"&gt;"&amp;$O2744),"")</f>
        <v/>
      </c>
      <c r="Q2744" s="396">
        <f>IF($P2744="","",$P2744-$O2744)</f>
        <v/>
      </c>
    </row>
    <row r="2745" ht="15" customHeight="1" s="231">
      <c r="A2745" s="397" t="n"/>
      <c r="B2745" s="397" t="n"/>
      <c r="C2745" s="397" t="n"/>
      <c r="D2745" s="397" t="n"/>
      <c r="E2745" s="397" t="n"/>
      <c r="F2745" s="397" t="n"/>
      <c r="G2745" s="397" t="n"/>
      <c r="I2745" s="397" t="n"/>
      <c r="J2745" s="397" t="n"/>
      <c r="K2745" s="395">
        <f>DATE(VALUE(LEFT(A2745,4)),VALUE(MID(A2745,5,2)),VALUE(RIGHT(A2745,2)))</f>
        <v/>
      </c>
      <c r="L2745" s="395">
        <f>DATEVALUE(LEFT(F2745,10))</f>
        <v/>
      </c>
      <c r="M2745" s="396">
        <f>TIMEVALUE(MID(F2745,12,8))</f>
        <v/>
      </c>
      <c r="N2745" s="395">
        <f>DATEVALUE(LEFT(G2745,10))</f>
        <v/>
      </c>
      <c r="O2745" s="396">
        <f>TIMEVALUE(MID(G2745,12,8))</f>
        <v/>
      </c>
      <c r="P2745" s="396">
        <f>IFERROR(_xlfn.MINIFS($M:$M,$E:$E,$E2745,$K:$K,$K2745,$M:$M,"&gt;"&amp;$O2745),"")</f>
        <v/>
      </c>
      <c r="Q2745" s="396">
        <f>IF($P2745="","",$P2745-$O2745)</f>
        <v/>
      </c>
    </row>
    <row r="2746" ht="15" customHeight="1" s="231">
      <c r="A2746" s="397" t="n"/>
      <c r="B2746" s="397" t="n"/>
      <c r="C2746" s="397" t="n"/>
      <c r="D2746" s="397" t="n"/>
      <c r="E2746" s="397" t="n"/>
      <c r="F2746" s="397" t="n"/>
      <c r="G2746" s="397" t="n"/>
      <c r="I2746" s="397" t="n"/>
      <c r="J2746" s="397" t="n"/>
      <c r="K2746" s="395">
        <f>DATE(VALUE(LEFT(A2746,4)),VALUE(MID(A2746,5,2)),VALUE(RIGHT(A2746,2)))</f>
        <v/>
      </c>
      <c r="L2746" s="395">
        <f>DATEVALUE(LEFT(F2746,10))</f>
        <v/>
      </c>
      <c r="M2746" s="396">
        <f>TIMEVALUE(MID(F2746,12,8))</f>
        <v/>
      </c>
      <c r="N2746" s="395">
        <f>DATEVALUE(LEFT(G2746,10))</f>
        <v/>
      </c>
      <c r="O2746" s="396">
        <f>TIMEVALUE(MID(G2746,12,8))</f>
        <v/>
      </c>
      <c r="P2746" s="396">
        <f>IFERROR(_xlfn.MINIFS($M:$M,$E:$E,$E2746,$K:$K,$K2746,$M:$M,"&gt;"&amp;$O2746),"")</f>
        <v/>
      </c>
      <c r="Q2746" s="396">
        <f>IF($P2746="","",$P2746-$O2746)</f>
        <v/>
      </c>
    </row>
    <row r="2747" ht="15" customHeight="1" s="231">
      <c r="A2747" s="397" t="n"/>
      <c r="B2747" s="397" t="n"/>
      <c r="C2747" s="397" t="n"/>
      <c r="D2747" s="397" t="n"/>
      <c r="E2747" s="397" t="n"/>
      <c r="F2747" s="397" t="n"/>
      <c r="G2747" s="397" t="n"/>
      <c r="I2747" s="397" t="n"/>
      <c r="J2747" s="397" t="n"/>
      <c r="K2747" s="395">
        <f>DATE(VALUE(LEFT(A2747,4)),VALUE(MID(A2747,5,2)),VALUE(RIGHT(A2747,2)))</f>
        <v/>
      </c>
      <c r="L2747" s="395">
        <f>DATEVALUE(LEFT(F2747,10))</f>
        <v/>
      </c>
      <c r="M2747" s="396">
        <f>TIMEVALUE(MID(F2747,12,8))</f>
        <v/>
      </c>
      <c r="N2747" s="395">
        <f>DATEVALUE(LEFT(G2747,10))</f>
        <v/>
      </c>
      <c r="O2747" s="396">
        <f>TIMEVALUE(MID(G2747,12,8))</f>
        <v/>
      </c>
      <c r="P2747" s="396">
        <f>IFERROR(_xlfn.MINIFS($M:$M,$E:$E,$E2747,$K:$K,$K2747,$M:$M,"&gt;"&amp;$O2747),"")</f>
        <v/>
      </c>
      <c r="Q2747" s="396">
        <f>IF($P2747="","",$P2747-$O2747)</f>
        <v/>
      </c>
    </row>
    <row r="2748" ht="15" customHeight="1" s="231">
      <c r="A2748" s="397" t="n"/>
      <c r="B2748" s="397" t="n"/>
      <c r="C2748" s="397" t="n"/>
      <c r="D2748" s="397" t="n"/>
      <c r="E2748" s="397" t="n"/>
      <c r="F2748" s="397" t="n"/>
      <c r="G2748" s="397" t="n"/>
      <c r="I2748" s="397" t="n"/>
      <c r="J2748" s="397" t="n"/>
      <c r="K2748" s="395">
        <f>DATE(VALUE(LEFT(A2748,4)),VALUE(MID(A2748,5,2)),VALUE(RIGHT(A2748,2)))</f>
        <v/>
      </c>
      <c r="L2748" s="395">
        <f>DATEVALUE(LEFT(F2748,10))</f>
        <v/>
      </c>
      <c r="M2748" s="396">
        <f>TIMEVALUE(MID(F2748,12,8))</f>
        <v/>
      </c>
      <c r="N2748" s="395">
        <f>DATEVALUE(LEFT(G2748,10))</f>
        <v/>
      </c>
      <c r="O2748" s="396">
        <f>TIMEVALUE(MID(G2748,12,8))</f>
        <v/>
      </c>
      <c r="P2748" s="396">
        <f>IFERROR(_xlfn.MINIFS($M:$M,$E:$E,$E2748,$K:$K,$K2748,$M:$M,"&gt;"&amp;$O2748),"")</f>
        <v/>
      </c>
      <c r="Q2748" s="396">
        <f>IF($P2748="","",$P2748-$O2748)</f>
        <v/>
      </c>
    </row>
    <row r="2749" ht="15" customHeight="1" s="231">
      <c r="A2749" s="397" t="n"/>
      <c r="B2749" s="397" t="n"/>
      <c r="C2749" s="397" t="n"/>
      <c r="D2749" s="397" t="n"/>
      <c r="E2749" s="397" t="n"/>
      <c r="F2749" s="397" t="n"/>
      <c r="G2749" s="397" t="n"/>
      <c r="I2749" s="397" t="n"/>
      <c r="J2749" s="397" t="n"/>
      <c r="K2749" s="395">
        <f>DATE(VALUE(LEFT(A2749,4)),VALUE(MID(A2749,5,2)),VALUE(RIGHT(A2749,2)))</f>
        <v/>
      </c>
      <c r="L2749" s="395">
        <f>DATEVALUE(LEFT(F2749,10))</f>
        <v/>
      </c>
      <c r="M2749" s="396">
        <f>TIMEVALUE(MID(F2749,12,8))</f>
        <v/>
      </c>
      <c r="N2749" s="395">
        <f>DATEVALUE(LEFT(G2749,10))</f>
        <v/>
      </c>
      <c r="O2749" s="396">
        <f>TIMEVALUE(MID(G2749,12,8))</f>
        <v/>
      </c>
      <c r="P2749" s="396">
        <f>IFERROR(_xlfn.MINIFS($M:$M,$E:$E,$E2749,$K:$K,$K2749,$M:$M,"&gt;"&amp;$O2749),"")</f>
        <v/>
      </c>
      <c r="Q2749" s="396">
        <f>IF($P2749="","",$P2749-$O2749)</f>
        <v/>
      </c>
    </row>
    <row r="2750" ht="15" customHeight="1" s="231">
      <c r="A2750" s="397" t="n"/>
      <c r="B2750" s="397" t="n"/>
      <c r="C2750" s="397" t="n"/>
      <c r="D2750" s="397" t="n"/>
      <c r="E2750" s="397" t="n"/>
      <c r="F2750" s="397" t="n"/>
      <c r="G2750" s="397" t="n"/>
      <c r="I2750" s="397" t="n"/>
      <c r="J2750" s="397" t="n"/>
      <c r="K2750" s="395">
        <f>DATE(VALUE(LEFT(A2750,4)),VALUE(MID(A2750,5,2)),VALUE(RIGHT(A2750,2)))</f>
        <v/>
      </c>
      <c r="L2750" s="395">
        <f>DATEVALUE(LEFT(F2750,10))</f>
        <v/>
      </c>
      <c r="M2750" s="396">
        <f>TIMEVALUE(MID(F2750,12,8))</f>
        <v/>
      </c>
      <c r="N2750" s="395">
        <f>DATEVALUE(LEFT(G2750,10))</f>
        <v/>
      </c>
      <c r="O2750" s="396">
        <f>TIMEVALUE(MID(G2750,12,8))</f>
        <v/>
      </c>
      <c r="P2750" s="396">
        <f>IFERROR(_xlfn.MINIFS($M:$M,$E:$E,$E2750,$K:$K,$K2750,$M:$M,"&gt;"&amp;$O2750),"")</f>
        <v/>
      </c>
      <c r="Q2750" s="396">
        <f>IF($P2750="","",$P2750-$O2750)</f>
        <v/>
      </c>
    </row>
    <row r="2751" ht="15" customHeight="1" s="231">
      <c r="A2751" s="397" t="n"/>
      <c r="B2751" s="397" t="n"/>
      <c r="C2751" s="397" t="n"/>
      <c r="D2751" s="397" t="n"/>
      <c r="E2751" s="397" t="n"/>
      <c r="F2751" s="397" t="n"/>
      <c r="G2751" s="397" t="n"/>
      <c r="I2751" s="397" t="n"/>
      <c r="J2751" s="397" t="n"/>
      <c r="K2751" s="395">
        <f>DATE(VALUE(LEFT(A2751,4)),VALUE(MID(A2751,5,2)),VALUE(RIGHT(A2751,2)))</f>
        <v/>
      </c>
      <c r="L2751" s="395">
        <f>DATEVALUE(LEFT(F2751,10))</f>
        <v/>
      </c>
      <c r="M2751" s="396">
        <f>TIMEVALUE(MID(F2751,12,8))</f>
        <v/>
      </c>
      <c r="N2751" s="395">
        <f>DATEVALUE(LEFT(G2751,10))</f>
        <v/>
      </c>
      <c r="O2751" s="396">
        <f>TIMEVALUE(MID(G2751,12,8))</f>
        <v/>
      </c>
      <c r="P2751" s="396">
        <f>IFERROR(_xlfn.MINIFS($M:$M,$E:$E,$E2751,$K:$K,$K2751,$M:$M,"&gt;"&amp;$O2751),"")</f>
        <v/>
      </c>
      <c r="Q2751" s="396">
        <f>IF($P2751="","",$P2751-$O2751)</f>
        <v/>
      </c>
    </row>
    <row r="2752" ht="15" customHeight="1" s="231">
      <c r="A2752" s="397" t="n"/>
      <c r="B2752" s="397" t="n"/>
      <c r="C2752" s="397" t="n"/>
      <c r="D2752" s="397" t="n"/>
      <c r="E2752" s="397" t="n"/>
      <c r="F2752" s="397" t="n"/>
      <c r="G2752" s="397" t="n"/>
      <c r="I2752" s="397" t="n"/>
      <c r="J2752" s="397" t="n"/>
      <c r="K2752" s="395">
        <f>DATE(VALUE(LEFT(A2752,4)),VALUE(MID(A2752,5,2)),VALUE(RIGHT(A2752,2)))</f>
        <v/>
      </c>
      <c r="L2752" s="395">
        <f>DATEVALUE(LEFT(F2752,10))</f>
        <v/>
      </c>
      <c r="M2752" s="396">
        <f>TIMEVALUE(MID(F2752,12,8))</f>
        <v/>
      </c>
      <c r="N2752" s="395">
        <f>DATEVALUE(LEFT(G2752,10))</f>
        <v/>
      </c>
      <c r="O2752" s="396">
        <f>TIMEVALUE(MID(G2752,12,8))</f>
        <v/>
      </c>
      <c r="P2752" s="396">
        <f>IFERROR(_xlfn.MINIFS($M:$M,$E:$E,$E2752,$K:$K,$K2752,$M:$M,"&gt;"&amp;$O2752),"")</f>
        <v/>
      </c>
      <c r="Q2752" s="396">
        <f>IF($P2752="","",$P2752-$O2752)</f>
        <v/>
      </c>
    </row>
    <row r="2753" ht="15" customHeight="1" s="231">
      <c r="A2753" s="397" t="n"/>
      <c r="B2753" s="397" t="n"/>
      <c r="C2753" s="397" t="n"/>
      <c r="D2753" s="397" t="n"/>
      <c r="E2753" s="397" t="n"/>
      <c r="F2753" s="397" t="n"/>
      <c r="G2753" s="397" t="n"/>
      <c r="I2753" s="397" t="n"/>
      <c r="J2753" s="397" t="n"/>
      <c r="K2753" s="395">
        <f>DATE(VALUE(LEFT(A2753,4)),VALUE(MID(A2753,5,2)),VALUE(RIGHT(A2753,2)))</f>
        <v/>
      </c>
      <c r="L2753" s="395">
        <f>DATEVALUE(LEFT(F2753,10))</f>
        <v/>
      </c>
      <c r="M2753" s="396">
        <f>TIMEVALUE(MID(F2753,12,8))</f>
        <v/>
      </c>
      <c r="N2753" s="395">
        <f>DATEVALUE(LEFT(G2753,10))</f>
        <v/>
      </c>
      <c r="O2753" s="396">
        <f>TIMEVALUE(MID(G2753,12,8))</f>
        <v/>
      </c>
      <c r="P2753" s="396">
        <f>IFERROR(_xlfn.MINIFS($M:$M,$E:$E,$E2753,$K:$K,$K2753,$M:$M,"&gt;"&amp;$O2753),"")</f>
        <v/>
      </c>
      <c r="Q2753" s="396">
        <f>IF($P2753="","",$P2753-$O2753)</f>
        <v/>
      </c>
    </row>
    <row r="2754" ht="15" customHeight="1" s="231">
      <c r="A2754" s="397" t="n"/>
      <c r="B2754" s="397" t="n"/>
      <c r="C2754" s="397" t="n"/>
      <c r="D2754" s="397" t="n"/>
      <c r="E2754" s="397" t="n"/>
      <c r="F2754" s="397" t="n"/>
      <c r="G2754" s="397" t="n"/>
      <c r="I2754" s="397" t="n"/>
      <c r="J2754" s="397" t="n"/>
      <c r="K2754" s="395">
        <f>DATE(VALUE(LEFT(A2754,4)),VALUE(MID(A2754,5,2)),VALUE(RIGHT(A2754,2)))</f>
        <v/>
      </c>
      <c r="L2754" s="395">
        <f>DATEVALUE(LEFT(F2754,10))</f>
        <v/>
      </c>
      <c r="M2754" s="396">
        <f>TIMEVALUE(MID(F2754,12,8))</f>
        <v/>
      </c>
      <c r="N2754" s="395">
        <f>DATEVALUE(LEFT(G2754,10))</f>
        <v/>
      </c>
      <c r="O2754" s="396">
        <f>TIMEVALUE(MID(G2754,12,8))</f>
        <v/>
      </c>
      <c r="P2754" s="396">
        <f>IFERROR(_xlfn.MINIFS($M:$M,$E:$E,$E2754,$K:$K,$K2754,$M:$M,"&gt;"&amp;$O2754),"")</f>
        <v/>
      </c>
      <c r="Q2754" s="396">
        <f>IF($P2754="","",$P2754-$O2754)</f>
        <v/>
      </c>
    </row>
    <row r="2755" ht="15" customHeight="1" s="231">
      <c r="A2755" s="397" t="n"/>
      <c r="B2755" s="397" t="n"/>
      <c r="C2755" s="397" t="n"/>
      <c r="D2755" s="397" t="n"/>
      <c r="E2755" s="397" t="n"/>
      <c r="F2755" s="397" t="n"/>
      <c r="G2755" s="397" t="n"/>
      <c r="I2755" s="397" t="n"/>
      <c r="J2755" s="397" t="n"/>
      <c r="K2755" s="395">
        <f>DATE(VALUE(LEFT(A2755,4)),VALUE(MID(A2755,5,2)),VALUE(RIGHT(A2755,2)))</f>
        <v/>
      </c>
      <c r="L2755" s="395">
        <f>DATEVALUE(LEFT(F2755,10))</f>
        <v/>
      </c>
      <c r="M2755" s="396">
        <f>TIMEVALUE(MID(F2755,12,8))</f>
        <v/>
      </c>
      <c r="N2755" s="395">
        <f>DATEVALUE(LEFT(G2755,10))</f>
        <v/>
      </c>
      <c r="O2755" s="396">
        <f>TIMEVALUE(MID(G2755,12,8))</f>
        <v/>
      </c>
      <c r="P2755" s="396">
        <f>IFERROR(_xlfn.MINIFS($M:$M,$E:$E,$E2755,$K:$K,$K2755,$M:$M,"&gt;"&amp;$O2755),"")</f>
        <v/>
      </c>
      <c r="Q2755" s="396">
        <f>IF($P2755="","",$P2755-$O2755)</f>
        <v/>
      </c>
    </row>
    <row r="2756" ht="15" customHeight="1" s="231">
      <c r="A2756" s="397" t="n"/>
      <c r="B2756" s="397" t="n"/>
      <c r="C2756" s="397" t="n"/>
      <c r="D2756" s="397" t="n"/>
      <c r="E2756" s="397" t="n"/>
      <c r="F2756" s="397" t="n"/>
      <c r="G2756" s="397" t="n"/>
      <c r="I2756" s="397" t="n"/>
      <c r="J2756" s="397" t="n"/>
      <c r="K2756" s="395">
        <f>DATE(VALUE(LEFT(A2756,4)),VALUE(MID(A2756,5,2)),VALUE(RIGHT(A2756,2)))</f>
        <v/>
      </c>
      <c r="L2756" s="395">
        <f>DATEVALUE(LEFT(F2756,10))</f>
        <v/>
      </c>
      <c r="M2756" s="396">
        <f>TIMEVALUE(MID(F2756,12,8))</f>
        <v/>
      </c>
      <c r="N2756" s="395">
        <f>DATEVALUE(LEFT(G2756,10))</f>
        <v/>
      </c>
      <c r="O2756" s="396">
        <f>TIMEVALUE(MID(G2756,12,8))</f>
        <v/>
      </c>
      <c r="P2756" s="396">
        <f>IFERROR(_xlfn.MINIFS($M:$M,$E:$E,$E2756,$K:$K,$K2756,$M:$M,"&gt;"&amp;$O2756),"")</f>
        <v/>
      </c>
      <c r="Q2756" s="396">
        <f>IF($P2756="","",$P2756-$O2756)</f>
        <v/>
      </c>
    </row>
    <row r="2757" ht="15" customHeight="1" s="231">
      <c r="A2757" s="397" t="n"/>
      <c r="B2757" s="397" t="n"/>
      <c r="C2757" s="397" t="n"/>
      <c r="D2757" s="397" t="n"/>
      <c r="E2757" s="397" t="n"/>
      <c r="F2757" s="397" t="n"/>
      <c r="G2757" s="397" t="n"/>
      <c r="I2757" s="397" t="n"/>
      <c r="J2757" s="397" t="n"/>
      <c r="K2757" s="395">
        <f>DATE(VALUE(LEFT(A2757,4)),VALUE(MID(A2757,5,2)),VALUE(RIGHT(A2757,2)))</f>
        <v/>
      </c>
      <c r="L2757" s="395">
        <f>DATEVALUE(LEFT(F2757,10))</f>
        <v/>
      </c>
      <c r="M2757" s="396">
        <f>TIMEVALUE(MID(F2757,12,8))</f>
        <v/>
      </c>
      <c r="N2757" s="395">
        <f>DATEVALUE(LEFT(G2757,10))</f>
        <v/>
      </c>
      <c r="O2757" s="396">
        <f>TIMEVALUE(MID(G2757,12,8))</f>
        <v/>
      </c>
      <c r="P2757" s="396">
        <f>IFERROR(_xlfn.MINIFS($M:$M,$E:$E,$E2757,$K:$K,$K2757,$M:$M,"&gt;"&amp;$O2757),"")</f>
        <v/>
      </c>
      <c r="Q2757" s="396">
        <f>IF($P2757="","",$P2757-$O2757)</f>
        <v/>
      </c>
    </row>
    <row r="2758" ht="15" customHeight="1" s="231">
      <c r="A2758" s="397" t="n"/>
      <c r="B2758" s="397" t="n"/>
      <c r="C2758" s="397" t="n"/>
      <c r="D2758" s="397" t="n"/>
      <c r="E2758" s="397" t="n"/>
      <c r="F2758" s="397" t="n"/>
      <c r="G2758" s="397" t="n"/>
      <c r="I2758" s="397" t="n"/>
      <c r="J2758" s="397" t="n"/>
      <c r="K2758" s="395">
        <f>DATE(VALUE(LEFT(A2758,4)),VALUE(MID(A2758,5,2)),VALUE(RIGHT(A2758,2)))</f>
        <v/>
      </c>
      <c r="L2758" s="395">
        <f>DATEVALUE(LEFT(F2758,10))</f>
        <v/>
      </c>
      <c r="M2758" s="396">
        <f>TIMEVALUE(MID(F2758,12,8))</f>
        <v/>
      </c>
      <c r="N2758" s="395">
        <f>DATEVALUE(LEFT(G2758,10))</f>
        <v/>
      </c>
      <c r="O2758" s="396">
        <f>TIMEVALUE(MID(G2758,12,8))</f>
        <v/>
      </c>
      <c r="P2758" s="396">
        <f>IFERROR(_xlfn.MINIFS($M:$M,$E:$E,$E2758,$K:$K,$K2758,$M:$M,"&gt;"&amp;$O2758),"")</f>
        <v/>
      </c>
      <c r="Q2758" s="396">
        <f>IF($P2758="","",$P2758-$O2758)</f>
        <v/>
      </c>
    </row>
    <row r="2759" ht="15" customHeight="1" s="231">
      <c r="A2759" s="397" t="n"/>
      <c r="B2759" s="397" t="n"/>
      <c r="C2759" s="397" t="n"/>
      <c r="D2759" s="397" t="n"/>
      <c r="E2759" s="397" t="n"/>
      <c r="F2759" s="397" t="n"/>
      <c r="G2759" s="397" t="n"/>
      <c r="I2759" s="397" t="n"/>
      <c r="J2759" s="397" t="n"/>
      <c r="K2759" s="395">
        <f>DATE(VALUE(LEFT(A2759,4)),VALUE(MID(A2759,5,2)),VALUE(RIGHT(A2759,2)))</f>
        <v/>
      </c>
      <c r="L2759" s="395">
        <f>DATEVALUE(LEFT(F2759,10))</f>
        <v/>
      </c>
      <c r="M2759" s="396">
        <f>TIMEVALUE(MID(F2759,12,8))</f>
        <v/>
      </c>
      <c r="N2759" s="395">
        <f>DATEVALUE(LEFT(G2759,10))</f>
        <v/>
      </c>
      <c r="O2759" s="396">
        <f>TIMEVALUE(MID(G2759,12,8))</f>
        <v/>
      </c>
      <c r="P2759" s="396">
        <f>IFERROR(_xlfn.MINIFS($M:$M,$E:$E,$E2759,$K:$K,$K2759,$M:$M,"&gt;"&amp;$O2759),"")</f>
        <v/>
      </c>
      <c r="Q2759" s="396">
        <f>IF($P2759="","",$P2759-$O2759)</f>
        <v/>
      </c>
    </row>
    <row r="2760" ht="15" customHeight="1" s="231">
      <c r="A2760" s="397" t="n"/>
      <c r="B2760" s="397" t="n"/>
      <c r="C2760" s="397" t="n"/>
      <c r="D2760" s="397" t="n"/>
      <c r="E2760" s="397" t="n"/>
      <c r="F2760" s="397" t="n"/>
      <c r="G2760" s="397" t="n"/>
      <c r="I2760" s="397" t="n"/>
      <c r="J2760" s="397" t="n"/>
      <c r="K2760" s="395">
        <f>DATE(VALUE(LEFT(A2760,4)),VALUE(MID(A2760,5,2)),VALUE(RIGHT(A2760,2)))</f>
        <v/>
      </c>
      <c r="L2760" s="395">
        <f>DATEVALUE(LEFT(F2760,10))</f>
        <v/>
      </c>
      <c r="M2760" s="396">
        <f>TIMEVALUE(MID(F2760,12,8))</f>
        <v/>
      </c>
      <c r="N2760" s="395">
        <f>DATEVALUE(LEFT(G2760,10))</f>
        <v/>
      </c>
      <c r="O2760" s="396">
        <f>TIMEVALUE(MID(G2760,12,8))</f>
        <v/>
      </c>
      <c r="P2760" s="396">
        <f>IFERROR(_xlfn.MINIFS($M:$M,$E:$E,$E2760,$K:$K,$K2760,$M:$M,"&gt;"&amp;$O2760),"")</f>
        <v/>
      </c>
      <c r="Q2760" s="396">
        <f>IF($P2760="","",$P2760-$O2760)</f>
        <v/>
      </c>
    </row>
    <row r="2761" ht="15" customHeight="1" s="231">
      <c r="A2761" s="397" t="n"/>
      <c r="B2761" s="397" t="n"/>
      <c r="C2761" s="397" t="n"/>
      <c r="D2761" s="397" t="n"/>
      <c r="E2761" s="397" t="n"/>
      <c r="F2761" s="397" t="n"/>
      <c r="G2761" s="397" t="n"/>
      <c r="I2761" s="397" t="n"/>
      <c r="J2761" s="397" t="n"/>
      <c r="K2761" s="395">
        <f>DATE(VALUE(LEFT(A2761,4)),VALUE(MID(A2761,5,2)),VALUE(RIGHT(A2761,2)))</f>
        <v/>
      </c>
      <c r="L2761" s="395">
        <f>DATEVALUE(LEFT(F2761,10))</f>
        <v/>
      </c>
      <c r="M2761" s="396">
        <f>TIMEVALUE(MID(F2761,12,8))</f>
        <v/>
      </c>
      <c r="N2761" s="395">
        <f>DATEVALUE(LEFT(G2761,10))</f>
        <v/>
      </c>
      <c r="O2761" s="396">
        <f>TIMEVALUE(MID(G2761,12,8))</f>
        <v/>
      </c>
      <c r="P2761" s="396">
        <f>IFERROR(_xlfn.MINIFS($M:$M,$E:$E,$E2761,$K:$K,$K2761,$M:$M,"&gt;"&amp;$O2761),"")</f>
        <v/>
      </c>
      <c r="Q2761" s="396">
        <f>IF($P2761="","",$P2761-$O2761)</f>
        <v/>
      </c>
    </row>
    <row r="2762" ht="15" customHeight="1" s="231">
      <c r="A2762" s="397" t="n"/>
      <c r="B2762" s="397" t="n"/>
      <c r="C2762" s="397" t="n"/>
      <c r="D2762" s="397" t="n"/>
      <c r="E2762" s="397" t="n"/>
      <c r="F2762" s="397" t="n"/>
      <c r="G2762" s="397" t="n"/>
      <c r="I2762" s="397" t="n"/>
      <c r="J2762" s="397" t="n"/>
      <c r="K2762" s="395">
        <f>DATE(VALUE(LEFT(A2762,4)),VALUE(MID(A2762,5,2)),VALUE(RIGHT(A2762,2)))</f>
        <v/>
      </c>
      <c r="L2762" s="395">
        <f>DATEVALUE(LEFT(F2762,10))</f>
        <v/>
      </c>
      <c r="M2762" s="396">
        <f>TIMEVALUE(MID(F2762,12,8))</f>
        <v/>
      </c>
      <c r="N2762" s="395">
        <f>DATEVALUE(LEFT(G2762,10))</f>
        <v/>
      </c>
      <c r="O2762" s="396">
        <f>TIMEVALUE(MID(G2762,12,8))</f>
        <v/>
      </c>
      <c r="P2762" s="396">
        <f>IFERROR(_xlfn.MINIFS($M:$M,$E:$E,$E2762,$K:$K,$K2762,$M:$M,"&gt;"&amp;$O2762),"")</f>
        <v/>
      </c>
      <c r="Q2762" s="396">
        <f>IF($P2762="","",$P2762-$O2762)</f>
        <v/>
      </c>
    </row>
    <row r="2763" ht="15" customHeight="1" s="231">
      <c r="A2763" s="397" t="n"/>
      <c r="B2763" s="397" t="n"/>
      <c r="C2763" s="397" t="n"/>
      <c r="D2763" s="397" t="n"/>
      <c r="E2763" s="397" t="n"/>
      <c r="F2763" s="397" t="n"/>
      <c r="G2763" s="397" t="n"/>
      <c r="I2763" s="397" t="n"/>
      <c r="J2763" s="397" t="n"/>
      <c r="K2763" s="395">
        <f>DATE(VALUE(LEFT(A2763,4)),VALUE(MID(A2763,5,2)),VALUE(RIGHT(A2763,2)))</f>
        <v/>
      </c>
      <c r="L2763" s="395">
        <f>DATEVALUE(LEFT(F2763,10))</f>
        <v/>
      </c>
      <c r="M2763" s="396">
        <f>TIMEVALUE(MID(F2763,12,8))</f>
        <v/>
      </c>
      <c r="N2763" s="395">
        <f>DATEVALUE(LEFT(G2763,10))</f>
        <v/>
      </c>
      <c r="O2763" s="396">
        <f>TIMEVALUE(MID(G2763,12,8))</f>
        <v/>
      </c>
      <c r="P2763" s="396">
        <f>IFERROR(_xlfn.MINIFS($M:$M,$E:$E,$E2763,$K:$K,$K2763,$M:$M,"&gt;"&amp;$O2763),"")</f>
        <v/>
      </c>
      <c r="Q2763" s="396">
        <f>IF($P2763="","",$P2763-$O2763)</f>
        <v/>
      </c>
    </row>
    <row r="2764" ht="15" customHeight="1" s="231">
      <c r="A2764" s="397" t="n"/>
      <c r="B2764" s="397" t="n"/>
      <c r="C2764" s="397" t="n"/>
      <c r="D2764" s="397" t="n"/>
      <c r="E2764" s="397" t="n"/>
      <c r="F2764" s="397" t="n"/>
      <c r="G2764" s="397" t="n"/>
      <c r="I2764" s="397" t="n"/>
      <c r="J2764" s="397" t="n"/>
      <c r="K2764" s="395">
        <f>DATE(VALUE(LEFT(A2764,4)),VALUE(MID(A2764,5,2)),VALUE(RIGHT(A2764,2)))</f>
        <v/>
      </c>
      <c r="L2764" s="395">
        <f>DATEVALUE(LEFT(F2764,10))</f>
        <v/>
      </c>
      <c r="M2764" s="396">
        <f>TIMEVALUE(MID(F2764,12,8))</f>
        <v/>
      </c>
      <c r="N2764" s="395">
        <f>DATEVALUE(LEFT(G2764,10))</f>
        <v/>
      </c>
      <c r="O2764" s="396">
        <f>TIMEVALUE(MID(G2764,12,8))</f>
        <v/>
      </c>
      <c r="P2764" s="396">
        <f>IFERROR(_xlfn.MINIFS($M:$M,$E:$E,$E2764,$K:$K,$K2764,$M:$M,"&gt;"&amp;$O2764),"")</f>
        <v/>
      </c>
      <c r="Q2764" s="396">
        <f>IF($P2764="","",$P2764-$O2764)</f>
        <v/>
      </c>
    </row>
    <row r="2765" ht="15" customHeight="1" s="231">
      <c r="A2765" s="397" t="n"/>
      <c r="B2765" s="397" t="n"/>
      <c r="C2765" s="397" t="n"/>
      <c r="D2765" s="397" t="n"/>
      <c r="E2765" s="397" t="n"/>
      <c r="F2765" s="397" t="n"/>
      <c r="G2765" s="397" t="n"/>
      <c r="I2765" s="397" t="n"/>
      <c r="J2765" s="397" t="n"/>
      <c r="K2765" s="395">
        <f>DATE(VALUE(LEFT(A2765,4)),VALUE(MID(A2765,5,2)),VALUE(RIGHT(A2765,2)))</f>
        <v/>
      </c>
      <c r="L2765" s="395">
        <f>DATEVALUE(LEFT(F2765,10))</f>
        <v/>
      </c>
      <c r="M2765" s="396">
        <f>TIMEVALUE(MID(F2765,12,8))</f>
        <v/>
      </c>
      <c r="N2765" s="395">
        <f>DATEVALUE(LEFT(G2765,10))</f>
        <v/>
      </c>
      <c r="O2765" s="396">
        <f>TIMEVALUE(MID(G2765,12,8))</f>
        <v/>
      </c>
      <c r="P2765" s="396">
        <f>IFERROR(_xlfn.MINIFS($M:$M,$E:$E,$E2765,$K:$K,$K2765,$M:$M,"&gt;"&amp;$O2765),"")</f>
        <v/>
      </c>
      <c r="Q2765" s="396">
        <f>IF($P2765="","",$P2765-$O2765)</f>
        <v/>
      </c>
    </row>
    <row r="2766" ht="15" customHeight="1" s="231">
      <c r="A2766" s="397" t="n"/>
      <c r="B2766" s="397" t="n"/>
      <c r="C2766" s="397" t="n"/>
      <c r="D2766" s="397" t="n"/>
      <c r="E2766" s="397" t="n"/>
      <c r="F2766" s="397" t="n"/>
      <c r="G2766" s="397" t="n"/>
      <c r="I2766" s="397" t="n"/>
      <c r="J2766" s="397" t="n"/>
      <c r="K2766" s="395">
        <f>DATE(VALUE(LEFT(A2766,4)),VALUE(MID(A2766,5,2)),VALUE(RIGHT(A2766,2)))</f>
        <v/>
      </c>
      <c r="L2766" s="395">
        <f>DATEVALUE(LEFT(F2766,10))</f>
        <v/>
      </c>
      <c r="M2766" s="396">
        <f>TIMEVALUE(MID(F2766,12,8))</f>
        <v/>
      </c>
      <c r="N2766" s="395">
        <f>DATEVALUE(LEFT(G2766,10))</f>
        <v/>
      </c>
      <c r="O2766" s="396">
        <f>TIMEVALUE(MID(G2766,12,8))</f>
        <v/>
      </c>
      <c r="P2766" s="396">
        <f>IFERROR(_xlfn.MINIFS($M:$M,$E:$E,$E2766,$K:$K,$K2766,$M:$M,"&gt;"&amp;$O2766),"")</f>
        <v/>
      </c>
      <c r="Q2766" s="396">
        <f>IF($P2766="","",$P2766-$O2766)</f>
        <v/>
      </c>
    </row>
    <row r="2767" ht="15" customHeight="1" s="231">
      <c r="A2767" s="397" t="n"/>
      <c r="B2767" s="397" t="n"/>
      <c r="C2767" s="397" t="n"/>
      <c r="D2767" s="397" t="n"/>
      <c r="E2767" s="397" t="n"/>
      <c r="F2767" s="397" t="n"/>
      <c r="G2767" s="397" t="n"/>
      <c r="I2767" s="397" t="n"/>
      <c r="J2767" s="397" t="n"/>
      <c r="K2767" s="395">
        <f>DATE(VALUE(LEFT(A2767,4)),VALUE(MID(A2767,5,2)),VALUE(RIGHT(A2767,2)))</f>
        <v/>
      </c>
      <c r="L2767" s="395">
        <f>DATEVALUE(LEFT(F2767,10))</f>
        <v/>
      </c>
      <c r="M2767" s="396">
        <f>TIMEVALUE(MID(F2767,12,8))</f>
        <v/>
      </c>
      <c r="N2767" s="395">
        <f>DATEVALUE(LEFT(G2767,10))</f>
        <v/>
      </c>
      <c r="O2767" s="396">
        <f>TIMEVALUE(MID(G2767,12,8))</f>
        <v/>
      </c>
      <c r="P2767" s="396">
        <f>IFERROR(_xlfn.MINIFS($M:$M,$E:$E,$E2767,$K:$K,$K2767,$M:$M,"&gt;"&amp;$O2767),"")</f>
        <v/>
      </c>
      <c r="Q2767" s="396">
        <f>IF($P2767="","",$P2767-$O2767)</f>
        <v/>
      </c>
    </row>
    <row r="2768" ht="15" customHeight="1" s="231">
      <c r="A2768" s="397" t="n"/>
      <c r="B2768" s="397" t="n"/>
      <c r="C2768" s="397" t="n"/>
      <c r="D2768" s="397" t="n"/>
      <c r="E2768" s="397" t="n"/>
      <c r="F2768" s="397" t="n"/>
      <c r="G2768" s="397" t="n"/>
      <c r="I2768" s="397" t="n"/>
      <c r="J2768" s="397" t="n"/>
      <c r="K2768" s="395">
        <f>DATE(VALUE(LEFT(A2768,4)),VALUE(MID(A2768,5,2)),VALUE(RIGHT(A2768,2)))</f>
        <v/>
      </c>
      <c r="L2768" s="395">
        <f>DATEVALUE(LEFT(F2768,10))</f>
        <v/>
      </c>
      <c r="M2768" s="396">
        <f>TIMEVALUE(MID(F2768,12,8))</f>
        <v/>
      </c>
      <c r="N2768" s="395">
        <f>DATEVALUE(LEFT(G2768,10))</f>
        <v/>
      </c>
      <c r="O2768" s="396">
        <f>TIMEVALUE(MID(G2768,12,8))</f>
        <v/>
      </c>
      <c r="P2768" s="396">
        <f>IFERROR(_xlfn.MINIFS($M:$M,$E:$E,$E2768,$K:$K,$K2768,$M:$M,"&gt;"&amp;$O2768),"")</f>
        <v/>
      </c>
      <c r="Q2768" s="396">
        <f>IF($P2768="","",$P2768-$O2768)</f>
        <v/>
      </c>
    </row>
    <row r="2769" ht="15" customHeight="1" s="231">
      <c r="A2769" s="397" t="n"/>
      <c r="B2769" s="397" t="n"/>
      <c r="C2769" s="397" t="n"/>
      <c r="D2769" s="397" t="n"/>
      <c r="E2769" s="397" t="n"/>
      <c r="F2769" s="397" t="n"/>
      <c r="G2769" s="397" t="n"/>
      <c r="I2769" s="397" t="n"/>
      <c r="J2769" s="397" t="n"/>
      <c r="K2769" s="395">
        <f>DATE(VALUE(LEFT(A2769,4)),VALUE(MID(A2769,5,2)),VALUE(RIGHT(A2769,2)))</f>
        <v/>
      </c>
      <c r="L2769" s="395">
        <f>DATEVALUE(LEFT(F2769,10))</f>
        <v/>
      </c>
      <c r="M2769" s="396">
        <f>TIMEVALUE(MID(F2769,12,8))</f>
        <v/>
      </c>
      <c r="N2769" s="395">
        <f>DATEVALUE(LEFT(G2769,10))</f>
        <v/>
      </c>
      <c r="O2769" s="396">
        <f>TIMEVALUE(MID(G2769,12,8))</f>
        <v/>
      </c>
      <c r="P2769" s="396">
        <f>IFERROR(_xlfn.MINIFS($M:$M,$E:$E,$E2769,$K:$K,$K2769,$M:$M,"&gt;"&amp;$O2769),"")</f>
        <v/>
      </c>
      <c r="Q2769" s="396">
        <f>IF($P2769="","",$P2769-$O2769)</f>
        <v/>
      </c>
    </row>
    <row r="2770" ht="15" customHeight="1" s="231">
      <c r="A2770" s="397" t="n"/>
      <c r="B2770" s="397" t="n"/>
      <c r="C2770" s="397" t="n"/>
      <c r="D2770" s="397" t="n"/>
      <c r="E2770" s="397" t="n"/>
      <c r="F2770" s="397" t="n"/>
      <c r="G2770" s="397" t="n"/>
      <c r="I2770" s="397" t="n"/>
      <c r="J2770" s="397" t="n"/>
      <c r="K2770" s="395">
        <f>DATE(VALUE(LEFT(A2770,4)),VALUE(MID(A2770,5,2)),VALUE(RIGHT(A2770,2)))</f>
        <v/>
      </c>
      <c r="L2770" s="395">
        <f>DATEVALUE(LEFT(F2770,10))</f>
        <v/>
      </c>
      <c r="M2770" s="396">
        <f>TIMEVALUE(MID(F2770,12,8))</f>
        <v/>
      </c>
      <c r="N2770" s="395">
        <f>DATEVALUE(LEFT(G2770,10))</f>
        <v/>
      </c>
      <c r="O2770" s="396">
        <f>TIMEVALUE(MID(G2770,12,8))</f>
        <v/>
      </c>
      <c r="P2770" s="396">
        <f>IFERROR(_xlfn.MINIFS($M:$M,$E:$E,$E2770,$K:$K,$K2770,$M:$M,"&gt;"&amp;$O2770),"")</f>
        <v/>
      </c>
      <c r="Q2770" s="396">
        <f>IF($P2770="","",$P2770-$O2770)</f>
        <v/>
      </c>
    </row>
    <row r="2771" ht="15" customHeight="1" s="231">
      <c r="A2771" s="397" t="n"/>
      <c r="B2771" s="397" t="n"/>
      <c r="C2771" s="397" t="n"/>
      <c r="D2771" s="397" t="n"/>
      <c r="E2771" s="397" t="n"/>
      <c r="F2771" s="397" t="n"/>
      <c r="G2771" s="397" t="n"/>
      <c r="I2771" s="397" t="n"/>
      <c r="J2771" s="397" t="n"/>
      <c r="K2771" s="395">
        <f>DATE(VALUE(LEFT(A2771,4)),VALUE(MID(A2771,5,2)),VALUE(RIGHT(A2771,2)))</f>
        <v/>
      </c>
      <c r="L2771" s="395">
        <f>DATEVALUE(LEFT(F2771,10))</f>
        <v/>
      </c>
      <c r="M2771" s="396">
        <f>TIMEVALUE(MID(F2771,12,8))</f>
        <v/>
      </c>
      <c r="N2771" s="395">
        <f>DATEVALUE(LEFT(G2771,10))</f>
        <v/>
      </c>
      <c r="O2771" s="396">
        <f>TIMEVALUE(MID(G2771,12,8))</f>
        <v/>
      </c>
      <c r="P2771" s="396">
        <f>IFERROR(_xlfn.MINIFS($M:$M,$E:$E,$E2771,$K:$K,$K2771,$M:$M,"&gt;"&amp;$O2771),"")</f>
        <v/>
      </c>
      <c r="Q2771" s="396">
        <f>IF($P2771="","",$P2771-$O2771)</f>
        <v/>
      </c>
    </row>
    <row r="2772" ht="15" customHeight="1" s="231">
      <c r="A2772" s="397" t="n"/>
      <c r="B2772" s="397" t="n"/>
      <c r="C2772" s="397" t="n"/>
      <c r="D2772" s="397" t="n"/>
      <c r="E2772" s="397" t="n"/>
      <c r="F2772" s="397" t="n"/>
      <c r="G2772" s="397" t="n"/>
      <c r="I2772" s="397" t="n"/>
      <c r="J2772" s="397" t="n"/>
      <c r="K2772" s="395">
        <f>DATE(VALUE(LEFT(A2772,4)),VALUE(MID(A2772,5,2)),VALUE(RIGHT(A2772,2)))</f>
        <v/>
      </c>
      <c r="L2772" s="395">
        <f>DATEVALUE(LEFT(F2772,10))</f>
        <v/>
      </c>
      <c r="M2772" s="396">
        <f>TIMEVALUE(MID(F2772,12,8))</f>
        <v/>
      </c>
      <c r="N2772" s="395">
        <f>DATEVALUE(LEFT(G2772,10))</f>
        <v/>
      </c>
      <c r="O2772" s="396">
        <f>TIMEVALUE(MID(G2772,12,8))</f>
        <v/>
      </c>
      <c r="P2772" s="396">
        <f>IFERROR(_xlfn.MINIFS($M:$M,$E:$E,$E2772,$K:$K,$K2772,$M:$M,"&gt;"&amp;$O2772),"")</f>
        <v/>
      </c>
      <c r="Q2772" s="396">
        <f>IF($P2772="","",$P2772-$O2772)</f>
        <v/>
      </c>
    </row>
    <row r="2773" ht="15" customHeight="1" s="231">
      <c r="A2773" s="397" t="n"/>
      <c r="B2773" s="397" t="n"/>
      <c r="C2773" s="397" t="n"/>
      <c r="D2773" s="397" t="n"/>
      <c r="E2773" s="397" t="n"/>
      <c r="F2773" s="397" t="n"/>
      <c r="G2773" s="397" t="n"/>
      <c r="I2773" s="397" t="n"/>
      <c r="J2773" s="397" t="n"/>
      <c r="K2773" s="395">
        <f>DATE(VALUE(LEFT(A2773,4)),VALUE(MID(A2773,5,2)),VALUE(RIGHT(A2773,2)))</f>
        <v/>
      </c>
      <c r="L2773" s="395">
        <f>DATEVALUE(LEFT(F2773,10))</f>
        <v/>
      </c>
      <c r="M2773" s="396">
        <f>TIMEVALUE(MID(F2773,12,8))</f>
        <v/>
      </c>
      <c r="N2773" s="395">
        <f>DATEVALUE(LEFT(G2773,10))</f>
        <v/>
      </c>
      <c r="O2773" s="396">
        <f>TIMEVALUE(MID(G2773,12,8))</f>
        <v/>
      </c>
      <c r="P2773" s="396">
        <f>IFERROR(_xlfn.MINIFS($M:$M,$E:$E,$E2773,$K:$K,$K2773,$M:$M,"&gt;"&amp;$O2773),"")</f>
        <v/>
      </c>
      <c r="Q2773" s="396">
        <f>IF($P2773="","",$P2773-$O2773)</f>
        <v/>
      </c>
    </row>
    <row r="2774" ht="15" customHeight="1" s="231">
      <c r="A2774" s="397" t="n"/>
      <c r="B2774" s="397" t="n"/>
      <c r="C2774" s="397" t="n"/>
      <c r="D2774" s="397" t="n"/>
      <c r="E2774" s="397" t="n"/>
      <c r="F2774" s="397" t="n"/>
      <c r="G2774" s="397" t="n"/>
      <c r="I2774" s="397" t="n"/>
      <c r="J2774" s="397" t="n"/>
      <c r="K2774" s="395">
        <f>DATE(VALUE(LEFT(A2774,4)),VALUE(MID(A2774,5,2)),VALUE(RIGHT(A2774,2)))</f>
        <v/>
      </c>
      <c r="L2774" s="395">
        <f>DATEVALUE(LEFT(F2774,10))</f>
        <v/>
      </c>
      <c r="M2774" s="396">
        <f>TIMEVALUE(MID(F2774,12,8))</f>
        <v/>
      </c>
      <c r="N2774" s="395">
        <f>DATEVALUE(LEFT(G2774,10))</f>
        <v/>
      </c>
      <c r="O2774" s="396">
        <f>TIMEVALUE(MID(G2774,12,8))</f>
        <v/>
      </c>
      <c r="P2774" s="396">
        <f>IFERROR(_xlfn.MINIFS($M:$M,$E:$E,$E2774,$K:$K,$K2774,$M:$M,"&gt;"&amp;$O2774),"")</f>
        <v/>
      </c>
      <c r="Q2774" s="396">
        <f>IF($P2774="","",$P2774-$O2774)</f>
        <v/>
      </c>
    </row>
    <row r="2775" ht="15" customHeight="1" s="231">
      <c r="A2775" s="397" t="n"/>
      <c r="B2775" s="397" t="n"/>
      <c r="C2775" s="397" t="n"/>
      <c r="D2775" s="397" t="n"/>
      <c r="E2775" s="397" t="n"/>
      <c r="F2775" s="397" t="n"/>
      <c r="G2775" s="397" t="n"/>
      <c r="I2775" s="397" t="n"/>
      <c r="J2775" s="397" t="n"/>
      <c r="K2775" s="395">
        <f>DATE(VALUE(LEFT(A2775,4)),VALUE(MID(A2775,5,2)),VALUE(RIGHT(A2775,2)))</f>
        <v/>
      </c>
      <c r="L2775" s="395">
        <f>DATEVALUE(LEFT(F2775,10))</f>
        <v/>
      </c>
      <c r="M2775" s="396">
        <f>TIMEVALUE(MID(F2775,12,8))</f>
        <v/>
      </c>
      <c r="N2775" s="395">
        <f>DATEVALUE(LEFT(G2775,10))</f>
        <v/>
      </c>
      <c r="O2775" s="396">
        <f>TIMEVALUE(MID(G2775,12,8))</f>
        <v/>
      </c>
      <c r="P2775" s="396">
        <f>IFERROR(_xlfn.MINIFS($M:$M,$E:$E,$E2775,$K:$K,$K2775,$M:$M,"&gt;"&amp;$O2775),"")</f>
        <v/>
      </c>
      <c r="Q2775" s="396">
        <f>IF($P2775="","",$P2775-$O2775)</f>
        <v/>
      </c>
    </row>
    <row r="2776" ht="15" customHeight="1" s="231">
      <c r="A2776" s="397" t="n"/>
      <c r="B2776" s="397" t="n"/>
      <c r="C2776" s="397" t="n"/>
      <c r="D2776" s="397" t="n"/>
      <c r="E2776" s="397" t="n"/>
      <c r="F2776" s="397" t="n"/>
      <c r="G2776" s="397" t="n"/>
      <c r="I2776" s="397" t="n"/>
      <c r="J2776" s="397" t="n"/>
      <c r="K2776" s="395">
        <f>DATE(VALUE(LEFT(A2776,4)),VALUE(MID(A2776,5,2)),VALUE(RIGHT(A2776,2)))</f>
        <v/>
      </c>
      <c r="L2776" s="395">
        <f>DATEVALUE(LEFT(F2776,10))</f>
        <v/>
      </c>
      <c r="M2776" s="396">
        <f>TIMEVALUE(MID(F2776,12,8))</f>
        <v/>
      </c>
      <c r="N2776" s="395">
        <f>DATEVALUE(LEFT(G2776,10))</f>
        <v/>
      </c>
      <c r="O2776" s="396">
        <f>TIMEVALUE(MID(G2776,12,8))</f>
        <v/>
      </c>
      <c r="P2776" s="396">
        <f>IFERROR(_xlfn.MINIFS($M:$M,$E:$E,$E2776,$K:$K,$K2776,$M:$M,"&gt;"&amp;$O2776),"")</f>
        <v/>
      </c>
      <c r="Q2776" s="396">
        <f>IF($P2776="","",$P2776-$O2776)</f>
        <v/>
      </c>
    </row>
    <row r="2777" ht="15" customHeight="1" s="231">
      <c r="A2777" s="397" t="n"/>
      <c r="B2777" s="397" t="n"/>
      <c r="C2777" s="397" t="n"/>
      <c r="D2777" s="397" t="n"/>
      <c r="E2777" s="397" t="n"/>
      <c r="F2777" s="397" t="n"/>
      <c r="G2777" s="397" t="n"/>
      <c r="I2777" s="397" t="n"/>
      <c r="J2777" s="397" t="n"/>
      <c r="K2777" s="395">
        <f>DATE(VALUE(LEFT(A2777,4)),VALUE(MID(A2777,5,2)),VALUE(RIGHT(A2777,2)))</f>
        <v/>
      </c>
      <c r="L2777" s="395">
        <f>DATEVALUE(LEFT(F2777,10))</f>
        <v/>
      </c>
      <c r="M2777" s="396">
        <f>TIMEVALUE(MID(F2777,12,8))</f>
        <v/>
      </c>
      <c r="N2777" s="395">
        <f>DATEVALUE(LEFT(G2777,10))</f>
        <v/>
      </c>
      <c r="O2777" s="396">
        <f>TIMEVALUE(MID(G2777,12,8))</f>
        <v/>
      </c>
      <c r="P2777" s="396">
        <f>IFERROR(_xlfn.MINIFS($M:$M,$E:$E,$E2777,$K:$K,$K2777,$M:$M,"&gt;"&amp;$O2777),"")</f>
        <v/>
      </c>
      <c r="Q2777" s="396">
        <f>IF($P2777="","",$P2777-$O2777)</f>
        <v/>
      </c>
    </row>
    <row r="2778" ht="15" customHeight="1" s="231">
      <c r="A2778" s="397" t="n"/>
      <c r="B2778" s="397" t="n"/>
      <c r="C2778" s="397" t="n"/>
      <c r="D2778" s="397" t="n"/>
      <c r="E2778" s="397" t="n"/>
      <c r="F2778" s="397" t="n"/>
      <c r="G2778" s="397" t="n"/>
      <c r="I2778" s="397" t="n"/>
      <c r="J2778" s="397" t="n"/>
      <c r="K2778" s="395">
        <f>DATE(VALUE(LEFT(A2778,4)),VALUE(MID(A2778,5,2)),VALUE(RIGHT(A2778,2)))</f>
        <v/>
      </c>
      <c r="L2778" s="395">
        <f>DATEVALUE(LEFT(F2778,10))</f>
        <v/>
      </c>
      <c r="M2778" s="396">
        <f>TIMEVALUE(MID(F2778,12,8))</f>
        <v/>
      </c>
      <c r="N2778" s="395">
        <f>DATEVALUE(LEFT(G2778,10))</f>
        <v/>
      </c>
      <c r="O2778" s="396">
        <f>TIMEVALUE(MID(G2778,12,8))</f>
        <v/>
      </c>
      <c r="P2778" s="396">
        <f>IFERROR(_xlfn.MINIFS($M:$M,$E:$E,$E2778,$K:$K,$K2778,$M:$M,"&gt;"&amp;$O2778),"")</f>
        <v/>
      </c>
      <c r="Q2778" s="396">
        <f>IF($P2778="","",$P2778-$O2778)</f>
        <v/>
      </c>
    </row>
    <row r="2779" ht="15" customHeight="1" s="231">
      <c r="A2779" s="397" t="n"/>
      <c r="B2779" s="397" t="n"/>
      <c r="C2779" s="397" t="n"/>
      <c r="D2779" s="397" t="n"/>
      <c r="E2779" s="397" t="n"/>
      <c r="F2779" s="397" t="n"/>
      <c r="G2779" s="397" t="n"/>
      <c r="I2779" s="397" t="n"/>
      <c r="J2779" s="397" t="n"/>
      <c r="K2779" s="395">
        <f>DATE(VALUE(LEFT(A2779,4)),VALUE(MID(A2779,5,2)),VALUE(RIGHT(A2779,2)))</f>
        <v/>
      </c>
      <c r="L2779" s="395">
        <f>DATEVALUE(LEFT(F2779,10))</f>
        <v/>
      </c>
      <c r="M2779" s="396">
        <f>TIMEVALUE(MID(F2779,12,8))</f>
        <v/>
      </c>
      <c r="N2779" s="395">
        <f>DATEVALUE(LEFT(G2779,10))</f>
        <v/>
      </c>
      <c r="O2779" s="396">
        <f>TIMEVALUE(MID(G2779,12,8))</f>
        <v/>
      </c>
      <c r="P2779" s="396">
        <f>IFERROR(_xlfn.MINIFS($M:$M,$E:$E,$E2779,$K:$K,$K2779,$M:$M,"&gt;"&amp;$O2779),"")</f>
        <v/>
      </c>
      <c r="Q2779" s="396">
        <f>IF($P2779="","",$P2779-$O2779)</f>
        <v/>
      </c>
    </row>
    <row r="2780" ht="15" customHeight="1" s="231">
      <c r="A2780" s="397" t="n"/>
      <c r="B2780" s="397" t="n"/>
      <c r="C2780" s="397" t="n"/>
      <c r="D2780" s="397" t="n"/>
      <c r="E2780" s="397" t="n"/>
      <c r="F2780" s="397" t="n"/>
      <c r="G2780" s="397" t="n"/>
      <c r="I2780" s="397" t="n"/>
      <c r="J2780" s="397" t="n"/>
      <c r="K2780" s="395">
        <f>DATE(VALUE(LEFT(A2780,4)),VALUE(MID(A2780,5,2)),VALUE(RIGHT(A2780,2)))</f>
        <v/>
      </c>
      <c r="L2780" s="395">
        <f>DATEVALUE(LEFT(F2780,10))</f>
        <v/>
      </c>
      <c r="M2780" s="396">
        <f>TIMEVALUE(MID(F2780,12,8))</f>
        <v/>
      </c>
      <c r="N2780" s="395">
        <f>DATEVALUE(LEFT(G2780,10))</f>
        <v/>
      </c>
      <c r="O2780" s="396">
        <f>TIMEVALUE(MID(G2780,12,8))</f>
        <v/>
      </c>
      <c r="P2780" s="396">
        <f>IFERROR(_xlfn.MINIFS($M:$M,$E:$E,$E2780,$K:$K,$K2780,$M:$M,"&gt;"&amp;$O2780),"")</f>
        <v/>
      </c>
      <c r="Q2780" s="396">
        <f>IF($P2780="","",$P2780-$O2780)</f>
        <v/>
      </c>
    </row>
    <row r="2781" ht="15" customHeight="1" s="231">
      <c r="A2781" s="397" t="n"/>
      <c r="B2781" s="397" t="n"/>
      <c r="C2781" s="397" t="n"/>
      <c r="D2781" s="397" t="n"/>
      <c r="E2781" s="397" t="n"/>
      <c r="F2781" s="397" t="n"/>
      <c r="G2781" s="397" t="n"/>
      <c r="I2781" s="397" t="n"/>
      <c r="J2781" s="397" t="n"/>
      <c r="K2781" s="395">
        <f>DATE(VALUE(LEFT(A2781,4)),VALUE(MID(A2781,5,2)),VALUE(RIGHT(A2781,2)))</f>
        <v/>
      </c>
      <c r="L2781" s="395">
        <f>DATEVALUE(LEFT(F2781,10))</f>
        <v/>
      </c>
      <c r="M2781" s="396">
        <f>TIMEVALUE(MID(F2781,12,8))</f>
        <v/>
      </c>
      <c r="N2781" s="395">
        <f>DATEVALUE(LEFT(G2781,10))</f>
        <v/>
      </c>
      <c r="O2781" s="396">
        <f>TIMEVALUE(MID(G2781,12,8))</f>
        <v/>
      </c>
      <c r="P2781" s="396">
        <f>IFERROR(_xlfn.MINIFS($M:$M,$E:$E,$E2781,$K:$K,$K2781,$M:$M,"&gt;"&amp;$O2781),"")</f>
        <v/>
      </c>
      <c r="Q2781" s="396">
        <f>IF($P2781="","",$P2781-$O2781)</f>
        <v/>
      </c>
    </row>
    <row r="2782" ht="15" customHeight="1" s="231">
      <c r="A2782" s="397" t="n"/>
      <c r="B2782" s="397" t="n"/>
      <c r="C2782" s="397" t="n"/>
      <c r="D2782" s="397" t="n"/>
      <c r="E2782" s="397" t="n"/>
      <c r="F2782" s="397" t="n"/>
      <c r="G2782" s="397" t="n"/>
      <c r="I2782" s="397" t="n"/>
      <c r="J2782" s="397" t="n"/>
      <c r="K2782" s="395">
        <f>DATE(VALUE(LEFT(A2782,4)),VALUE(MID(A2782,5,2)),VALUE(RIGHT(A2782,2)))</f>
        <v/>
      </c>
      <c r="L2782" s="395">
        <f>DATEVALUE(LEFT(F2782,10))</f>
        <v/>
      </c>
      <c r="M2782" s="396">
        <f>TIMEVALUE(MID(F2782,12,8))</f>
        <v/>
      </c>
      <c r="N2782" s="395">
        <f>DATEVALUE(LEFT(G2782,10))</f>
        <v/>
      </c>
      <c r="O2782" s="396">
        <f>TIMEVALUE(MID(G2782,12,8))</f>
        <v/>
      </c>
      <c r="P2782" s="396">
        <f>IFERROR(_xlfn.MINIFS($M:$M,$E:$E,$E2782,$K:$K,$K2782,$M:$M,"&gt;"&amp;$O2782),"")</f>
        <v/>
      </c>
      <c r="Q2782" s="396">
        <f>IF($P2782="","",$P2782-$O2782)</f>
        <v/>
      </c>
    </row>
    <row r="2783" ht="15" customHeight="1" s="231">
      <c r="A2783" s="397" t="n"/>
      <c r="B2783" s="397" t="n"/>
      <c r="C2783" s="397" t="n"/>
      <c r="D2783" s="397" t="n"/>
      <c r="E2783" s="397" t="n"/>
      <c r="F2783" s="397" t="n"/>
      <c r="G2783" s="397" t="n"/>
      <c r="I2783" s="397" t="n"/>
      <c r="J2783" s="397" t="n"/>
      <c r="K2783" s="395">
        <f>DATE(VALUE(LEFT(A2783,4)),VALUE(MID(A2783,5,2)),VALUE(RIGHT(A2783,2)))</f>
        <v/>
      </c>
      <c r="L2783" s="395">
        <f>DATEVALUE(LEFT(F2783,10))</f>
        <v/>
      </c>
      <c r="M2783" s="396">
        <f>TIMEVALUE(MID(F2783,12,8))</f>
        <v/>
      </c>
      <c r="N2783" s="395">
        <f>DATEVALUE(LEFT(G2783,10))</f>
        <v/>
      </c>
      <c r="O2783" s="396">
        <f>TIMEVALUE(MID(G2783,12,8))</f>
        <v/>
      </c>
      <c r="P2783" s="396">
        <f>IFERROR(_xlfn.MINIFS($M:$M,$E:$E,$E2783,$K:$K,$K2783,$M:$M,"&gt;"&amp;$O2783),"")</f>
        <v/>
      </c>
      <c r="Q2783" s="396">
        <f>IF($P2783="","",$P2783-$O2783)</f>
        <v/>
      </c>
    </row>
    <row r="2784" ht="15" customHeight="1" s="231">
      <c r="A2784" s="397" t="n"/>
      <c r="B2784" s="397" t="n"/>
      <c r="C2784" s="397" t="n"/>
      <c r="D2784" s="397" t="n"/>
      <c r="E2784" s="397" t="n"/>
      <c r="F2784" s="397" t="n"/>
      <c r="G2784" s="397" t="n"/>
      <c r="I2784" s="397" t="n"/>
      <c r="J2784" s="397" t="n"/>
      <c r="K2784" s="395">
        <f>DATE(VALUE(LEFT(A2784,4)),VALUE(MID(A2784,5,2)),VALUE(RIGHT(A2784,2)))</f>
        <v/>
      </c>
      <c r="L2784" s="395">
        <f>DATEVALUE(LEFT(F2784,10))</f>
        <v/>
      </c>
      <c r="M2784" s="396">
        <f>TIMEVALUE(MID(F2784,12,8))</f>
        <v/>
      </c>
      <c r="N2784" s="395">
        <f>DATEVALUE(LEFT(G2784,10))</f>
        <v/>
      </c>
      <c r="O2784" s="396">
        <f>TIMEVALUE(MID(G2784,12,8))</f>
        <v/>
      </c>
      <c r="P2784" s="396">
        <f>IFERROR(_xlfn.MINIFS($M:$M,$E:$E,$E2784,$K:$K,$K2784,$M:$M,"&gt;"&amp;$O2784),"")</f>
        <v/>
      </c>
      <c r="Q2784" s="396">
        <f>IF($P2784="","",$P2784-$O2784)</f>
        <v/>
      </c>
    </row>
    <row r="2785" ht="15" customHeight="1" s="231">
      <c r="A2785" s="397" t="n"/>
      <c r="B2785" s="397" t="n"/>
      <c r="C2785" s="397" t="n"/>
      <c r="D2785" s="397" t="n"/>
      <c r="E2785" s="397" t="n"/>
      <c r="F2785" s="397" t="n"/>
      <c r="G2785" s="397" t="n"/>
      <c r="I2785" s="397" t="n"/>
      <c r="J2785" s="397" t="n"/>
      <c r="K2785" s="395">
        <f>DATE(VALUE(LEFT(A2785,4)),VALUE(MID(A2785,5,2)),VALUE(RIGHT(A2785,2)))</f>
        <v/>
      </c>
      <c r="L2785" s="395">
        <f>DATEVALUE(LEFT(F2785,10))</f>
        <v/>
      </c>
      <c r="M2785" s="396">
        <f>TIMEVALUE(MID(F2785,12,8))</f>
        <v/>
      </c>
      <c r="N2785" s="395">
        <f>DATEVALUE(LEFT(G2785,10))</f>
        <v/>
      </c>
      <c r="O2785" s="396">
        <f>TIMEVALUE(MID(G2785,12,8))</f>
        <v/>
      </c>
      <c r="P2785" s="396">
        <f>IFERROR(_xlfn.MINIFS($M:$M,$E:$E,$E2785,$K:$K,$K2785,$M:$M,"&gt;"&amp;$O2785),"")</f>
        <v/>
      </c>
      <c r="Q2785" s="396">
        <f>IF($P2785="","",$P2785-$O2785)</f>
        <v/>
      </c>
    </row>
    <row r="2786" ht="15" customHeight="1" s="231">
      <c r="A2786" s="397" t="n"/>
      <c r="B2786" s="397" t="n"/>
      <c r="C2786" s="397" t="n"/>
      <c r="D2786" s="397" t="n"/>
      <c r="E2786" s="397" t="n"/>
      <c r="F2786" s="397" t="n"/>
      <c r="G2786" s="397" t="n"/>
      <c r="I2786" s="397" t="n"/>
      <c r="J2786" s="397" t="n"/>
      <c r="K2786" s="395">
        <f>DATE(VALUE(LEFT(A2786,4)),VALUE(MID(A2786,5,2)),VALUE(RIGHT(A2786,2)))</f>
        <v/>
      </c>
      <c r="L2786" s="395">
        <f>DATEVALUE(LEFT(F2786,10))</f>
        <v/>
      </c>
      <c r="M2786" s="396">
        <f>TIMEVALUE(MID(F2786,12,8))</f>
        <v/>
      </c>
      <c r="N2786" s="395">
        <f>DATEVALUE(LEFT(G2786,10))</f>
        <v/>
      </c>
      <c r="O2786" s="396">
        <f>TIMEVALUE(MID(G2786,12,8))</f>
        <v/>
      </c>
      <c r="P2786" s="396">
        <f>IFERROR(_xlfn.MINIFS($M:$M,$E:$E,$E2786,$K:$K,$K2786,$M:$M,"&gt;"&amp;$O2786),"")</f>
        <v/>
      </c>
      <c r="Q2786" s="396">
        <f>IF($P2786="","",$P2786-$O2786)</f>
        <v/>
      </c>
    </row>
    <row r="2787" ht="15" customHeight="1" s="231">
      <c r="A2787" s="397" t="n"/>
      <c r="B2787" s="397" t="n"/>
      <c r="C2787" s="397" t="n"/>
      <c r="D2787" s="397" t="n"/>
      <c r="E2787" s="397" t="n"/>
      <c r="F2787" s="397" t="n"/>
      <c r="G2787" s="397" t="n"/>
      <c r="I2787" s="397" t="n"/>
      <c r="J2787" s="397" t="n"/>
      <c r="K2787" s="395">
        <f>DATE(VALUE(LEFT(A2787,4)),VALUE(MID(A2787,5,2)),VALUE(RIGHT(A2787,2)))</f>
        <v/>
      </c>
      <c r="L2787" s="395">
        <f>DATEVALUE(LEFT(F2787,10))</f>
        <v/>
      </c>
      <c r="M2787" s="396">
        <f>TIMEVALUE(MID(F2787,12,8))</f>
        <v/>
      </c>
      <c r="N2787" s="395">
        <f>DATEVALUE(LEFT(G2787,10))</f>
        <v/>
      </c>
      <c r="O2787" s="396">
        <f>TIMEVALUE(MID(G2787,12,8))</f>
        <v/>
      </c>
      <c r="P2787" s="396">
        <f>IFERROR(_xlfn.MINIFS($M:$M,$E:$E,$E2787,$K:$K,$K2787,$M:$M,"&gt;"&amp;$O2787),"")</f>
        <v/>
      </c>
      <c r="Q2787" s="396">
        <f>IF($P2787="","",$P2787-$O2787)</f>
        <v/>
      </c>
    </row>
    <row r="2788" ht="15" customHeight="1" s="231">
      <c r="A2788" s="397" t="n"/>
      <c r="B2788" s="397" t="n"/>
      <c r="C2788" s="397" t="n"/>
      <c r="D2788" s="397" t="n"/>
      <c r="E2788" s="397" t="n"/>
      <c r="F2788" s="397" t="n"/>
      <c r="G2788" s="397" t="n"/>
      <c r="I2788" s="397" t="n"/>
      <c r="J2788" s="397" t="n"/>
      <c r="K2788" s="395">
        <f>DATE(VALUE(LEFT(A2788,4)),VALUE(MID(A2788,5,2)),VALUE(RIGHT(A2788,2)))</f>
        <v/>
      </c>
      <c r="L2788" s="395">
        <f>DATEVALUE(LEFT(F2788,10))</f>
        <v/>
      </c>
      <c r="M2788" s="396">
        <f>TIMEVALUE(MID(F2788,12,8))</f>
        <v/>
      </c>
      <c r="N2788" s="395">
        <f>DATEVALUE(LEFT(G2788,10))</f>
        <v/>
      </c>
      <c r="O2788" s="396">
        <f>TIMEVALUE(MID(G2788,12,8))</f>
        <v/>
      </c>
      <c r="P2788" s="396">
        <f>IFERROR(_xlfn.MINIFS($M:$M,$E:$E,$E2788,$K:$K,$K2788,$M:$M,"&gt;"&amp;$O2788),"")</f>
        <v/>
      </c>
      <c r="Q2788" s="396">
        <f>IF($P2788="","",$P2788-$O2788)</f>
        <v/>
      </c>
    </row>
    <row r="2789" ht="15" customHeight="1" s="231">
      <c r="A2789" s="397" t="n"/>
      <c r="B2789" s="397" t="n"/>
      <c r="C2789" s="397" t="n"/>
      <c r="D2789" s="397" t="n"/>
      <c r="E2789" s="397" t="n"/>
      <c r="F2789" s="397" t="n"/>
      <c r="G2789" s="397" t="n"/>
      <c r="I2789" s="397" t="n"/>
      <c r="J2789" s="397" t="n"/>
      <c r="K2789" s="395">
        <f>DATE(VALUE(LEFT(A2789,4)),VALUE(MID(A2789,5,2)),VALUE(RIGHT(A2789,2)))</f>
        <v/>
      </c>
      <c r="L2789" s="395">
        <f>DATEVALUE(LEFT(F2789,10))</f>
        <v/>
      </c>
      <c r="M2789" s="396">
        <f>TIMEVALUE(MID(F2789,12,8))</f>
        <v/>
      </c>
      <c r="N2789" s="395">
        <f>DATEVALUE(LEFT(G2789,10))</f>
        <v/>
      </c>
      <c r="O2789" s="396">
        <f>TIMEVALUE(MID(G2789,12,8))</f>
        <v/>
      </c>
      <c r="P2789" s="396">
        <f>IFERROR(_xlfn.MINIFS($M:$M,$E:$E,$E2789,$K:$K,$K2789,$M:$M,"&gt;"&amp;$O2789),"")</f>
        <v/>
      </c>
      <c r="Q2789" s="396">
        <f>IF($P2789="","",$P2789-$O2789)</f>
        <v/>
      </c>
    </row>
    <row r="2790" ht="15" customHeight="1" s="231">
      <c r="A2790" s="397" t="n"/>
      <c r="B2790" s="397" t="n"/>
      <c r="C2790" s="397" t="n"/>
      <c r="D2790" s="397" t="n"/>
      <c r="E2790" s="397" t="n"/>
      <c r="F2790" s="397" t="n"/>
      <c r="G2790" s="397" t="n"/>
      <c r="I2790" s="397" t="n"/>
      <c r="J2790" s="397" t="n"/>
      <c r="K2790" s="395">
        <f>DATE(VALUE(LEFT(A2790,4)),VALUE(MID(A2790,5,2)),VALUE(RIGHT(A2790,2)))</f>
        <v/>
      </c>
      <c r="L2790" s="395">
        <f>DATEVALUE(LEFT(F2790,10))</f>
        <v/>
      </c>
      <c r="M2790" s="396">
        <f>TIMEVALUE(MID(F2790,12,8))</f>
        <v/>
      </c>
      <c r="N2790" s="395">
        <f>DATEVALUE(LEFT(G2790,10))</f>
        <v/>
      </c>
      <c r="O2790" s="396">
        <f>TIMEVALUE(MID(G2790,12,8))</f>
        <v/>
      </c>
      <c r="P2790" s="396">
        <f>IFERROR(_xlfn.MINIFS($M:$M,$E:$E,$E2790,$K:$K,$K2790,$M:$M,"&gt;"&amp;$O2790),"")</f>
        <v/>
      </c>
      <c r="Q2790" s="396">
        <f>IF($P2790="","",$P2790-$O2790)</f>
        <v/>
      </c>
    </row>
    <row r="2791" ht="15" customHeight="1" s="231">
      <c r="A2791" s="397" t="n"/>
      <c r="B2791" s="397" t="n"/>
      <c r="C2791" s="397" t="n"/>
      <c r="D2791" s="397" t="n"/>
      <c r="E2791" s="397" t="n"/>
      <c r="F2791" s="397" t="n"/>
      <c r="G2791" s="397" t="n"/>
      <c r="I2791" s="397" t="n"/>
      <c r="J2791" s="397" t="n"/>
      <c r="K2791" s="395">
        <f>DATE(VALUE(LEFT(A2791,4)),VALUE(MID(A2791,5,2)),VALUE(RIGHT(A2791,2)))</f>
        <v/>
      </c>
      <c r="L2791" s="395">
        <f>DATEVALUE(LEFT(F2791,10))</f>
        <v/>
      </c>
      <c r="M2791" s="396">
        <f>TIMEVALUE(MID(F2791,12,8))</f>
        <v/>
      </c>
      <c r="N2791" s="395">
        <f>DATEVALUE(LEFT(G2791,10))</f>
        <v/>
      </c>
      <c r="O2791" s="396">
        <f>TIMEVALUE(MID(G2791,12,8))</f>
        <v/>
      </c>
      <c r="P2791" s="396">
        <f>IFERROR(_xlfn.MINIFS($M:$M,$E:$E,$E2791,$K:$K,$K2791,$M:$M,"&gt;"&amp;$O2791),"")</f>
        <v/>
      </c>
      <c r="Q2791" s="396">
        <f>IF($P2791="","",$P2791-$O2791)</f>
        <v/>
      </c>
    </row>
    <row r="2792" ht="15" customHeight="1" s="231">
      <c r="A2792" s="397" t="n"/>
      <c r="B2792" s="397" t="n"/>
      <c r="C2792" s="397" t="n"/>
      <c r="D2792" s="397" t="n"/>
      <c r="E2792" s="397" t="n"/>
      <c r="F2792" s="397" t="n"/>
      <c r="G2792" s="397" t="n"/>
      <c r="I2792" s="397" t="n"/>
      <c r="J2792" s="397" t="n"/>
      <c r="K2792" s="395">
        <f>DATE(VALUE(LEFT(A2792,4)),VALUE(MID(A2792,5,2)),VALUE(RIGHT(A2792,2)))</f>
        <v/>
      </c>
      <c r="L2792" s="395">
        <f>DATEVALUE(LEFT(F2792,10))</f>
        <v/>
      </c>
      <c r="M2792" s="396">
        <f>TIMEVALUE(MID(F2792,12,8))</f>
        <v/>
      </c>
      <c r="N2792" s="395">
        <f>DATEVALUE(LEFT(G2792,10))</f>
        <v/>
      </c>
      <c r="O2792" s="396">
        <f>TIMEVALUE(MID(G2792,12,8))</f>
        <v/>
      </c>
      <c r="P2792" s="396">
        <f>IFERROR(_xlfn.MINIFS($M:$M,$E:$E,$E2792,$K:$K,$K2792,$M:$M,"&gt;"&amp;$O2792),"")</f>
        <v/>
      </c>
      <c r="Q2792" s="396">
        <f>IF($P2792="","",$P2792-$O2792)</f>
        <v/>
      </c>
    </row>
    <row r="2793" ht="15" customHeight="1" s="231">
      <c r="A2793" s="397" t="n"/>
      <c r="B2793" s="397" t="n"/>
      <c r="C2793" s="397" t="n"/>
      <c r="D2793" s="397" t="n"/>
      <c r="E2793" s="397" t="n"/>
      <c r="F2793" s="397" t="n"/>
      <c r="G2793" s="397" t="n"/>
      <c r="I2793" s="397" t="n"/>
      <c r="J2793" s="397" t="n"/>
      <c r="K2793" s="395">
        <f>DATE(VALUE(LEFT(A2793,4)),VALUE(MID(A2793,5,2)),VALUE(RIGHT(A2793,2)))</f>
        <v/>
      </c>
      <c r="L2793" s="395">
        <f>DATEVALUE(LEFT(F2793,10))</f>
        <v/>
      </c>
      <c r="M2793" s="396">
        <f>TIMEVALUE(MID(F2793,12,8))</f>
        <v/>
      </c>
      <c r="N2793" s="395">
        <f>DATEVALUE(LEFT(G2793,10))</f>
        <v/>
      </c>
      <c r="O2793" s="396">
        <f>TIMEVALUE(MID(G2793,12,8))</f>
        <v/>
      </c>
      <c r="P2793" s="396">
        <f>IFERROR(_xlfn.MINIFS($M:$M,$E:$E,$E2793,$K:$K,$K2793,$M:$M,"&gt;"&amp;$O2793),"")</f>
        <v/>
      </c>
      <c r="Q2793" s="396">
        <f>IF($P2793="","",$P2793-$O2793)</f>
        <v/>
      </c>
    </row>
    <row r="2794" ht="15" customHeight="1" s="231">
      <c r="A2794" s="397" t="n"/>
      <c r="B2794" s="397" t="n"/>
      <c r="C2794" s="397" t="n"/>
      <c r="D2794" s="397" t="n"/>
      <c r="E2794" s="397" t="n"/>
      <c r="F2794" s="397" t="n"/>
      <c r="G2794" s="397" t="n"/>
      <c r="I2794" s="397" t="n"/>
      <c r="J2794" s="397" t="n"/>
      <c r="K2794" s="395">
        <f>DATE(VALUE(LEFT(A2794,4)),VALUE(MID(A2794,5,2)),VALUE(RIGHT(A2794,2)))</f>
        <v/>
      </c>
      <c r="L2794" s="395">
        <f>DATEVALUE(LEFT(F2794,10))</f>
        <v/>
      </c>
      <c r="M2794" s="396">
        <f>TIMEVALUE(MID(F2794,12,8))</f>
        <v/>
      </c>
      <c r="N2794" s="395">
        <f>DATEVALUE(LEFT(G2794,10))</f>
        <v/>
      </c>
      <c r="O2794" s="396">
        <f>TIMEVALUE(MID(G2794,12,8))</f>
        <v/>
      </c>
      <c r="P2794" s="396">
        <f>IFERROR(_xlfn.MINIFS($M:$M,$E:$E,$E2794,$K:$K,$K2794,$M:$M,"&gt;"&amp;$O2794),"")</f>
        <v/>
      </c>
      <c r="Q2794" s="396">
        <f>IF($P2794="","",$P2794-$O2794)</f>
        <v/>
      </c>
    </row>
    <row r="2795" ht="15" customHeight="1" s="231">
      <c r="A2795" s="397" t="n"/>
      <c r="B2795" s="397" t="n"/>
      <c r="C2795" s="397" t="n"/>
      <c r="D2795" s="397" t="n"/>
      <c r="E2795" s="397" t="n"/>
      <c r="F2795" s="397" t="n"/>
      <c r="G2795" s="397" t="n"/>
      <c r="I2795" s="397" t="n"/>
      <c r="J2795" s="397" t="n"/>
      <c r="K2795" s="395">
        <f>DATE(VALUE(LEFT(A2795,4)),VALUE(MID(A2795,5,2)),VALUE(RIGHT(A2795,2)))</f>
        <v/>
      </c>
      <c r="L2795" s="395">
        <f>DATEVALUE(LEFT(F2795,10))</f>
        <v/>
      </c>
      <c r="M2795" s="396">
        <f>TIMEVALUE(MID(F2795,12,8))</f>
        <v/>
      </c>
      <c r="N2795" s="395">
        <f>DATEVALUE(LEFT(G2795,10))</f>
        <v/>
      </c>
      <c r="O2795" s="396">
        <f>TIMEVALUE(MID(G2795,12,8))</f>
        <v/>
      </c>
      <c r="P2795" s="396">
        <f>IFERROR(_xlfn.MINIFS($M:$M,$E:$E,$E2795,$K:$K,$K2795,$M:$M,"&gt;"&amp;$O2795),"")</f>
        <v/>
      </c>
      <c r="Q2795" s="396">
        <f>IF($P2795="","",$P2795-$O2795)</f>
        <v/>
      </c>
    </row>
    <row r="2796" ht="15" customHeight="1" s="231">
      <c r="A2796" s="397" t="n"/>
      <c r="B2796" s="397" t="n"/>
      <c r="C2796" s="397" t="n"/>
      <c r="D2796" s="397" t="n"/>
      <c r="E2796" s="397" t="n"/>
      <c r="F2796" s="397" t="n"/>
      <c r="G2796" s="397" t="n"/>
      <c r="I2796" s="397" t="n"/>
      <c r="J2796" s="397" t="n"/>
      <c r="K2796" s="395">
        <f>DATE(VALUE(LEFT(A2796,4)),VALUE(MID(A2796,5,2)),VALUE(RIGHT(A2796,2)))</f>
        <v/>
      </c>
      <c r="L2796" s="395">
        <f>DATEVALUE(LEFT(F2796,10))</f>
        <v/>
      </c>
      <c r="M2796" s="396">
        <f>TIMEVALUE(MID(F2796,12,8))</f>
        <v/>
      </c>
      <c r="N2796" s="395">
        <f>DATEVALUE(LEFT(G2796,10))</f>
        <v/>
      </c>
      <c r="O2796" s="396">
        <f>TIMEVALUE(MID(G2796,12,8))</f>
        <v/>
      </c>
      <c r="P2796" s="396">
        <f>IFERROR(_xlfn.MINIFS($M:$M,$E:$E,$E2796,$K:$K,$K2796,$M:$M,"&gt;"&amp;$O2796),"")</f>
        <v/>
      </c>
      <c r="Q2796" s="396">
        <f>IF($P2796="","",$P2796-$O2796)</f>
        <v/>
      </c>
    </row>
    <row r="2797" ht="15" customHeight="1" s="231">
      <c r="A2797" s="397" t="n"/>
      <c r="B2797" s="397" t="n"/>
      <c r="C2797" s="397" t="n"/>
      <c r="D2797" s="397" t="n"/>
      <c r="E2797" s="397" t="n"/>
      <c r="F2797" s="397" t="n"/>
      <c r="G2797" s="397" t="n"/>
      <c r="I2797" s="397" t="n"/>
      <c r="J2797" s="397" t="n"/>
      <c r="K2797" s="395">
        <f>DATE(VALUE(LEFT(A2797,4)),VALUE(MID(A2797,5,2)),VALUE(RIGHT(A2797,2)))</f>
        <v/>
      </c>
      <c r="L2797" s="395">
        <f>DATEVALUE(LEFT(F2797,10))</f>
        <v/>
      </c>
      <c r="M2797" s="396">
        <f>TIMEVALUE(MID(F2797,12,8))</f>
        <v/>
      </c>
      <c r="N2797" s="395">
        <f>DATEVALUE(LEFT(G2797,10))</f>
        <v/>
      </c>
      <c r="O2797" s="396">
        <f>TIMEVALUE(MID(G2797,12,8))</f>
        <v/>
      </c>
      <c r="P2797" s="396">
        <f>IFERROR(_xlfn.MINIFS($M:$M,$E:$E,$E2797,$K:$K,$K2797,$M:$M,"&gt;"&amp;$O2797),"")</f>
        <v/>
      </c>
      <c r="Q2797" s="396">
        <f>IF($P2797="","",$P2797-$O2797)</f>
        <v/>
      </c>
    </row>
    <row r="2798" ht="15" customHeight="1" s="231">
      <c r="A2798" s="397" t="n"/>
      <c r="B2798" s="397" t="n"/>
      <c r="C2798" s="397" t="n"/>
      <c r="D2798" s="397" t="n"/>
      <c r="E2798" s="397" t="n"/>
      <c r="F2798" s="397" t="n"/>
      <c r="G2798" s="397" t="n"/>
      <c r="I2798" s="397" t="n"/>
      <c r="J2798" s="397" t="n"/>
      <c r="K2798" s="395">
        <f>DATE(VALUE(LEFT(A2798,4)),VALUE(MID(A2798,5,2)),VALUE(RIGHT(A2798,2)))</f>
        <v/>
      </c>
      <c r="L2798" s="395">
        <f>DATEVALUE(LEFT(F2798,10))</f>
        <v/>
      </c>
      <c r="M2798" s="396">
        <f>TIMEVALUE(MID(F2798,12,8))</f>
        <v/>
      </c>
      <c r="N2798" s="395">
        <f>DATEVALUE(LEFT(G2798,10))</f>
        <v/>
      </c>
      <c r="O2798" s="396">
        <f>TIMEVALUE(MID(G2798,12,8))</f>
        <v/>
      </c>
      <c r="P2798" s="396">
        <f>IFERROR(_xlfn.MINIFS($M:$M,$E:$E,$E2798,$K:$K,$K2798,$M:$M,"&gt;"&amp;$O2798),"")</f>
        <v/>
      </c>
      <c r="Q2798" s="396">
        <f>IF($P2798="","",$P2798-$O2798)</f>
        <v/>
      </c>
    </row>
    <row r="2799" ht="15" customHeight="1" s="231">
      <c r="A2799" s="397" t="n"/>
      <c r="B2799" s="397" t="n"/>
      <c r="C2799" s="397" t="n"/>
      <c r="D2799" s="397" t="n"/>
      <c r="E2799" s="397" t="n"/>
      <c r="F2799" s="397" t="n"/>
      <c r="G2799" s="397" t="n"/>
      <c r="I2799" s="397" t="n"/>
      <c r="J2799" s="397" t="n"/>
      <c r="K2799" s="395">
        <f>DATE(VALUE(LEFT(A2799,4)),VALUE(MID(A2799,5,2)),VALUE(RIGHT(A2799,2)))</f>
        <v/>
      </c>
      <c r="L2799" s="395">
        <f>DATEVALUE(LEFT(F2799,10))</f>
        <v/>
      </c>
      <c r="M2799" s="396">
        <f>TIMEVALUE(MID(F2799,12,8))</f>
        <v/>
      </c>
      <c r="N2799" s="395">
        <f>DATEVALUE(LEFT(G2799,10))</f>
        <v/>
      </c>
      <c r="O2799" s="396">
        <f>TIMEVALUE(MID(G2799,12,8))</f>
        <v/>
      </c>
      <c r="P2799" s="396">
        <f>IFERROR(_xlfn.MINIFS($M:$M,$E:$E,$E2799,$K:$K,$K2799,$M:$M,"&gt;"&amp;$O2799),"")</f>
        <v/>
      </c>
      <c r="Q2799" s="396">
        <f>IF($P2799="","",$P2799-$O2799)</f>
        <v/>
      </c>
    </row>
    <row r="2800" ht="15" customHeight="1" s="231">
      <c r="A2800" s="397" t="n"/>
      <c r="B2800" s="397" t="n"/>
      <c r="C2800" s="397" t="n"/>
      <c r="D2800" s="397" t="n"/>
      <c r="E2800" s="397" t="n"/>
      <c r="F2800" s="397" t="n"/>
      <c r="G2800" s="397" t="n"/>
      <c r="I2800" s="397" t="n"/>
      <c r="J2800" s="397" t="n"/>
      <c r="K2800" s="395">
        <f>DATE(VALUE(LEFT(A2800,4)),VALUE(MID(A2800,5,2)),VALUE(RIGHT(A2800,2)))</f>
        <v/>
      </c>
      <c r="L2800" s="395">
        <f>DATEVALUE(LEFT(F2800,10))</f>
        <v/>
      </c>
      <c r="M2800" s="396">
        <f>TIMEVALUE(MID(F2800,12,8))</f>
        <v/>
      </c>
      <c r="N2800" s="395">
        <f>DATEVALUE(LEFT(G2800,10))</f>
        <v/>
      </c>
      <c r="O2800" s="396">
        <f>TIMEVALUE(MID(G2800,12,8))</f>
        <v/>
      </c>
      <c r="P2800" s="396">
        <f>IFERROR(_xlfn.MINIFS($M:$M,$E:$E,$E2800,$K:$K,$K2800,$M:$M,"&gt;"&amp;$O2800),"")</f>
        <v/>
      </c>
      <c r="Q2800" s="396">
        <f>IF($P2800="","",$P2800-$O2800)</f>
        <v/>
      </c>
    </row>
    <row r="2801" ht="15" customHeight="1" s="231">
      <c r="A2801" s="397" t="n"/>
      <c r="B2801" s="397" t="n"/>
      <c r="C2801" s="397" t="n"/>
      <c r="D2801" s="397" t="n"/>
      <c r="E2801" s="397" t="n"/>
      <c r="F2801" s="397" t="n"/>
      <c r="G2801" s="397" t="n"/>
      <c r="I2801" s="397" t="n"/>
      <c r="J2801" s="397" t="n"/>
      <c r="K2801" s="395">
        <f>DATE(VALUE(LEFT(A2801,4)),VALUE(MID(A2801,5,2)),VALUE(RIGHT(A2801,2)))</f>
        <v/>
      </c>
      <c r="L2801" s="395">
        <f>DATEVALUE(LEFT(F2801,10))</f>
        <v/>
      </c>
      <c r="M2801" s="396">
        <f>TIMEVALUE(MID(F2801,12,8))</f>
        <v/>
      </c>
      <c r="N2801" s="395">
        <f>DATEVALUE(LEFT(G2801,10))</f>
        <v/>
      </c>
      <c r="O2801" s="396">
        <f>TIMEVALUE(MID(G2801,12,8))</f>
        <v/>
      </c>
      <c r="P2801" s="396">
        <f>IFERROR(_xlfn.MINIFS($M:$M,$E:$E,$E2801,$K:$K,$K2801,$M:$M,"&gt;"&amp;$O2801),"")</f>
        <v/>
      </c>
      <c r="Q2801" s="396">
        <f>IF($P2801="","",$P2801-$O2801)</f>
        <v/>
      </c>
    </row>
    <row r="2802" ht="15" customHeight="1" s="231">
      <c r="A2802" s="397" t="n"/>
      <c r="B2802" s="397" t="n"/>
      <c r="C2802" s="397" t="n"/>
      <c r="D2802" s="397" t="n"/>
      <c r="E2802" s="397" t="n"/>
      <c r="F2802" s="397" t="n"/>
      <c r="G2802" s="397" t="n"/>
      <c r="I2802" s="397" t="n"/>
      <c r="J2802" s="397" t="n"/>
      <c r="K2802" s="395">
        <f>DATE(VALUE(LEFT(A2802,4)),VALUE(MID(A2802,5,2)),VALUE(RIGHT(A2802,2)))</f>
        <v/>
      </c>
      <c r="L2802" s="395">
        <f>DATEVALUE(LEFT(F2802,10))</f>
        <v/>
      </c>
      <c r="M2802" s="396">
        <f>TIMEVALUE(MID(F2802,12,8))</f>
        <v/>
      </c>
      <c r="N2802" s="395">
        <f>DATEVALUE(LEFT(G2802,10))</f>
        <v/>
      </c>
      <c r="O2802" s="396">
        <f>TIMEVALUE(MID(G2802,12,8))</f>
        <v/>
      </c>
      <c r="P2802" s="396">
        <f>IFERROR(_xlfn.MINIFS($M:$M,$E:$E,$E2802,$K:$K,$K2802,$M:$M,"&gt;"&amp;$O2802),"")</f>
        <v/>
      </c>
      <c r="Q2802" s="396">
        <f>IF($P2802="","",$P2802-$O2802)</f>
        <v/>
      </c>
    </row>
    <row r="2803" ht="15" customHeight="1" s="231">
      <c r="A2803" s="397" t="n"/>
      <c r="B2803" s="397" t="n"/>
      <c r="C2803" s="397" t="n"/>
      <c r="D2803" s="397" t="n"/>
      <c r="E2803" s="397" t="n"/>
      <c r="F2803" s="397" t="n"/>
      <c r="G2803" s="397" t="n"/>
      <c r="I2803" s="397" t="n"/>
      <c r="J2803" s="397" t="n"/>
      <c r="K2803" s="395">
        <f>DATE(VALUE(LEFT(A2803,4)),VALUE(MID(A2803,5,2)),VALUE(RIGHT(A2803,2)))</f>
        <v/>
      </c>
      <c r="L2803" s="395">
        <f>DATEVALUE(LEFT(F2803,10))</f>
        <v/>
      </c>
      <c r="M2803" s="396">
        <f>TIMEVALUE(MID(F2803,12,8))</f>
        <v/>
      </c>
      <c r="N2803" s="395">
        <f>DATEVALUE(LEFT(G2803,10))</f>
        <v/>
      </c>
      <c r="O2803" s="396">
        <f>TIMEVALUE(MID(G2803,12,8))</f>
        <v/>
      </c>
      <c r="P2803" s="396">
        <f>IFERROR(_xlfn.MINIFS($M:$M,$E:$E,$E2803,$K:$K,$K2803,$M:$M,"&gt;"&amp;$O2803),"")</f>
        <v/>
      </c>
      <c r="Q2803" s="396">
        <f>IF($P2803="","",$P2803-$O2803)</f>
        <v/>
      </c>
    </row>
    <row r="2804" ht="15" customHeight="1" s="231">
      <c r="A2804" s="397" t="n"/>
      <c r="B2804" s="397" t="n"/>
      <c r="C2804" s="397" t="n"/>
      <c r="D2804" s="397" t="n"/>
      <c r="E2804" s="397" t="n"/>
      <c r="F2804" s="397" t="n"/>
      <c r="G2804" s="397" t="n"/>
      <c r="I2804" s="397" t="n"/>
      <c r="J2804" s="397" t="n"/>
      <c r="K2804" s="395">
        <f>DATE(VALUE(LEFT(A2804,4)),VALUE(MID(A2804,5,2)),VALUE(RIGHT(A2804,2)))</f>
        <v/>
      </c>
      <c r="L2804" s="395">
        <f>DATEVALUE(LEFT(F2804,10))</f>
        <v/>
      </c>
      <c r="M2804" s="396">
        <f>TIMEVALUE(MID(F2804,12,8))</f>
        <v/>
      </c>
      <c r="N2804" s="395">
        <f>DATEVALUE(LEFT(G2804,10))</f>
        <v/>
      </c>
      <c r="O2804" s="396">
        <f>TIMEVALUE(MID(G2804,12,8))</f>
        <v/>
      </c>
      <c r="P2804" s="396">
        <f>IFERROR(_xlfn.MINIFS($M:$M,$E:$E,$E2804,$K:$K,$K2804,$M:$M,"&gt;"&amp;$O2804),"")</f>
        <v/>
      </c>
      <c r="Q2804" s="396">
        <f>IF($P2804="","",$P2804-$O2804)</f>
        <v/>
      </c>
    </row>
    <row r="2805" ht="15" customHeight="1" s="231">
      <c r="A2805" s="397" t="n"/>
      <c r="B2805" s="397" t="n"/>
      <c r="C2805" s="397" t="n"/>
      <c r="D2805" s="397" t="n"/>
      <c r="E2805" s="397" t="n"/>
      <c r="F2805" s="397" t="n"/>
      <c r="G2805" s="397" t="n"/>
      <c r="I2805" s="397" t="n"/>
      <c r="J2805" s="397" t="n"/>
      <c r="K2805" s="395">
        <f>DATE(VALUE(LEFT(A2805,4)),VALUE(MID(A2805,5,2)),VALUE(RIGHT(A2805,2)))</f>
        <v/>
      </c>
      <c r="L2805" s="395">
        <f>DATEVALUE(LEFT(F2805,10))</f>
        <v/>
      </c>
      <c r="M2805" s="396">
        <f>TIMEVALUE(MID(F2805,12,8))</f>
        <v/>
      </c>
      <c r="N2805" s="395">
        <f>DATEVALUE(LEFT(G2805,10))</f>
        <v/>
      </c>
      <c r="O2805" s="396">
        <f>TIMEVALUE(MID(G2805,12,8))</f>
        <v/>
      </c>
      <c r="P2805" s="396">
        <f>IFERROR(_xlfn.MINIFS($M:$M,$E:$E,$E2805,$K:$K,$K2805,$M:$M,"&gt;"&amp;$O2805),"")</f>
        <v/>
      </c>
      <c r="Q2805" s="396">
        <f>IF($P2805="","",$P2805-$O2805)</f>
        <v/>
      </c>
    </row>
    <row r="2806" ht="15" customHeight="1" s="231">
      <c r="A2806" s="397" t="n"/>
      <c r="B2806" s="397" t="n"/>
      <c r="C2806" s="397" t="n"/>
      <c r="D2806" s="397" t="n"/>
      <c r="E2806" s="397" t="n"/>
      <c r="F2806" s="397" t="n"/>
      <c r="G2806" s="397" t="n"/>
      <c r="I2806" s="397" t="n"/>
      <c r="J2806" s="397" t="n"/>
      <c r="K2806" s="395">
        <f>DATE(VALUE(LEFT(A2806,4)),VALUE(MID(A2806,5,2)),VALUE(RIGHT(A2806,2)))</f>
        <v/>
      </c>
      <c r="L2806" s="395">
        <f>DATEVALUE(LEFT(F2806,10))</f>
        <v/>
      </c>
      <c r="M2806" s="396">
        <f>TIMEVALUE(MID(F2806,12,8))</f>
        <v/>
      </c>
      <c r="N2806" s="395">
        <f>DATEVALUE(LEFT(G2806,10))</f>
        <v/>
      </c>
      <c r="O2806" s="396">
        <f>TIMEVALUE(MID(G2806,12,8))</f>
        <v/>
      </c>
      <c r="P2806" s="396">
        <f>IFERROR(_xlfn.MINIFS($M:$M,$E:$E,$E2806,$K:$K,$K2806,$M:$M,"&gt;"&amp;$O2806),"")</f>
        <v/>
      </c>
      <c r="Q2806" s="396">
        <f>IF($P2806="","",$P2806-$O2806)</f>
        <v/>
      </c>
    </row>
    <row r="2807" ht="15" customHeight="1" s="231">
      <c r="A2807" s="397" t="n"/>
      <c r="B2807" s="397" t="n"/>
      <c r="C2807" s="397" t="n"/>
      <c r="D2807" s="397" t="n"/>
      <c r="E2807" s="397" t="n"/>
      <c r="F2807" s="397" t="n"/>
      <c r="G2807" s="397" t="n"/>
      <c r="I2807" s="397" t="n"/>
      <c r="J2807" s="397" t="n"/>
      <c r="K2807" s="395">
        <f>DATE(VALUE(LEFT(A2807,4)),VALUE(MID(A2807,5,2)),VALUE(RIGHT(A2807,2)))</f>
        <v/>
      </c>
      <c r="L2807" s="395">
        <f>DATEVALUE(LEFT(F2807,10))</f>
        <v/>
      </c>
      <c r="M2807" s="396">
        <f>TIMEVALUE(MID(F2807,12,8))</f>
        <v/>
      </c>
      <c r="N2807" s="395">
        <f>DATEVALUE(LEFT(G2807,10))</f>
        <v/>
      </c>
      <c r="O2807" s="396">
        <f>TIMEVALUE(MID(G2807,12,8))</f>
        <v/>
      </c>
      <c r="P2807" s="396">
        <f>IFERROR(_xlfn.MINIFS($M:$M,$E:$E,$E2807,$K:$K,$K2807,$M:$M,"&gt;"&amp;$O2807),"")</f>
        <v/>
      </c>
      <c r="Q2807" s="396">
        <f>IF($P2807="","",$P2807-$O2807)</f>
        <v/>
      </c>
    </row>
    <row r="2808" ht="15" customHeight="1" s="231">
      <c r="A2808" s="397" t="n"/>
      <c r="B2808" s="397" t="n"/>
      <c r="C2808" s="397" t="n"/>
      <c r="D2808" s="397" t="n"/>
      <c r="E2808" s="397" t="n"/>
      <c r="F2808" s="397" t="n"/>
      <c r="G2808" s="397" t="n"/>
      <c r="I2808" s="397" t="n"/>
      <c r="J2808" s="397" t="n"/>
      <c r="K2808" s="395">
        <f>DATE(VALUE(LEFT(A2808,4)),VALUE(MID(A2808,5,2)),VALUE(RIGHT(A2808,2)))</f>
        <v/>
      </c>
      <c r="L2808" s="395">
        <f>DATEVALUE(LEFT(F2808,10))</f>
        <v/>
      </c>
      <c r="M2808" s="396">
        <f>TIMEVALUE(MID(F2808,12,8))</f>
        <v/>
      </c>
      <c r="N2808" s="395">
        <f>DATEVALUE(LEFT(G2808,10))</f>
        <v/>
      </c>
      <c r="O2808" s="396">
        <f>TIMEVALUE(MID(G2808,12,8))</f>
        <v/>
      </c>
      <c r="P2808" s="396">
        <f>IFERROR(_xlfn.MINIFS($M:$M,$E:$E,$E2808,$K:$K,$K2808,$M:$M,"&gt;"&amp;$O2808),"")</f>
        <v/>
      </c>
      <c r="Q2808" s="396">
        <f>IF($P2808="","",$P2808-$O2808)</f>
        <v/>
      </c>
    </row>
    <row r="2809" ht="15" customHeight="1" s="231">
      <c r="A2809" s="397" t="n"/>
      <c r="B2809" s="397" t="n"/>
      <c r="C2809" s="397" t="n"/>
      <c r="D2809" s="397" t="n"/>
      <c r="E2809" s="397" t="n"/>
      <c r="F2809" s="397" t="n"/>
      <c r="G2809" s="397" t="n"/>
      <c r="I2809" s="397" t="n"/>
      <c r="J2809" s="397" t="n"/>
      <c r="K2809" s="395">
        <f>DATE(VALUE(LEFT(A2809,4)),VALUE(MID(A2809,5,2)),VALUE(RIGHT(A2809,2)))</f>
        <v/>
      </c>
      <c r="L2809" s="395">
        <f>DATEVALUE(LEFT(F2809,10))</f>
        <v/>
      </c>
      <c r="M2809" s="396">
        <f>TIMEVALUE(MID(F2809,12,8))</f>
        <v/>
      </c>
      <c r="N2809" s="395">
        <f>DATEVALUE(LEFT(G2809,10))</f>
        <v/>
      </c>
      <c r="O2809" s="396">
        <f>TIMEVALUE(MID(G2809,12,8))</f>
        <v/>
      </c>
      <c r="P2809" s="396">
        <f>IFERROR(_xlfn.MINIFS($M:$M,$E:$E,$E2809,$K:$K,$K2809,$M:$M,"&gt;"&amp;$O2809),"")</f>
        <v/>
      </c>
      <c r="Q2809" s="396">
        <f>IF($P2809="","",$P2809-$O2809)</f>
        <v/>
      </c>
    </row>
    <row r="2810" ht="15" customHeight="1" s="231">
      <c r="A2810" s="397" t="n"/>
      <c r="B2810" s="397" t="n"/>
      <c r="C2810" s="397" t="n"/>
      <c r="D2810" s="397" t="n"/>
      <c r="E2810" s="397" t="n"/>
      <c r="F2810" s="397" t="n"/>
      <c r="G2810" s="397" t="n"/>
      <c r="I2810" s="397" t="n"/>
      <c r="J2810" s="397" t="n"/>
      <c r="K2810" s="395">
        <f>DATE(VALUE(LEFT(A2810,4)),VALUE(MID(A2810,5,2)),VALUE(RIGHT(A2810,2)))</f>
        <v/>
      </c>
      <c r="L2810" s="395">
        <f>DATEVALUE(LEFT(F2810,10))</f>
        <v/>
      </c>
      <c r="M2810" s="396">
        <f>TIMEVALUE(MID(F2810,12,8))</f>
        <v/>
      </c>
      <c r="N2810" s="395">
        <f>DATEVALUE(LEFT(G2810,10))</f>
        <v/>
      </c>
      <c r="O2810" s="396">
        <f>TIMEVALUE(MID(G2810,12,8))</f>
        <v/>
      </c>
      <c r="P2810" s="396">
        <f>IFERROR(_xlfn.MINIFS($M:$M,$E:$E,$E2810,$K:$K,$K2810,$M:$M,"&gt;"&amp;$O2810),"")</f>
        <v/>
      </c>
      <c r="Q2810" s="396">
        <f>IF($P2810="","",$P2810-$O2810)</f>
        <v/>
      </c>
    </row>
    <row r="2811" ht="15" customHeight="1" s="231">
      <c r="A2811" s="397" t="n"/>
      <c r="B2811" s="397" t="n"/>
      <c r="C2811" s="397" t="n"/>
      <c r="D2811" s="397" t="n"/>
      <c r="E2811" s="397" t="n"/>
      <c r="F2811" s="397" t="n"/>
      <c r="G2811" s="397" t="n"/>
      <c r="I2811" s="397" t="n"/>
      <c r="J2811" s="397" t="n"/>
      <c r="K2811" s="395">
        <f>DATE(VALUE(LEFT(A2811,4)),VALUE(MID(A2811,5,2)),VALUE(RIGHT(A2811,2)))</f>
        <v/>
      </c>
      <c r="L2811" s="395">
        <f>DATEVALUE(LEFT(F2811,10))</f>
        <v/>
      </c>
      <c r="M2811" s="396">
        <f>TIMEVALUE(MID(F2811,12,8))</f>
        <v/>
      </c>
      <c r="N2811" s="395">
        <f>DATEVALUE(LEFT(G2811,10))</f>
        <v/>
      </c>
      <c r="O2811" s="396">
        <f>TIMEVALUE(MID(G2811,12,8))</f>
        <v/>
      </c>
      <c r="P2811" s="396">
        <f>IFERROR(_xlfn.MINIFS($M:$M,$E:$E,$E2811,$K:$K,$K2811,$M:$M,"&gt;"&amp;$O2811),"")</f>
        <v/>
      </c>
      <c r="Q2811" s="396">
        <f>IF($P2811="","",$P2811-$O2811)</f>
        <v/>
      </c>
    </row>
    <row r="2812" ht="15" customHeight="1" s="231">
      <c r="A2812" s="397" t="n"/>
      <c r="B2812" s="397" t="n"/>
      <c r="C2812" s="397" t="n"/>
      <c r="D2812" s="397" t="n"/>
      <c r="E2812" s="397" t="n"/>
      <c r="F2812" s="397" t="n"/>
      <c r="G2812" s="397" t="n"/>
      <c r="I2812" s="397" t="n"/>
      <c r="J2812" s="397" t="n"/>
      <c r="K2812" s="395">
        <f>DATE(VALUE(LEFT(A2812,4)),VALUE(MID(A2812,5,2)),VALUE(RIGHT(A2812,2)))</f>
        <v/>
      </c>
      <c r="L2812" s="395">
        <f>DATEVALUE(LEFT(F2812,10))</f>
        <v/>
      </c>
      <c r="M2812" s="396">
        <f>TIMEVALUE(MID(F2812,12,8))</f>
        <v/>
      </c>
      <c r="N2812" s="395">
        <f>DATEVALUE(LEFT(G2812,10))</f>
        <v/>
      </c>
      <c r="O2812" s="396">
        <f>TIMEVALUE(MID(G2812,12,8))</f>
        <v/>
      </c>
      <c r="P2812" s="396">
        <f>IFERROR(_xlfn.MINIFS($M:$M,$E:$E,$E2812,$K:$K,$K2812,$M:$M,"&gt;"&amp;$O2812),"")</f>
        <v/>
      </c>
      <c r="Q2812" s="396">
        <f>IF($P2812="","",$P2812-$O2812)</f>
        <v/>
      </c>
    </row>
    <row r="2813" ht="15" customHeight="1" s="231">
      <c r="A2813" s="397" t="n"/>
      <c r="B2813" s="397" t="n"/>
      <c r="C2813" s="397" t="n"/>
      <c r="D2813" s="397" t="n"/>
      <c r="E2813" s="397" t="n"/>
      <c r="F2813" s="397" t="n"/>
      <c r="G2813" s="397" t="n"/>
      <c r="I2813" s="397" t="n"/>
      <c r="J2813" s="397" t="n"/>
      <c r="K2813" s="395">
        <f>DATE(VALUE(LEFT(A2813,4)),VALUE(MID(A2813,5,2)),VALUE(RIGHT(A2813,2)))</f>
        <v/>
      </c>
      <c r="L2813" s="395">
        <f>DATEVALUE(LEFT(F2813,10))</f>
        <v/>
      </c>
      <c r="M2813" s="396">
        <f>TIMEVALUE(MID(F2813,12,8))</f>
        <v/>
      </c>
      <c r="N2813" s="395">
        <f>DATEVALUE(LEFT(G2813,10))</f>
        <v/>
      </c>
      <c r="O2813" s="396">
        <f>TIMEVALUE(MID(G2813,12,8))</f>
        <v/>
      </c>
      <c r="P2813" s="396">
        <f>IFERROR(_xlfn.MINIFS($M:$M,$E:$E,$E2813,$K:$K,$K2813,$M:$M,"&gt;"&amp;$O2813),"")</f>
        <v/>
      </c>
      <c r="Q2813" s="396">
        <f>IF($P2813="","",$P2813-$O2813)</f>
        <v/>
      </c>
    </row>
    <row r="2814" ht="15" customHeight="1" s="231">
      <c r="A2814" s="397" t="n"/>
      <c r="B2814" s="397" t="n"/>
      <c r="C2814" s="397" t="n"/>
      <c r="D2814" s="397" t="n"/>
      <c r="E2814" s="397" t="n"/>
      <c r="F2814" s="397" t="n"/>
      <c r="G2814" s="397" t="n"/>
      <c r="I2814" s="397" t="n"/>
      <c r="J2814" s="397" t="n"/>
      <c r="K2814" s="395">
        <f>DATE(VALUE(LEFT(A2814,4)),VALUE(MID(A2814,5,2)),VALUE(RIGHT(A2814,2)))</f>
        <v/>
      </c>
      <c r="L2814" s="395">
        <f>DATEVALUE(LEFT(F2814,10))</f>
        <v/>
      </c>
      <c r="M2814" s="396">
        <f>TIMEVALUE(MID(F2814,12,8))</f>
        <v/>
      </c>
      <c r="N2814" s="395">
        <f>DATEVALUE(LEFT(G2814,10))</f>
        <v/>
      </c>
      <c r="O2814" s="396">
        <f>TIMEVALUE(MID(G2814,12,8))</f>
        <v/>
      </c>
      <c r="P2814" s="396">
        <f>IFERROR(_xlfn.MINIFS($M:$M,$E:$E,$E2814,$K:$K,$K2814,$M:$M,"&gt;"&amp;$O2814),"")</f>
        <v/>
      </c>
      <c r="Q2814" s="396">
        <f>IF($P2814="","",$P2814-$O2814)</f>
        <v/>
      </c>
    </row>
    <row r="2815" ht="15" customHeight="1" s="231">
      <c r="A2815" s="397" t="n"/>
      <c r="B2815" s="397" t="n"/>
      <c r="C2815" s="397" t="n"/>
      <c r="D2815" s="397" t="n"/>
      <c r="E2815" s="397" t="n"/>
      <c r="F2815" s="397" t="n"/>
      <c r="G2815" s="397" t="n"/>
      <c r="I2815" s="397" t="n"/>
      <c r="J2815" s="397" t="n"/>
      <c r="K2815" s="395">
        <f>DATE(VALUE(LEFT(A2815,4)),VALUE(MID(A2815,5,2)),VALUE(RIGHT(A2815,2)))</f>
        <v/>
      </c>
      <c r="L2815" s="395">
        <f>DATEVALUE(LEFT(F2815,10))</f>
        <v/>
      </c>
      <c r="M2815" s="396">
        <f>TIMEVALUE(MID(F2815,12,8))</f>
        <v/>
      </c>
      <c r="N2815" s="395">
        <f>DATEVALUE(LEFT(G2815,10))</f>
        <v/>
      </c>
      <c r="O2815" s="396">
        <f>TIMEVALUE(MID(G2815,12,8))</f>
        <v/>
      </c>
      <c r="P2815" s="396">
        <f>IFERROR(_xlfn.MINIFS($M:$M,$E:$E,$E2815,$K:$K,$K2815,$M:$M,"&gt;"&amp;$O2815),"")</f>
        <v/>
      </c>
      <c r="Q2815" s="396">
        <f>IF($P2815="","",$P2815-$O2815)</f>
        <v/>
      </c>
    </row>
    <row r="2816" ht="15" customHeight="1" s="231">
      <c r="A2816" s="397" t="n"/>
      <c r="B2816" s="397" t="n"/>
      <c r="C2816" s="397" t="n"/>
      <c r="D2816" s="397" t="n"/>
      <c r="E2816" s="397" t="n"/>
      <c r="F2816" s="397" t="n"/>
      <c r="G2816" s="397" t="n"/>
      <c r="I2816" s="397" t="n"/>
      <c r="J2816" s="397" t="n"/>
      <c r="K2816" s="395">
        <f>DATE(VALUE(LEFT(A2816,4)),VALUE(MID(A2816,5,2)),VALUE(RIGHT(A2816,2)))</f>
        <v/>
      </c>
      <c r="L2816" s="395">
        <f>DATEVALUE(LEFT(F2816,10))</f>
        <v/>
      </c>
      <c r="M2816" s="396">
        <f>TIMEVALUE(MID(F2816,12,8))</f>
        <v/>
      </c>
      <c r="N2816" s="395">
        <f>DATEVALUE(LEFT(G2816,10))</f>
        <v/>
      </c>
      <c r="O2816" s="396">
        <f>TIMEVALUE(MID(G2816,12,8))</f>
        <v/>
      </c>
      <c r="P2816" s="396">
        <f>IFERROR(_xlfn.MINIFS($M:$M,$E:$E,$E2816,$K:$K,$K2816,$M:$M,"&gt;"&amp;$O2816),"")</f>
        <v/>
      </c>
      <c r="Q2816" s="396">
        <f>IF($P2816="","",$P2816-$O2816)</f>
        <v/>
      </c>
    </row>
    <row r="2817" ht="15" customHeight="1" s="231">
      <c r="A2817" s="397" t="n"/>
      <c r="B2817" s="397" t="n"/>
      <c r="C2817" s="397" t="n"/>
      <c r="D2817" s="397" t="n"/>
      <c r="E2817" s="397" t="n"/>
      <c r="F2817" s="397" t="n"/>
      <c r="G2817" s="397" t="n"/>
      <c r="I2817" s="397" t="n"/>
      <c r="J2817" s="397" t="n"/>
      <c r="K2817" s="395">
        <f>DATE(VALUE(LEFT(A2817,4)),VALUE(MID(A2817,5,2)),VALUE(RIGHT(A2817,2)))</f>
        <v/>
      </c>
      <c r="L2817" s="395">
        <f>DATEVALUE(LEFT(F2817,10))</f>
        <v/>
      </c>
      <c r="M2817" s="396">
        <f>TIMEVALUE(MID(F2817,12,8))</f>
        <v/>
      </c>
      <c r="N2817" s="395">
        <f>DATEVALUE(LEFT(G2817,10))</f>
        <v/>
      </c>
      <c r="O2817" s="396">
        <f>TIMEVALUE(MID(G2817,12,8))</f>
        <v/>
      </c>
      <c r="P2817" s="396">
        <f>IFERROR(_xlfn.MINIFS($M:$M,$E:$E,$E2817,$K:$K,$K2817,$M:$M,"&gt;"&amp;$O2817),"")</f>
        <v/>
      </c>
      <c r="Q2817" s="396">
        <f>IF($P2817="","",$P2817-$O2817)</f>
        <v/>
      </c>
    </row>
    <row r="2818" ht="15" customHeight="1" s="231">
      <c r="A2818" s="397" t="n"/>
      <c r="B2818" s="397" t="n"/>
      <c r="C2818" s="397" t="n"/>
      <c r="D2818" s="397" t="n"/>
      <c r="E2818" s="397" t="n"/>
      <c r="F2818" s="397" t="n"/>
      <c r="G2818" s="397" t="n"/>
      <c r="I2818" s="397" t="n"/>
      <c r="J2818" s="397" t="n"/>
      <c r="K2818" s="395">
        <f>DATE(VALUE(LEFT(A2818,4)),VALUE(MID(A2818,5,2)),VALUE(RIGHT(A2818,2)))</f>
        <v/>
      </c>
      <c r="L2818" s="395">
        <f>DATEVALUE(LEFT(F2818,10))</f>
        <v/>
      </c>
      <c r="M2818" s="396">
        <f>TIMEVALUE(MID(F2818,12,8))</f>
        <v/>
      </c>
      <c r="N2818" s="395">
        <f>DATEVALUE(LEFT(G2818,10))</f>
        <v/>
      </c>
      <c r="O2818" s="396">
        <f>TIMEVALUE(MID(G2818,12,8))</f>
        <v/>
      </c>
      <c r="P2818" s="396">
        <f>IFERROR(_xlfn.MINIFS($M:$M,$E:$E,$E2818,$K:$K,$K2818,$M:$M,"&gt;"&amp;$O2818),"")</f>
        <v/>
      </c>
      <c r="Q2818" s="396">
        <f>IF($P2818="","",$P2818-$O2818)</f>
        <v/>
      </c>
    </row>
    <row r="2819" ht="15" customHeight="1" s="231">
      <c r="A2819" s="397" t="n"/>
      <c r="B2819" s="397" t="n"/>
      <c r="C2819" s="397" t="n"/>
      <c r="D2819" s="397" t="n"/>
      <c r="E2819" s="397" t="n"/>
      <c r="F2819" s="397" t="n"/>
      <c r="G2819" s="397" t="n"/>
      <c r="I2819" s="397" t="n"/>
      <c r="J2819" s="397" t="n"/>
      <c r="K2819" s="395">
        <f>DATE(VALUE(LEFT(A2819,4)),VALUE(MID(A2819,5,2)),VALUE(RIGHT(A2819,2)))</f>
        <v/>
      </c>
      <c r="L2819" s="395">
        <f>DATEVALUE(LEFT(F2819,10))</f>
        <v/>
      </c>
      <c r="M2819" s="396">
        <f>TIMEVALUE(MID(F2819,12,8))</f>
        <v/>
      </c>
      <c r="N2819" s="395">
        <f>DATEVALUE(LEFT(G2819,10))</f>
        <v/>
      </c>
      <c r="O2819" s="396">
        <f>TIMEVALUE(MID(G2819,12,8))</f>
        <v/>
      </c>
      <c r="P2819" s="396">
        <f>IFERROR(_xlfn.MINIFS($M:$M,$E:$E,$E2819,$K:$K,$K2819,$M:$M,"&gt;"&amp;$O2819),"")</f>
        <v/>
      </c>
      <c r="Q2819" s="396">
        <f>IF($P2819="","",$P2819-$O2819)</f>
        <v/>
      </c>
    </row>
    <row r="2820" ht="15" customHeight="1" s="231">
      <c r="A2820" s="397" t="n"/>
      <c r="B2820" s="397" t="n"/>
      <c r="C2820" s="397" t="n"/>
      <c r="D2820" s="397" t="n"/>
      <c r="E2820" s="397" t="n"/>
      <c r="F2820" s="397" t="n"/>
      <c r="G2820" s="397" t="n"/>
      <c r="I2820" s="397" t="n"/>
      <c r="J2820" s="397" t="n"/>
      <c r="K2820" s="395">
        <f>DATE(VALUE(LEFT(A2820,4)),VALUE(MID(A2820,5,2)),VALUE(RIGHT(A2820,2)))</f>
        <v/>
      </c>
      <c r="L2820" s="395">
        <f>DATEVALUE(LEFT(F2820,10))</f>
        <v/>
      </c>
      <c r="M2820" s="396">
        <f>TIMEVALUE(MID(F2820,12,8))</f>
        <v/>
      </c>
      <c r="N2820" s="395">
        <f>DATEVALUE(LEFT(G2820,10))</f>
        <v/>
      </c>
      <c r="O2820" s="396">
        <f>TIMEVALUE(MID(G2820,12,8))</f>
        <v/>
      </c>
      <c r="P2820" s="396">
        <f>IFERROR(_xlfn.MINIFS($M:$M,$E:$E,$E2820,$K:$K,$K2820,$M:$M,"&gt;"&amp;$O2820),"")</f>
        <v/>
      </c>
      <c r="Q2820" s="396">
        <f>IF($P2820="","",$P2820-$O2820)</f>
        <v/>
      </c>
    </row>
    <row r="2821" ht="15" customHeight="1" s="231">
      <c r="A2821" s="397" t="n"/>
      <c r="B2821" s="397" t="n"/>
      <c r="C2821" s="397" t="n"/>
      <c r="D2821" s="397" t="n"/>
      <c r="E2821" s="397" t="n"/>
      <c r="F2821" s="397" t="n"/>
      <c r="G2821" s="397" t="n"/>
      <c r="I2821" s="397" t="n"/>
      <c r="J2821" s="397" t="n"/>
      <c r="K2821" s="395">
        <f>DATE(VALUE(LEFT(A2821,4)),VALUE(MID(A2821,5,2)),VALUE(RIGHT(A2821,2)))</f>
        <v/>
      </c>
      <c r="L2821" s="395">
        <f>DATEVALUE(LEFT(F2821,10))</f>
        <v/>
      </c>
      <c r="M2821" s="396">
        <f>TIMEVALUE(MID(F2821,12,8))</f>
        <v/>
      </c>
      <c r="N2821" s="395">
        <f>DATEVALUE(LEFT(G2821,10))</f>
        <v/>
      </c>
      <c r="O2821" s="396">
        <f>TIMEVALUE(MID(G2821,12,8))</f>
        <v/>
      </c>
      <c r="P2821" s="396">
        <f>IFERROR(_xlfn.MINIFS($M:$M,$E:$E,$E2821,$K:$K,$K2821,$M:$M,"&gt;"&amp;$O2821),"")</f>
        <v/>
      </c>
      <c r="Q2821" s="396">
        <f>IF($P2821="","",$P2821-$O2821)</f>
        <v/>
      </c>
    </row>
    <row r="2822" ht="15" customHeight="1" s="231">
      <c r="A2822" s="397" t="n"/>
      <c r="B2822" s="397" t="n"/>
      <c r="C2822" s="397" t="n"/>
      <c r="D2822" s="397" t="n"/>
      <c r="E2822" s="397" t="n"/>
      <c r="F2822" s="397" t="n"/>
      <c r="G2822" s="397" t="n"/>
      <c r="I2822" s="397" t="n"/>
      <c r="J2822" s="397" t="n"/>
      <c r="K2822" s="395">
        <f>DATE(VALUE(LEFT(A2822,4)),VALUE(MID(A2822,5,2)),VALUE(RIGHT(A2822,2)))</f>
        <v/>
      </c>
      <c r="L2822" s="395">
        <f>DATEVALUE(LEFT(F2822,10))</f>
        <v/>
      </c>
      <c r="M2822" s="396">
        <f>TIMEVALUE(MID(F2822,12,8))</f>
        <v/>
      </c>
      <c r="N2822" s="395">
        <f>DATEVALUE(LEFT(G2822,10))</f>
        <v/>
      </c>
      <c r="O2822" s="396">
        <f>TIMEVALUE(MID(G2822,12,8))</f>
        <v/>
      </c>
      <c r="P2822" s="396">
        <f>IFERROR(_xlfn.MINIFS($M:$M,$E:$E,$E2822,$K:$K,$K2822,$M:$M,"&gt;"&amp;$O2822),"")</f>
        <v/>
      </c>
      <c r="Q2822" s="396">
        <f>IF($P2822="","",$P2822-$O2822)</f>
        <v/>
      </c>
    </row>
    <row r="2823" ht="15" customHeight="1" s="231">
      <c r="A2823" s="397" t="n"/>
      <c r="B2823" s="397" t="n"/>
      <c r="C2823" s="397" t="n"/>
      <c r="D2823" s="397" t="n"/>
      <c r="E2823" s="397" t="n"/>
      <c r="F2823" s="397" t="n"/>
      <c r="G2823" s="397" t="n"/>
      <c r="I2823" s="397" t="n"/>
      <c r="J2823" s="397" t="n"/>
      <c r="K2823" s="395">
        <f>DATE(VALUE(LEFT(A2823,4)),VALUE(MID(A2823,5,2)),VALUE(RIGHT(A2823,2)))</f>
        <v/>
      </c>
      <c r="L2823" s="395">
        <f>DATEVALUE(LEFT(F2823,10))</f>
        <v/>
      </c>
      <c r="M2823" s="396">
        <f>TIMEVALUE(MID(F2823,12,8))</f>
        <v/>
      </c>
      <c r="N2823" s="395">
        <f>DATEVALUE(LEFT(G2823,10))</f>
        <v/>
      </c>
      <c r="O2823" s="396">
        <f>TIMEVALUE(MID(G2823,12,8))</f>
        <v/>
      </c>
      <c r="P2823" s="396">
        <f>IFERROR(_xlfn.MINIFS($M:$M,$E:$E,$E2823,$K:$K,$K2823,$M:$M,"&gt;"&amp;$O2823),"")</f>
        <v/>
      </c>
      <c r="Q2823" s="396">
        <f>IF($P2823="","",$P2823-$O2823)</f>
        <v/>
      </c>
    </row>
    <row r="2824" ht="15" customHeight="1" s="231">
      <c r="A2824" s="397" t="n"/>
      <c r="B2824" s="397" t="n"/>
      <c r="C2824" s="397" t="n"/>
      <c r="D2824" s="397" t="n"/>
      <c r="E2824" s="397" t="n"/>
      <c r="F2824" s="397" t="n"/>
      <c r="G2824" s="397" t="n"/>
      <c r="I2824" s="397" t="n"/>
      <c r="J2824" s="397" t="n"/>
      <c r="K2824" s="395">
        <f>DATE(VALUE(LEFT(A2824,4)),VALUE(MID(A2824,5,2)),VALUE(RIGHT(A2824,2)))</f>
        <v/>
      </c>
      <c r="L2824" s="395">
        <f>DATEVALUE(LEFT(F2824,10))</f>
        <v/>
      </c>
      <c r="M2824" s="396">
        <f>TIMEVALUE(MID(F2824,12,8))</f>
        <v/>
      </c>
      <c r="N2824" s="395">
        <f>DATEVALUE(LEFT(G2824,10))</f>
        <v/>
      </c>
      <c r="O2824" s="396">
        <f>TIMEVALUE(MID(G2824,12,8))</f>
        <v/>
      </c>
      <c r="P2824" s="396">
        <f>IFERROR(_xlfn.MINIFS($M:$M,$E:$E,$E2824,$K:$K,$K2824,$M:$M,"&gt;"&amp;$O2824),"")</f>
        <v/>
      </c>
      <c r="Q2824" s="396">
        <f>IF($P2824="","",$P2824-$O2824)</f>
        <v/>
      </c>
    </row>
    <row r="2825" ht="15" customHeight="1" s="231">
      <c r="A2825" s="397" t="n"/>
      <c r="B2825" s="397" t="n"/>
      <c r="C2825" s="397" t="n"/>
      <c r="D2825" s="397" t="n"/>
      <c r="E2825" s="397" t="n"/>
      <c r="F2825" s="397" t="n"/>
      <c r="G2825" s="397" t="n"/>
      <c r="I2825" s="397" t="n"/>
      <c r="J2825" s="397" t="n"/>
      <c r="K2825" s="395">
        <f>DATE(VALUE(LEFT(A2825,4)),VALUE(MID(A2825,5,2)),VALUE(RIGHT(A2825,2)))</f>
        <v/>
      </c>
      <c r="L2825" s="395">
        <f>DATEVALUE(LEFT(F2825,10))</f>
        <v/>
      </c>
      <c r="M2825" s="396">
        <f>TIMEVALUE(MID(F2825,12,8))</f>
        <v/>
      </c>
      <c r="N2825" s="395">
        <f>DATEVALUE(LEFT(G2825,10))</f>
        <v/>
      </c>
      <c r="O2825" s="396">
        <f>TIMEVALUE(MID(G2825,12,8))</f>
        <v/>
      </c>
      <c r="P2825" s="396">
        <f>IFERROR(_xlfn.MINIFS($M:$M,$E:$E,$E2825,$K:$K,$K2825,$M:$M,"&gt;"&amp;$O2825),"")</f>
        <v/>
      </c>
      <c r="Q2825" s="396">
        <f>IF($P2825="","",$P2825-$O2825)</f>
        <v/>
      </c>
    </row>
    <row r="2826" ht="15" customHeight="1" s="231">
      <c r="A2826" s="397" t="n"/>
      <c r="B2826" s="397" t="n"/>
      <c r="C2826" s="397" t="n"/>
      <c r="D2826" s="397" t="n"/>
      <c r="E2826" s="397" t="n"/>
      <c r="F2826" s="397" t="n"/>
      <c r="G2826" s="397" t="n"/>
      <c r="I2826" s="397" t="n"/>
      <c r="J2826" s="397" t="n"/>
      <c r="K2826" s="395">
        <f>DATE(VALUE(LEFT(A2826,4)),VALUE(MID(A2826,5,2)),VALUE(RIGHT(A2826,2)))</f>
        <v/>
      </c>
      <c r="L2826" s="395">
        <f>DATEVALUE(LEFT(F2826,10))</f>
        <v/>
      </c>
      <c r="M2826" s="396">
        <f>TIMEVALUE(MID(F2826,12,8))</f>
        <v/>
      </c>
      <c r="N2826" s="395">
        <f>DATEVALUE(LEFT(G2826,10))</f>
        <v/>
      </c>
      <c r="O2826" s="396">
        <f>TIMEVALUE(MID(G2826,12,8))</f>
        <v/>
      </c>
      <c r="P2826" s="396">
        <f>IFERROR(_xlfn.MINIFS($M:$M,$E:$E,$E2826,$K:$K,$K2826,$M:$M,"&gt;"&amp;$O2826),"")</f>
        <v/>
      </c>
      <c r="Q2826" s="396">
        <f>IF($P2826="","",$P2826-$O2826)</f>
        <v/>
      </c>
    </row>
    <row r="2827" ht="15" customHeight="1" s="231">
      <c r="A2827" s="397" t="n"/>
      <c r="B2827" s="397" t="n"/>
      <c r="C2827" s="397" t="n"/>
      <c r="D2827" s="397" t="n"/>
      <c r="E2827" s="397" t="n"/>
      <c r="F2827" s="397" t="n"/>
      <c r="G2827" s="397" t="n"/>
      <c r="I2827" s="397" t="n"/>
      <c r="J2827" s="397" t="n"/>
      <c r="K2827" s="395">
        <f>DATE(VALUE(LEFT(A2827,4)),VALUE(MID(A2827,5,2)),VALUE(RIGHT(A2827,2)))</f>
        <v/>
      </c>
      <c r="L2827" s="395">
        <f>DATEVALUE(LEFT(F2827,10))</f>
        <v/>
      </c>
      <c r="M2827" s="396">
        <f>TIMEVALUE(MID(F2827,12,8))</f>
        <v/>
      </c>
      <c r="N2827" s="395">
        <f>DATEVALUE(LEFT(G2827,10))</f>
        <v/>
      </c>
      <c r="O2827" s="396">
        <f>TIMEVALUE(MID(G2827,12,8))</f>
        <v/>
      </c>
      <c r="P2827" s="396">
        <f>IFERROR(_xlfn.MINIFS($M:$M,$E:$E,$E2827,$K:$K,$K2827,$M:$M,"&gt;"&amp;$O2827),"")</f>
        <v/>
      </c>
      <c r="Q2827" s="396">
        <f>IF($P2827="","",$P2827-$O2827)</f>
        <v/>
      </c>
    </row>
    <row r="2828" ht="15" customHeight="1" s="231">
      <c r="A2828" s="397" t="n"/>
      <c r="B2828" s="397" t="n"/>
      <c r="C2828" s="397" t="n"/>
      <c r="D2828" s="397" t="n"/>
      <c r="E2828" s="397" t="n"/>
      <c r="F2828" s="397" t="n"/>
      <c r="G2828" s="397" t="n"/>
      <c r="I2828" s="397" t="n"/>
      <c r="J2828" s="397" t="n"/>
      <c r="K2828" s="395">
        <f>DATE(VALUE(LEFT(A2828,4)),VALUE(MID(A2828,5,2)),VALUE(RIGHT(A2828,2)))</f>
        <v/>
      </c>
      <c r="L2828" s="395">
        <f>DATEVALUE(LEFT(F2828,10))</f>
        <v/>
      </c>
      <c r="M2828" s="396">
        <f>TIMEVALUE(MID(F2828,12,8))</f>
        <v/>
      </c>
      <c r="N2828" s="395">
        <f>DATEVALUE(LEFT(G2828,10))</f>
        <v/>
      </c>
      <c r="O2828" s="396">
        <f>TIMEVALUE(MID(G2828,12,8))</f>
        <v/>
      </c>
      <c r="P2828" s="396">
        <f>IFERROR(_xlfn.MINIFS($M:$M,$E:$E,$E2828,$K:$K,$K2828,$M:$M,"&gt;"&amp;$O2828),"")</f>
        <v/>
      </c>
      <c r="Q2828" s="396">
        <f>IF($P2828="","",$P2828-$O2828)</f>
        <v/>
      </c>
    </row>
    <row r="2829" ht="15" customHeight="1" s="231">
      <c r="A2829" s="397" t="n"/>
      <c r="B2829" s="397" t="n"/>
      <c r="C2829" s="397" t="n"/>
      <c r="D2829" s="397" t="n"/>
      <c r="E2829" s="397" t="n"/>
      <c r="F2829" s="397" t="n"/>
      <c r="G2829" s="397" t="n"/>
      <c r="I2829" s="397" t="n"/>
      <c r="J2829" s="397" t="n"/>
      <c r="K2829" s="395">
        <f>DATE(VALUE(LEFT(A2829,4)),VALUE(MID(A2829,5,2)),VALUE(RIGHT(A2829,2)))</f>
        <v/>
      </c>
      <c r="L2829" s="395">
        <f>DATEVALUE(LEFT(F2829,10))</f>
        <v/>
      </c>
      <c r="M2829" s="396">
        <f>TIMEVALUE(MID(F2829,12,8))</f>
        <v/>
      </c>
      <c r="N2829" s="395">
        <f>DATEVALUE(LEFT(G2829,10))</f>
        <v/>
      </c>
      <c r="O2829" s="396">
        <f>TIMEVALUE(MID(G2829,12,8))</f>
        <v/>
      </c>
      <c r="P2829" s="396">
        <f>IFERROR(_xlfn.MINIFS($M:$M,$E:$E,$E2829,$K:$K,$K2829,$M:$M,"&gt;"&amp;$O2829),"")</f>
        <v/>
      </c>
      <c r="Q2829" s="396">
        <f>IF($P2829="","",$P2829-$O2829)</f>
        <v/>
      </c>
    </row>
    <row r="2830" ht="15" customHeight="1" s="231">
      <c r="A2830" s="397" t="n"/>
      <c r="B2830" s="397" t="n"/>
      <c r="C2830" s="397" t="n"/>
      <c r="D2830" s="397" t="n"/>
      <c r="E2830" s="397" t="n"/>
      <c r="F2830" s="397" t="n"/>
      <c r="G2830" s="397" t="n"/>
      <c r="I2830" s="397" t="n"/>
      <c r="J2830" s="397" t="n"/>
      <c r="K2830" s="395">
        <f>DATE(VALUE(LEFT(A2830,4)),VALUE(MID(A2830,5,2)),VALUE(RIGHT(A2830,2)))</f>
        <v/>
      </c>
      <c r="L2830" s="395">
        <f>DATEVALUE(LEFT(F2830,10))</f>
        <v/>
      </c>
      <c r="M2830" s="396">
        <f>TIMEVALUE(MID(F2830,12,8))</f>
        <v/>
      </c>
      <c r="N2830" s="395">
        <f>DATEVALUE(LEFT(G2830,10))</f>
        <v/>
      </c>
      <c r="O2830" s="396">
        <f>TIMEVALUE(MID(G2830,12,8))</f>
        <v/>
      </c>
      <c r="P2830" s="396">
        <f>IFERROR(_xlfn.MINIFS($M:$M,$E:$E,$E2830,$K:$K,$K2830,$M:$M,"&gt;"&amp;$O2830),"")</f>
        <v/>
      </c>
      <c r="Q2830" s="396">
        <f>IF($P2830="","",$P2830-$O2830)</f>
        <v/>
      </c>
    </row>
    <row r="2831" ht="15" customHeight="1" s="231">
      <c r="A2831" s="397" t="n"/>
      <c r="B2831" s="397" t="n"/>
      <c r="C2831" s="397" t="n"/>
      <c r="D2831" s="397" t="n"/>
      <c r="E2831" s="397" t="n"/>
      <c r="F2831" s="397" t="n"/>
      <c r="G2831" s="397" t="n"/>
      <c r="I2831" s="397" t="n"/>
      <c r="J2831" s="397" t="n"/>
      <c r="K2831" s="395">
        <f>DATE(VALUE(LEFT(A2831,4)),VALUE(MID(A2831,5,2)),VALUE(RIGHT(A2831,2)))</f>
        <v/>
      </c>
      <c r="L2831" s="395">
        <f>DATEVALUE(LEFT(F2831,10))</f>
        <v/>
      </c>
      <c r="M2831" s="396">
        <f>TIMEVALUE(MID(F2831,12,8))</f>
        <v/>
      </c>
      <c r="N2831" s="395">
        <f>DATEVALUE(LEFT(G2831,10))</f>
        <v/>
      </c>
      <c r="O2831" s="396">
        <f>TIMEVALUE(MID(G2831,12,8))</f>
        <v/>
      </c>
      <c r="P2831" s="396">
        <f>IFERROR(_xlfn.MINIFS($M:$M,$E:$E,$E2831,$K:$K,$K2831,$M:$M,"&gt;"&amp;$O2831),"")</f>
        <v/>
      </c>
      <c r="Q2831" s="396">
        <f>IF($P2831="","",$P2831-$O2831)</f>
        <v/>
      </c>
    </row>
    <row r="2832" ht="15" customHeight="1" s="231">
      <c r="A2832" s="397" t="n"/>
      <c r="B2832" s="397" t="n"/>
      <c r="C2832" s="397" t="n"/>
      <c r="D2832" s="397" t="n"/>
      <c r="E2832" s="397" t="n"/>
      <c r="F2832" s="397" t="n"/>
      <c r="G2832" s="397" t="n"/>
      <c r="I2832" s="397" t="n"/>
      <c r="J2832" s="397" t="n"/>
      <c r="K2832" s="395">
        <f>DATE(VALUE(LEFT(A2832,4)),VALUE(MID(A2832,5,2)),VALUE(RIGHT(A2832,2)))</f>
        <v/>
      </c>
      <c r="L2832" s="395">
        <f>DATEVALUE(LEFT(F2832,10))</f>
        <v/>
      </c>
      <c r="M2832" s="396">
        <f>TIMEVALUE(MID(F2832,12,8))</f>
        <v/>
      </c>
      <c r="N2832" s="395">
        <f>DATEVALUE(LEFT(G2832,10))</f>
        <v/>
      </c>
      <c r="O2832" s="396">
        <f>TIMEVALUE(MID(G2832,12,8))</f>
        <v/>
      </c>
      <c r="P2832" s="396">
        <f>IFERROR(_xlfn.MINIFS($M:$M,$E:$E,$E2832,$K:$K,$K2832,$M:$M,"&gt;"&amp;$O2832),"")</f>
        <v/>
      </c>
      <c r="Q2832" s="396">
        <f>IF($P2832="","",$P2832-$O2832)</f>
        <v/>
      </c>
    </row>
    <row r="2833" ht="15" customHeight="1" s="231">
      <c r="A2833" s="397" t="n"/>
      <c r="B2833" s="397" t="n"/>
      <c r="C2833" s="397" t="n"/>
      <c r="D2833" s="397" t="n"/>
      <c r="E2833" s="397" t="n"/>
      <c r="F2833" s="397" t="n"/>
      <c r="G2833" s="397" t="n"/>
      <c r="I2833" s="397" t="n"/>
      <c r="J2833" s="397" t="n"/>
      <c r="K2833" s="395">
        <f>DATE(VALUE(LEFT(A2833,4)),VALUE(MID(A2833,5,2)),VALUE(RIGHT(A2833,2)))</f>
        <v/>
      </c>
      <c r="L2833" s="395">
        <f>DATEVALUE(LEFT(F2833,10))</f>
        <v/>
      </c>
      <c r="M2833" s="396">
        <f>TIMEVALUE(MID(F2833,12,8))</f>
        <v/>
      </c>
      <c r="N2833" s="395">
        <f>DATEVALUE(LEFT(G2833,10))</f>
        <v/>
      </c>
      <c r="O2833" s="396">
        <f>TIMEVALUE(MID(G2833,12,8))</f>
        <v/>
      </c>
      <c r="P2833" s="396">
        <f>IFERROR(_xlfn.MINIFS($M:$M,$E:$E,$E2833,$K:$K,$K2833,$M:$M,"&gt;"&amp;$O2833),"")</f>
        <v/>
      </c>
      <c r="Q2833" s="396">
        <f>IF($P2833="","",$P2833-$O2833)</f>
        <v/>
      </c>
    </row>
    <row r="2834" ht="15" customHeight="1" s="231">
      <c r="A2834" s="397" t="n"/>
      <c r="B2834" s="397" t="n"/>
      <c r="C2834" s="397" t="n"/>
      <c r="D2834" s="397" t="n"/>
      <c r="E2834" s="397" t="n"/>
      <c r="F2834" s="397" t="n"/>
      <c r="G2834" s="397" t="n"/>
      <c r="I2834" s="397" t="n"/>
      <c r="J2834" s="397" t="n"/>
      <c r="K2834" s="395">
        <f>DATE(VALUE(LEFT(A2834,4)),VALUE(MID(A2834,5,2)),VALUE(RIGHT(A2834,2)))</f>
        <v/>
      </c>
      <c r="L2834" s="395">
        <f>DATEVALUE(LEFT(F2834,10))</f>
        <v/>
      </c>
      <c r="M2834" s="396">
        <f>TIMEVALUE(MID(F2834,12,8))</f>
        <v/>
      </c>
      <c r="N2834" s="395">
        <f>DATEVALUE(LEFT(G2834,10))</f>
        <v/>
      </c>
      <c r="O2834" s="396">
        <f>TIMEVALUE(MID(G2834,12,8))</f>
        <v/>
      </c>
      <c r="P2834" s="396">
        <f>IFERROR(_xlfn.MINIFS($M:$M,$E:$E,$E2834,$K:$K,$K2834,$M:$M,"&gt;"&amp;$O2834),"")</f>
        <v/>
      </c>
      <c r="Q2834" s="396">
        <f>IF($P2834="","",$P2834-$O2834)</f>
        <v/>
      </c>
    </row>
    <row r="2835" ht="15" customHeight="1" s="231">
      <c r="A2835" s="397" t="n"/>
      <c r="B2835" s="397" t="n"/>
      <c r="C2835" s="397" t="n"/>
      <c r="D2835" s="397" t="n"/>
      <c r="E2835" s="397" t="n"/>
      <c r="F2835" s="397" t="n"/>
      <c r="G2835" s="397" t="n"/>
      <c r="I2835" s="397" t="n"/>
      <c r="J2835" s="397" t="n"/>
      <c r="K2835" s="395">
        <f>DATE(VALUE(LEFT(A2835,4)),VALUE(MID(A2835,5,2)),VALUE(RIGHT(A2835,2)))</f>
        <v/>
      </c>
      <c r="L2835" s="395">
        <f>DATEVALUE(LEFT(F2835,10))</f>
        <v/>
      </c>
      <c r="M2835" s="396">
        <f>TIMEVALUE(MID(F2835,12,8))</f>
        <v/>
      </c>
      <c r="N2835" s="395">
        <f>DATEVALUE(LEFT(G2835,10))</f>
        <v/>
      </c>
      <c r="O2835" s="396">
        <f>TIMEVALUE(MID(G2835,12,8))</f>
        <v/>
      </c>
      <c r="P2835" s="396">
        <f>IFERROR(_xlfn.MINIFS($M:$M,$E:$E,$E2835,$K:$K,$K2835,$M:$M,"&gt;"&amp;$O2835),"")</f>
        <v/>
      </c>
      <c r="Q2835" s="396">
        <f>IF($P2835="","",$P2835-$O2835)</f>
        <v/>
      </c>
    </row>
    <row r="2836" ht="15" customHeight="1" s="231">
      <c r="A2836" s="397" t="n"/>
      <c r="B2836" s="397" t="n"/>
      <c r="C2836" s="397" t="n"/>
      <c r="D2836" s="397" t="n"/>
      <c r="E2836" s="397" t="n"/>
      <c r="F2836" s="397" t="n"/>
      <c r="G2836" s="397" t="n"/>
      <c r="I2836" s="397" t="n"/>
      <c r="J2836" s="397" t="n"/>
      <c r="K2836" s="395">
        <f>DATE(VALUE(LEFT(A2836,4)),VALUE(MID(A2836,5,2)),VALUE(RIGHT(A2836,2)))</f>
        <v/>
      </c>
      <c r="L2836" s="395">
        <f>DATEVALUE(LEFT(F2836,10))</f>
        <v/>
      </c>
      <c r="M2836" s="396">
        <f>TIMEVALUE(MID(F2836,12,8))</f>
        <v/>
      </c>
      <c r="N2836" s="395">
        <f>DATEVALUE(LEFT(G2836,10))</f>
        <v/>
      </c>
      <c r="O2836" s="396">
        <f>TIMEVALUE(MID(G2836,12,8))</f>
        <v/>
      </c>
      <c r="P2836" s="396">
        <f>IFERROR(_xlfn.MINIFS($M:$M,$E:$E,$E2836,$K:$K,$K2836,$M:$M,"&gt;"&amp;$O2836),"")</f>
        <v/>
      </c>
      <c r="Q2836" s="396">
        <f>IF($P2836="","",$P2836-$O2836)</f>
        <v/>
      </c>
    </row>
    <row r="2837" ht="15" customHeight="1" s="231">
      <c r="A2837" s="397" t="n"/>
      <c r="B2837" s="397" t="n"/>
      <c r="C2837" s="397" t="n"/>
      <c r="D2837" s="397" t="n"/>
      <c r="E2837" s="397" t="n"/>
      <c r="F2837" s="397" t="n"/>
      <c r="G2837" s="397" t="n"/>
      <c r="I2837" s="397" t="n"/>
      <c r="J2837" s="397" t="n"/>
      <c r="K2837" s="395">
        <f>DATE(VALUE(LEFT(A2837,4)),VALUE(MID(A2837,5,2)),VALUE(RIGHT(A2837,2)))</f>
        <v/>
      </c>
      <c r="L2837" s="395">
        <f>DATEVALUE(LEFT(F2837,10))</f>
        <v/>
      </c>
      <c r="M2837" s="396">
        <f>TIMEVALUE(MID(F2837,12,8))</f>
        <v/>
      </c>
      <c r="N2837" s="395">
        <f>DATEVALUE(LEFT(G2837,10))</f>
        <v/>
      </c>
      <c r="O2837" s="396">
        <f>TIMEVALUE(MID(G2837,12,8))</f>
        <v/>
      </c>
      <c r="P2837" s="396">
        <f>IFERROR(_xlfn.MINIFS($M:$M,$E:$E,$E2837,$K:$K,$K2837,$M:$M,"&gt;"&amp;$O2837),"")</f>
        <v/>
      </c>
      <c r="Q2837" s="396">
        <f>IF($P2837="","",$P2837-$O2837)</f>
        <v/>
      </c>
    </row>
    <row r="2838" ht="15" customHeight="1" s="231">
      <c r="A2838" s="397" t="n"/>
      <c r="B2838" s="397" t="n"/>
      <c r="C2838" s="397" t="n"/>
      <c r="D2838" s="397" t="n"/>
      <c r="E2838" s="397" t="n"/>
      <c r="F2838" s="397" t="n"/>
      <c r="G2838" s="397" t="n"/>
      <c r="I2838" s="397" t="n"/>
      <c r="J2838" s="397" t="n"/>
      <c r="K2838" s="395">
        <f>DATE(VALUE(LEFT(A2838,4)),VALUE(MID(A2838,5,2)),VALUE(RIGHT(A2838,2)))</f>
        <v/>
      </c>
      <c r="L2838" s="395">
        <f>DATEVALUE(LEFT(F2838,10))</f>
        <v/>
      </c>
      <c r="M2838" s="396">
        <f>TIMEVALUE(MID(F2838,12,8))</f>
        <v/>
      </c>
      <c r="N2838" s="395">
        <f>DATEVALUE(LEFT(G2838,10))</f>
        <v/>
      </c>
      <c r="O2838" s="396">
        <f>TIMEVALUE(MID(G2838,12,8))</f>
        <v/>
      </c>
      <c r="P2838" s="396">
        <f>IFERROR(_xlfn.MINIFS($M:$M,$E:$E,$E2838,$K:$K,$K2838,$M:$M,"&gt;"&amp;$O2838),"")</f>
        <v/>
      </c>
      <c r="Q2838" s="396">
        <f>IF($P2838="","",$P2838-$O2838)</f>
        <v/>
      </c>
    </row>
    <row r="2839" ht="15" customHeight="1" s="231">
      <c r="A2839" s="397" t="n"/>
      <c r="B2839" s="397" t="n"/>
      <c r="C2839" s="397" t="n"/>
      <c r="D2839" s="397" t="n"/>
      <c r="E2839" s="397" t="n"/>
      <c r="F2839" s="397" t="n"/>
      <c r="G2839" s="397" t="n"/>
      <c r="I2839" s="397" t="n"/>
      <c r="J2839" s="397" t="n"/>
      <c r="K2839" s="395">
        <f>DATE(VALUE(LEFT(A2839,4)),VALUE(MID(A2839,5,2)),VALUE(RIGHT(A2839,2)))</f>
        <v/>
      </c>
      <c r="L2839" s="395">
        <f>DATEVALUE(LEFT(F2839,10))</f>
        <v/>
      </c>
      <c r="M2839" s="396">
        <f>TIMEVALUE(MID(F2839,12,8))</f>
        <v/>
      </c>
      <c r="N2839" s="395">
        <f>DATEVALUE(LEFT(G2839,10))</f>
        <v/>
      </c>
      <c r="O2839" s="396">
        <f>TIMEVALUE(MID(G2839,12,8))</f>
        <v/>
      </c>
      <c r="P2839" s="396">
        <f>IFERROR(_xlfn.MINIFS($M:$M,$E:$E,$E2839,$K:$K,$K2839,$M:$M,"&gt;"&amp;$O2839),"")</f>
        <v/>
      </c>
      <c r="Q2839" s="396">
        <f>IF($P2839="","",$P2839-$O2839)</f>
        <v/>
      </c>
    </row>
    <row r="2840" ht="15" customHeight="1" s="231">
      <c r="A2840" s="397" t="n"/>
      <c r="B2840" s="397" t="n"/>
      <c r="C2840" s="397" t="n"/>
      <c r="D2840" s="397" t="n"/>
      <c r="E2840" s="397" t="n"/>
      <c r="F2840" s="397" t="n"/>
      <c r="G2840" s="397" t="n"/>
      <c r="I2840" s="397" t="n"/>
      <c r="J2840" s="397" t="n"/>
      <c r="K2840" s="395">
        <f>DATE(VALUE(LEFT(A2840,4)),VALUE(MID(A2840,5,2)),VALUE(RIGHT(A2840,2)))</f>
        <v/>
      </c>
      <c r="L2840" s="395">
        <f>DATEVALUE(LEFT(F2840,10))</f>
        <v/>
      </c>
      <c r="M2840" s="396">
        <f>TIMEVALUE(MID(F2840,12,8))</f>
        <v/>
      </c>
      <c r="N2840" s="395">
        <f>DATEVALUE(LEFT(G2840,10))</f>
        <v/>
      </c>
      <c r="O2840" s="396">
        <f>TIMEVALUE(MID(G2840,12,8))</f>
        <v/>
      </c>
      <c r="P2840" s="396">
        <f>IFERROR(_xlfn.MINIFS($M:$M,$E:$E,$E2840,$K:$K,$K2840,$M:$M,"&gt;"&amp;$O2840),"")</f>
        <v/>
      </c>
      <c r="Q2840" s="396">
        <f>IF($P2840="","",$P2840-$O2840)</f>
        <v/>
      </c>
    </row>
    <row r="2841" ht="15" customHeight="1" s="231">
      <c r="A2841" s="397" t="n"/>
      <c r="B2841" s="397" t="n"/>
      <c r="C2841" s="397" t="n"/>
      <c r="D2841" s="397" t="n"/>
      <c r="E2841" s="397" t="n"/>
      <c r="F2841" s="397" t="n"/>
      <c r="G2841" s="397" t="n"/>
      <c r="I2841" s="397" t="n"/>
      <c r="J2841" s="397" t="n"/>
      <c r="K2841" s="395">
        <f>DATE(VALUE(LEFT(A2841,4)),VALUE(MID(A2841,5,2)),VALUE(RIGHT(A2841,2)))</f>
        <v/>
      </c>
      <c r="L2841" s="395">
        <f>DATEVALUE(LEFT(F2841,10))</f>
        <v/>
      </c>
      <c r="M2841" s="396">
        <f>TIMEVALUE(MID(F2841,12,8))</f>
        <v/>
      </c>
      <c r="N2841" s="395">
        <f>DATEVALUE(LEFT(G2841,10))</f>
        <v/>
      </c>
      <c r="O2841" s="396">
        <f>TIMEVALUE(MID(G2841,12,8))</f>
        <v/>
      </c>
      <c r="P2841" s="396">
        <f>IFERROR(_xlfn.MINIFS($M:$M,$E:$E,$E2841,$K:$K,$K2841,$M:$M,"&gt;"&amp;$O2841),"")</f>
        <v/>
      </c>
      <c r="Q2841" s="396">
        <f>IF($P2841="","",$P2841-$O2841)</f>
        <v/>
      </c>
    </row>
    <row r="2842" ht="15" customHeight="1" s="231">
      <c r="A2842" s="397" t="n"/>
      <c r="B2842" s="397" t="n"/>
      <c r="C2842" s="397" t="n"/>
      <c r="D2842" s="397" t="n"/>
      <c r="E2842" s="397" t="n"/>
      <c r="F2842" s="397" t="n"/>
      <c r="G2842" s="397" t="n"/>
      <c r="I2842" s="397" t="n"/>
      <c r="J2842" s="397" t="n"/>
      <c r="K2842" s="395">
        <f>DATE(VALUE(LEFT(A2842,4)),VALUE(MID(A2842,5,2)),VALUE(RIGHT(A2842,2)))</f>
        <v/>
      </c>
      <c r="L2842" s="395">
        <f>DATEVALUE(LEFT(F2842,10))</f>
        <v/>
      </c>
      <c r="M2842" s="396">
        <f>TIMEVALUE(MID(F2842,12,8))</f>
        <v/>
      </c>
      <c r="N2842" s="395">
        <f>DATEVALUE(LEFT(G2842,10))</f>
        <v/>
      </c>
      <c r="O2842" s="396">
        <f>TIMEVALUE(MID(G2842,12,8))</f>
        <v/>
      </c>
      <c r="P2842" s="396">
        <f>IFERROR(_xlfn.MINIFS($M:$M,$E:$E,$E2842,$K:$K,$K2842,$M:$M,"&gt;"&amp;$O2842),"")</f>
        <v/>
      </c>
      <c r="Q2842" s="396">
        <f>IF($P2842="","",$P2842-$O2842)</f>
        <v/>
      </c>
    </row>
    <row r="2843" ht="15" customHeight="1" s="231">
      <c r="A2843" s="397" t="n"/>
      <c r="B2843" s="397" t="n"/>
      <c r="C2843" s="397" t="n"/>
      <c r="D2843" s="397" t="n"/>
      <c r="E2843" s="397" t="n"/>
      <c r="F2843" s="397" t="n"/>
      <c r="G2843" s="397" t="n"/>
      <c r="I2843" s="397" t="n"/>
      <c r="J2843" s="397" t="n"/>
      <c r="K2843" s="395">
        <f>DATE(VALUE(LEFT(A2843,4)),VALUE(MID(A2843,5,2)),VALUE(RIGHT(A2843,2)))</f>
        <v/>
      </c>
      <c r="L2843" s="395">
        <f>DATEVALUE(LEFT(F2843,10))</f>
        <v/>
      </c>
      <c r="M2843" s="396">
        <f>TIMEVALUE(MID(F2843,12,8))</f>
        <v/>
      </c>
      <c r="N2843" s="395">
        <f>DATEVALUE(LEFT(G2843,10))</f>
        <v/>
      </c>
      <c r="O2843" s="396">
        <f>TIMEVALUE(MID(G2843,12,8))</f>
        <v/>
      </c>
      <c r="P2843" s="396">
        <f>IFERROR(_xlfn.MINIFS($M:$M,$E:$E,$E2843,$K:$K,$K2843,$M:$M,"&gt;"&amp;$O2843),"")</f>
        <v/>
      </c>
      <c r="Q2843" s="396">
        <f>IF($P2843="","",$P2843-$O2843)</f>
        <v/>
      </c>
    </row>
    <row r="2844" ht="15" customHeight="1" s="231">
      <c r="A2844" s="397" t="n"/>
      <c r="B2844" s="397" t="n"/>
      <c r="C2844" s="397" t="n"/>
      <c r="D2844" s="397" t="n"/>
      <c r="E2844" s="397" t="n"/>
      <c r="F2844" s="397" t="n"/>
      <c r="G2844" s="397" t="n"/>
      <c r="I2844" s="397" t="n"/>
      <c r="J2844" s="397" t="n"/>
      <c r="K2844" s="395">
        <f>DATE(VALUE(LEFT(A2844,4)),VALUE(MID(A2844,5,2)),VALUE(RIGHT(A2844,2)))</f>
        <v/>
      </c>
      <c r="L2844" s="395">
        <f>DATEVALUE(LEFT(F2844,10))</f>
        <v/>
      </c>
      <c r="M2844" s="396">
        <f>TIMEVALUE(MID(F2844,12,8))</f>
        <v/>
      </c>
      <c r="N2844" s="395">
        <f>DATEVALUE(LEFT(G2844,10))</f>
        <v/>
      </c>
      <c r="O2844" s="396">
        <f>TIMEVALUE(MID(G2844,12,8))</f>
        <v/>
      </c>
      <c r="P2844" s="396">
        <f>IFERROR(_xlfn.MINIFS($M:$M,$E:$E,$E2844,$K:$K,$K2844,$M:$M,"&gt;"&amp;$O2844),"")</f>
        <v/>
      </c>
      <c r="Q2844" s="396">
        <f>IF($P2844="","",$P2844-$O2844)</f>
        <v/>
      </c>
    </row>
    <row r="2845" ht="15" customHeight="1" s="231">
      <c r="A2845" s="397" t="n"/>
      <c r="B2845" s="397" t="n"/>
      <c r="C2845" s="397" t="n"/>
      <c r="D2845" s="397" t="n"/>
      <c r="E2845" s="397" t="n"/>
      <c r="F2845" s="397" t="n"/>
      <c r="G2845" s="397" t="n"/>
      <c r="I2845" s="397" t="n"/>
      <c r="J2845" s="397" t="n"/>
      <c r="K2845" s="395">
        <f>DATE(VALUE(LEFT(A2845,4)),VALUE(MID(A2845,5,2)),VALUE(RIGHT(A2845,2)))</f>
        <v/>
      </c>
      <c r="L2845" s="395">
        <f>DATEVALUE(LEFT(F2845,10))</f>
        <v/>
      </c>
      <c r="M2845" s="396">
        <f>TIMEVALUE(MID(F2845,12,8))</f>
        <v/>
      </c>
      <c r="N2845" s="395">
        <f>DATEVALUE(LEFT(G2845,10))</f>
        <v/>
      </c>
      <c r="O2845" s="396">
        <f>TIMEVALUE(MID(G2845,12,8))</f>
        <v/>
      </c>
      <c r="P2845" s="396">
        <f>IFERROR(_xlfn.MINIFS($M:$M,$E:$E,$E2845,$K:$K,$K2845,$M:$M,"&gt;"&amp;$O2845),"")</f>
        <v/>
      </c>
      <c r="Q2845" s="396">
        <f>IF($P2845="","",$P2845-$O2845)</f>
        <v/>
      </c>
    </row>
    <row r="2846" ht="15" customHeight="1" s="231">
      <c r="A2846" s="397" t="n"/>
      <c r="B2846" s="397" t="n"/>
      <c r="C2846" s="397" t="n"/>
      <c r="D2846" s="397" t="n"/>
      <c r="E2846" s="397" t="n"/>
      <c r="F2846" s="397" t="n"/>
      <c r="G2846" s="397" t="n"/>
      <c r="I2846" s="397" t="n"/>
      <c r="J2846" s="397" t="n"/>
      <c r="K2846" s="395">
        <f>DATE(VALUE(LEFT(A2846,4)),VALUE(MID(A2846,5,2)),VALUE(RIGHT(A2846,2)))</f>
        <v/>
      </c>
      <c r="L2846" s="395">
        <f>DATEVALUE(LEFT(F2846,10))</f>
        <v/>
      </c>
      <c r="M2846" s="396">
        <f>TIMEVALUE(MID(F2846,12,8))</f>
        <v/>
      </c>
      <c r="N2846" s="395">
        <f>DATEVALUE(LEFT(G2846,10))</f>
        <v/>
      </c>
      <c r="O2846" s="396">
        <f>TIMEVALUE(MID(G2846,12,8))</f>
        <v/>
      </c>
      <c r="P2846" s="396">
        <f>IFERROR(_xlfn.MINIFS($M:$M,$E:$E,$E2846,$K:$K,$K2846,$M:$M,"&gt;"&amp;$O2846),"")</f>
        <v/>
      </c>
      <c r="Q2846" s="396">
        <f>IF($P2846="","",$P2846-$O2846)</f>
        <v/>
      </c>
    </row>
    <row r="2847" ht="15" customHeight="1" s="231">
      <c r="A2847" s="397" t="n"/>
      <c r="B2847" s="397" t="n"/>
      <c r="C2847" s="397" t="n"/>
      <c r="D2847" s="397" t="n"/>
      <c r="E2847" s="397" t="n"/>
      <c r="F2847" s="397" t="n"/>
      <c r="G2847" s="397" t="n"/>
      <c r="I2847" s="397" t="n"/>
      <c r="J2847" s="397" t="n"/>
      <c r="K2847" s="395">
        <f>DATE(VALUE(LEFT(A2847,4)),VALUE(MID(A2847,5,2)),VALUE(RIGHT(A2847,2)))</f>
        <v/>
      </c>
      <c r="L2847" s="395">
        <f>DATEVALUE(LEFT(F2847,10))</f>
        <v/>
      </c>
      <c r="M2847" s="396">
        <f>TIMEVALUE(MID(F2847,12,8))</f>
        <v/>
      </c>
      <c r="N2847" s="395">
        <f>DATEVALUE(LEFT(G2847,10))</f>
        <v/>
      </c>
      <c r="O2847" s="396">
        <f>TIMEVALUE(MID(G2847,12,8))</f>
        <v/>
      </c>
      <c r="P2847" s="396">
        <f>IFERROR(_xlfn.MINIFS($M:$M,$E:$E,$E2847,$K:$K,$K2847,$M:$M,"&gt;"&amp;$O2847),"")</f>
        <v/>
      </c>
      <c r="Q2847" s="396">
        <f>IF($P2847="","",$P2847-$O2847)</f>
        <v/>
      </c>
    </row>
    <row r="2848" ht="15" customHeight="1" s="231">
      <c r="A2848" s="397" t="n"/>
      <c r="B2848" s="397" t="n"/>
      <c r="C2848" s="397" t="n"/>
      <c r="D2848" s="397" t="n"/>
      <c r="E2848" s="397" t="n"/>
      <c r="F2848" s="397" t="n"/>
      <c r="G2848" s="397" t="n"/>
      <c r="I2848" s="397" t="n"/>
      <c r="J2848" s="397" t="n"/>
      <c r="K2848" s="395">
        <f>DATE(VALUE(LEFT(A2848,4)),VALUE(MID(A2848,5,2)),VALUE(RIGHT(A2848,2)))</f>
        <v/>
      </c>
      <c r="L2848" s="395">
        <f>DATEVALUE(LEFT(F2848,10))</f>
        <v/>
      </c>
      <c r="M2848" s="396">
        <f>TIMEVALUE(MID(F2848,12,8))</f>
        <v/>
      </c>
      <c r="N2848" s="395">
        <f>DATEVALUE(LEFT(G2848,10))</f>
        <v/>
      </c>
      <c r="O2848" s="396">
        <f>TIMEVALUE(MID(G2848,12,8))</f>
        <v/>
      </c>
      <c r="P2848" s="396">
        <f>IFERROR(_xlfn.MINIFS($M:$M,$E:$E,$E2848,$K:$K,$K2848,$M:$M,"&gt;"&amp;$O2848),"")</f>
        <v/>
      </c>
      <c r="Q2848" s="396">
        <f>IF($P2848="","",$P2848-$O2848)</f>
        <v/>
      </c>
    </row>
    <row r="2849" ht="15" customHeight="1" s="231">
      <c r="A2849" s="397" t="n"/>
      <c r="B2849" s="397" t="n"/>
      <c r="C2849" s="397" t="n"/>
      <c r="D2849" s="397" t="n"/>
      <c r="E2849" s="397" t="n"/>
      <c r="F2849" s="397" t="n"/>
      <c r="G2849" s="397" t="n"/>
      <c r="I2849" s="397" t="n"/>
      <c r="J2849" s="397" t="n"/>
      <c r="K2849" s="395">
        <f>DATE(VALUE(LEFT(A2849,4)),VALUE(MID(A2849,5,2)),VALUE(RIGHT(A2849,2)))</f>
        <v/>
      </c>
      <c r="L2849" s="395">
        <f>DATEVALUE(LEFT(F2849,10))</f>
        <v/>
      </c>
      <c r="M2849" s="396">
        <f>TIMEVALUE(MID(F2849,12,8))</f>
        <v/>
      </c>
      <c r="N2849" s="395">
        <f>DATEVALUE(LEFT(G2849,10))</f>
        <v/>
      </c>
      <c r="O2849" s="396">
        <f>TIMEVALUE(MID(G2849,12,8))</f>
        <v/>
      </c>
      <c r="P2849" s="396">
        <f>IFERROR(_xlfn.MINIFS($M:$M,$E:$E,$E2849,$K:$K,$K2849,$M:$M,"&gt;"&amp;$O2849),"")</f>
        <v/>
      </c>
      <c r="Q2849" s="396">
        <f>IF($P2849="","",$P2849-$O2849)</f>
        <v/>
      </c>
    </row>
    <row r="2850" ht="15" customHeight="1" s="231">
      <c r="A2850" s="397" t="n"/>
      <c r="B2850" s="397" t="n"/>
      <c r="C2850" s="397" t="n"/>
      <c r="D2850" s="397" t="n"/>
      <c r="E2850" s="397" t="n"/>
      <c r="F2850" s="397" t="n"/>
      <c r="G2850" s="397" t="n"/>
      <c r="I2850" s="397" t="n"/>
      <c r="J2850" s="397" t="n"/>
      <c r="K2850" s="395">
        <f>DATE(VALUE(LEFT(A2850,4)),VALUE(MID(A2850,5,2)),VALUE(RIGHT(A2850,2)))</f>
        <v/>
      </c>
      <c r="L2850" s="395">
        <f>DATEVALUE(LEFT(F2850,10))</f>
        <v/>
      </c>
      <c r="M2850" s="396">
        <f>TIMEVALUE(MID(F2850,12,8))</f>
        <v/>
      </c>
      <c r="N2850" s="395">
        <f>DATEVALUE(LEFT(G2850,10))</f>
        <v/>
      </c>
      <c r="O2850" s="396">
        <f>TIMEVALUE(MID(G2850,12,8))</f>
        <v/>
      </c>
      <c r="P2850" s="396">
        <f>IFERROR(_xlfn.MINIFS($M:$M,$E:$E,$E2850,$K:$K,$K2850,$M:$M,"&gt;"&amp;$O2850),"")</f>
        <v/>
      </c>
      <c r="Q2850" s="396">
        <f>IF($P2850="","",$P2850-$O2850)</f>
        <v/>
      </c>
    </row>
    <row r="2851" ht="15" customHeight="1" s="231">
      <c r="A2851" s="397" t="n"/>
      <c r="B2851" s="397" t="n"/>
      <c r="C2851" s="397" t="n"/>
      <c r="D2851" s="397" t="n"/>
      <c r="E2851" s="397" t="n"/>
      <c r="F2851" s="397" t="n"/>
      <c r="G2851" s="397" t="n"/>
      <c r="I2851" s="397" t="n"/>
      <c r="J2851" s="397" t="n"/>
      <c r="K2851" s="395">
        <f>DATE(VALUE(LEFT(A2851,4)),VALUE(MID(A2851,5,2)),VALUE(RIGHT(A2851,2)))</f>
        <v/>
      </c>
      <c r="L2851" s="395">
        <f>DATEVALUE(LEFT(F2851,10))</f>
        <v/>
      </c>
      <c r="M2851" s="396">
        <f>TIMEVALUE(MID(F2851,12,8))</f>
        <v/>
      </c>
      <c r="N2851" s="395">
        <f>DATEVALUE(LEFT(G2851,10))</f>
        <v/>
      </c>
      <c r="O2851" s="396">
        <f>TIMEVALUE(MID(G2851,12,8))</f>
        <v/>
      </c>
      <c r="P2851" s="396">
        <f>IFERROR(_xlfn.MINIFS($M:$M,$E:$E,$E2851,$K:$K,$K2851,$M:$M,"&gt;"&amp;$O2851),"")</f>
        <v/>
      </c>
      <c r="Q2851" s="396">
        <f>IF($P2851="","",$P2851-$O2851)</f>
        <v/>
      </c>
    </row>
    <row r="2852" ht="15" customHeight="1" s="231">
      <c r="A2852" s="397" t="n"/>
      <c r="B2852" s="397" t="n"/>
      <c r="C2852" s="397" t="n"/>
      <c r="D2852" s="397" t="n"/>
      <c r="E2852" s="397" t="n"/>
      <c r="F2852" s="397" t="n"/>
      <c r="G2852" s="397" t="n"/>
      <c r="I2852" s="397" t="n"/>
      <c r="J2852" s="397" t="n"/>
      <c r="K2852" s="395">
        <f>DATE(VALUE(LEFT(A2852,4)),VALUE(MID(A2852,5,2)),VALUE(RIGHT(A2852,2)))</f>
        <v/>
      </c>
      <c r="L2852" s="395">
        <f>DATEVALUE(LEFT(F2852,10))</f>
        <v/>
      </c>
      <c r="M2852" s="396">
        <f>TIMEVALUE(MID(F2852,12,8))</f>
        <v/>
      </c>
      <c r="N2852" s="395">
        <f>DATEVALUE(LEFT(G2852,10))</f>
        <v/>
      </c>
      <c r="O2852" s="396">
        <f>TIMEVALUE(MID(G2852,12,8))</f>
        <v/>
      </c>
      <c r="P2852" s="396">
        <f>IFERROR(_xlfn.MINIFS($M:$M,$E:$E,$E2852,$K:$K,$K2852,$M:$M,"&gt;"&amp;$O2852),"")</f>
        <v/>
      </c>
      <c r="Q2852" s="396">
        <f>IF($P2852="","",$P2852-$O2852)</f>
        <v/>
      </c>
    </row>
    <row r="2853" ht="15" customHeight="1" s="231">
      <c r="A2853" s="397" t="n"/>
      <c r="B2853" s="397" t="n"/>
      <c r="C2853" s="397" t="n"/>
      <c r="D2853" s="397" t="n"/>
      <c r="E2853" s="397" t="n"/>
      <c r="F2853" s="397" t="n"/>
      <c r="G2853" s="397" t="n"/>
      <c r="I2853" s="397" t="n"/>
      <c r="J2853" s="397" t="n"/>
      <c r="K2853" s="395">
        <f>DATE(VALUE(LEFT(A2853,4)),VALUE(MID(A2853,5,2)),VALUE(RIGHT(A2853,2)))</f>
        <v/>
      </c>
      <c r="L2853" s="395">
        <f>DATEVALUE(LEFT(F2853,10))</f>
        <v/>
      </c>
      <c r="M2853" s="396">
        <f>TIMEVALUE(MID(F2853,12,8))</f>
        <v/>
      </c>
      <c r="N2853" s="395">
        <f>DATEVALUE(LEFT(G2853,10))</f>
        <v/>
      </c>
      <c r="O2853" s="396">
        <f>TIMEVALUE(MID(G2853,12,8))</f>
        <v/>
      </c>
      <c r="P2853" s="396">
        <f>IFERROR(_xlfn.MINIFS($M:$M,$E:$E,$E2853,$K:$K,$K2853,$M:$M,"&gt;"&amp;$O2853),"")</f>
        <v/>
      </c>
      <c r="Q2853" s="396">
        <f>IF($P2853="","",$P2853-$O2853)</f>
        <v/>
      </c>
    </row>
    <row r="2854" ht="15" customHeight="1" s="231">
      <c r="A2854" s="397" t="n"/>
      <c r="B2854" s="397" t="n"/>
      <c r="C2854" s="397" t="n"/>
      <c r="D2854" s="397" t="n"/>
      <c r="E2854" s="397" t="n"/>
      <c r="F2854" s="397" t="n"/>
      <c r="G2854" s="397" t="n"/>
      <c r="I2854" s="397" t="n"/>
      <c r="J2854" s="397" t="n"/>
      <c r="K2854" s="395">
        <f>DATE(VALUE(LEFT(A2854,4)),VALUE(MID(A2854,5,2)),VALUE(RIGHT(A2854,2)))</f>
        <v/>
      </c>
      <c r="L2854" s="395">
        <f>DATEVALUE(LEFT(F2854,10))</f>
        <v/>
      </c>
      <c r="M2854" s="396">
        <f>TIMEVALUE(MID(F2854,12,8))</f>
        <v/>
      </c>
      <c r="N2854" s="395">
        <f>DATEVALUE(LEFT(G2854,10))</f>
        <v/>
      </c>
      <c r="O2854" s="396">
        <f>TIMEVALUE(MID(G2854,12,8))</f>
        <v/>
      </c>
      <c r="P2854" s="396">
        <f>IFERROR(_xlfn.MINIFS($M:$M,$E:$E,$E2854,$K:$K,$K2854,$M:$M,"&gt;"&amp;$O2854),"")</f>
        <v/>
      </c>
      <c r="Q2854" s="396">
        <f>IF($P2854="","",$P2854-$O2854)</f>
        <v/>
      </c>
    </row>
    <row r="2855" ht="15" customHeight="1" s="231">
      <c r="A2855" s="397" t="n"/>
      <c r="B2855" s="397" t="n"/>
      <c r="C2855" s="397" t="n"/>
      <c r="D2855" s="397" t="n"/>
      <c r="E2855" s="397" t="n"/>
      <c r="F2855" s="397" t="n"/>
      <c r="G2855" s="397" t="n"/>
      <c r="I2855" s="397" t="n"/>
      <c r="J2855" s="397" t="n"/>
      <c r="K2855" s="395">
        <f>DATE(VALUE(LEFT(A2855,4)),VALUE(MID(A2855,5,2)),VALUE(RIGHT(A2855,2)))</f>
        <v/>
      </c>
      <c r="L2855" s="395">
        <f>DATEVALUE(LEFT(F2855,10))</f>
        <v/>
      </c>
      <c r="M2855" s="396">
        <f>TIMEVALUE(MID(F2855,12,8))</f>
        <v/>
      </c>
      <c r="N2855" s="395">
        <f>DATEVALUE(LEFT(G2855,10))</f>
        <v/>
      </c>
      <c r="O2855" s="396">
        <f>TIMEVALUE(MID(G2855,12,8))</f>
        <v/>
      </c>
      <c r="P2855" s="396">
        <f>IFERROR(_xlfn.MINIFS($M:$M,$E:$E,$E2855,$K:$K,$K2855,$M:$M,"&gt;"&amp;$O2855),"")</f>
        <v/>
      </c>
      <c r="Q2855" s="396">
        <f>IF($P2855="","",$P2855-$O2855)</f>
        <v/>
      </c>
    </row>
    <row r="2856" ht="15" customHeight="1" s="231">
      <c r="A2856" s="397" t="n"/>
      <c r="B2856" s="397" t="n"/>
      <c r="C2856" s="397" t="n"/>
      <c r="D2856" s="397" t="n"/>
      <c r="E2856" s="397" t="n"/>
      <c r="F2856" s="397" t="n"/>
      <c r="G2856" s="397" t="n"/>
      <c r="I2856" s="397" t="n"/>
      <c r="J2856" s="397" t="n"/>
      <c r="K2856" s="395">
        <f>DATE(VALUE(LEFT(A2856,4)),VALUE(MID(A2856,5,2)),VALUE(RIGHT(A2856,2)))</f>
        <v/>
      </c>
      <c r="L2856" s="395">
        <f>DATEVALUE(LEFT(F2856,10))</f>
        <v/>
      </c>
      <c r="M2856" s="396">
        <f>TIMEVALUE(MID(F2856,12,8))</f>
        <v/>
      </c>
      <c r="N2856" s="395">
        <f>DATEVALUE(LEFT(G2856,10))</f>
        <v/>
      </c>
      <c r="O2856" s="396">
        <f>TIMEVALUE(MID(G2856,12,8))</f>
        <v/>
      </c>
      <c r="P2856" s="396">
        <f>IFERROR(_xlfn.MINIFS($M:$M,$E:$E,$E2856,$K:$K,$K2856,$M:$M,"&gt;"&amp;$O2856),"")</f>
        <v/>
      </c>
      <c r="Q2856" s="396">
        <f>IF($P2856="","",$P2856-$O2856)</f>
        <v/>
      </c>
    </row>
    <row r="2857" ht="15" customHeight="1" s="231">
      <c r="A2857" s="397" t="n"/>
      <c r="B2857" s="397" t="n"/>
      <c r="C2857" s="397" t="n"/>
      <c r="D2857" s="397" t="n"/>
      <c r="E2857" s="397" t="n"/>
      <c r="F2857" s="397" t="n"/>
      <c r="G2857" s="397" t="n"/>
      <c r="I2857" s="397" t="n"/>
      <c r="J2857" s="397" t="n"/>
      <c r="K2857" s="395">
        <f>DATE(VALUE(LEFT(A2857,4)),VALUE(MID(A2857,5,2)),VALUE(RIGHT(A2857,2)))</f>
        <v/>
      </c>
      <c r="L2857" s="395">
        <f>DATEVALUE(LEFT(F2857,10))</f>
        <v/>
      </c>
      <c r="M2857" s="396">
        <f>TIMEVALUE(MID(F2857,12,8))</f>
        <v/>
      </c>
      <c r="N2857" s="395">
        <f>DATEVALUE(LEFT(G2857,10))</f>
        <v/>
      </c>
      <c r="O2857" s="396">
        <f>TIMEVALUE(MID(G2857,12,8))</f>
        <v/>
      </c>
      <c r="P2857" s="396">
        <f>IFERROR(_xlfn.MINIFS($M:$M,$E:$E,$E2857,$K:$K,$K2857,$M:$M,"&gt;"&amp;$O2857),"")</f>
        <v/>
      </c>
      <c r="Q2857" s="396">
        <f>IF($P2857="","",$P2857-$O2857)</f>
        <v/>
      </c>
    </row>
    <row r="2858" ht="15" customHeight="1" s="231">
      <c r="A2858" s="397" t="n"/>
      <c r="B2858" s="397" t="n"/>
      <c r="C2858" s="397" t="n"/>
      <c r="D2858" s="397" t="n"/>
      <c r="E2858" s="397" t="n"/>
      <c r="F2858" s="397" t="n"/>
      <c r="G2858" s="397" t="n"/>
      <c r="I2858" s="397" t="n"/>
      <c r="J2858" s="397" t="n"/>
      <c r="K2858" s="395">
        <f>DATE(VALUE(LEFT(A2858,4)),VALUE(MID(A2858,5,2)),VALUE(RIGHT(A2858,2)))</f>
        <v/>
      </c>
      <c r="L2858" s="395">
        <f>DATEVALUE(LEFT(F2858,10))</f>
        <v/>
      </c>
      <c r="M2858" s="396">
        <f>TIMEVALUE(MID(F2858,12,8))</f>
        <v/>
      </c>
      <c r="N2858" s="395">
        <f>DATEVALUE(LEFT(G2858,10))</f>
        <v/>
      </c>
      <c r="O2858" s="396">
        <f>TIMEVALUE(MID(G2858,12,8))</f>
        <v/>
      </c>
      <c r="P2858" s="396">
        <f>IFERROR(_xlfn.MINIFS($M:$M,$E:$E,$E2858,$K:$K,$K2858,$M:$M,"&gt;"&amp;$O2858),"")</f>
        <v/>
      </c>
      <c r="Q2858" s="396">
        <f>IF($P2858="","",$P2858-$O2858)</f>
        <v/>
      </c>
    </row>
    <row r="2859" ht="15" customHeight="1" s="231">
      <c r="A2859" s="397" t="n"/>
      <c r="B2859" s="397" t="n"/>
      <c r="C2859" s="397" t="n"/>
      <c r="D2859" s="397" t="n"/>
      <c r="E2859" s="397" t="n"/>
      <c r="F2859" s="397" t="n"/>
      <c r="G2859" s="397" t="n"/>
      <c r="I2859" s="397" t="n"/>
      <c r="J2859" s="397" t="n"/>
      <c r="K2859" s="395">
        <f>DATE(VALUE(LEFT(A2859,4)),VALUE(MID(A2859,5,2)),VALUE(RIGHT(A2859,2)))</f>
        <v/>
      </c>
      <c r="L2859" s="395">
        <f>DATEVALUE(LEFT(F2859,10))</f>
        <v/>
      </c>
      <c r="M2859" s="396">
        <f>TIMEVALUE(MID(F2859,12,8))</f>
        <v/>
      </c>
      <c r="N2859" s="395">
        <f>DATEVALUE(LEFT(G2859,10))</f>
        <v/>
      </c>
      <c r="O2859" s="396">
        <f>TIMEVALUE(MID(G2859,12,8))</f>
        <v/>
      </c>
      <c r="P2859" s="396">
        <f>IFERROR(_xlfn.MINIFS($M:$M,$E:$E,$E2859,$K:$K,$K2859,$M:$M,"&gt;"&amp;$O2859),"")</f>
        <v/>
      </c>
      <c r="Q2859" s="396">
        <f>IF($P2859="","",$P2859-$O2859)</f>
        <v/>
      </c>
    </row>
    <row r="2860" ht="15" customHeight="1" s="231">
      <c r="A2860" s="397" t="n"/>
      <c r="B2860" s="397" t="n"/>
      <c r="C2860" s="397" t="n"/>
      <c r="D2860" s="397" t="n"/>
      <c r="E2860" s="397" t="n"/>
      <c r="F2860" s="397" t="n"/>
      <c r="G2860" s="397" t="n"/>
      <c r="I2860" s="397" t="n"/>
      <c r="J2860" s="397" t="n"/>
      <c r="K2860" s="395">
        <f>DATE(VALUE(LEFT(A2860,4)),VALUE(MID(A2860,5,2)),VALUE(RIGHT(A2860,2)))</f>
        <v/>
      </c>
      <c r="L2860" s="395">
        <f>DATEVALUE(LEFT(F2860,10))</f>
        <v/>
      </c>
      <c r="M2860" s="396">
        <f>TIMEVALUE(MID(F2860,12,8))</f>
        <v/>
      </c>
      <c r="N2860" s="395">
        <f>DATEVALUE(LEFT(G2860,10))</f>
        <v/>
      </c>
      <c r="O2860" s="396">
        <f>TIMEVALUE(MID(G2860,12,8))</f>
        <v/>
      </c>
      <c r="P2860" s="396">
        <f>IFERROR(_xlfn.MINIFS($M:$M,$E:$E,$E2860,$K:$K,$K2860,$M:$M,"&gt;"&amp;$O2860),"")</f>
        <v/>
      </c>
      <c r="Q2860" s="396">
        <f>IF($P2860="","",$P2860-$O2860)</f>
        <v/>
      </c>
    </row>
    <row r="2861" ht="15" customHeight="1" s="231">
      <c r="A2861" s="397" t="n"/>
      <c r="B2861" s="397" t="n"/>
      <c r="C2861" s="397" t="n"/>
      <c r="D2861" s="397" t="n"/>
      <c r="E2861" s="397" t="n"/>
      <c r="F2861" s="397" t="n"/>
      <c r="G2861" s="397" t="n"/>
      <c r="I2861" s="397" t="n"/>
      <c r="J2861" s="397" t="n"/>
      <c r="K2861" s="395">
        <f>DATE(VALUE(LEFT(A2861,4)),VALUE(MID(A2861,5,2)),VALUE(RIGHT(A2861,2)))</f>
        <v/>
      </c>
      <c r="L2861" s="395">
        <f>DATEVALUE(LEFT(F2861,10))</f>
        <v/>
      </c>
      <c r="M2861" s="396">
        <f>TIMEVALUE(MID(F2861,12,8))</f>
        <v/>
      </c>
      <c r="N2861" s="395">
        <f>DATEVALUE(LEFT(G2861,10))</f>
        <v/>
      </c>
      <c r="O2861" s="396">
        <f>TIMEVALUE(MID(G2861,12,8))</f>
        <v/>
      </c>
      <c r="P2861" s="396">
        <f>IFERROR(_xlfn.MINIFS($M:$M,$E:$E,$E2861,$K:$K,$K2861,$M:$M,"&gt;"&amp;$O2861),"")</f>
        <v/>
      </c>
      <c r="Q2861" s="396">
        <f>IF($P2861="","",$P2861-$O2861)</f>
        <v/>
      </c>
    </row>
    <row r="2862" ht="15" customHeight="1" s="231">
      <c r="A2862" s="397" t="n"/>
      <c r="B2862" s="397" t="n"/>
      <c r="C2862" s="397" t="n"/>
      <c r="D2862" s="397" t="n"/>
      <c r="E2862" s="397" t="n"/>
      <c r="F2862" s="397" t="n"/>
      <c r="G2862" s="397" t="n"/>
      <c r="I2862" s="397" t="n"/>
      <c r="J2862" s="397" t="n"/>
      <c r="K2862" s="395">
        <f>DATE(VALUE(LEFT(A2862,4)),VALUE(MID(A2862,5,2)),VALUE(RIGHT(A2862,2)))</f>
        <v/>
      </c>
      <c r="L2862" s="395">
        <f>DATEVALUE(LEFT(F2862,10))</f>
        <v/>
      </c>
      <c r="M2862" s="396">
        <f>TIMEVALUE(MID(F2862,12,8))</f>
        <v/>
      </c>
      <c r="N2862" s="395">
        <f>DATEVALUE(LEFT(G2862,10))</f>
        <v/>
      </c>
      <c r="O2862" s="396">
        <f>TIMEVALUE(MID(G2862,12,8))</f>
        <v/>
      </c>
      <c r="P2862" s="396">
        <f>IFERROR(_xlfn.MINIFS($M:$M,$E:$E,$E2862,$K:$K,$K2862,$M:$M,"&gt;"&amp;$O2862),"")</f>
        <v/>
      </c>
      <c r="Q2862" s="396">
        <f>IF($P2862="","",$P2862-$O2862)</f>
        <v/>
      </c>
    </row>
    <row r="2863" ht="15" customHeight="1" s="231">
      <c r="A2863" s="397" t="n"/>
      <c r="B2863" s="397" t="n"/>
      <c r="C2863" s="397" t="n"/>
      <c r="D2863" s="397" t="n"/>
      <c r="E2863" s="397" t="n"/>
      <c r="F2863" s="397" t="n"/>
      <c r="G2863" s="397" t="n"/>
      <c r="I2863" s="397" t="n"/>
      <c r="J2863" s="397" t="n"/>
      <c r="K2863" s="395">
        <f>DATE(VALUE(LEFT(A2863,4)),VALUE(MID(A2863,5,2)),VALUE(RIGHT(A2863,2)))</f>
        <v/>
      </c>
      <c r="L2863" s="395">
        <f>DATEVALUE(LEFT(F2863,10))</f>
        <v/>
      </c>
      <c r="M2863" s="396">
        <f>TIMEVALUE(MID(F2863,12,8))</f>
        <v/>
      </c>
      <c r="N2863" s="395">
        <f>DATEVALUE(LEFT(G2863,10))</f>
        <v/>
      </c>
      <c r="O2863" s="396">
        <f>TIMEVALUE(MID(G2863,12,8))</f>
        <v/>
      </c>
      <c r="P2863" s="396">
        <f>IFERROR(_xlfn.MINIFS($M:$M,$E:$E,$E2863,$K:$K,$K2863,$M:$M,"&gt;"&amp;$O2863),"")</f>
        <v/>
      </c>
      <c r="Q2863" s="396">
        <f>IF($P2863="","",$P2863-$O2863)</f>
        <v/>
      </c>
    </row>
    <row r="2864" ht="15" customHeight="1" s="231">
      <c r="A2864" s="397" t="n"/>
      <c r="B2864" s="397" t="n"/>
      <c r="C2864" s="397" t="n"/>
      <c r="D2864" s="397" t="n"/>
      <c r="E2864" s="397" t="n"/>
      <c r="F2864" s="397" t="n"/>
      <c r="G2864" s="397" t="n"/>
      <c r="I2864" s="397" t="n"/>
      <c r="J2864" s="397" t="n"/>
      <c r="K2864" s="395">
        <f>DATE(VALUE(LEFT(A2864,4)),VALUE(MID(A2864,5,2)),VALUE(RIGHT(A2864,2)))</f>
        <v/>
      </c>
      <c r="L2864" s="395">
        <f>DATEVALUE(LEFT(F2864,10))</f>
        <v/>
      </c>
      <c r="M2864" s="396">
        <f>TIMEVALUE(MID(F2864,12,8))</f>
        <v/>
      </c>
      <c r="N2864" s="395">
        <f>DATEVALUE(LEFT(G2864,10))</f>
        <v/>
      </c>
      <c r="O2864" s="396">
        <f>TIMEVALUE(MID(G2864,12,8))</f>
        <v/>
      </c>
      <c r="P2864" s="396">
        <f>IFERROR(_xlfn.MINIFS($M:$M,$E:$E,$E2864,$K:$K,$K2864,$M:$M,"&gt;"&amp;$O2864),"")</f>
        <v/>
      </c>
      <c r="Q2864" s="396">
        <f>IF($P2864="","",$P2864-$O2864)</f>
        <v/>
      </c>
    </row>
    <row r="2865" ht="15" customHeight="1" s="231">
      <c r="A2865" s="397" t="n"/>
      <c r="B2865" s="397" t="n"/>
      <c r="C2865" s="397" t="n"/>
      <c r="D2865" s="397" t="n"/>
      <c r="E2865" s="397" t="n"/>
      <c r="F2865" s="397" t="n"/>
      <c r="G2865" s="397" t="n"/>
      <c r="I2865" s="397" t="n"/>
      <c r="J2865" s="397" t="n"/>
      <c r="K2865" s="395">
        <f>DATE(VALUE(LEFT(A2865,4)),VALUE(MID(A2865,5,2)),VALUE(RIGHT(A2865,2)))</f>
        <v/>
      </c>
      <c r="L2865" s="395">
        <f>DATEVALUE(LEFT(F2865,10))</f>
        <v/>
      </c>
      <c r="M2865" s="396">
        <f>TIMEVALUE(MID(F2865,12,8))</f>
        <v/>
      </c>
      <c r="N2865" s="395">
        <f>DATEVALUE(LEFT(G2865,10))</f>
        <v/>
      </c>
      <c r="O2865" s="396">
        <f>TIMEVALUE(MID(G2865,12,8))</f>
        <v/>
      </c>
      <c r="P2865" s="396">
        <f>IFERROR(_xlfn.MINIFS($M:$M,$E:$E,$E2865,$K:$K,$K2865,$M:$M,"&gt;"&amp;$O2865),"")</f>
        <v/>
      </c>
      <c r="Q2865" s="396">
        <f>IF($P2865="","",$P2865-$O2865)</f>
        <v/>
      </c>
    </row>
    <row r="2866" ht="15" customHeight="1" s="231">
      <c r="A2866" s="397" t="n"/>
      <c r="B2866" s="397" t="n"/>
      <c r="C2866" s="397" t="n"/>
      <c r="D2866" s="397" t="n"/>
      <c r="E2866" s="397" t="n"/>
      <c r="F2866" s="397" t="n"/>
      <c r="G2866" s="397" t="n"/>
      <c r="I2866" s="397" t="n"/>
      <c r="J2866" s="397" t="n"/>
      <c r="K2866" s="395">
        <f>DATE(VALUE(LEFT(A2866,4)),VALUE(MID(A2866,5,2)),VALUE(RIGHT(A2866,2)))</f>
        <v/>
      </c>
      <c r="L2866" s="395">
        <f>DATEVALUE(LEFT(F2866,10))</f>
        <v/>
      </c>
      <c r="M2866" s="396">
        <f>TIMEVALUE(MID(F2866,12,8))</f>
        <v/>
      </c>
      <c r="N2866" s="395">
        <f>DATEVALUE(LEFT(G2866,10))</f>
        <v/>
      </c>
      <c r="O2866" s="396">
        <f>TIMEVALUE(MID(G2866,12,8))</f>
        <v/>
      </c>
      <c r="P2866" s="396">
        <f>IFERROR(_xlfn.MINIFS($M:$M,$E:$E,$E2866,$K:$K,$K2866,$M:$M,"&gt;"&amp;$O2866),"")</f>
        <v/>
      </c>
      <c r="Q2866" s="396">
        <f>IF($P2866="","",$P2866-$O2866)</f>
        <v/>
      </c>
    </row>
    <row r="2867" ht="15" customHeight="1" s="231">
      <c r="A2867" s="397" t="n"/>
      <c r="B2867" s="397" t="n"/>
      <c r="C2867" s="397" t="n"/>
      <c r="D2867" s="397" t="n"/>
      <c r="E2867" s="397" t="n"/>
      <c r="F2867" s="397" t="n"/>
      <c r="G2867" s="397" t="n"/>
      <c r="I2867" s="397" t="n"/>
      <c r="J2867" s="397" t="n"/>
      <c r="K2867" s="395">
        <f>DATE(VALUE(LEFT(A2867,4)),VALUE(MID(A2867,5,2)),VALUE(RIGHT(A2867,2)))</f>
        <v/>
      </c>
      <c r="L2867" s="395">
        <f>DATEVALUE(LEFT(F2867,10))</f>
        <v/>
      </c>
      <c r="M2867" s="396">
        <f>TIMEVALUE(MID(F2867,12,8))</f>
        <v/>
      </c>
      <c r="N2867" s="395">
        <f>DATEVALUE(LEFT(G2867,10))</f>
        <v/>
      </c>
      <c r="O2867" s="396">
        <f>TIMEVALUE(MID(G2867,12,8))</f>
        <v/>
      </c>
      <c r="P2867" s="396">
        <f>IFERROR(_xlfn.MINIFS($M:$M,$E:$E,$E2867,$K:$K,$K2867,$M:$M,"&gt;"&amp;$O2867),"")</f>
        <v/>
      </c>
      <c r="Q2867" s="396">
        <f>IF($P2867="","",$P2867-$O2867)</f>
        <v/>
      </c>
    </row>
    <row r="2868" ht="15" customHeight="1" s="231">
      <c r="A2868" s="397" t="n"/>
      <c r="B2868" s="397" t="n"/>
      <c r="C2868" s="397" t="n"/>
      <c r="D2868" s="397" t="n"/>
      <c r="E2868" s="397" t="n"/>
      <c r="F2868" s="397" t="n"/>
      <c r="G2868" s="397" t="n"/>
      <c r="I2868" s="397" t="n"/>
      <c r="J2868" s="397" t="n"/>
      <c r="K2868" s="395">
        <f>DATE(VALUE(LEFT(A2868,4)),VALUE(MID(A2868,5,2)),VALUE(RIGHT(A2868,2)))</f>
        <v/>
      </c>
      <c r="L2868" s="395">
        <f>DATEVALUE(LEFT(F2868,10))</f>
        <v/>
      </c>
      <c r="M2868" s="396">
        <f>TIMEVALUE(MID(F2868,12,8))</f>
        <v/>
      </c>
      <c r="N2868" s="395">
        <f>DATEVALUE(LEFT(G2868,10))</f>
        <v/>
      </c>
      <c r="O2868" s="396">
        <f>TIMEVALUE(MID(G2868,12,8))</f>
        <v/>
      </c>
      <c r="P2868" s="396">
        <f>IFERROR(_xlfn.MINIFS($M:$M,$E:$E,$E2868,$K:$K,$K2868,$M:$M,"&gt;"&amp;$O2868),"")</f>
        <v/>
      </c>
      <c r="Q2868" s="396">
        <f>IF($P2868="","",$P2868-$O2868)</f>
        <v/>
      </c>
    </row>
    <row r="2869" ht="15" customHeight="1" s="231">
      <c r="A2869" s="397" t="n"/>
      <c r="B2869" s="397" t="n"/>
      <c r="C2869" s="397" t="n"/>
      <c r="D2869" s="397" t="n"/>
      <c r="E2869" s="397" t="n"/>
      <c r="F2869" s="397" t="n"/>
      <c r="G2869" s="397" t="n"/>
      <c r="I2869" s="397" t="n"/>
      <c r="J2869" s="397" t="n"/>
      <c r="K2869" s="395">
        <f>DATE(VALUE(LEFT(A2869,4)),VALUE(MID(A2869,5,2)),VALUE(RIGHT(A2869,2)))</f>
        <v/>
      </c>
      <c r="L2869" s="395">
        <f>DATEVALUE(LEFT(F2869,10))</f>
        <v/>
      </c>
      <c r="M2869" s="396">
        <f>TIMEVALUE(MID(F2869,12,8))</f>
        <v/>
      </c>
      <c r="N2869" s="395">
        <f>DATEVALUE(LEFT(G2869,10))</f>
        <v/>
      </c>
      <c r="O2869" s="396">
        <f>TIMEVALUE(MID(G2869,12,8))</f>
        <v/>
      </c>
      <c r="P2869" s="396">
        <f>IFERROR(_xlfn.MINIFS($M:$M,$E:$E,$E2869,$K:$K,$K2869,$M:$M,"&gt;"&amp;$O2869),"")</f>
        <v/>
      </c>
      <c r="Q2869" s="396">
        <f>IF($P2869="","",$P2869-$O2869)</f>
        <v/>
      </c>
    </row>
    <row r="2870" ht="15" customHeight="1" s="231">
      <c r="A2870" s="397" t="n"/>
      <c r="B2870" s="397" t="n"/>
      <c r="C2870" s="397" t="n"/>
      <c r="D2870" s="397" t="n"/>
      <c r="E2870" s="397" t="n"/>
      <c r="F2870" s="397" t="n"/>
      <c r="G2870" s="397" t="n"/>
      <c r="I2870" s="397" t="n"/>
      <c r="J2870" s="397" t="n"/>
      <c r="K2870" s="395">
        <f>DATE(VALUE(LEFT(A2870,4)),VALUE(MID(A2870,5,2)),VALUE(RIGHT(A2870,2)))</f>
        <v/>
      </c>
      <c r="L2870" s="395">
        <f>DATEVALUE(LEFT(F2870,10))</f>
        <v/>
      </c>
      <c r="M2870" s="396">
        <f>TIMEVALUE(MID(F2870,12,8))</f>
        <v/>
      </c>
      <c r="N2870" s="395">
        <f>DATEVALUE(LEFT(G2870,10))</f>
        <v/>
      </c>
      <c r="O2870" s="396">
        <f>TIMEVALUE(MID(G2870,12,8))</f>
        <v/>
      </c>
      <c r="P2870" s="396">
        <f>IFERROR(_xlfn.MINIFS($M:$M,$E:$E,$E2870,$K:$K,$K2870,$M:$M,"&gt;"&amp;$O2870),"")</f>
        <v/>
      </c>
      <c r="Q2870" s="396">
        <f>IF($P2870="","",$P2870-$O2870)</f>
        <v/>
      </c>
    </row>
    <row r="2871" ht="15" customHeight="1" s="231">
      <c r="A2871" s="397" t="n"/>
      <c r="B2871" s="397" t="n"/>
      <c r="C2871" s="397" t="n"/>
      <c r="D2871" s="397" t="n"/>
      <c r="E2871" s="397" t="n"/>
      <c r="F2871" s="397" t="n"/>
      <c r="G2871" s="397" t="n"/>
      <c r="I2871" s="397" t="n"/>
      <c r="J2871" s="397" t="n"/>
      <c r="K2871" s="395">
        <f>DATE(VALUE(LEFT(A2871,4)),VALUE(MID(A2871,5,2)),VALUE(RIGHT(A2871,2)))</f>
        <v/>
      </c>
      <c r="L2871" s="395">
        <f>DATEVALUE(LEFT(F2871,10))</f>
        <v/>
      </c>
      <c r="M2871" s="396">
        <f>TIMEVALUE(MID(F2871,12,8))</f>
        <v/>
      </c>
      <c r="N2871" s="395">
        <f>DATEVALUE(LEFT(G2871,10))</f>
        <v/>
      </c>
      <c r="O2871" s="396">
        <f>TIMEVALUE(MID(G2871,12,8))</f>
        <v/>
      </c>
      <c r="P2871" s="396">
        <f>IFERROR(_xlfn.MINIFS($M:$M,$E:$E,$E2871,$K:$K,$K2871,$M:$M,"&gt;"&amp;$O2871),"")</f>
        <v/>
      </c>
      <c r="Q2871" s="396">
        <f>IF($P2871="","",$P2871-$O2871)</f>
        <v/>
      </c>
    </row>
    <row r="2872" ht="15" customHeight="1" s="231">
      <c r="A2872" s="397" t="n"/>
      <c r="B2872" s="397" t="n"/>
      <c r="C2872" s="397" t="n"/>
      <c r="D2872" s="397" t="n"/>
      <c r="E2872" s="397" t="n"/>
      <c r="F2872" s="397" t="n"/>
      <c r="G2872" s="397" t="n"/>
      <c r="I2872" s="397" t="n"/>
      <c r="J2872" s="397" t="n"/>
      <c r="K2872" s="395">
        <f>DATE(VALUE(LEFT(A2872,4)),VALUE(MID(A2872,5,2)),VALUE(RIGHT(A2872,2)))</f>
        <v/>
      </c>
      <c r="L2872" s="395">
        <f>DATEVALUE(LEFT(F2872,10))</f>
        <v/>
      </c>
      <c r="M2872" s="396">
        <f>TIMEVALUE(MID(F2872,12,8))</f>
        <v/>
      </c>
      <c r="N2872" s="395">
        <f>DATEVALUE(LEFT(G2872,10))</f>
        <v/>
      </c>
      <c r="O2872" s="396">
        <f>TIMEVALUE(MID(G2872,12,8))</f>
        <v/>
      </c>
      <c r="P2872" s="396">
        <f>IFERROR(_xlfn.MINIFS($M:$M,$E:$E,$E2872,$K:$K,$K2872,$M:$M,"&gt;"&amp;$O2872),"")</f>
        <v/>
      </c>
      <c r="Q2872" s="396">
        <f>IF($P2872="","",$P2872-$O2872)</f>
        <v/>
      </c>
    </row>
    <row r="2873" ht="15" customHeight="1" s="231">
      <c r="A2873" s="397" t="n"/>
      <c r="B2873" s="397" t="n"/>
      <c r="C2873" s="397" t="n"/>
      <c r="D2873" s="397" t="n"/>
      <c r="E2873" s="397" t="n"/>
      <c r="F2873" s="397" t="n"/>
      <c r="G2873" s="397" t="n"/>
      <c r="I2873" s="397" t="n"/>
      <c r="J2873" s="397" t="n"/>
      <c r="K2873" s="395">
        <f>DATE(VALUE(LEFT(A2873,4)),VALUE(MID(A2873,5,2)),VALUE(RIGHT(A2873,2)))</f>
        <v/>
      </c>
      <c r="L2873" s="395">
        <f>DATEVALUE(LEFT(F2873,10))</f>
        <v/>
      </c>
      <c r="M2873" s="396">
        <f>TIMEVALUE(MID(F2873,12,8))</f>
        <v/>
      </c>
      <c r="N2873" s="395">
        <f>DATEVALUE(LEFT(G2873,10))</f>
        <v/>
      </c>
      <c r="O2873" s="396">
        <f>TIMEVALUE(MID(G2873,12,8))</f>
        <v/>
      </c>
      <c r="P2873" s="396">
        <f>IFERROR(_xlfn.MINIFS($M:$M,$E:$E,$E2873,$K:$K,$K2873,$M:$M,"&gt;"&amp;$O2873),"")</f>
        <v/>
      </c>
      <c r="Q2873" s="396">
        <f>IF($P2873="","",$P2873-$O2873)</f>
        <v/>
      </c>
    </row>
    <row r="2874" ht="15" customHeight="1" s="231">
      <c r="A2874" s="397" t="n"/>
      <c r="B2874" s="397" t="n"/>
      <c r="C2874" s="397" t="n"/>
      <c r="D2874" s="397" t="n"/>
      <c r="E2874" s="397" t="n"/>
      <c r="F2874" s="397" t="n"/>
      <c r="G2874" s="397" t="n"/>
      <c r="I2874" s="397" t="n"/>
      <c r="J2874" s="397" t="n"/>
      <c r="K2874" s="395">
        <f>DATE(VALUE(LEFT(A2874,4)),VALUE(MID(A2874,5,2)),VALUE(RIGHT(A2874,2)))</f>
        <v/>
      </c>
      <c r="L2874" s="395">
        <f>DATEVALUE(LEFT(F2874,10))</f>
        <v/>
      </c>
      <c r="M2874" s="396">
        <f>TIMEVALUE(MID(F2874,12,8))</f>
        <v/>
      </c>
      <c r="N2874" s="395">
        <f>DATEVALUE(LEFT(G2874,10))</f>
        <v/>
      </c>
      <c r="O2874" s="396">
        <f>TIMEVALUE(MID(G2874,12,8))</f>
        <v/>
      </c>
      <c r="P2874" s="396">
        <f>IFERROR(_xlfn.MINIFS($M:$M,$E:$E,$E2874,$K:$K,$K2874,$M:$M,"&gt;"&amp;$O2874),"")</f>
        <v/>
      </c>
      <c r="Q2874" s="396">
        <f>IF($P2874="","",$P2874-$O2874)</f>
        <v/>
      </c>
    </row>
    <row r="2875" ht="15" customHeight="1" s="231">
      <c r="A2875" s="397" t="n"/>
      <c r="B2875" s="397" t="n"/>
      <c r="C2875" s="397" t="n"/>
      <c r="D2875" s="397" t="n"/>
      <c r="E2875" s="397" t="n"/>
      <c r="F2875" s="397" t="n"/>
      <c r="G2875" s="397" t="n"/>
      <c r="I2875" s="397" t="n"/>
      <c r="J2875" s="397" t="n"/>
      <c r="K2875" s="395">
        <f>DATE(VALUE(LEFT(A2875,4)),VALUE(MID(A2875,5,2)),VALUE(RIGHT(A2875,2)))</f>
        <v/>
      </c>
      <c r="L2875" s="395">
        <f>DATEVALUE(LEFT(F2875,10))</f>
        <v/>
      </c>
      <c r="M2875" s="396">
        <f>TIMEVALUE(MID(F2875,12,8))</f>
        <v/>
      </c>
      <c r="N2875" s="395">
        <f>DATEVALUE(LEFT(G2875,10))</f>
        <v/>
      </c>
      <c r="O2875" s="396">
        <f>TIMEVALUE(MID(G2875,12,8))</f>
        <v/>
      </c>
      <c r="P2875" s="396">
        <f>IFERROR(_xlfn.MINIFS($M:$M,$E:$E,$E2875,$K:$K,$K2875,$M:$M,"&gt;"&amp;$O2875),"")</f>
        <v/>
      </c>
      <c r="Q2875" s="396">
        <f>IF($P2875="","",$P2875-$O2875)</f>
        <v/>
      </c>
    </row>
    <row r="2876" ht="15" customHeight="1" s="231">
      <c r="A2876" s="397" t="n"/>
      <c r="B2876" s="397" t="n"/>
      <c r="C2876" s="397" t="n"/>
      <c r="D2876" s="397" t="n"/>
      <c r="E2876" s="397" t="n"/>
      <c r="F2876" s="397" t="n"/>
      <c r="G2876" s="397" t="n"/>
      <c r="I2876" s="397" t="n"/>
      <c r="J2876" s="397" t="n"/>
      <c r="K2876" s="395">
        <f>DATE(VALUE(LEFT(A2876,4)),VALUE(MID(A2876,5,2)),VALUE(RIGHT(A2876,2)))</f>
        <v/>
      </c>
      <c r="L2876" s="395">
        <f>DATEVALUE(LEFT(F2876,10))</f>
        <v/>
      </c>
      <c r="M2876" s="396">
        <f>TIMEVALUE(MID(F2876,12,8))</f>
        <v/>
      </c>
      <c r="N2876" s="395">
        <f>DATEVALUE(LEFT(G2876,10))</f>
        <v/>
      </c>
      <c r="O2876" s="396">
        <f>TIMEVALUE(MID(G2876,12,8))</f>
        <v/>
      </c>
      <c r="P2876" s="396">
        <f>IFERROR(_xlfn.MINIFS($M:$M,$E:$E,$E2876,$K:$K,$K2876,$M:$M,"&gt;"&amp;$O2876),"")</f>
        <v/>
      </c>
      <c r="Q2876" s="396">
        <f>IF($P2876="","",$P2876-$O2876)</f>
        <v/>
      </c>
    </row>
    <row r="2877" ht="15" customHeight="1" s="231">
      <c r="A2877" s="397" t="n"/>
      <c r="B2877" s="397" t="n"/>
      <c r="C2877" s="397" t="n"/>
      <c r="D2877" s="397" t="n"/>
      <c r="E2877" s="397" t="n"/>
      <c r="F2877" s="397" t="n"/>
      <c r="G2877" s="397" t="n"/>
      <c r="I2877" s="397" t="n"/>
      <c r="J2877" s="397" t="n"/>
      <c r="K2877" s="395">
        <f>DATE(VALUE(LEFT(A2877,4)),VALUE(MID(A2877,5,2)),VALUE(RIGHT(A2877,2)))</f>
        <v/>
      </c>
      <c r="L2877" s="395">
        <f>DATEVALUE(LEFT(F2877,10))</f>
        <v/>
      </c>
      <c r="M2877" s="396">
        <f>TIMEVALUE(MID(F2877,12,8))</f>
        <v/>
      </c>
      <c r="N2877" s="395">
        <f>DATEVALUE(LEFT(G2877,10))</f>
        <v/>
      </c>
      <c r="O2877" s="396">
        <f>TIMEVALUE(MID(G2877,12,8))</f>
        <v/>
      </c>
      <c r="P2877" s="396">
        <f>IFERROR(_xlfn.MINIFS($M:$M,$E:$E,$E2877,$K:$K,$K2877,$M:$M,"&gt;"&amp;$O2877),"")</f>
        <v/>
      </c>
      <c r="Q2877" s="396">
        <f>IF($P2877="","",$P2877-$O2877)</f>
        <v/>
      </c>
    </row>
    <row r="2878" ht="15" customHeight="1" s="231">
      <c r="A2878" s="397" t="n"/>
      <c r="B2878" s="397" t="n"/>
      <c r="C2878" s="397" t="n"/>
      <c r="D2878" s="397" t="n"/>
      <c r="E2878" s="397" t="n"/>
      <c r="F2878" s="397" t="n"/>
      <c r="G2878" s="397" t="n"/>
      <c r="I2878" s="397" t="n"/>
      <c r="J2878" s="397" t="n"/>
      <c r="K2878" s="395">
        <f>DATE(VALUE(LEFT(A2878,4)),VALUE(MID(A2878,5,2)),VALUE(RIGHT(A2878,2)))</f>
        <v/>
      </c>
      <c r="L2878" s="395">
        <f>DATEVALUE(LEFT(F2878,10))</f>
        <v/>
      </c>
      <c r="M2878" s="396">
        <f>TIMEVALUE(MID(F2878,12,8))</f>
        <v/>
      </c>
      <c r="N2878" s="395">
        <f>DATEVALUE(LEFT(G2878,10))</f>
        <v/>
      </c>
      <c r="O2878" s="396">
        <f>TIMEVALUE(MID(G2878,12,8))</f>
        <v/>
      </c>
      <c r="P2878" s="396">
        <f>IFERROR(_xlfn.MINIFS($M:$M,$E:$E,$E2878,$K:$K,$K2878,$M:$M,"&gt;"&amp;$O2878),"")</f>
        <v/>
      </c>
      <c r="Q2878" s="396">
        <f>IF($P2878="","",$P2878-$O2878)</f>
        <v/>
      </c>
    </row>
    <row r="2879" ht="15" customHeight="1" s="231">
      <c r="A2879" s="397" t="n"/>
      <c r="B2879" s="397" t="n"/>
      <c r="C2879" s="397" t="n"/>
      <c r="D2879" s="397" t="n"/>
      <c r="E2879" s="397" t="n"/>
      <c r="F2879" s="397" t="n"/>
      <c r="G2879" s="397" t="n"/>
      <c r="I2879" s="397" t="n"/>
      <c r="J2879" s="397" t="n"/>
      <c r="K2879" s="395">
        <f>DATE(VALUE(LEFT(A2879,4)),VALUE(MID(A2879,5,2)),VALUE(RIGHT(A2879,2)))</f>
        <v/>
      </c>
      <c r="L2879" s="395">
        <f>DATEVALUE(LEFT(F2879,10))</f>
        <v/>
      </c>
      <c r="M2879" s="396">
        <f>TIMEVALUE(MID(F2879,12,8))</f>
        <v/>
      </c>
      <c r="N2879" s="395">
        <f>DATEVALUE(LEFT(G2879,10))</f>
        <v/>
      </c>
      <c r="O2879" s="396">
        <f>TIMEVALUE(MID(G2879,12,8))</f>
        <v/>
      </c>
      <c r="P2879" s="396">
        <f>IFERROR(_xlfn.MINIFS($M:$M,$E:$E,$E2879,$K:$K,$K2879,$M:$M,"&gt;"&amp;$O2879),"")</f>
        <v/>
      </c>
      <c r="Q2879" s="396">
        <f>IF($P2879="","",$P2879-$O2879)</f>
        <v/>
      </c>
    </row>
    <row r="2880" ht="15" customHeight="1" s="231">
      <c r="A2880" s="397" t="n"/>
      <c r="B2880" s="397" t="n"/>
      <c r="C2880" s="397" t="n"/>
      <c r="D2880" s="397" t="n"/>
      <c r="E2880" s="397" t="n"/>
      <c r="F2880" s="397" t="n"/>
      <c r="G2880" s="397" t="n"/>
      <c r="I2880" s="397" t="n"/>
      <c r="J2880" s="397" t="n"/>
      <c r="K2880" s="395">
        <f>DATE(VALUE(LEFT(A2880,4)),VALUE(MID(A2880,5,2)),VALUE(RIGHT(A2880,2)))</f>
        <v/>
      </c>
      <c r="L2880" s="395">
        <f>DATEVALUE(LEFT(F2880,10))</f>
        <v/>
      </c>
      <c r="M2880" s="396">
        <f>TIMEVALUE(MID(F2880,12,8))</f>
        <v/>
      </c>
      <c r="N2880" s="395">
        <f>DATEVALUE(LEFT(G2880,10))</f>
        <v/>
      </c>
      <c r="O2880" s="396">
        <f>TIMEVALUE(MID(G2880,12,8))</f>
        <v/>
      </c>
      <c r="P2880" s="396">
        <f>IFERROR(_xlfn.MINIFS($M:$M,$E:$E,$E2880,$K:$K,$K2880,$M:$M,"&gt;"&amp;$O2880),"")</f>
        <v/>
      </c>
      <c r="Q2880" s="396">
        <f>IF($P2880="","",$P2880-$O2880)</f>
        <v/>
      </c>
    </row>
    <row r="2881" ht="15" customHeight="1" s="231">
      <c r="A2881" s="397" t="n"/>
      <c r="B2881" s="397" t="n"/>
      <c r="C2881" s="397" t="n"/>
      <c r="D2881" s="397" t="n"/>
      <c r="E2881" s="397" t="n"/>
      <c r="F2881" s="397" t="n"/>
      <c r="G2881" s="397" t="n"/>
      <c r="I2881" s="397" t="n"/>
      <c r="J2881" s="397" t="n"/>
      <c r="K2881" s="395">
        <f>DATE(VALUE(LEFT(A2881,4)),VALUE(MID(A2881,5,2)),VALUE(RIGHT(A2881,2)))</f>
        <v/>
      </c>
      <c r="L2881" s="395">
        <f>DATEVALUE(LEFT(F2881,10))</f>
        <v/>
      </c>
      <c r="M2881" s="396">
        <f>TIMEVALUE(MID(F2881,12,8))</f>
        <v/>
      </c>
      <c r="N2881" s="395">
        <f>DATEVALUE(LEFT(G2881,10))</f>
        <v/>
      </c>
      <c r="O2881" s="396">
        <f>TIMEVALUE(MID(G2881,12,8))</f>
        <v/>
      </c>
      <c r="P2881" s="396">
        <f>IFERROR(_xlfn.MINIFS($M:$M,$E:$E,$E2881,$K:$K,$K2881,$M:$M,"&gt;"&amp;$O2881),"")</f>
        <v/>
      </c>
      <c r="Q2881" s="396">
        <f>IF($P2881="","",$P2881-$O2881)</f>
        <v/>
      </c>
    </row>
    <row r="2882" ht="15" customHeight="1" s="231">
      <c r="A2882" s="397" t="n"/>
      <c r="B2882" s="397" t="n"/>
      <c r="C2882" s="397" t="n"/>
      <c r="D2882" s="397" t="n"/>
      <c r="E2882" s="397" t="n"/>
      <c r="F2882" s="397" t="n"/>
      <c r="G2882" s="397" t="n"/>
      <c r="I2882" s="397" t="n"/>
      <c r="J2882" s="397" t="n"/>
      <c r="K2882" s="395">
        <f>DATE(VALUE(LEFT(A2882,4)),VALUE(MID(A2882,5,2)),VALUE(RIGHT(A2882,2)))</f>
        <v/>
      </c>
      <c r="L2882" s="395">
        <f>DATEVALUE(LEFT(F2882,10))</f>
        <v/>
      </c>
      <c r="M2882" s="396">
        <f>TIMEVALUE(MID(F2882,12,8))</f>
        <v/>
      </c>
      <c r="N2882" s="395">
        <f>DATEVALUE(LEFT(G2882,10))</f>
        <v/>
      </c>
      <c r="O2882" s="396">
        <f>TIMEVALUE(MID(G2882,12,8))</f>
        <v/>
      </c>
      <c r="P2882" s="396">
        <f>IFERROR(_xlfn.MINIFS($M:$M,$E:$E,$E2882,$K:$K,$K2882,$M:$M,"&gt;"&amp;$O2882),"")</f>
        <v/>
      </c>
      <c r="Q2882" s="396">
        <f>IF($P2882="","",$P2882-$O2882)</f>
        <v/>
      </c>
    </row>
    <row r="2883" ht="15" customHeight="1" s="231">
      <c r="A2883" s="397" t="n"/>
      <c r="B2883" s="397" t="n"/>
      <c r="C2883" s="397" t="n"/>
      <c r="D2883" s="397" t="n"/>
      <c r="E2883" s="397" t="n"/>
      <c r="F2883" s="397" t="n"/>
      <c r="G2883" s="397" t="n"/>
      <c r="I2883" s="397" t="n"/>
      <c r="J2883" s="397" t="n"/>
      <c r="K2883" s="395">
        <f>DATE(VALUE(LEFT(A2883,4)),VALUE(MID(A2883,5,2)),VALUE(RIGHT(A2883,2)))</f>
        <v/>
      </c>
      <c r="L2883" s="395">
        <f>DATEVALUE(LEFT(F2883,10))</f>
        <v/>
      </c>
      <c r="M2883" s="396">
        <f>TIMEVALUE(MID(F2883,12,8))</f>
        <v/>
      </c>
      <c r="N2883" s="395">
        <f>DATEVALUE(LEFT(G2883,10))</f>
        <v/>
      </c>
      <c r="O2883" s="396">
        <f>TIMEVALUE(MID(G2883,12,8))</f>
        <v/>
      </c>
      <c r="P2883" s="396">
        <f>IFERROR(_xlfn.MINIFS($M:$M,$E:$E,$E2883,$K:$K,$K2883,$M:$M,"&gt;"&amp;$O2883),"")</f>
        <v/>
      </c>
      <c r="Q2883" s="396">
        <f>IF($P2883="","",$P2883-$O2883)</f>
        <v/>
      </c>
    </row>
    <row r="2884" ht="15" customHeight="1" s="231">
      <c r="A2884" s="397" t="n"/>
      <c r="B2884" s="397" t="n"/>
      <c r="C2884" s="397" t="n"/>
      <c r="D2884" s="397" t="n"/>
      <c r="E2884" s="397" t="n"/>
      <c r="F2884" s="397" t="n"/>
      <c r="G2884" s="397" t="n"/>
      <c r="I2884" s="397" t="n"/>
      <c r="J2884" s="397" t="n"/>
      <c r="K2884" s="395">
        <f>DATE(VALUE(LEFT(A2884,4)),VALUE(MID(A2884,5,2)),VALUE(RIGHT(A2884,2)))</f>
        <v/>
      </c>
      <c r="L2884" s="395">
        <f>DATEVALUE(LEFT(F2884,10))</f>
        <v/>
      </c>
      <c r="M2884" s="396">
        <f>TIMEVALUE(MID(F2884,12,8))</f>
        <v/>
      </c>
      <c r="N2884" s="395">
        <f>DATEVALUE(LEFT(G2884,10))</f>
        <v/>
      </c>
      <c r="O2884" s="396">
        <f>TIMEVALUE(MID(G2884,12,8))</f>
        <v/>
      </c>
      <c r="P2884" s="396">
        <f>IFERROR(_xlfn.MINIFS($M:$M,$E:$E,$E2884,$K:$K,$K2884,$M:$M,"&gt;"&amp;$O2884),"")</f>
        <v/>
      </c>
      <c r="Q2884" s="396">
        <f>IF($P2884="","",$P2884-$O2884)</f>
        <v/>
      </c>
    </row>
    <row r="2885" ht="15" customHeight="1" s="231">
      <c r="A2885" s="397" t="n"/>
      <c r="B2885" s="397" t="n"/>
      <c r="C2885" s="397" t="n"/>
      <c r="D2885" s="397" t="n"/>
      <c r="E2885" s="397" t="n"/>
      <c r="F2885" s="397" t="n"/>
      <c r="G2885" s="397" t="n"/>
      <c r="I2885" s="397" t="n"/>
      <c r="J2885" s="397" t="n"/>
      <c r="K2885" s="395">
        <f>DATE(VALUE(LEFT(A2885,4)),VALUE(MID(A2885,5,2)),VALUE(RIGHT(A2885,2)))</f>
        <v/>
      </c>
      <c r="L2885" s="395">
        <f>DATEVALUE(LEFT(F2885,10))</f>
        <v/>
      </c>
      <c r="M2885" s="396">
        <f>TIMEVALUE(MID(F2885,12,8))</f>
        <v/>
      </c>
      <c r="N2885" s="395">
        <f>DATEVALUE(LEFT(G2885,10))</f>
        <v/>
      </c>
      <c r="O2885" s="396">
        <f>TIMEVALUE(MID(G2885,12,8))</f>
        <v/>
      </c>
      <c r="P2885" s="396">
        <f>IFERROR(_xlfn.MINIFS($M:$M,$E:$E,$E2885,$K:$K,$K2885,$M:$M,"&gt;"&amp;$O2885),"")</f>
        <v/>
      </c>
      <c r="Q2885" s="396">
        <f>IF($P2885="","",$P2885-$O2885)</f>
        <v/>
      </c>
    </row>
    <row r="2886" ht="15" customHeight="1" s="231">
      <c r="A2886" s="397" t="n"/>
      <c r="B2886" s="397" t="n"/>
      <c r="C2886" s="397" t="n"/>
      <c r="D2886" s="397" t="n"/>
      <c r="E2886" s="397" t="n"/>
      <c r="F2886" s="397" t="n"/>
      <c r="G2886" s="397" t="n"/>
      <c r="I2886" s="397" t="n"/>
      <c r="J2886" s="397" t="n"/>
      <c r="K2886" s="395">
        <f>DATE(VALUE(LEFT(A2886,4)),VALUE(MID(A2886,5,2)),VALUE(RIGHT(A2886,2)))</f>
        <v/>
      </c>
      <c r="L2886" s="395">
        <f>DATEVALUE(LEFT(F2886,10))</f>
        <v/>
      </c>
      <c r="M2886" s="396">
        <f>TIMEVALUE(MID(F2886,12,8))</f>
        <v/>
      </c>
      <c r="N2886" s="395">
        <f>DATEVALUE(LEFT(G2886,10))</f>
        <v/>
      </c>
      <c r="O2886" s="396">
        <f>TIMEVALUE(MID(G2886,12,8))</f>
        <v/>
      </c>
      <c r="P2886" s="396">
        <f>IFERROR(_xlfn.MINIFS($M:$M,$E:$E,$E2886,$K:$K,$K2886,$M:$M,"&gt;"&amp;$O2886),"")</f>
        <v/>
      </c>
      <c r="Q2886" s="396">
        <f>IF($P2886="","",$P2886-$O2886)</f>
        <v/>
      </c>
    </row>
    <row r="2887" ht="15" customHeight="1" s="231">
      <c r="A2887" s="397" t="n"/>
      <c r="B2887" s="397" t="n"/>
      <c r="C2887" s="397" t="n"/>
      <c r="D2887" s="397" t="n"/>
      <c r="E2887" s="397" t="n"/>
      <c r="F2887" s="397" t="n"/>
      <c r="G2887" s="397" t="n"/>
      <c r="I2887" s="397" t="n"/>
      <c r="J2887" s="397" t="n"/>
      <c r="K2887" s="395">
        <f>DATE(VALUE(LEFT(A2887,4)),VALUE(MID(A2887,5,2)),VALUE(RIGHT(A2887,2)))</f>
        <v/>
      </c>
      <c r="L2887" s="395">
        <f>DATEVALUE(LEFT(F2887,10))</f>
        <v/>
      </c>
      <c r="M2887" s="396">
        <f>TIMEVALUE(MID(F2887,12,8))</f>
        <v/>
      </c>
      <c r="N2887" s="395">
        <f>DATEVALUE(LEFT(G2887,10))</f>
        <v/>
      </c>
      <c r="O2887" s="396">
        <f>TIMEVALUE(MID(G2887,12,8))</f>
        <v/>
      </c>
      <c r="P2887" s="396">
        <f>IFERROR(_xlfn.MINIFS($M:$M,$E:$E,$E2887,$K:$K,$K2887,$M:$M,"&gt;"&amp;$O2887),"")</f>
        <v/>
      </c>
      <c r="Q2887" s="396">
        <f>IF($P2887="","",$P2887-$O2887)</f>
        <v/>
      </c>
    </row>
    <row r="2888" ht="15" customHeight="1" s="231">
      <c r="A2888" s="397" t="n"/>
      <c r="B2888" s="397" t="n"/>
      <c r="C2888" s="397" t="n"/>
      <c r="D2888" s="397" t="n"/>
      <c r="E2888" s="397" t="n"/>
      <c r="F2888" s="397" t="n"/>
      <c r="G2888" s="397" t="n"/>
      <c r="I2888" s="397" t="n"/>
      <c r="J2888" s="397" t="n"/>
      <c r="K2888" s="395">
        <f>DATE(VALUE(LEFT(A2888,4)),VALUE(MID(A2888,5,2)),VALUE(RIGHT(A2888,2)))</f>
        <v/>
      </c>
      <c r="L2888" s="395">
        <f>DATEVALUE(LEFT(F2888,10))</f>
        <v/>
      </c>
      <c r="M2888" s="396">
        <f>TIMEVALUE(MID(F2888,12,8))</f>
        <v/>
      </c>
      <c r="N2888" s="395">
        <f>DATEVALUE(LEFT(G2888,10))</f>
        <v/>
      </c>
      <c r="O2888" s="396">
        <f>TIMEVALUE(MID(G2888,12,8))</f>
        <v/>
      </c>
      <c r="P2888" s="396">
        <f>IFERROR(_xlfn.MINIFS($M:$M,$E:$E,$E2888,$K:$K,$K2888,$M:$M,"&gt;"&amp;$O2888),"")</f>
        <v/>
      </c>
      <c r="Q2888" s="396">
        <f>IF($P2888="","",$P2888-$O2888)</f>
        <v/>
      </c>
    </row>
    <row r="2889" ht="15" customHeight="1" s="231">
      <c r="A2889" s="397" t="n"/>
      <c r="B2889" s="397" t="n"/>
      <c r="C2889" s="397" t="n"/>
      <c r="D2889" s="397" t="n"/>
      <c r="E2889" s="397" t="n"/>
      <c r="F2889" s="397" t="n"/>
      <c r="G2889" s="397" t="n"/>
      <c r="I2889" s="397" t="n"/>
      <c r="J2889" s="397" t="n"/>
      <c r="K2889" s="395">
        <f>DATE(VALUE(LEFT(A2889,4)),VALUE(MID(A2889,5,2)),VALUE(RIGHT(A2889,2)))</f>
        <v/>
      </c>
      <c r="L2889" s="395">
        <f>DATEVALUE(LEFT(F2889,10))</f>
        <v/>
      </c>
      <c r="M2889" s="396">
        <f>TIMEVALUE(MID(F2889,12,8))</f>
        <v/>
      </c>
      <c r="N2889" s="395">
        <f>DATEVALUE(LEFT(G2889,10))</f>
        <v/>
      </c>
      <c r="O2889" s="396">
        <f>TIMEVALUE(MID(G2889,12,8))</f>
        <v/>
      </c>
      <c r="P2889" s="396">
        <f>IFERROR(_xlfn.MINIFS($M:$M,$E:$E,$E2889,$K:$K,$K2889,$M:$M,"&gt;"&amp;$O2889),"")</f>
        <v/>
      </c>
      <c r="Q2889" s="396">
        <f>IF($P2889="","",$P2889-$O2889)</f>
        <v/>
      </c>
    </row>
    <row r="2890" ht="15" customHeight="1" s="231">
      <c r="A2890" s="397" t="n"/>
      <c r="B2890" s="397" t="n"/>
      <c r="C2890" s="397" t="n"/>
      <c r="D2890" s="397" t="n"/>
      <c r="E2890" s="397" t="n"/>
      <c r="F2890" s="397" t="n"/>
      <c r="G2890" s="397" t="n"/>
      <c r="I2890" s="397" t="n"/>
      <c r="J2890" s="397" t="n"/>
      <c r="K2890" s="395">
        <f>DATE(VALUE(LEFT(A2890,4)),VALUE(MID(A2890,5,2)),VALUE(RIGHT(A2890,2)))</f>
        <v/>
      </c>
      <c r="L2890" s="395">
        <f>DATEVALUE(LEFT(F2890,10))</f>
        <v/>
      </c>
      <c r="M2890" s="396">
        <f>TIMEVALUE(MID(F2890,12,8))</f>
        <v/>
      </c>
      <c r="N2890" s="395">
        <f>DATEVALUE(LEFT(G2890,10))</f>
        <v/>
      </c>
      <c r="O2890" s="396">
        <f>TIMEVALUE(MID(G2890,12,8))</f>
        <v/>
      </c>
      <c r="P2890" s="396">
        <f>IFERROR(_xlfn.MINIFS($M:$M,$E:$E,$E2890,$K:$K,$K2890,$M:$M,"&gt;"&amp;$O2890),"")</f>
        <v/>
      </c>
      <c r="Q2890" s="396">
        <f>IF($P2890="","",$P2890-$O2890)</f>
        <v/>
      </c>
    </row>
    <row r="2891" ht="15" customHeight="1" s="231">
      <c r="A2891" s="397" t="n"/>
      <c r="B2891" s="397" t="n"/>
      <c r="C2891" s="397" t="n"/>
      <c r="D2891" s="397" t="n"/>
      <c r="E2891" s="397" t="n"/>
      <c r="F2891" s="397" t="n"/>
      <c r="G2891" s="397" t="n"/>
      <c r="I2891" s="397" t="n"/>
      <c r="J2891" s="397" t="n"/>
      <c r="K2891" s="395">
        <f>DATE(VALUE(LEFT(A2891,4)),VALUE(MID(A2891,5,2)),VALUE(RIGHT(A2891,2)))</f>
        <v/>
      </c>
      <c r="L2891" s="395">
        <f>DATEVALUE(LEFT(F2891,10))</f>
        <v/>
      </c>
      <c r="M2891" s="396">
        <f>TIMEVALUE(MID(F2891,12,8))</f>
        <v/>
      </c>
      <c r="N2891" s="395">
        <f>DATEVALUE(LEFT(G2891,10))</f>
        <v/>
      </c>
      <c r="O2891" s="396">
        <f>TIMEVALUE(MID(G2891,12,8))</f>
        <v/>
      </c>
      <c r="P2891" s="396">
        <f>IFERROR(_xlfn.MINIFS($M:$M,$E:$E,$E2891,$K:$K,$K2891,$M:$M,"&gt;"&amp;$O2891),"")</f>
        <v/>
      </c>
      <c r="Q2891" s="396">
        <f>IF($P2891="","",$P2891-$O2891)</f>
        <v/>
      </c>
    </row>
    <row r="2892" ht="15" customHeight="1" s="231">
      <c r="A2892" s="397" t="n"/>
      <c r="B2892" s="397" t="n"/>
      <c r="C2892" s="397" t="n"/>
      <c r="D2892" s="397" t="n"/>
      <c r="E2892" s="397" t="n"/>
      <c r="F2892" s="397" t="n"/>
      <c r="G2892" s="397" t="n"/>
      <c r="I2892" s="397" t="n"/>
      <c r="J2892" s="397" t="n"/>
      <c r="K2892" s="395">
        <f>DATE(VALUE(LEFT(A2892,4)),VALUE(MID(A2892,5,2)),VALUE(RIGHT(A2892,2)))</f>
        <v/>
      </c>
      <c r="L2892" s="395">
        <f>DATEVALUE(LEFT(F2892,10))</f>
        <v/>
      </c>
      <c r="M2892" s="396">
        <f>TIMEVALUE(MID(F2892,12,8))</f>
        <v/>
      </c>
      <c r="N2892" s="395">
        <f>DATEVALUE(LEFT(G2892,10))</f>
        <v/>
      </c>
      <c r="O2892" s="396">
        <f>TIMEVALUE(MID(G2892,12,8))</f>
        <v/>
      </c>
      <c r="P2892" s="396">
        <f>IFERROR(_xlfn.MINIFS($M:$M,$E:$E,$E2892,$K:$K,$K2892,$M:$M,"&gt;"&amp;$O2892),"")</f>
        <v/>
      </c>
      <c r="Q2892" s="396">
        <f>IF($P2892="","",$P2892-$O2892)</f>
        <v/>
      </c>
    </row>
    <row r="2893" ht="15" customHeight="1" s="231">
      <c r="A2893" s="397" t="n"/>
      <c r="B2893" s="397" t="n"/>
      <c r="C2893" s="397" t="n"/>
      <c r="D2893" s="397" t="n"/>
      <c r="E2893" s="397" t="n"/>
      <c r="F2893" s="397" t="n"/>
      <c r="G2893" s="397" t="n"/>
      <c r="I2893" s="397" t="n"/>
      <c r="J2893" s="397" t="n"/>
      <c r="K2893" s="395">
        <f>DATE(VALUE(LEFT(A2893,4)),VALUE(MID(A2893,5,2)),VALUE(RIGHT(A2893,2)))</f>
        <v/>
      </c>
      <c r="L2893" s="395">
        <f>DATEVALUE(LEFT(F2893,10))</f>
        <v/>
      </c>
      <c r="M2893" s="396">
        <f>TIMEVALUE(MID(F2893,12,8))</f>
        <v/>
      </c>
      <c r="N2893" s="395">
        <f>DATEVALUE(LEFT(G2893,10))</f>
        <v/>
      </c>
      <c r="O2893" s="396">
        <f>TIMEVALUE(MID(G2893,12,8))</f>
        <v/>
      </c>
      <c r="P2893" s="396">
        <f>IFERROR(_xlfn.MINIFS($M:$M,$E:$E,$E2893,$K:$K,$K2893,$M:$M,"&gt;"&amp;$O2893),"")</f>
        <v/>
      </c>
      <c r="Q2893" s="396">
        <f>IF($P2893="","",$P2893-$O2893)</f>
        <v/>
      </c>
    </row>
    <row r="2894" ht="15" customHeight="1" s="231">
      <c r="A2894" s="397" t="n"/>
      <c r="B2894" s="397" t="n"/>
      <c r="C2894" s="397" t="n"/>
      <c r="D2894" s="397" t="n"/>
      <c r="E2894" s="397" t="n"/>
      <c r="F2894" s="397" t="n"/>
      <c r="G2894" s="397" t="n"/>
      <c r="I2894" s="397" t="n"/>
      <c r="J2894" s="397" t="n"/>
      <c r="K2894" s="395">
        <f>DATE(VALUE(LEFT(A2894,4)),VALUE(MID(A2894,5,2)),VALUE(RIGHT(A2894,2)))</f>
        <v/>
      </c>
      <c r="L2894" s="395">
        <f>DATEVALUE(LEFT(F2894,10))</f>
        <v/>
      </c>
      <c r="M2894" s="396">
        <f>TIMEVALUE(MID(F2894,12,8))</f>
        <v/>
      </c>
      <c r="N2894" s="395">
        <f>DATEVALUE(LEFT(G2894,10))</f>
        <v/>
      </c>
      <c r="O2894" s="396">
        <f>TIMEVALUE(MID(G2894,12,8))</f>
        <v/>
      </c>
      <c r="P2894" s="396">
        <f>IFERROR(_xlfn.MINIFS($M:$M,$E:$E,$E2894,$K:$K,$K2894,$M:$M,"&gt;"&amp;$O2894),"")</f>
        <v/>
      </c>
      <c r="Q2894" s="396">
        <f>IF($P2894="","",$P2894-$O2894)</f>
        <v/>
      </c>
    </row>
    <row r="2895" ht="15" customHeight="1" s="231">
      <c r="A2895" s="397" t="n"/>
      <c r="B2895" s="397" t="n"/>
      <c r="C2895" s="397" t="n"/>
      <c r="D2895" s="397" t="n"/>
      <c r="E2895" s="397" t="n"/>
      <c r="F2895" s="397" t="n"/>
      <c r="G2895" s="397" t="n"/>
      <c r="I2895" s="397" t="n"/>
      <c r="J2895" s="397" t="n"/>
      <c r="K2895" s="395">
        <f>DATE(VALUE(LEFT(A2895,4)),VALUE(MID(A2895,5,2)),VALUE(RIGHT(A2895,2)))</f>
        <v/>
      </c>
      <c r="L2895" s="395">
        <f>DATEVALUE(LEFT(F2895,10))</f>
        <v/>
      </c>
      <c r="M2895" s="396">
        <f>TIMEVALUE(MID(F2895,12,8))</f>
        <v/>
      </c>
      <c r="N2895" s="395">
        <f>DATEVALUE(LEFT(G2895,10))</f>
        <v/>
      </c>
      <c r="O2895" s="396">
        <f>TIMEVALUE(MID(G2895,12,8))</f>
        <v/>
      </c>
      <c r="P2895" s="396">
        <f>IFERROR(_xlfn.MINIFS($M:$M,$E:$E,$E2895,$K:$K,$K2895,$M:$M,"&gt;"&amp;$O2895),"")</f>
        <v/>
      </c>
      <c r="Q2895" s="396">
        <f>IF($P2895="","",$P2895-$O2895)</f>
        <v/>
      </c>
    </row>
    <row r="2896" ht="15" customHeight="1" s="231">
      <c r="A2896" s="397" t="n"/>
      <c r="B2896" s="397" t="n"/>
      <c r="C2896" s="397" t="n"/>
      <c r="D2896" s="397" t="n"/>
      <c r="E2896" s="397" t="n"/>
      <c r="F2896" s="397" t="n"/>
      <c r="G2896" s="397" t="n"/>
      <c r="I2896" s="397" t="n"/>
      <c r="J2896" s="397" t="n"/>
      <c r="K2896" s="395">
        <f>DATE(VALUE(LEFT(A2896,4)),VALUE(MID(A2896,5,2)),VALUE(RIGHT(A2896,2)))</f>
        <v/>
      </c>
      <c r="L2896" s="395">
        <f>DATEVALUE(LEFT(F2896,10))</f>
        <v/>
      </c>
      <c r="M2896" s="396">
        <f>TIMEVALUE(MID(F2896,12,8))</f>
        <v/>
      </c>
      <c r="N2896" s="395">
        <f>DATEVALUE(LEFT(G2896,10))</f>
        <v/>
      </c>
      <c r="O2896" s="396">
        <f>TIMEVALUE(MID(G2896,12,8))</f>
        <v/>
      </c>
      <c r="P2896" s="396">
        <f>IFERROR(_xlfn.MINIFS($M:$M,$E:$E,$E2896,$K:$K,$K2896,$M:$M,"&gt;"&amp;$O2896),"")</f>
        <v/>
      </c>
      <c r="Q2896" s="396">
        <f>IF($P2896="","",$P2896-$O2896)</f>
        <v/>
      </c>
    </row>
    <row r="2897" ht="15" customHeight="1" s="231">
      <c r="A2897" s="397" t="n"/>
      <c r="B2897" s="397" t="n"/>
      <c r="C2897" s="397" t="n"/>
      <c r="D2897" s="397" t="n"/>
      <c r="E2897" s="397" t="n"/>
      <c r="F2897" s="397" t="n"/>
      <c r="G2897" s="397" t="n"/>
      <c r="I2897" s="397" t="n"/>
      <c r="J2897" s="397" t="n"/>
      <c r="K2897" s="395">
        <f>DATE(VALUE(LEFT(A2897,4)),VALUE(MID(A2897,5,2)),VALUE(RIGHT(A2897,2)))</f>
        <v/>
      </c>
      <c r="L2897" s="395">
        <f>DATEVALUE(LEFT(F2897,10))</f>
        <v/>
      </c>
      <c r="M2897" s="396">
        <f>TIMEVALUE(MID(F2897,12,8))</f>
        <v/>
      </c>
      <c r="N2897" s="395">
        <f>DATEVALUE(LEFT(G2897,10))</f>
        <v/>
      </c>
      <c r="O2897" s="396">
        <f>TIMEVALUE(MID(G2897,12,8))</f>
        <v/>
      </c>
      <c r="P2897" s="396">
        <f>IFERROR(_xlfn.MINIFS($M:$M,$E:$E,$E2897,$K:$K,$K2897,$M:$M,"&gt;"&amp;$O2897),"")</f>
        <v/>
      </c>
      <c r="Q2897" s="396">
        <f>IF($P2897="","",$P2897-$O2897)</f>
        <v/>
      </c>
    </row>
    <row r="2898" ht="15" customHeight="1" s="231">
      <c r="A2898" s="397" t="n"/>
      <c r="B2898" s="397" t="n"/>
      <c r="C2898" s="397" t="n"/>
      <c r="D2898" s="397" t="n"/>
      <c r="E2898" s="397" t="n"/>
      <c r="F2898" s="397" t="n"/>
      <c r="G2898" s="397" t="n"/>
      <c r="I2898" s="397" t="n"/>
      <c r="J2898" s="397" t="n"/>
      <c r="K2898" s="395">
        <f>DATE(VALUE(LEFT(A2898,4)),VALUE(MID(A2898,5,2)),VALUE(RIGHT(A2898,2)))</f>
        <v/>
      </c>
      <c r="L2898" s="395">
        <f>DATEVALUE(LEFT(F2898,10))</f>
        <v/>
      </c>
      <c r="M2898" s="396">
        <f>TIMEVALUE(MID(F2898,12,8))</f>
        <v/>
      </c>
      <c r="N2898" s="395">
        <f>DATEVALUE(LEFT(G2898,10))</f>
        <v/>
      </c>
      <c r="O2898" s="396">
        <f>TIMEVALUE(MID(G2898,12,8))</f>
        <v/>
      </c>
      <c r="P2898" s="396">
        <f>IFERROR(_xlfn.MINIFS($M:$M,$E:$E,$E2898,$K:$K,$K2898,$M:$M,"&gt;"&amp;$O2898),"")</f>
        <v/>
      </c>
      <c r="Q2898" s="396">
        <f>IF($P2898="","",$P2898-$O2898)</f>
        <v/>
      </c>
    </row>
    <row r="2899" ht="15" customHeight="1" s="231">
      <c r="A2899" s="397" t="n"/>
      <c r="B2899" s="397" t="n"/>
      <c r="C2899" s="397" t="n"/>
      <c r="D2899" s="397" t="n"/>
      <c r="E2899" s="397" t="n"/>
      <c r="F2899" s="397" t="n"/>
      <c r="G2899" s="397" t="n"/>
      <c r="I2899" s="397" t="n"/>
      <c r="J2899" s="397" t="n"/>
      <c r="K2899" s="395">
        <f>DATE(VALUE(LEFT(A2899,4)),VALUE(MID(A2899,5,2)),VALUE(RIGHT(A2899,2)))</f>
        <v/>
      </c>
      <c r="L2899" s="395">
        <f>DATEVALUE(LEFT(F2899,10))</f>
        <v/>
      </c>
      <c r="M2899" s="396">
        <f>TIMEVALUE(MID(F2899,12,8))</f>
        <v/>
      </c>
      <c r="N2899" s="395">
        <f>DATEVALUE(LEFT(G2899,10))</f>
        <v/>
      </c>
      <c r="O2899" s="396">
        <f>TIMEVALUE(MID(G2899,12,8))</f>
        <v/>
      </c>
      <c r="P2899" s="396">
        <f>IFERROR(_xlfn.MINIFS($M:$M,$E:$E,$E2899,$K:$K,$K2899,$M:$M,"&gt;"&amp;$O2899),"")</f>
        <v/>
      </c>
      <c r="Q2899" s="396">
        <f>IF($P2899="","",$P2899-$O2899)</f>
        <v/>
      </c>
    </row>
    <row r="2900" ht="15" customHeight="1" s="231">
      <c r="A2900" s="397" t="n"/>
      <c r="B2900" s="397" t="n"/>
      <c r="C2900" s="397" t="n"/>
      <c r="D2900" s="397" t="n"/>
      <c r="E2900" s="397" t="n"/>
      <c r="F2900" s="397" t="n"/>
      <c r="G2900" s="397" t="n"/>
      <c r="I2900" s="397" t="n"/>
      <c r="J2900" s="397" t="n"/>
      <c r="K2900" s="395">
        <f>DATE(VALUE(LEFT(A2900,4)),VALUE(MID(A2900,5,2)),VALUE(RIGHT(A2900,2)))</f>
        <v/>
      </c>
      <c r="L2900" s="395">
        <f>DATEVALUE(LEFT(F2900,10))</f>
        <v/>
      </c>
      <c r="M2900" s="396">
        <f>TIMEVALUE(MID(F2900,12,8))</f>
        <v/>
      </c>
      <c r="N2900" s="395">
        <f>DATEVALUE(LEFT(G2900,10))</f>
        <v/>
      </c>
      <c r="O2900" s="396">
        <f>TIMEVALUE(MID(G2900,12,8))</f>
        <v/>
      </c>
      <c r="P2900" s="396">
        <f>IFERROR(_xlfn.MINIFS($M:$M,$E:$E,$E2900,$K:$K,$K2900,$M:$M,"&gt;"&amp;$O2900),"")</f>
        <v/>
      </c>
      <c r="Q2900" s="396">
        <f>IF($P2900="","",$P2900-$O2900)</f>
        <v/>
      </c>
    </row>
    <row r="2901" ht="15" customHeight="1" s="231">
      <c r="A2901" s="397" t="n"/>
      <c r="B2901" s="397" t="n"/>
      <c r="C2901" s="397" t="n"/>
      <c r="D2901" s="397" t="n"/>
      <c r="E2901" s="397" t="n"/>
      <c r="F2901" s="397" t="n"/>
      <c r="G2901" s="397" t="n"/>
      <c r="I2901" s="397" t="n"/>
      <c r="J2901" s="397" t="n"/>
      <c r="K2901" s="395">
        <f>DATE(VALUE(LEFT(A2901,4)),VALUE(MID(A2901,5,2)),VALUE(RIGHT(A2901,2)))</f>
        <v/>
      </c>
      <c r="L2901" s="395">
        <f>DATEVALUE(LEFT(F2901,10))</f>
        <v/>
      </c>
      <c r="M2901" s="396">
        <f>TIMEVALUE(MID(F2901,12,8))</f>
        <v/>
      </c>
      <c r="N2901" s="395">
        <f>DATEVALUE(LEFT(G2901,10))</f>
        <v/>
      </c>
      <c r="O2901" s="396">
        <f>TIMEVALUE(MID(G2901,12,8))</f>
        <v/>
      </c>
      <c r="P2901" s="396">
        <f>IFERROR(_xlfn.MINIFS($M:$M,$E:$E,$E2901,$K:$K,$K2901,$M:$M,"&gt;"&amp;$O2901),"")</f>
        <v/>
      </c>
      <c r="Q2901" s="396">
        <f>IF($P2901="","",$P2901-$O2901)</f>
        <v/>
      </c>
    </row>
    <row r="2902" ht="15" customHeight="1" s="231">
      <c r="A2902" s="397" t="n"/>
      <c r="B2902" s="397" t="n"/>
      <c r="C2902" s="397" t="n"/>
      <c r="D2902" s="397" t="n"/>
      <c r="E2902" s="397" t="n"/>
      <c r="F2902" s="397" t="n"/>
      <c r="G2902" s="397" t="n"/>
      <c r="I2902" s="397" t="n"/>
      <c r="J2902" s="397" t="n"/>
      <c r="K2902" s="395">
        <f>DATE(VALUE(LEFT(A2902,4)),VALUE(MID(A2902,5,2)),VALUE(RIGHT(A2902,2)))</f>
        <v/>
      </c>
      <c r="L2902" s="395">
        <f>DATEVALUE(LEFT(F2902,10))</f>
        <v/>
      </c>
      <c r="M2902" s="396">
        <f>TIMEVALUE(MID(F2902,12,8))</f>
        <v/>
      </c>
      <c r="N2902" s="395">
        <f>DATEVALUE(LEFT(G2902,10))</f>
        <v/>
      </c>
      <c r="O2902" s="396">
        <f>TIMEVALUE(MID(G2902,12,8))</f>
        <v/>
      </c>
      <c r="P2902" s="396">
        <f>IFERROR(_xlfn.MINIFS($M:$M,$E:$E,$E2902,$K:$K,$K2902,$M:$M,"&gt;"&amp;$O2902),"")</f>
        <v/>
      </c>
      <c r="Q2902" s="396">
        <f>IF($P2902="","",$P2902-$O2902)</f>
        <v/>
      </c>
    </row>
    <row r="2903" ht="15" customHeight="1" s="231">
      <c r="A2903" s="397" t="n"/>
      <c r="B2903" s="397" t="n"/>
      <c r="C2903" s="397" t="n"/>
      <c r="D2903" s="397" t="n"/>
      <c r="E2903" s="397" t="n"/>
      <c r="F2903" s="397" t="n"/>
      <c r="G2903" s="397" t="n"/>
      <c r="I2903" s="397" t="n"/>
      <c r="J2903" s="397" t="n"/>
      <c r="K2903" s="395">
        <f>DATE(VALUE(LEFT(A2903,4)),VALUE(MID(A2903,5,2)),VALUE(RIGHT(A2903,2)))</f>
        <v/>
      </c>
      <c r="L2903" s="395">
        <f>DATEVALUE(LEFT(F2903,10))</f>
        <v/>
      </c>
      <c r="M2903" s="396">
        <f>TIMEVALUE(MID(F2903,12,8))</f>
        <v/>
      </c>
      <c r="N2903" s="395">
        <f>DATEVALUE(LEFT(G2903,10))</f>
        <v/>
      </c>
      <c r="O2903" s="396">
        <f>TIMEVALUE(MID(G2903,12,8))</f>
        <v/>
      </c>
      <c r="P2903" s="396">
        <f>IFERROR(_xlfn.MINIFS($M:$M,$E:$E,$E2903,$K:$K,$K2903,$M:$M,"&gt;"&amp;$O2903),"")</f>
        <v/>
      </c>
      <c r="Q2903" s="396">
        <f>IF($P2903="","",$P2903-$O2903)</f>
        <v/>
      </c>
    </row>
    <row r="2904" ht="15" customHeight="1" s="231">
      <c r="A2904" s="397" t="n"/>
      <c r="B2904" s="397" t="n"/>
      <c r="C2904" s="397" t="n"/>
      <c r="D2904" s="397" t="n"/>
      <c r="E2904" s="397" t="n"/>
      <c r="F2904" s="397" t="n"/>
      <c r="G2904" s="397" t="n"/>
      <c r="I2904" s="397" t="n"/>
      <c r="J2904" s="397" t="n"/>
      <c r="K2904" s="395">
        <f>DATE(VALUE(LEFT(A2904,4)),VALUE(MID(A2904,5,2)),VALUE(RIGHT(A2904,2)))</f>
        <v/>
      </c>
      <c r="L2904" s="395">
        <f>DATEVALUE(LEFT(F2904,10))</f>
        <v/>
      </c>
      <c r="M2904" s="396">
        <f>TIMEVALUE(MID(F2904,12,8))</f>
        <v/>
      </c>
      <c r="N2904" s="395">
        <f>DATEVALUE(LEFT(G2904,10))</f>
        <v/>
      </c>
      <c r="O2904" s="396">
        <f>TIMEVALUE(MID(G2904,12,8))</f>
        <v/>
      </c>
      <c r="P2904" s="396">
        <f>IFERROR(_xlfn.MINIFS($M:$M,$E:$E,$E2904,$K:$K,$K2904,$M:$M,"&gt;"&amp;$O2904),"")</f>
        <v/>
      </c>
      <c r="Q2904" s="396">
        <f>IF($P2904="","",$P2904-$O2904)</f>
        <v/>
      </c>
    </row>
    <row r="2905" ht="15" customHeight="1" s="231">
      <c r="A2905" s="397" t="n"/>
      <c r="B2905" s="397" t="n"/>
      <c r="C2905" s="397" t="n"/>
      <c r="D2905" s="397" t="n"/>
      <c r="E2905" s="397" t="n"/>
      <c r="F2905" s="397" t="n"/>
      <c r="G2905" s="397" t="n"/>
      <c r="I2905" s="397" t="n"/>
      <c r="J2905" s="397" t="n"/>
      <c r="K2905" s="395">
        <f>DATE(VALUE(LEFT(A2905,4)),VALUE(MID(A2905,5,2)),VALUE(RIGHT(A2905,2)))</f>
        <v/>
      </c>
      <c r="L2905" s="395">
        <f>DATEVALUE(LEFT(F2905,10))</f>
        <v/>
      </c>
      <c r="M2905" s="396">
        <f>TIMEVALUE(MID(F2905,12,8))</f>
        <v/>
      </c>
      <c r="N2905" s="395">
        <f>DATEVALUE(LEFT(G2905,10))</f>
        <v/>
      </c>
      <c r="O2905" s="396">
        <f>TIMEVALUE(MID(G2905,12,8))</f>
        <v/>
      </c>
      <c r="P2905" s="396">
        <f>IFERROR(_xlfn.MINIFS($M:$M,$E:$E,$E2905,$K:$K,$K2905,$M:$M,"&gt;"&amp;$O2905),"")</f>
        <v/>
      </c>
      <c r="Q2905" s="396">
        <f>IF($P2905="","",$P2905-$O2905)</f>
        <v/>
      </c>
    </row>
    <row r="2906" ht="15" customHeight="1" s="231">
      <c r="A2906" s="397" t="n"/>
      <c r="B2906" s="397" t="n"/>
      <c r="C2906" s="397" t="n"/>
      <c r="D2906" s="397" t="n"/>
      <c r="E2906" s="397" t="n"/>
      <c r="F2906" s="397" t="n"/>
      <c r="G2906" s="397" t="n"/>
      <c r="I2906" s="397" t="n"/>
      <c r="J2906" s="397" t="n"/>
      <c r="K2906" s="395">
        <f>DATE(VALUE(LEFT(A2906,4)),VALUE(MID(A2906,5,2)),VALUE(RIGHT(A2906,2)))</f>
        <v/>
      </c>
      <c r="L2906" s="395">
        <f>DATEVALUE(LEFT(F2906,10))</f>
        <v/>
      </c>
      <c r="M2906" s="396">
        <f>TIMEVALUE(MID(F2906,12,8))</f>
        <v/>
      </c>
      <c r="N2906" s="395">
        <f>DATEVALUE(LEFT(G2906,10))</f>
        <v/>
      </c>
      <c r="O2906" s="396">
        <f>TIMEVALUE(MID(G2906,12,8))</f>
        <v/>
      </c>
      <c r="P2906" s="396">
        <f>IFERROR(_xlfn.MINIFS($M:$M,$E:$E,$E2906,$K:$K,$K2906,$M:$M,"&gt;"&amp;$O2906),"")</f>
        <v/>
      </c>
      <c r="Q2906" s="396">
        <f>IF($P2906="","",$P2906-$O2906)</f>
        <v/>
      </c>
    </row>
    <row r="2907" ht="15" customHeight="1" s="231">
      <c r="A2907" s="397" t="n"/>
      <c r="B2907" s="397" t="n"/>
      <c r="C2907" s="397" t="n"/>
      <c r="D2907" s="397" t="n"/>
      <c r="E2907" s="397" t="n"/>
      <c r="F2907" s="397" t="n"/>
      <c r="G2907" s="397" t="n"/>
      <c r="I2907" s="397" t="n"/>
      <c r="J2907" s="397" t="n"/>
      <c r="K2907" s="395">
        <f>DATE(VALUE(LEFT(A2907,4)),VALUE(MID(A2907,5,2)),VALUE(RIGHT(A2907,2)))</f>
        <v/>
      </c>
      <c r="L2907" s="395">
        <f>DATEVALUE(LEFT(F2907,10))</f>
        <v/>
      </c>
      <c r="M2907" s="396">
        <f>TIMEVALUE(MID(F2907,12,8))</f>
        <v/>
      </c>
      <c r="N2907" s="395">
        <f>DATEVALUE(LEFT(G2907,10))</f>
        <v/>
      </c>
      <c r="O2907" s="396">
        <f>TIMEVALUE(MID(G2907,12,8))</f>
        <v/>
      </c>
      <c r="P2907" s="396">
        <f>IFERROR(_xlfn.MINIFS($M:$M,$E:$E,$E2907,$K:$K,$K2907,$M:$M,"&gt;"&amp;$O2907),"")</f>
        <v/>
      </c>
      <c r="Q2907" s="396">
        <f>IF($P2907="","",$P2907-$O2907)</f>
        <v/>
      </c>
    </row>
    <row r="2908" ht="15" customHeight="1" s="231">
      <c r="A2908" s="397" t="n"/>
      <c r="B2908" s="397" t="n"/>
      <c r="C2908" s="397" t="n"/>
      <c r="D2908" s="397" t="n"/>
      <c r="E2908" s="397" t="n"/>
      <c r="F2908" s="397" t="n"/>
      <c r="G2908" s="397" t="n"/>
      <c r="I2908" s="397" t="n"/>
      <c r="J2908" s="397" t="n"/>
      <c r="K2908" s="395">
        <f>DATE(VALUE(LEFT(A2908,4)),VALUE(MID(A2908,5,2)),VALUE(RIGHT(A2908,2)))</f>
        <v/>
      </c>
      <c r="L2908" s="395">
        <f>DATEVALUE(LEFT(F2908,10))</f>
        <v/>
      </c>
      <c r="M2908" s="396">
        <f>TIMEVALUE(MID(F2908,12,8))</f>
        <v/>
      </c>
      <c r="N2908" s="395">
        <f>DATEVALUE(LEFT(G2908,10))</f>
        <v/>
      </c>
      <c r="O2908" s="396">
        <f>TIMEVALUE(MID(G2908,12,8))</f>
        <v/>
      </c>
      <c r="P2908" s="396">
        <f>IFERROR(_xlfn.MINIFS($M:$M,$E:$E,$E2908,$K:$K,$K2908,$M:$M,"&gt;"&amp;$O2908),"")</f>
        <v/>
      </c>
      <c r="Q2908" s="396">
        <f>IF($P2908="","",$P2908-$O2908)</f>
        <v/>
      </c>
    </row>
    <row r="2909" ht="15" customHeight="1" s="231">
      <c r="A2909" s="397" t="n"/>
      <c r="B2909" s="397" t="n"/>
      <c r="C2909" s="397" t="n"/>
      <c r="D2909" s="397" t="n"/>
      <c r="E2909" s="397" t="n"/>
      <c r="F2909" s="397" t="n"/>
      <c r="G2909" s="397" t="n"/>
      <c r="I2909" s="397" t="n"/>
      <c r="J2909" s="397" t="n"/>
      <c r="K2909" s="395">
        <f>DATE(VALUE(LEFT(A2909,4)),VALUE(MID(A2909,5,2)),VALUE(RIGHT(A2909,2)))</f>
        <v/>
      </c>
      <c r="L2909" s="395">
        <f>DATEVALUE(LEFT(F2909,10))</f>
        <v/>
      </c>
      <c r="M2909" s="396">
        <f>TIMEVALUE(MID(F2909,12,8))</f>
        <v/>
      </c>
      <c r="N2909" s="395">
        <f>DATEVALUE(LEFT(G2909,10))</f>
        <v/>
      </c>
      <c r="O2909" s="396">
        <f>TIMEVALUE(MID(G2909,12,8))</f>
        <v/>
      </c>
      <c r="P2909" s="396">
        <f>IFERROR(_xlfn.MINIFS($M:$M,$E:$E,$E2909,$K:$K,$K2909,$M:$M,"&gt;"&amp;$O2909),"")</f>
        <v/>
      </c>
      <c r="Q2909" s="396">
        <f>IF($P2909="","",$P2909-$O2909)</f>
        <v/>
      </c>
    </row>
    <row r="2910" ht="15" customHeight="1" s="231">
      <c r="A2910" s="397" t="n"/>
      <c r="B2910" s="397" t="n"/>
      <c r="C2910" s="397" t="n"/>
      <c r="D2910" s="397" t="n"/>
      <c r="E2910" s="397" t="n"/>
      <c r="F2910" s="397" t="n"/>
      <c r="G2910" s="397" t="n"/>
      <c r="I2910" s="397" t="n"/>
      <c r="J2910" s="397" t="n"/>
      <c r="K2910" s="395">
        <f>DATE(VALUE(LEFT(A2910,4)),VALUE(MID(A2910,5,2)),VALUE(RIGHT(A2910,2)))</f>
        <v/>
      </c>
      <c r="L2910" s="395">
        <f>DATEVALUE(LEFT(F2910,10))</f>
        <v/>
      </c>
      <c r="M2910" s="396">
        <f>TIMEVALUE(MID(F2910,12,8))</f>
        <v/>
      </c>
      <c r="N2910" s="395">
        <f>DATEVALUE(LEFT(G2910,10))</f>
        <v/>
      </c>
      <c r="O2910" s="396">
        <f>TIMEVALUE(MID(G2910,12,8))</f>
        <v/>
      </c>
      <c r="P2910" s="396">
        <f>IFERROR(_xlfn.MINIFS($M:$M,$E:$E,$E2910,$K:$K,$K2910,$M:$M,"&gt;"&amp;$O2910),"")</f>
        <v/>
      </c>
      <c r="Q2910" s="396">
        <f>IF($P2910="","",$P2910-$O2910)</f>
        <v/>
      </c>
    </row>
    <row r="2911" ht="15" customHeight="1" s="231">
      <c r="A2911" s="397" t="n"/>
      <c r="B2911" s="397" t="n"/>
      <c r="C2911" s="397" t="n"/>
      <c r="D2911" s="397" t="n"/>
      <c r="E2911" s="397" t="n"/>
      <c r="F2911" s="397" t="n"/>
      <c r="G2911" s="397" t="n"/>
      <c r="I2911" s="397" t="n"/>
      <c r="J2911" s="397" t="n"/>
      <c r="K2911" s="395">
        <f>DATE(VALUE(LEFT(A2911,4)),VALUE(MID(A2911,5,2)),VALUE(RIGHT(A2911,2)))</f>
        <v/>
      </c>
      <c r="L2911" s="395">
        <f>DATEVALUE(LEFT(F2911,10))</f>
        <v/>
      </c>
      <c r="M2911" s="396">
        <f>TIMEVALUE(MID(F2911,12,8))</f>
        <v/>
      </c>
      <c r="N2911" s="395">
        <f>DATEVALUE(LEFT(G2911,10))</f>
        <v/>
      </c>
      <c r="O2911" s="396">
        <f>TIMEVALUE(MID(G2911,12,8))</f>
        <v/>
      </c>
      <c r="P2911" s="396">
        <f>IFERROR(_xlfn.MINIFS($M:$M,$E:$E,$E2911,$K:$K,$K2911,$M:$M,"&gt;"&amp;$O2911),"")</f>
        <v/>
      </c>
      <c r="Q2911" s="396">
        <f>IF($P2911="","",$P2911-$O2911)</f>
        <v/>
      </c>
    </row>
    <row r="2912" ht="15" customHeight="1" s="231">
      <c r="A2912" s="397" t="n"/>
      <c r="B2912" s="397" t="n"/>
      <c r="C2912" s="397" t="n"/>
      <c r="D2912" s="397" t="n"/>
      <c r="E2912" s="397" t="n"/>
      <c r="F2912" s="397" t="n"/>
      <c r="G2912" s="397" t="n"/>
      <c r="I2912" s="397" t="n"/>
      <c r="J2912" s="397" t="n"/>
      <c r="K2912" s="395">
        <f>DATE(VALUE(LEFT(A2912,4)),VALUE(MID(A2912,5,2)),VALUE(RIGHT(A2912,2)))</f>
        <v/>
      </c>
      <c r="L2912" s="395">
        <f>DATEVALUE(LEFT(F2912,10))</f>
        <v/>
      </c>
      <c r="M2912" s="396">
        <f>TIMEVALUE(MID(F2912,12,8))</f>
        <v/>
      </c>
      <c r="N2912" s="395">
        <f>DATEVALUE(LEFT(G2912,10))</f>
        <v/>
      </c>
      <c r="O2912" s="396">
        <f>TIMEVALUE(MID(G2912,12,8))</f>
        <v/>
      </c>
      <c r="P2912" s="396">
        <f>IFERROR(_xlfn.MINIFS($M:$M,$E:$E,$E2912,$K:$K,$K2912,$M:$M,"&gt;"&amp;$O2912),"")</f>
        <v/>
      </c>
      <c r="Q2912" s="396">
        <f>IF($P2912="","",$P2912-$O2912)</f>
        <v/>
      </c>
    </row>
    <row r="2913" ht="15" customHeight="1" s="231">
      <c r="A2913" s="397" t="n"/>
      <c r="B2913" s="397" t="n"/>
      <c r="C2913" s="397" t="n"/>
      <c r="D2913" s="397" t="n"/>
      <c r="E2913" s="397" t="n"/>
      <c r="F2913" s="397" t="n"/>
      <c r="G2913" s="397" t="n"/>
      <c r="I2913" s="397" t="n"/>
      <c r="J2913" s="397" t="n"/>
      <c r="K2913" s="395">
        <f>DATE(VALUE(LEFT(A2913,4)),VALUE(MID(A2913,5,2)),VALUE(RIGHT(A2913,2)))</f>
        <v/>
      </c>
      <c r="L2913" s="395">
        <f>DATEVALUE(LEFT(F2913,10))</f>
        <v/>
      </c>
      <c r="M2913" s="396">
        <f>TIMEVALUE(MID(F2913,12,8))</f>
        <v/>
      </c>
      <c r="N2913" s="395">
        <f>DATEVALUE(LEFT(G2913,10))</f>
        <v/>
      </c>
      <c r="O2913" s="396">
        <f>TIMEVALUE(MID(G2913,12,8))</f>
        <v/>
      </c>
      <c r="P2913" s="396">
        <f>IFERROR(_xlfn.MINIFS($M:$M,$E:$E,$E2913,$K:$K,$K2913,$M:$M,"&gt;"&amp;$O2913),"")</f>
        <v/>
      </c>
      <c r="Q2913" s="396">
        <f>IF($P2913="","",$P2913-$O2913)</f>
        <v/>
      </c>
    </row>
    <row r="2914" ht="15" customHeight="1" s="231">
      <c r="A2914" s="397" t="n"/>
      <c r="B2914" s="397" t="n"/>
      <c r="C2914" s="397" t="n"/>
      <c r="D2914" s="397" t="n"/>
      <c r="E2914" s="397" t="n"/>
      <c r="F2914" s="397" t="n"/>
      <c r="G2914" s="397" t="n"/>
      <c r="I2914" s="397" t="n"/>
      <c r="J2914" s="397" t="n"/>
      <c r="K2914" s="395">
        <f>DATE(VALUE(LEFT(A2914,4)),VALUE(MID(A2914,5,2)),VALUE(RIGHT(A2914,2)))</f>
        <v/>
      </c>
      <c r="L2914" s="395">
        <f>DATEVALUE(LEFT(F2914,10))</f>
        <v/>
      </c>
      <c r="M2914" s="396">
        <f>TIMEVALUE(MID(F2914,12,8))</f>
        <v/>
      </c>
      <c r="N2914" s="395">
        <f>DATEVALUE(LEFT(G2914,10))</f>
        <v/>
      </c>
      <c r="O2914" s="396">
        <f>TIMEVALUE(MID(G2914,12,8))</f>
        <v/>
      </c>
      <c r="P2914" s="396">
        <f>IFERROR(_xlfn.MINIFS($M:$M,$E:$E,$E2914,$K:$K,$K2914,$M:$M,"&gt;"&amp;$O2914),"")</f>
        <v/>
      </c>
      <c r="Q2914" s="396">
        <f>IF($P2914="","",$P2914-$O2914)</f>
        <v/>
      </c>
    </row>
    <row r="2915" ht="15" customHeight="1" s="231">
      <c r="A2915" s="397" t="n"/>
      <c r="B2915" s="397" t="n"/>
      <c r="C2915" s="397" t="n"/>
      <c r="D2915" s="397" t="n"/>
      <c r="E2915" s="397" t="n"/>
      <c r="F2915" s="397" t="n"/>
      <c r="G2915" s="397" t="n"/>
      <c r="I2915" s="397" t="n"/>
      <c r="J2915" s="397" t="n"/>
      <c r="K2915" s="395">
        <f>DATE(VALUE(LEFT(A2915,4)),VALUE(MID(A2915,5,2)),VALUE(RIGHT(A2915,2)))</f>
        <v/>
      </c>
      <c r="L2915" s="395">
        <f>DATEVALUE(LEFT(F2915,10))</f>
        <v/>
      </c>
      <c r="M2915" s="396">
        <f>TIMEVALUE(MID(F2915,12,8))</f>
        <v/>
      </c>
      <c r="N2915" s="395">
        <f>DATEVALUE(LEFT(G2915,10))</f>
        <v/>
      </c>
      <c r="O2915" s="396">
        <f>TIMEVALUE(MID(G2915,12,8))</f>
        <v/>
      </c>
      <c r="P2915" s="396">
        <f>IFERROR(_xlfn.MINIFS($M:$M,$E:$E,$E2915,$K:$K,$K2915,$M:$M,"&gt;"&amp;$O2915),"")</f>
        <v/>
      </c>
      <c r="Q2915" s="396">
        <f>IF($P2915="","",$P2915-$O2915)</f>
        <v/>
      </c>
    </row>
    <row r="2916" ht="15" customHeight="1" s="231">
      <c r="A2916" s="397" t="n"/>
      <c r="B2916" s="397" t="n"/>
      <c r="C2916" s="397" t="n"/>
      <c r="D2916" s="397" t="n"/>
      <c r="E2916" s="397" t="n"/>
      <c r="F2916" s="397" t="n"/>
      <c r="G2916" s="397" t="n"/>
      <c r="I2916" s="397" t="n"/>
      <c r="J2916" s="397" t="n"/>
      <c r="K2916" s="395">
        <f>DATE(VALUE(LEFT(A2916,4)),VALUE(MID(A2916,5,2)),VALUE(RIGHT(A2916,2)))</f>
        <v/>
      </c>
      <c r="L2916" s="395">
        <f>DATEVALUE(LEFT(F2916,10))</f>
        <v/>
      </c>
      <c r="M2916" s="396">
        <f>TIMEVALUE(MID(F2916,12,8))</f>
        <v/>
      </c>
      <c r="N2916" s="395">
        <f>DATEVALUE(LEFT(G2916,10))</f>
        <v/>
      </c>
      <c r="O2916" s="396">
        <f>TIMEVALUE(MID(G2916,12,8))</f>
        <v/>
      </c>
      <c r="P2916" s="396">
        <f>IFERROR(_xlfn.MINIFS($M:$M,$E:$E,$E2916,$K:$K,$K2916,$M:$M,"&gt;"&amp;$O2916),"")</f>
        <v/>
      </c>
      <c r="Q2916" s="396">
        <f>IF($P2916="","",$P2916-$O2916)</f>
        <v/>
      </c>
    </row>
    <row r="2917" ht="15" customHeight="1" s="231">
      <c r="A2917" s="397" t="n"/>
      <c r="B2917" s="397" t="n"/>
      <c r="C2917" s="397" t="n"/>
      <c r="D2917" s="397" t="n"/>
      <c r="E2917" s="397" t="n"/>
      <c r="F2917" s="397" t="n"/>
      <c r="G2917" s="397" t="n"/>
      <c r="I2917" s="397" t="n"/>
      <c r="J2917" s="397" t="n"/>
      <c r="K2917" s="395">
        <f>DATE(VALUE(LEFT(A2917,4)),VALUE(MID(A2917,5,2)),VALUE(RIGHT(A2917,2)))</f>
        <v/>
      </c>
      <c r="L2917" s="395">
        <f>DATEVALUE(LEFT(F2917,10))</f>
        <v/>
      </c>
      <c r="M2917" s="396">
        <f>TIMEVALUE(MID(F2917,12,8))</f>
        <v/>
      </c>
      <c r="N2917" s="395">
        <f>DATEVALUE(LEFT(G2917,10))</f>
        <v/>
      </c>
      <c r="O2917" s="396">
        <f>TIMEVALUE(MID(G2917,12,8))</f>
        <v/>
      </c>
      <c r="P2917" s="396">
        <f>IFERROR(_xlfn.MINIFS($M:$M,$E:$E,$E2917,$K:$K,$K2917,$M:$M,"&gt;"&amp;$O2917),"")</f>
        <v/>
      </c>
      <c r="Q2917" s="396">
        <f>IF($P2917="","",$P2917-$O2917)</f>
        <v/>
      </c>
    </row>
    <row r="2918" ht="15" customHeight="1" s="231">
      <c r="A2918" s="397" t="n"/>
      <c r="B2918" s="397" t="n"/>
      <c r="C2918" s="397" t="n"/>
      <c r="D2918" s="397" t="n"/>
      <c r="E2918" s="397" t="n"/>
      <c r="F2918" s="397" t="n"/>
      <c r="G2918" s="397" t="n"/>
      <c r="I2918" s="397" t="n"/>
      <c r="J2918" s="397" t="n"/>
      <c r="K2918" s="395">
        <f>DATE(VALUE(LEFT(A2918,4)),VALUE(MID(A2918,5,2)),VALUE(RIGHT(A2918,2)))</f>
        <v/>
      </c>
      <c r="L2918" s="395">
        <f>DATEVALUE(LEFT(F2918,10))</f>
        <v/>
      </c>
      <c r="M2918" s="396">
        <f>TIMEVALUE(MID(F2918,12,8))</f>
        <v/>
      </c>
      <c r="N2918" s="395">
        <f>DATEVALUE(LEFT(G2918,10))</f>
        <v/>
      </c>
      <c r="O2918" s="396">
        <f>TIMEVALUE(MID(G2918,12,8))</f>
        <v/>
      </c>
      <c r="P2918" s="396">
        <f>IFERROR(_xlfn.MINIFS($M:$M,$E:$E,$E2918,$K:$K,$K2918,$M:$M,"&gt;"&amp;$O2918),"")</f>
        <v/>
      </c>
      <c r="Q2918" s="396">
        <f>IF($P2918="","",$P2918-$O2918)</f>
        <v/>
      </c>
    </row>
    <row r="2919" ht="15" customHeight="1" s="231">
      <c r="A2919" s="397" t="n"/>
      <c r="B2919" s="397" t="n"/>
      <c r="C2919" s="397" t="n"/>
      <c r="D2919" s="397" t="n"/>
      <c r="E2919" s="397" t="n"/>
      <c r="F2919" s="397" t="n"/>
      <c r="G2919" s="397" t="n"/>
      <c r="I2919" s="397" t="n"/>
      <c r="J2919" s="397" t="n"/>
      <c r="K2919" s="395">
        <f>DATE(VALUE(LEFT(A2919,4)),VALUE(MID(A2919,5,2)),VALUE(RIGHT(A2919,2)))</f>
        <v/>
      </c>
      <c r="L2919" s="395">
        <f>DATEVALUE(LEFT(F2919,10))</f>
        <v/>
      </c>
      <c r="M2919" s="396">
        <f>TIMEVALUE(MID(F2919,12,8))</f>
        <v/>
      </c>
      <c r="N2919" s="395">
        <f>DATEVALUE(LEFT(G2919,10))</f>
        <v/>
      </c>
      <c r="O2919" s="396">
        <f>TIMEVALUE(MID(G2919,12,8))</f>
        <v/>
      </c>
      <c r="P2919" s="396">
        <f>IFERROR(_xlfn.MINIFS($M:$M,$E:$E,$E2919,$K:$K,$K2919,$M:$M,"&gt;"&amp;$O2919),"")</f>
        <v/>
      </c>
      <c r="Q2919" s="396">
        <f>IF($P2919="","",$P2919-$O2919)</f>
        <v/>
      </c>
    </row>
    <row r="2920" ht="15" customHeight="1" s="231">
      <c r="A2920" s="397" t="n"/>
      <c r="B2920" s="397" t="n"/>
      <c r="C2920" s="397" t="n"/>
      <c r="D2920" s="397" t="n"/>
      <c r="E2920" s="397" t="n"/>
      <c r="F2920" s="397" t="n"/>
      <c r="G2920" s="397" t="n"/>
      <c r="I2920" s="397" t="n"/>
      <c r="J2920" s="397" t="n"/>
      <c r="K2920" s="395">
        <f>DATE(VALUE(LEFT(A2920,4)),VALUE(MID(A2920,5,2)),VALUE(RIGHT(A2920,2)))</f>
        <v/>
      </c>
      <c r="L2920" s="395">
        <f>DATEVALUE(LEFT(F2920,10))</f>
        <v/>
      </c>
      <c r="M2920" s="396">
        <f>TIMEVALUE(MID(F2920,12,8))</f>
        <v/>
      </c>
      <c r="N2920" s="395">
        <f>DATEVALUE(LEFT(G2920,10))</f>
        <v/>
      </c>
      <c r="O2920" s="396">
        <f>TIMEVALUE(MID(G2920,12,8))</f>
        <v/>
      </c>
      <c r="P2920" s="396">
        <f>IFERROR(_xlfn.MINIFS($M:$M,$E:$E,$E2920,$K:$K,$K2920,$M:$M,"&gt;"&amp;$O2920),"")</f>
        <v/>
      </c>
      <c r="Q2920" s="396">
        <f>IF($P2920="","",$P2920-$O2920)</f>
        <v/>
      </c>
    </row>
    <row r="2921" ht="15" customHeight="1" s="231">
      <c r="A2921" s="397" t="n"/>
      <c r="B2921" s="397" t="n"/>
      <c r="C2921" s="397" t="n"/>
      <c r="D2921" s="397" t="n"/>
      <c r="E2921" s="397" t="n"/>
      <c r="F2921" s="397" t="n"/>
      <c r="G2921" s="397" t="n"/>
      <c r="I2921" s="397" t="n"/>
      <c r="J2921" s="397" t="n"/>
      <c r="K2921" s="395">
        <f>DATE(VALUE(LEFT(A2921,4)),VALUE(MID(A2921,5,2)),VALUE(RIGHT(A2921,2)))</f>
        <v/>
      </c>
      <c r="L2921" s="395">
        <f>DATEVALUE(LEFT(F2921,10))</f>
        <v/>
      </c>
      <c r="M2921" s="396">
        <f>TIMEVALUE(MID(F2921,12,8))</f>
        <v/>
      </c>
      <c r="N2921" s="395">
        <f>DATEVALUE(LEFT(G2921,10))</f>
        <v/>
      </c>
      <c r="O2921" s="396">
        <f>TIMEVALUE(MID(G2921,12,8))</f>
        <v/>
      </c>
      <c r="P2921" s="396">
        <f>IFERROR(_xlfn.MINIFS($M:$M,$E:$E,$E2921,$K:$K,$K2921,$M:$M,"&gt;"&amp;$O2921),"")</f>
        <v/>
      </c>
      <c r="Q2921" s="396">
        <f>IF($P2921="","",$P2921-$O2921)</f>
        <v/>
      </c>
    </row>
    <row r="2922" ht="15" customHeight="1" s="231">
      <c r="A2922" s="397" t="n"/>
      <c r="B2922" s="397" t="n"/>
      <c r="C2922" s="397" t="n"/>
      <c r="D2922" s="397" t="n"/>
      <c r="E2922" s="397" t="n"/>
      <c r="F2922" s="397" t="n"/>
      <c r="G2922" s="397" t="n"/>
      <c r="I2922" s="397" t="n"/>
      <c r="J2922" s="397" t="n"/>
      <c r="K2922" s="395">
        <f>DATE(VALUE(LEFT(A2922,4)),VALUE(MID(A2922,5,2)),VALUE(RIGHT(A2922,2)))</f>
        <v/>
      </c>
      <c r="L2922" s="395">
        <f>DATEVALUE(LEFT(F2922,10))</f>
        <v/>
      </c>
      <c r="M2922" s="396">
        <f>TIMEVALUE(MID(F2922,12,8))</f>
        <v/>
      </c>
      <c r="N2922" s="395">
        <f>DATEVALUE(LEFT(G2922,10))</f>
        <v/>
      </c>
      <c r="O2922" s="396">
        <f>TIMEVALUE(MID(G2922,12,8))</f>
        <v/>
      </c>
      <c r="P2922" s="396">
        <f>IFERROR(_xlfn.MINIFS($M:$M,$E:$E,$E2922,$K:$K,$K2922,$M:$M,"&gt;"&amp;$O2922),"")</f>
        <v/>
      </c>
      <c r="Q2922" s="396">
        <f>IF($P2922="","",$P2922-$O2922)</f>
        <v/>
      </c>
    </row>
    <row r="2923" ht="15" customHeight="1" s="231">
      <c r="A2923" s="397" t="n"/>
      <c r="B2923" s="397" t="n"/>
      <c r="C2923" s="397" t="n"/>
      <c r="D2923" s="397" t="n"/>
      <c r="E2923" s="397" t="n"/>
      <c r="F2923" s="397" t="n"/>
      <c r="G2923" s="397" t="n"/>
      <c r="I2923" s="397" t="n"/>
      <c r="J2923" s="397" t="n"/>
      <c r="K2923" s="395">
        <f>DATE(VALUE(LEFT(A2923,4)),VALUE(MID(A2923,5,2)),VALUE(RIGHT(A2923,2)))</f>
        <v/>
      </c>
      <c r="L2923" s="395">
        <f>DATEVALUE(LEFT(F2923,10))</f>
        <v/>
      </c>
      <c r="M2923" s="396">
        <f>TIMEVALUE(MID(F2923,12,8))</f>
        <v/>
      </c>
      <c r="N2923" s="395">
        <f>DATEVALUE(LEFT(G2923,10))</f>
        <v/>
      </c>
      <c r="O2923" s="396">
        <f>TIMEVALUE(MID(G2923,12,8))</f>
        <v/>
      </c>
      <c r="P2923" s="396">
        <f>IFERROR(_xlfn.MINIFS($M:$M,$E:$E,$E2923,$K:$K,$K2923,$M:$M,"&gt;"&amp;$O2923),"")</f>
        <v/>
      </c>
      <c r="Q2923" s="396">
        <f>IF($P2923="","",$P2923-$O2923)</f>
        <v/>
      </c>
    </row>
    <row r="2924" ht="15" customHeight="1" s="231">
      <c r="A2924" s="397" t="n"/>
      <c r="B2924" s="397" t="n"/>
      <c r="C2924" s="397" t="n"/>
      <c r="D2924" s="397" t="n"/>
      <c r="E2924" s="397" t="n"/>
      <c r="F2924" s="397" t="n"/>
      <c r="G2924" s="397" t="n"/>
      <c r="I2924" s="397" t="n"/>
      <c r="J2924" s="397" t="n"/>
      <c r="K2924" s="395">
        <f>DATE(VALUE(LEFT(A2924,4)),VALUE(MID(A2924,5,2)),VALUE(RIGHT(A2924,2)))</f>
        <v/>
      </c>
      <c r="L2924" s="395">
        <f>DATEVALUE(LEFT(F2924,10))</f>
        <v/>
      </c>
      <c r="M2924" s="396">
        <f>TIMEVALUE(MID(F2924,12,8))</f>
        <v/>
      </c>
      <c r="N2924" s="395">
        <f>DATEVALUE(LEFT(G2924,10))</f>
        <v/>
      </c>
      <c r="O2924" s="396">
        <f>TIMEVALUE(MID(G2924,12,8))</f>
        <v/>
      </c>
      <c r="P2924" s="396">
        <f>IFERROR(_xlfn.MINIFS($M:$M,$E:$E,$E2924,$K:$K,$K2924,$M:$M,"&gt;"&amp;$O2924),"")</f>
        <v/>
      </c>
      <c r="Q2924" s="396">
        <f>IF($P2924="","",$P2924-$O2924)</f>
        <v/>
      </c>
    </row>
    <row r="2925" ht="15" customHeight="1" s="231">
      <c r="A2925" s="397" t="n"/>
      <c r="B2925" s="397" t="n"/>
      <c r="C2925" s="397" t="n"/>
      <c r="D2925" s="397" t="n"/>
      <c r="E2925" s="397" t="n"/>
      <c r="F2925" s="397" t="n"/>
      <c r="G2925" s="397" t="n"/>
      <c r="I2925" s="397" t="n"/>
      <c r="J2925" s="397" t="n"/>
      <c r="K2925" s="395">
        <f>DATE(VALUE(LEFT(A2925,4)),VALUE(MID(A2925,5,2)),VALUE(RIGHT(A2925,2)))</f>
        <v/>
      </c>
      <c r="L2925" s="395">
        <f>DATEVALUE(LEFT(F2925,10))</f>
        <v/>
      </c>
      <c r="M2925" s="396">
        <f>TIMEVALUE(MID(F2925,12,8))</f>
        <v/>
      </c>
      <c r="N2925" s="395">
        <f>DATEVALUE(LEFT(G2925,10))</f>
        <v/>
      </c>
      <c r="O2925" s="396">
        <f>TIMEVALUE(MID(G2925,12,8))</f>
        <v/>
      </c>
      <c r="P2925" s="396">
        <f>IFERROR(_xlfn.MINIFS($M:$M,$E:$E,$E2925,$K:$K,$K2925,$M:$M,"&gt;"&amp;$O2925),"")</f>
        <v/>
      </c>
      <c r="Q2925" s="396">
        <f>IF($P2925="","",$P2925-$O2925)</f>
        <v/>
      </c>
    </row>
    <row r="2926" ht="15" customHeight="1" s="231">
      <c r="A2926" s="397" t="n"/>
      <c r="B2926" s="397" t="n"/>
      <c r="C2926" s="397" t="n"/>
      <c r="D2926" s="397" t="n"/>
      <c r="E2926" s="397" t="n"/>
      <c r="F2926" s="397" t="n"/>
      <c r="G2926" s="397" t="n"/>
      <c r="I2926" s="397" t="n"/>
      <c r="J2926" s="397" t="n"/>
      <c r="K2926" s="395">
        <f>DATE(VALUE(LEFT(A2926,4)),VALUE(MID(A2926,5,2)),VALUE(RIGHT(A2926,2)))</f>
        <v/>
      </c>
      <c r="L2926" s="395">
        <f>DATEVALUE(LEFT(F2926,10))</f>
        <v/>
      </c>
      <c r="M2926" s="396">
        <f>TIMEVALUE(MID(F2926,12,8))</f>
        <v/>
      </c>
      <c r="N2926" s="395">
        <f>DATEVALUE(LEFT(G2926,10))</f>
        <v/>
      </c>
      <c r="O2926" s="396">
        <f>TIMEVALUE(MID(G2926,12,8))</f>
        <v/>
      </c>
      <c r="P2926" s="396">
        <f>IFERROR(_xlfn.MINIFS($M:$M,$E:$E,$E2926,$K:$K,$K2926,$M:$M,"&gt;"&amp;$O2926),"")</f>
        <v/>
      </c>
      <c r="Q2926" s="396">
        <f>IF($P2926="","",$P2926-$O2926)</f>
        <v/>
      </c>
    </row>
    <row r="2927" ht="15" customHeight="1" s="231">
      <c r="A2927" s="397" t="n"/>
      <c r="B2927" s="397" t="n"/>
      <c r="C2927" s="397" t="n"/>
      <c r="D2927" s="397" t="n"/>
      <c r="E2927" s="397" t="n"/>
      <c r="F2927" s="397" t="n"/>
      <c r="G2927" s="397" t="n"/>
      <c r="I2927" s="397" t="n"/>
      <c r="J2927" s="397" t="n"/>
      <c r="K2927" s="395">
        <f>DATE(VALUE(LEFT(A2927,4)),VALUE(MID(A2927,5,2)),VALUE(RIGHT(A2927,2)))</f>
        <v/>
      </c>
      <c r="L2927" s="395">
        <f>DATEVALUE(LEFT(F2927,10))</f>
        <v/>
      </c>
      <c r="M2927" s="396">
        <f>TIMEVALUE(MID(F2927,12,8))</f>
        <v/>
      </c>
      <c r="N2927" s="395">
        <f>DATEVALUE(LEFT(G2927,10))</f>
        <v/>
      </c>
      <c r="O2927" s="396">
        <f>TIMEVALUE(MID(G2927,12,8))</f>
        <v/>
      </c>
      <c r="P2927" s="396">
        <f>IFERROR(_xlfn.MINIFS($M:$M,$E:$E,$E2927,$K:$K,$K2927,$M:$M,"&gt;"&amp;$O2927),"")</f>
        <v/>
      </c>
      <c r="Q2927" s="396">
        <f>IF($P2927="","",$P2927-$O2927)</f>
        <v/>
      </c>
    </row>
    <row r="2928" ht="15" customHeight="1" s="231">
      <c r="A2928" s="397" t="n"/>
      <c r="B2928" s="397" t="n"/>
      <c r="C2928" s="397" t="n"/>
      <c r="D2928" s="397" t="n"/>
      <c r="E2928" s="397" t="n"/>
      <c r="F2928" s="397" t="n"/>
      <c r="G2928" s="397" t="n"/>
      <c r="I2928" s="397" t="n"/>
      <c r="J2928" s="397" t="n"/>
      <c r="K2928" s="395">
        <f>DATE(VALUE(LEFT(A2928,4)),VALUE(MID(A2928,5,2)),VALUE(RIGHT(A2928,2)))</f>
        <v/>
      </c>
      <c r="L2928" s="395">
        <f>DATEVALUE(LEFT(F2928,10))</f>
        <v/>
      </c>
      <c r="M2928" s="396">
        <f>TIMEVALUE(MID(F2928,12,8))</f>
        <v/>
      </c>
      <c r="N2928" s="395">
        <f>DATEVALUE(LEFT(G2928,10))</f>
        <v/>
      </c>
      <c r="O2928" s="396">
        <f>TIMEVALUE(MID(G2928,12,8))</f>
        <v/>
      </c>
      <c r="P2928" s="396">
        <f>IFERROR(_xlfn.MINIFS($M:$M,$E:$E,$E2928,$K:$K,$K2928,$M:$M,"&gt;"&amp;$O2928),"")</f>
        <v/>
      </c>
      <c r="Q2928" s="396">
        <f>IF($P2928="","",$P2928-$O2928)</f>
        <v/>
      </c>
    </row>
    <row r="2929" ht="15" customHeight="1" s="231">
      <c r="A2929" s="397" t="n"/>
      <c r="B2929" s="397" t="n"/>
      <c r="C2929" s="397" t="n"/>
      <c r="D2929" s="397" t="n"/>
      <c r="E2929" s="397" t="n"/>
      <c r="F2929" s="397" t="n"/>
      <c r="G2929" s="397" t="n"/>
      <c r="I2929" s="397" t="n"/>
      <c r="J2929" s="397" t="n"/>
      <c r="K2929" s="395">
        <f>DATE(VALUE(LEFT(A2929,4)),VALUE(MID(A2929,5,2)),VALUE(RIGHT(A2929,2)))</f>
        <v/>
      </c>
      <c r="L2929" s="395">
        <f>DATEVALUE(LEFT(F2929,10))</f>
        <v/>
      </c>
      <c r="M2929" s="396">
        <f>TIMEVALUE(MID(F2929,12,8))</f>
        <v/>
      </c>
      <c r="N2929" s="395">
        <f>DATEVALUE(LEFT(G2929,10))</f>
        <v/>
      </c>
      <c r="O2929" s="396">
        <f>TIMEVALUE(MID(G2929,12,8))</f>
        <v/>
      </c>
      <c r="P2929" s="396">
        <f>IFERROR(_xlfn.MINIFS($M:$M,$E:$E,$E2929,$K:$K,$K2929,$M:$M,"&gt;"&amp;$O2929),"")</f>
        <v/>
      </c>
      <c r="Q2929" s="396">
        <f>IF($P2929="","",$P2929-$O2929)</f>
        <v/>
      </c>
    </row>
    <row r="2930" ht="15" customHeight="1" s="231">
      <c r="A2930" s="397" t="n"/>
      <c r="B2930" s="397" t="n"/>
      <c r="C2930" s="397" t="n"/>
      <c r="D2930" s="397" t="n"/>
      <c r="E2930" s="397" t="n"/>
      <c r="F2930" s="397" t="n"/>
      <c r="G2930" s="397" t="n"/>
      <c r="I2930" s="397" t="n"/>
      <c r="J2930" s="397" t="n"/>
      <c r="K2930" s="395">
        <f>DATE(VALUE(LEFT(A2930,4)),VALUE(MID(A2930,5,2)),VALUE(RIGHT(A2930,2)))</f>
        <v/>
      </c>
      <c r="L2930" s="395">
        <f>DATEVALUE(LEFT(F2930,10))</f>
        <v/>
      </c>
      <c r="M2930" s="396">
        <f>TIMEVALUE(MID(F2930,12,8))</f>
        <v/>
      </c>
      <c r="N2930" s="395">
        <f>DATEVALUE(LEFT(G2930,10))</f>
        <v/>
      </c>
      <c r="O2930" s="396">
        <f>TIMEVALUE(MID(G2930,12,8))</f>
        <v/>
      </c>
      <c r="P2930" s="396">
        <f>IFERROR(_xlfn.MINIFS($M:$M,$E:$E,$E2930,$K:$K,$K2930,$M:$M,"&gt;"&amp;$O2930),"")</f>
        <v/>
      </c>
      <c r="Q2930" s="396">
        <f>IF($P2930="","",$P2930-$O2930)</f>
        <v/>
      </c>
    </row>
    <row r="2931" ht="15" customHeight="1" s="231">
      <c r="A2931" s="397" t="n"/>
      <c r="B2931" s="397" t="n"/>
      <c r="C2931" s="397" t="n"/>
      <c r="D2931" s="397" t="n"/>
      <c r="E2931" s="397" t="n"/>
      <c r="F2931" s="397" t="n"/>
      <c r="G2931" s="397" t="n"/>
      <c r="I2931" s="397" t="n"/>
      <c r="J2931" s="397" t="n"/>
      <c r="K2931" s="395">
        <f>DATE(VALUE(LEFT(A2931,4)),VALUE(MID(A2931,5,2)),VALUE(RIGHT(A2931,2)))</f>
        <v/>
      </c>
      <c r="L2931" s="395">
        <f>DATEVALUE(LEFT(F2931,10))</f>
        <v/>
      </c>
      <c r="M2931" s="396">
        <f>TIMEVALUE(MID(F2931,12,8))</f>
        <v/>
      </c>
      <c r="N2931" s="395">
        <f>DATEVALUE(LEFT(G2931,10))</f>
        <v/>
      </c>
      <c r="O2931" s="396">
        <f>TIMEVALUE(MID(G2931,12,8))</f>
        <v/>
      </c>
      <c r="P2931" s="396">
        <f>IFERROR(_xlfn.MINIFS($M:$M,$E:$E,$E2931,$K:$K,$K2931,$M:$M,"&gt;"&amp;$O2931),"")</f>
        <v/>
      </c>
      <c r="Q2931" s="396">
        <f>IF($P2931="","",$P2931-$O2931)</f>
        <v/>
      </c>
    </row>
    <row r="2932" ht="15" customHeight="1" s="231">
      <c r="A2932" s="397" t="n"/>
      <c r="B2932" s="397" t="n"/>
      <c r="C2932" s="397" t="n"/>
      <c r="D2932" s="397" t="n"/>
      <c r="E2932" s="397" t="n"/>
      <c r="F2932" s="397" t="n"/>
      <c r="G2932" s="397" t="n"/>
      <c r="I2932" s="397" t="n"/>
      <c r="J2932" s="397" t="n"/>
      <c r="K2932" s="395">
        <f>DATE(VALUE(LEFT(A2932,4)),VALUE(MID(A2932,5,2)),VALUE(RIGHT(A2932,2)))</f>
        <v/>
      </c>
      <c r="L2932" s="395">
        <f>DATEVALUE(LEFT(F2932,10))</f>
        <v/>
      </c>
      <c r="M2932" s="396">
        <f>TIMEVALUE(MID(F2932,12,8))</f>
        <v/>
      </c>
      <c r="N2932" s="395">
        <f>DATEVALUE(LEFT(G2932,10))</f>
        <v/>
      </c>
      <c r="O2932" s="396">
        <f>TIMEVALUE(MID(G2932,12,8))</f>
        <v/>
      </c>
      <c r="P2932" s="396">
        <f>IFERROR(_xlfn.MINIFS($M:$M,$E:$E,$E2932,$K:$K,$K2932,$M:$M,"&gt;"&amp;$O2932),"")</f>
        <v/>
      </c>
      <c r="Q2932" s="396">
        <f>IF($P2932="","",$P2932-$O2932)</f>
        <v/>
      </c>
    </row>
    <row r="2933" ht="15" customHeight="1" s="231">
      <c r="A2933" s="397" t="n"/>
      <c r="B2933" s="397" t="n"/>
      <c r="C2933" s="397" t="n"/>
      <c r="D2933" s="397" t="n"/>
      <c r="E2933" s="397" t="n"/>
      <c r="F2933" s="397" t="n"/>
      <c r="G2933" s="397" t="n"/>
      <c r="I2933" s="397" t="n"/>
      <c r="J2933" s="397" t="n"/>
      <c r="K2933" s="395">
        <f>DATE(VALUE(LEFT(A2933,4)),VALUE(MID(A2933,5,2)),VALUE(RIGHT(A2933,2)))</f>
        <v/>
      </c>
      <c r="L2933" s="395">
        <f>DATEVALUE(LEFT(F2933,10))</f>
        <v/>
      </c>
      <c r="M2933" s="396">
        <f>TIMEVALUE(MID(F2933,12,8))</f>
        <v/>
      </c>
      <c r="N2933" s="395">
        <f>DATEVALUE(LEFT(G2933,10))</f>
        <v/>
      </c>
      <c r="O2933" s="396">
        <f>TIMEVALUE(MID(G2933,12,8))</f>
        <v/>
      </c>
      <c r="P2933" s="396">
        <f>IFERROR(_xlfn.MINIFS($M:$M,$E:$E,$E2933,$K:$K,$K2933,$M:$M,"&gt;"&amp;$O2933),"")</f>
        <v/>
      </c>
      <c r="Q2933" s="396">
        <f>IF($P2933="","",$P2933-$O2933)</f>
        <v/>
      </c>
    </row>
    <row r="2934" ht="15" customHeight="1" s="231">
      <c r="A2934" s="397" t="n"/>
      <c r="B2934" s="397" t="n"/>
      <c r="C2934" s="397" t="n"/>
      <c r="D2934" s="397" t="n"/>
      <c r="E2934" s="397" t="n"/>
      <c r="F2934" s="397" t="n"/>
      <c r="G2934" s="397" t="n"/>
      <c r="I2934" s="397" t="n"/>
      <c r="J2934" s="397" t="n"/>
      <c r="K2934" s="395">
        <f>DATE(VALUE(LEFT(A2934,4)),VALUE(MID(A2934,5,2)),VALUE(RIGHT(A2934,2)))</f>
        <v/>
      </c>
      <c r="L2934" s="395">
        <f>DATEVALUE(LEFT(F2934,10))</f>
        <v/>
      </c>
      <c r="M2934" s="396">
        <f>TIMEVALUE(MID(F2934,12,8))</f>
        <v/>
      </c>
      <c r="N2934" s="395">
        <f>DATEVALUE(LEFT(G2934,10))</f>
        <v/>
      </c>
      <c r="O2934" s="396">
        <f>TIMEVALUE(MID(G2934,12,8))</f>
        <v/>
      </c>
      <c r="P2934" s="396">
        <f>IFERROR(_xlfn.MINIFS($M:$M,$E:$E,$E2934,$K:$K,$K2934,$M:$M,"&gt;"&amp;$O2934),"")</f>
        <v/>
      </c>
      <c r="Q2934" s="396">
        <f>IF($P2934="","",$P2934-$O2934)</f>
        <v/>
      </c>
    </row>
    <row r="2935" ht="15" customHeight="1" s="231">
      <c r="A2935" s="397" t="n"/>
      <c r="B2935" s="397" t="n"/>
      <c r="C2935" s="397" t="n"/>
      <c r="D2935" s="397" t="n"/>
      <c r="E2935" s="397" t="n"/>
      <c r="F2935" s="397" t="n"/>
      <c r="G2935" s="397" t="n"/>
      <c r="I2935" s="397" t="n"/>
      <c r="J2935" s="397" t="n"/>
      <c r="K2935" s="395">
        <f>DATE(VALUE(LEFT(A2935,4)),VALUE(MID(A2935,5,2)),VALUE(RIGHT(A2935,2)))</f>
        <v/>
      </c>
      <c r="L2935" s="395">
        <f>DATEVALUE(LEFT(F2935,10))</f>
        <v/>
      </c>
      <c r="M2935" s="396">
        <f>TIMEVALUE(MID(F2935,12,8))</f>
        <v/>
      </c>
      <c r="N2935" s="395">
        <f>DATEVALUE(LEFT(G2935,10))</f>
        <v/>
      </c>
      <c r="O2935" s="396">
        <f>TIMEVALUE(MID(G2935,12,8))</f>
        <v/>
      </c>
      <c r="P2935" s="396">
        <f>IFERROR(_xlfn.MINIFS($M:$M,$E:$E,$E2935,$K:$K,$K2935,$M:$M,"&gt;"&amp;$O2935),"")</f>
        <v/>
      </c>
      <c r="Q2935" s="396">
        <f>IF($P2935="","",$P2935-$O2935)</f>
        <v/>
      </c>
    </row>
    <row r="2936" ht="15" customHeight="1" s="231">
      <c r="A2936" s="397" t="n"/>
      <c r="B2936" s="397" t="n"/>
      <c r="C2936" s="397" t="n"/>
      <c r="D2936" s="397" t="n"/>
      <c r="E2936" s="397" t="n"/>
      <c r="F2936" s="397" t="n"/>
      <c r="G2936" s="397" t="n"/>
      <c r="I2936" s="397" t="n"/>
      <c r="J2936" s="397" t="n"/>
      <c r="K2936" s="395">
        <f>DATE(VALUE(LEFT(A2936,4)),VALUE(MID(A2936,5,2)),VALUE(RIGHT(A2936,2)))</f>
        <v/>
      </c>
      <c r="L2936" s="395">
        <f>DATEVALUE(LEFT(F2936,10))</f>
        <v/>
      </c>
      <c r="M2936" s="396">
        <f>TIMEVALUE(MID(F2936,12,8))</f>
        <v/>
      </c>
      <c r="N2936" s="395">
        <f>DATEVALUE(LEFT(G2936,10))</f>
        <v/>
      </c>
      <c r="O2936" s="396">
        <f>TIMEVALUE(MID(G2936,12,8))</f>
        <v/>
      </c>
      <c r="P2936" s="396">
        <f>IFERROR(_xlfn.MINIFS($M:$M,$E:$E,$E2936,$K:$K,$K2936,$M:$M,"&gt;"&amp;$O2936),"")</f>
        <v/>
      </c>
      <c r="Q2936" s="396">
        <f>IF($P2936="","",$P2936-$O2936)</f>
        <v/>
      </c>
    </row>
    <row r="2937" ht="15" customHeight="1" s="231">
      <c r="A2937" s="397" t="n"/>
      <c r="B2937" s="397" t="n"/>
      <c r="C2937" s="397" t="n"/>
      <c r="D2937" s="397" t="n"/>
      <c r="E2937" s="397" t="n"/>
      <c r="F2937" s="397" t="n"/>
      <c r="G2937" s="397" t="n"/>
      <c r="I2937" s="397" t="n"/>
      <c r="J2937" s="397" t="n"/>
      <c r="K2937" s="395">
        <f>DATE(VALUE(LEFT(A2937,4)),VALUE(MID(A2937,5,2)),VALUE(RIGHT(A2937,2)))</f>
        <v/>
      </c>
      <c r="L2937" s="395">
        <f>DATEVALUE(LEFT(F2937,10))</f>
        <v/>
      </c>
      <c r="M2937" s="396">
        <f>TIMEVALUE(MID(F2937,12,8))</f>
        <v/>
      </c>
      <c r="N2937" s="395">
        <f>DATEVALUE(LEFT(G2937,10))</f>
        <v/>
      </c>
      <c r="O2937" s="396">
        <f>TIMEVALUE(MID(G2937,12,8))</f>
        <v/>
      </c>
      <c r="P2937" s="396">
        <f>IFERROR(_xlfn.MINIFS($M:$M,$E:$E,$E2937,$K:$K,$K2937,$M:$M,"&gt;"&amp;$O2937),"")</f>
        <v/>
      </c>
      <c r="Q2937" s="396">
        <f>IF($P2937="","",$P2937-$O2937)</f>
        <v/>
      </c>
    </row>
    <row r="2938" ht="15" customHeight="1" s="231">
      <c r="A2938" s="397" t="n"/>
      <c r="B2938" s="397" t="n"/>
      <c r="C2938" s="397" t="n"/>
      <c r="D2938" s="397" t="n"/>
      <c r="E2938" s="397" t="n"/>
      <c r="F2938" s="397" t="n"/>
      <c r="G2938" s="397" t="n"/>
      <c r="I2938" s="397" t="n"/>
      <c r="J2938" s="397" t="n"/>
      <c r="K2938" s="395">
        <f>DATE(VALUE(LEFT(A2938,4)),VALUE(MID(A2938,5,2)),VALUE(RIGHT(A2938,2)))</f>
        <v/>
      </c>
      <c r="L2938" s="395">
        <f>DATEVALUE(LEFT(F2938,10))</f>
        <v/>
      </c>
      <c r="M2938" s="396">
        <f>TIMEVALUE(MID(F2938,12,8))</f>
        <v/>
      </c>
      <c r="N2938" s="395">
        <f>DATEVALUE(LEFT(G2938,10))</f>
        <v/>
      </c>
      <c r="O2938" s="396">
        <f>TIMEVALUE(MID(G2938,12,8))</f>
        <v/>
      </c>
      <c r="P2938" s="396">
        <f>IFERROR(_xlfn.MINIFS($M:$M,$E:$E,$E2938,$K:$K,$K2938,$M:$M,"&gt;"&amp;$O2938),"")</f>
        <v/>
      </c>
      <c r="Q2938" s="396">
        <f>IF($P2938="","",$P2938-$O2938)</f>
        <v/>
      </c>
    </row>
    <row r="2939" ht="15" customHeight="1" s="231">
      <c r="A2939" s="397" t="n"/>
      <c r="B2939" s="397" t="n"/>
      <c r="C2939" s="397" t="n"/>
      <c r="D2939" s="397" t="n"/>
      <c r="E2939" s="397" t="n"/>
      <c r="F2939" s="397" t="n"/>
      <c r="G2939" s="397" t="n"/>
      <c r="I2939" s="397" t="n"/>
      <c r="J2939" s="397" t="n"/>
      <c r="K2939" s="395">
        <f>DATE(VALUE(LEFT(A2939,4)),VALUE(MID(A2939,5,2)),VALUE(RIGHT(A2939,2)))</f>
        <v/>
      </c>
      <c r="L2939" s="395">
        <f>DATEVALUE(LEFT(F2939,10))</f>
        <v/>
      </c>
      <c r="M2939" s="396">
        <f>TIMEVALUE(MID(F2939,12,8))</f>
        <v/>
      </c>
      <c r="N2939" s="395">
        <f>DATEVALUE(LEFT(G2939,10))</f>
        <v/>
      </c>
      <c r="O2939" s="396">
        <f>TIMEVALUE(MID(G2939,12,8))</f>
        <v/>
      </c>
      <c r="P2939" s="396">
        <f>IFERROR(_xlfn.MINIFS($M:$M,$E:$E,$E2939,$K:$K,$K2939,$M:$M,"&gt;"&amp;$O2939),"")</f>
        <v/>
      </c>
      <c r="Q2939" s="396">
        <f>IF($P2939="","",$P2939-$O2939)</f>
        <v/>
      </c>
    </row>
    <row r="2940" ht="15" customHeight="1" s="231">
      <c r="A2940" s="397" t="n"/>
      <c r="B2940" s="397" t="n"/>
      <c r="C2940" s="397" t="n"/>
      <c r="D2940" s="397" t="n"/>
      <c r="E2940" s="397" t="n"/>
      <c r="F2940" s="397" t="n"/>
      <c r="G2940" s="397" t="n"/>
      <c r="I2940" s="397" t="n"/>
      <c r="J2940" s="397" t="n"/>
      <c r="K2940" s="395">
        <f>DATE(VALUE(LEFT(A2940,4)),VALUE(MID(A2940,5,2)),VALUE(RIGHT(A2940,2)))</f>
        <v/>
      </c>
      <c r="L2940" s="395">
        <f>DATEVALUE(LEFT(F2940,10))</f>
        <v/>
      </c>
      <c r="M2940" s="396">
        <f>TIMEVALUE(MID(F2940,12,8))</f>
        <v/>
      </c>
      <c r="N2940" s="395">
        <f>DATEVALUE(LEFT(G2940,10))</f>
        <v/>
      </c>
      <c r="O2940" s="396">
        <f>TIMEVALUE(MID(G2940,12,8))</f>
        <v/>
      </c>
      <c r="P2940" s="396">
        <f>IFERROR(_xlfn.MINIFS($M:$M,$E:$E,$E2940,$K:$K,$K2940,$M:$M,"&gt;"&amp;$O2940),"")</f>
        <v/>
      </c>
      <c r="Q2940" s="396">
        <f>IF($P2940="","",$P2940-$O2940)</f>
        <v/>
      </c>
    </row>
    <row r="2941" ht="15" customHeight="1" s="231">
      <c r="A2941" s="397" t="n"/>
      <c r="B2941" s="397" t="n"/>
      <c r="C2941" s="397" t="n"/>
      <c r="D2941" s="397" t="n"/>
      <c r="E2941" s="397" t="n"/>
      <c r="F2941" s="397" t="n"/>
      <c r="G2941" s="397" t="n"/>
      <c r="I2941" s="397" t="n"/>
      <c r="J2941" s="397" t="n"/>
      <c r="K2941" s="395">
        <f>DATE(VALUE(LEFT(A2941,4)),VALUE(MID(A2941,5,2)),VALUE(RIGHT(A2941,2)))</f>
        <v/>
      </c>
      <c r="L2941" s="395">
        <f>DATEVALUE(LEFT(F2941,10))</f>
        <v/>
      </c>
      <c r="M2941" s="396">
        <f>TIMEVALUE(MID(F2941,12,8))</f>
        <v/>
      </c>
      <c r="N2941" s="395">
        <f>DATEVALUE(LEFT(G2941,10))</f>
        <v/>
      </c>
      <c r="O2941" s="396">
        <f>TIMEVALUE(MID(G2941,12,8))</f>
        <v/>
      </c>
      <c r="P2941" s="396">
        <f>IFERROR(_xlfn.MINIFS($M:$M,$E:$E,$E2941,$K:$K,$K2941,$M:$M,"&gt;"&amp;$O2941),"")</f>
        <v/>
      </c>
      <c r="Q2941" s="396">
        <f>IF($P2941="","",$P2941-$O2941)</f>
        <v/>
      </c>
    </row>
    <row r="2942" ht="15" customHeight="1" s="231">
      <c r="A2942" s="397" t="n"/>
      <c r="B2942" s="397" t="n"/>
      <c r="C2942" s="397" t="n"/>
      <c r="D2942" s="397" t="n"/>
      <c r="E2942" s="397" t="n"/>
      <c r="F2942" s="397" t="n"/>
      <c r="G2942" s="397" t="n"/>
      <c r="I2942" s="397" t="n"/>
      <c r="J2942" s="397" t="n"/>
      <c r="K2942" s="395">
        <f>DATE(VALUE(LEFT(A2942,4)),VALUE(MID(A2942,5,2)),VALUE(RIGHT(A2942,2)))</f>
        <v/>
      </c>
      <c r="L2942" s="395">
        <f>DATEVALUE(LEFT(F2942,10))</f>
        <v/>
      </c>
      <c r="M2942" s="396">
        <f>TIMEVALUE(MID(F2942,12,8))</f>
        <v/>
      </c>
      <c r="N2942" s="395">
        <f>DATEVALUE(LEFT(G2942,10))</f>
        <v/>
      </c>
      <c r="O2942" s="396">
        <f>TIMEVALUE(MID(G2942,12,8))</f>
        <v/>
      </c>
      <c r="P2942" s="396">
        <f>IFERROR(_xlfn.MINIFS($M:$M,$E:$E,$E2942,$K:$K,$K2942,$M:$M,"&gt;"&amp;$O2942),"")</f>
        <v/>
      </c>
      <c r="Q2942" s="396">
        <f>IF($P2942="","",$P2942-$O2942)</f>
        <v/>
      </c>
    </row>
    <row r="2943" ht="15" customHeight="1" s="231">
      <c r="A2943" s="397" t="n"/>
      <c r="B2943" s="397" t="n"/>
      <c r="C2943" s="397" t="n"/>
      <c r="D2943" s="397" t="n"/>
      <c r="E2943" s="397" t="n"/>
      <c r="F2943" s="397" t="n"/>
      <c r="G2943" s="397" t="n"/>
      <c r="I2943" s="397" t="n"/>
      <c r="J2943" s="397" t="n"/>
      <c r="K2943" s="395">
        <f>DATE(VALUE(LEFT(A2943,4)),VALUE(MID(A2943,5,2)),VALUE(RIGHT(A2943,2)))</f>
        <v/>
      </c>
      <c r="L2943" s="395">
        <f>DATEVALUE(LEFT(F2943,10))</f>
        <v/>
      </c>
      <c r="M2943" s="396">
        <f>TIMEVALUE(MID(F2943,12,8))</f>
        <v/>
      </c>
      <c r="N2943" s="395">
        <f>DATEVALUE(LEFT(G2943,10))</f>
        <v/>
      </c>
      <c r="O2943" s="396">
        <f>TIMEVALUE(MID(G2943,12,8))</f>
        <v/>
      </c>
      <c r="P2943" s="396">
        <f>IFERROR(_xlfn.MINIFS($M:$M,$E:$E,$E2943,$K:$K,$K2943,$M:$M,"&gt;"&amp;$O2943),"")</f>
        <v/>
      </c>
      <c r="Q2943" s="396">
        <f>IF($P2943="","",$P2943-$O2943)</f>
        <v/>
      </c>
    </row>
    <row r="2944" ht="15" customHeight="1" s="231">
      <c r="A2944" s="397" t="n"/>
      <c r="B2944" s="397" t="n"/>
      <c r="C2944" s="397" t="n"/>
      <c r="D2944" s="397" t="n"/>
      <c r="E2944" s="397" t="n"/>
      <c r="F2944" s="397" t="n"/>
      <c r="G2944" s="397" t="n"/>
      <c r="I2944" s="397" t="n"/>
      <c r="J2944" s="397" t="n"/>
      <c r="K2944" s="395">
        <f>DATE(VALUE(LEFT(A2944,4)),VALUE(MID(A2944,5,2)),VALUE(RIGHT(A2944,2)))</f>
        <v/>
      </c>
      <c r="L2944" s="395">
        <f>DATEVALUE(LEFT(F2944,10))</f>
        <v/>
      </c>
      <c r="M2944" s="396">
        <f>TIMEVALUE(MID(F2944,12,8))</f>
        <v/>
      </c>
      <c r="N2944" s="395">
        <f>DATEVALUE(LEFT(G2944,10))</f>
        <v/>
      </c>
      <c r="O2944" s="396">
        <f>TIMEVALUE(MID(G2944,12,8))</f>
        <v/>
      </c>
      <c r="P2944" s="396">
        <f>IFERROR(_xlfn.MINIFS($M:$M,$E:$E,$E2944,$K:$K,$K2944,$M:$M,"&gt;"&amp;$O2944),"")</f>
        <v/>
      </c>
      <c r="Q2944" s="396">
        <f>IF($P2944="","",$P2944-$O2944)</f>
        <v/>
      </c>
    </row>
    <row r="2945" ht="15" customHeight="1" s="231">
      <c r="A2945" s="397" t="n"/>
      <c r="B2945" s="397" t="n"/>
      <c r="C2945" s="397" t="n"/>
      <c r="D2945" s="397" t="n"/>
      <c r="E2945" s="397" t="n"/>
      <c r="F2945" s="397" t="n"/>
      <c r="G2945" s="397" t="n"/>
      <c r="I2945" s="397" t="n"/>
      <c r="J2945" s="397" t="n"/>
      <c r="K2945" s="395">
        <f>DATE(VALUE(LEFT(A2945,4)),VALUE(MID(A2945,5,2)),VALUE(RIGHT(A2945,2)))</f>
        <v/>
      </c>
      <c r="L2945" s="395">
        <f>DATEVALUE(LEFT(F2945,10))</f>
        <v/>
      </c>
      <c r="M2945" s="396">
        <f>TIMEVALUE(MID(F2945,12,8))</f>
        <v/>
      </c>
      <c r="N2945" s="395">
        <f>DATEVALUE(LEFT(G2945,10))</f>
        <v/>
      </c>
      <c r="O2945" s="396">
        <f>TIMEVALUE(MID(G2945,12,8))</f>
        <v/>
      </c>
      <c r="P2945" s="396">
        <f>IFERROR(_xlfn.MINIFS($M:$M,$E:$E,$E2945,$K:$K,$K2945,$M:$M,"&gt;"&amp;$O2945),"")</f>
        <v/>
      </c>
      <c r="Q2945" s="396">
        <f>IF($P2945="","",$P2945-$O2945)</f>
        <v/>
      </c>
    </row>
    <row r="2946" ht="15" customHeight="1" s="231">
      <c r="A2946" s="397" t="n"/>
      <c r="B2946" s="397" t="n"/>
      <c r="C2946" s="397" t="n"/>
      <c r="D2946" s="397" t="n"/>
      <c r="E2946" s="397" t="n"/>
      <c r="F2946" s="397" t="n"/>
      <c r="G2946" s="397" t="n"/>
      <c r="I2946" s="397" t="n"/>
      <c r="J2946" s="397" t="n"/>
      <c r="K2946" s="395">
        <f>DATE(VALUE(LEFT(A2946,4)),VALUE(MID(A2946,5,2)),VALUE(RIGHT(A2946,2)))</f>
        <v/>
      </c>
      <c r="L2946" s="395">
        <f>DATEVALUE(LEFT(F2946,10))</f>
        <v/>
      </c>
      <c r="M2946" s="396">
        <f>TIMEVALUE(MID(F2946,12,8))</f>
        <v/>
      </c>
      <c r="N2946" s="395">
        <f>DATEVALUE(LEFT(G2946,10))</f>
        <v/>
      </c>
      <c r="O2946" s="396">
        <f>TIMEVALUE(MID(G2946,12,8))</f>
        <v/>
      </c>
      <c r="P2946" s="396">
        <f>IFERROR(_xlfn.MINIFS($M:$M,$E:$E,$E2946,$K:$K,$K2946,$M:$M,"&gt;"&amp;$O2946),"")</f>
        <v/>
      </c>
      <c r="Q2946" s="396">
        <f>IF($P2946="","",$P2946-$O2946)</f>
        <v/>
      </c>
    </row>
    <row r="2947" ht="15" customHeight="1" s="231">
      <c r="A2947" s="397" t="n"/>
      <c r="B2947" s="397" t="n"/>
      <c r="C2947" s="397" t="n"/>
      <c r="D2947" s="397" t="n"/>
      <c r="E2947" s="397" t="n"/>
      <c r="F2947" s="397" t="n"/>
      <c r="G2947" s="397" t="n"/>
      <c r="I2947" s="397" t="n"/>
      <c r="J2947" s="397" t="n"/>
      <c r="K2947" s="395">
        <f>DATE(VALUE(LEFT(A2947,4)),VALUE(MID(A2947,5,2)),VALUE(RIGHT(A2947,2)))</f>
        <v/>
      </c>
      <c r="L2947" s="395">
        <f>DATEVALUE(LEFT(F2947,10))</f>
        <v/>
      </c>
      <c r="M2947" s="396">
        <f>TIMEVALUE(MID(F2947,12,8))</f>
        <v/>
      </c>
      <c r="N2947" s="395">
        <f>DATEVALUE(LEFT(G2947,10))</f>
        <v/>
      </c>
      <c r="O2947" s="396">
        <f>TIMEVALUE(MID(G2947,12,8))</f>
        <v/>
      </c>
      <c r="P2947" s="396">
        <f>IFERROR(_xlfn.MINIFS($M:$M,$E:$E,$E2947,$K:$K,$K2947,$M:$M,"&gt;"&amp;$O2947),"")</f>
        <v/>
      </c>
      <c r="Q2947" s="396">
        <f>IF($P2947="","",$P2947-$O2947)</f>
        <v/>
      </c>
    </row>
    <row r="2948" ht="15" customHeight="1" s="231">
      <c r="A2948" s="397" t="n"/>
      <c r="B2948" s="397" t="n"/>
      <c r="C2948" s="397" t="n"/>
      <c r="D2948" s="397" t="n"/>
      <c r="E2948" s="397" t="n"/>
      <c r="F2948" s="397" t="n"/>
      <c r="G2948" s="397" t="n"/>
      <c r="I2948" s="397" t="n"/>
      <c r="J2948" s="397" t="n"/>
      <c r="K2948" s="395">
        <f>DATE(VALUE(LEFT(A2948,4)),VALUE(MID(A2948,5,2)),VALUE(RIGHT(A2948,2)))</f>
        <v/>
      </c>
      <c r="L2948" s="395">
        <f>DATEVALUE(LEFT(F2948,10))</f>
        <v/>
      </c>
      <c r="M2948" s="396">
        <f>TIMEVALUE(MID(F2948,12,8))</f>
        <v/>
      </c>
      <c r="N2948" s="395">
        <f>DATEVALUE(LEFT(G2948,10))</f>
        <v/>
      </c>
      <c r="O2948" s="396">
        <f>TIMEVALUE(MID(G2948,12,8))</f>
        <v/>
      </c>
      <c r="P2948" s="396">
        <f>IFERROR(_xlfn.MINIFS($M:$M,$E:$E,$E2948,$K:$K,$K2948,$M:$M,"&gt;"&amp;$O2948),"")</f>
        <v/>
      </c>
      <c r="Q2948" s="396">
        <f>IF($P2948="","",$P2948-$O2948)</f>
        <v/>
      </c>
    </row>
    <row r="2949" ht="15" customHeight="1" s="231">
      <c r="A2949" s="397" t="n"/>
      <c r="B2949" s="397" t="n"/>
      <c r="C2949" s="397" t="n"/>
      <c r="D2949" s="397" t="n"/>
      <c r="E2949" s="397" t="n"/>
      <c r="F2949" s="397" t="n"/>
      <c r="G2949" s="397" t="n"/>
      <c r="I2949" s="397" t="n"/>
      <c r="J2949" s="397" t="n"/>
      <c r="K2949" s="395">
        <f>DATE(VALUE(LEFT(A2949,4)),VALUE(MID(A2949,5,2)),VALUE(RIGHT(A2949,2)))</f>
        <v/>
      </c>
      <c r="L2949" s="395">
        <f>DATEVALUE(LEFT(F2949,10))</f>
        <v/>
      </c>
      <c r="M2949" s="396">
        <f>TIMEVALUE(MID(F2949,12,8))</f>
        <v/>
      </c>
      <c r="N2949" s="395">
        <f>DATEVALUE(LEFT(G2949,10))</f>
        <v/>
      </c>
      <c r="O2949" s="396">
        <f>TIMEVALUE(MID(G2949,12,8))</f>
        <v/>
      </c>
      <c r="P2949" s="396">
        <f>IFERROR(_xlfn.MINIFS($M:$M,$E:$E,$E2949,$K:$K,$K2949,$M:$M,"&gt;"&amp;$O2949),"")</f>
        <v/>
      </c>
      <c r="Q2949" s="396">
        <f>IF($P2949="","",$P2949-$O2949)</f>
        <v/>
      </c>
    </row>
    <row r="2950" ht="15" customHeight="1" s="231">
      <c r="A2950" s="397" t="n"/>
      <c r="B2950" s="397" t="n"/>
      <c r="C2950" s="397" t="n"/>
      <c r="D2950" s="397" t="n"/>
      <c r="E2950" s="397" t="n"/>
      <c r="F2950" s="397" t="n"/>
      <c r="G2950" s="397" t="n"/>
      <c r="I2950" s="397" t="n"/>
      <c r="J2950" s="397" t="n"/>
      <c r="K2950" s="395">
        <f>DATE(VALUE(LEFT(A2950,4)),VALUE(MID(A2950,5,2)),VALUE(RIGHT(A2950,2)))</f>
        <v/>
      </c>
      <c r="L2950" s="395">
        <f>DATEVALUE(LEFT(F2950,10))</f>
        <v/>
      </c>
      <c r="M2950" s="396">
        <f>TIMEVALUE(MID(F2950,12,8))</f>
        <v/>
      </c>
      <c r="N2950" s="395">
        <f>DATEVALUE(LEFT(G2950,10))</f>
        <v/>
      </c>
      <c r="O2950" s="396">
        <f>TIMEVALUE(MID(G2950,12,8))</f>
        <v/>
      </c>
      <c r="P2950" s="396">
        <f>IFERROR(_xlfn.MINIFS($M:$M,$E:$E,$E2950,$K:$K,$K2950,$M:$M,"&gt;"&amp;$O2950),"")</f>
        <v/>
      </c>
      <c r="Q2950" s="396">
        <f>IF($P2950="","",$P2950-$O2950)</f>
        <v/>
      </c>
    </row>
    <row r="2951" ht="15" customHeight="1" s="231">
      <c r="A2951" s="397" t="n"/>
      <c r="B2951" s="397" t="n"/>
      <c r="C2951" s="397" t="n"/>
      <c r="D2951" s="397" t="n"/>
      <c r="E2951" s="397" t="n"/>
      <c r="F2951" s="397" t="n"/>
      <c r="G2951" s="397" t="n"/>
      <c r="I2951" s="397" t="n"/>
      <c r="J2951" s="397" t="n"/>
      <c r="K2951" s="395">
        <f>DATE(VALUE(LEFT(A2951,4)),VALUE(MID(A2951,5,2)),VALUE(RIGHT(A2951,2)))</f>
        <v/>
      </c>
      <c r="L2951" s="395">
        <f>DATEVALUE(LEFT(F2951,10))</f>
        <v/>
      </c>
      <c r="M2951" s="396">
        <f>TIMEVALUE(MID(F2951,12,8))</f>
        <v/>
      </c>
      <c r="N2951" s="395">
        <f>DATEVALUE(LEFT(G2951,10))</f>
        <v/>
      </c>
      <c r="O2951" s="396">
        <f>TIMEVALUE(MID(G2951,12,8))</f>
        <v/>
      </c>
      <c r="P2951" s="396">
        <f>IFERROR(_xlfn.MINIFS($M:$M,$E:$E,$E2951,$K:$K,$K2951,$M:$M,"&gt;"&amp;$O2951),"")</f>
        <v/>
      </c>
      <c r="Q2951" s="396">
        <f>IF($P2951="","",$P2951-$O2951)</f>
        <v/>
      </c>
    </row>
    <row r="2952" ht="15" customHeight="1" s="231">
      <c r="A2952" s="397" t="n"/>
      <c r="B2952" s="397" t="n"/>
      <c r="C2952" s="397" t="n"/>
      <c r="D2952" s="397" t="n"/>
      <c r="E2952" s="397" t="n"/>
      <c r="F2952" s="397" t="n"/>
      <c r="G2952" s="397" t="n"/>
      <c r="I2952" s="397" t="n"/>
      <c r="J2952" s="397" t="n"/>
      <c r="K2952" s="395">
        <f>DATE(VALUE(LEFT(A2952,4)),VALUE(MID(A2952,5,2)),VALUE(RIGHT(A2952,2)))</f>
        <v/>
      </c>
      <c r="L2952" s="395">
        <f>DATEVALUE(LEFT(F2952,10))</f>
        <v/>
      </c>
      <c r="M2952" s="396">
        <f>TIMEVALUE(MID(F2952,12,8))</f>
        <v/>
      </c>
      <c r="N2952" s="395">
        <f>DATEVALUE(LEFT(G2952,10))</f>
        <v/>
      </c>
      <c r="O2952" s="396">
        <f>TIMEVALUE(MID(G2952,12,8))</f>
        <v/>
      </c>
      <c r="P2952" s="396">
        <f>IFERROR(_xlfn.MINIFS($M:$M,$E:$E,$E2952,$K:$K,$K2952,$M:$M,"&gt;"&amp;$O2952),"")</f>
        <v/>
      </c>
      <c r="Q2952" s="396">
        <f>IF($P2952="","",$P2952-$O2952)</f>
        <v/>
      </c>
    </row>
    <row r="2953" ht="15" customHeight="1" s="231">
      <c r="A2953" s="397" t="n"/>
      <c r="B2953" s="397" t="n"/>
      <c r="C2953" s="397" t="n"/>
      <c r="D2953" s="397" t="n"/>
      <c r="E2953" s="397" t="n"/>
      <c r="F2953" s="397" t="n"/>
      <c r="G2953" s="397" t="n"/>
      <c r="I2953" s="397" t="n"/>
      <c r="J2953" s="397" t="n"/>
      <c r="K2953" s="395">
        <f>DATE(VALUE(LEFT(A2953,4)),VALUE(MID(A2953,5,2)),VALUE(RIGHT(A2953,2)))</f>
        <v/>
      </c>
      <c r="L2953" s="395">
        <f>DATEVALUE(LEFT(F2953,10))</f>
        <v/>
      </c>
      <c r="M2953" s="396">
        <f>TIMEVALUE(MID(F2953,12,8))</f>
        <v/>
      </c>
      <c r="N2953" s="395">
        <f>DATEVALUE(LEFT(G2953,10))</f>
        <v/>
      </c>
      <c r="O2953" s="396">
        <f>TIMEVALUE(MID(G2953,12,8))</f>
        <v/>
      </c>
      <c r="P2953" s="396">
        <f>IFERROR(_xlfn.MINIFS($M:$M,$E:$E,$E2953,$K:$K,$K2953,$M:$M,"&gt;"&amp;$O2953),"")</f>
        <v/>
      </c>
      <c r="Q2953" s="396">
        <f>IF($P2953="","",$P2953-$O2953)</f>
        <v/>
      </c>
    </row>
    <row r="2954" ht="15" customHeight="1" s="231">
      <c r="A2954" s="397" t="n"/>
      <c r="B2954" s="397" t="n"/>
      <c r="C2954" s="397" t="n"/>
      <c r="D2954" s="397" t="n"/>
      <c r="E2954" s="397" t="n"/>
      <c r="F2954" s="397" t="n"/>
      <c r="G2954" s="397" t="n"/>
      <c r="I2954" s="397" t="n"/>
      <c r="J2954" s="397" t="n"/>
      <c r="K2954" s="395">
        <f>DATE(VALUE(LEFT(A2954,4)),VALUE(MID(A2954,5,2)),VALUE(RIGHT(A2954,2)))</f>
        <v/>
      </c>
      <c r="L2954" s="395">
        <f>DATEVALUE(LEFT(F2954,10))</f>
        <v/>
      </c>
      <c r="M2954" s="396">
        <f>TIMEVALUE(MID(F2954,12,8))</f>
        <v/>
      </c>
      <c r="N2954" s="395">
        <f>DATEVALUE(LEFT(G2954,10))</f>
        <v/>
      </c>
      <c r="O2954" s="396">
        <f>TIMEVALUE(MID(G2954,12,8))</f>
        <v/>
      </c>
      <c r="P2954" s="396">
        <f>IFERROR(_xlfn.MINIFS($M:$M,$E:$E,$E2954,$K:$K,$K2954,$M:$M,"&gt;"&amp;$O2954),"")</f>
        <v/>
      </c>
      <c r="Q2954" s="396">
        <f>IF($P2954="","",$P2954-$O2954)</f>
        <v/>
      </c>
    </row>
    <row r="2955" ht="15" customHeight="1" s="231">
      <c r="A2955" s="397" t="n"/>
      <c r="B2955" s="397" t="n"/>
      <c r="C2955" s="397" t="n"/>
      <c r="D2955" s="397" t="n"/>
      <c r="E2955" s="397" t="n"/>
      <c r="F2955" s="397" t="n"/>
      <c r="G2955" s="397" t="n"/>
      <c r="I2955" s="397" t="n"/>
      <c r="J2955" s="397" t="n"/>
      <c r="K2955" s="395">
        <f>DATE(VALUE(LEFT(A2955,4)),VALUE(MID(A2955,5,2)),VALUE(RIGHT(A2955,2)))</f>
        <v/>
      </c>
      <c r="L2955" s="395">
        <f>DATEVALUE(LEFT(F2955,10))</f>
        <v/>
      </c>
      <c r="M2955" s="396">
        <f>TIMEVALUE(MID(F2955,12,8))</f>
        <v/>
      </c>
      <c r="N2955" s="395">
        <f>DATEVALUE(LEFT(G2955,10))</f>
        <v/>
      </c>
      <c r="O2955" s="396">
        <f>TIMEVALUE(MID(G2955,12,8))</f>
        <v/>
      </c>
      <c r="P2955" s="396">
        <f>IFERROR(_xlfn.MINIFS($M:$M,$E:$E,$E2955,$K:$K,$K2955,$M:$M,"&gt;"&amp;$O2955),"")</f>
        <v/>
      </c>
      <c r="Q2955" s="396">
        <f>IF($P2955="","",$P2955-$O2955)</f>
        <v/>
      </c>
    </row>
    <row r="2956" ht="15" customHeight="1" s="231">
      <c r="A2956" s="397" t="n"/>
      <c r="B2956" s="397" t="n"/>
      <c r="C2956" s="397" t="n"/>
      <c r="D2956" s="397" t="n"/>
      <c r="E2956" s="397" t="n"/>
      <c r="F2956" s="397" t="n"/>
      <c r="G2956" s="397" t="n"/>
      <c r="I2956" s="397" t="n"/>
      <c r="J2956" s="397" t="n"/>
      <c r="K2956" s="395">
        <f>DATE(VALUE(LEFT(A2956,4)),VALUE(MID(A2956,5,2)),VALUE(RIGHT(A2956,2)))</f>
        <v/>
      </c>
      <c r="L2956" s="395">
        <f>DATEVALUE(LEFT(F2956,10))</f>
        <v/>
      </c>
      <c r="M2956" s="396">
        <f>TIMEVALUE(MID(F2956,12,8))</f>
        <v/>
      </c>
      <c r="N2956" s="395">
        <f>DATEVALUE(LEFT(G2956,10))</f>
        <v/>
      </c>
      <c r="O2956" s="396">
        <f>TIMEVALUE(MID(G2956,12,8))</f>
        <v/>
      </c>
      <c r="P2956" s="396">
        <f>IFERROR(_xlfn.MINIFS($M:$M,$E:$E,$E2956,$K:$K,$K2956,$M:$M,"&gt;"&amp;$O2956),"")</f>
        <v/>
      </c>
      <c r="Q2956" s="396">
        <f>IF($P2956="","",$P2956-$O2956)</f>
        <v/>
      </c>
    </row>
    <row r="2957" ht="15" customHeight="1" s="231">
      <c r="A2957" s="397" t="n"/>
      <c r="B2957" s="397" t="n"/>
      <c r="C2957" s="397" t="n"/>
      <c r="D2957" s="397" t="n"/>
      <c r="E2957" s="397" t="n"/>
      <c r="F2957" s="397" t="n"/>
      <c r="G2957" s="397" t="n"/>
      <c r="I2957" s="397" t="n"/>
      <c r="J2957" s="397" t="n"/>
      <c r="K2957" s="395">
        <f>DATE(VALUE(LEFT(A2957,4)),VALUE(MID(A2957,5,2)),VALUE(RIGHT(A2957,2)))</f>
        <v/>
      </c>
      <c r="L2957" s="395">
        <f>DATEVALUE(LEFT(F2957,10))</f>
        <v/>
      </c>
      <c r="M2957" s="396">
        <f>TIMEVALUE(MID(F2957,12,8))</f>
        <v/>
      </c>
      <c r="N2957" s="395">
        <f>DATEVALUE(LEFT(G2957,10))</f>
        <v/>
      </c>
      <c r="O2957" s="396">
        <f>TIMEVALUE(MID(G2957,12,8))</f>
        <v/>
      </c>
      <c r="P2957" s="396">
        <f>IFERROR(_xlfn.MINIFS($M:$M,$E:$E,$E2957,$K:$K,$K2957,$M:$M,"&gt;"&amp;$O2957),"")</f>
        <v/>
      </c>
      <c r="Q2957" s="396">
        <f>IF($P2957="","",$P2957-$O2957)</f>
        <v/>
      </c>
    </row>
    <row r="2958" ht="15" customHeight="1" s="231">
      <c r="A2958" s="397" t="n"/>
      <c r="B2958" s="397" t="n"/>
      <c r="C2958" s="397" t="n"/>
      <c r="D2958" s="397" t="n"/>
      <c r="E2958" s="397" t="n"/>
      <c r="F2958" s="397" t="n"/>
      <c r="G2958" s="397" t="n"/>
      <c r="I2958" s="397" t="n"/>
      <c r="J2958" s="397" t="n"/>
      <c r="K2958" s="395">
        <f>DATE(VALUE(LEFT(A2958,4)),VALUE(MID(A2958,5,2)),VALUE(RIGHT(A2958,2)))</f>
        <v/>
      </c>
      <c r="L2958" s="395">
        <f>DATEVALUE(LEFT(F2958,10))</f>
        <v/>
      </c>
      <c r="M2958" s="396">
        <f>TIMEVALUE(MID(F2958,12,8))</f>
        <v/>
      </c>
      <c r="N2958" s="395">
        <f>DATEVALUE(LEFT(G2958,10))</f>
        <v/>
      </c>
      <c r="O2958" s="396">
        <f>TIMEVALUE(MID(G2958,12,8))</f>
        <v/>
      </c>
      <c r="P2958" s="396">
        <f>IFERROR(_xlfn.MINIFS($M:$M,$E:$E,$E2958,$K:$K,$K2958,$M:$M,"&gt;"&amp;$O2958),"")</f>
        <v/>
      </c>
      <c r="Q2958" s="396">
        <f>IF($P2958="","",$P2958-$O2958)</f>
        <v/>
      </c>
    </row>
    <row r="2959" ht="15" customHeight="1" s="231">
      <c r="A2959" s="397" t="n"/>
      <c r="B2959" s="397" t="n"/>
      <c r="C2959" s="397" t="n"/>
      <c r="D2959" s="397" t="n"/>
      <c r="E2959" s="397" t="n"/>
      <c r="F2959" s="397" t="n"/>
      <c r="G2959" s="397" t="n"/>
      <c r="I2959" s="397" t="n"/>
      <c r="J2959" s="397" t="n"/>
      <c r="K2959" s="395">
        <f>DATE(VALUE(LEFT(A2959,4)),VALUE(MID(A2959,5,2)),VALUE(RIGHT(A2959,2)))</f>
        <v/>
      </c>
      <c r="L2959" s="395">
        <f>DATEVALUE(LEFT(F2959,10))</f>
        <v/>
      </c>
      <c r="M2959" s="396">
        <f>TIMEVALUE(MID(F2959,12,8))</f>
        <v/>
      </c>
      <c r="N2959" s="395">
        <f>DATEVALUE(LEFT(G2959,10))</f>
        <v/>
      </c>
      <c r="O2959" s="396">
        <f>TIMEVALUE(MID(G2959,12,8))</f>
        <v/>
      </c>
      <c r="P2959" s="396">
        <f>IFERROR(_xlfn.MINIFS($M:$M,$E:$E,$E2959,$K:$K,$K2959,$M:$M,"&gt;"&amp;$O2959),"")</f>
        <v/>
      </c>
      <c r="Q2959" s="396">
        <f>IF($P2959="","",$P2959-$O2959)</f>
        <v/>
      </c>
    </row>
    <row r="2960" ht="15" customHeight="1" s="231">
      <c r="A2960" s="397" t="n"/>
      <c r="B2960" s="397" t="n"/>
      <c r="C2960" s="397" t="n"/>
      <c r="D2960" s="397" t="n"/>
      <c r="E2960" s="397" t="n"/>
      <c r="F2960" s="397" t="n"/>
      <c r="G2960" s="397" t="n"/>
      <c r="I2960" s="397" t="n"/>
      <c r="J2960" s="397" t="n"/>
      <c r="K2960" s="395">
        <f>DATE(VALUE(LEFT(A2960,4)),VALUE(MID(A2960,5,2)),VALUE(RIGHT(A2960,2)))</f>
        <v/>
      </c>
      <c r="L2960" s="395">
        <f>DATEVALUE(LEFT(F2960,10))</f>
        <v/>
      </c>
      <c r="M2960" s="396">
        <f>TIMEVALUE(MID(F2960,12,8))</f>
        <v/>
      </c>
      <c r="N2960" s="395">
        <f>DATEVALUE(LEFT(G2960,10))</f>
        <v/>
      </c>
      <c r="O2960" s="396">
        <f>TIMEVALUE(MID(G2960,12,8))</f>
        <v/>
      </c>
      <c r="P2960" s="396">
        <f>IFERROR(_xlfn.MINIFS($M:$M,$E:$E,$E2960,$K:$K,$K2960,$M:$M,"&gt;"&amp;$O2960),"")</f>
        <v/>
      </c>
      <c r="Q2960" s="396">
        <f>IF($P2960="","",$P2960-$O2960)</f>
        <v/>
      </c>
    </row>
    <row r="2961" ht="15" customHeight="1" s="231">
      <c r="A2961" s="397" t="n"/>
      <c r="B2961" s="397" t="n"/>
      <c r="C2961" s="397" t="n"/>
      <c r="D2961" s="397" t="n"/>
      <c r="E2961" s="397" t="n"/>
      <c r="F2961" s="397" t="n"/>
      <c r="G2961" s="397" t="n"/>
      <c r="I2961" s="397" t="n"/>
      <c r="J2961" s="397" t="n"/>
      <c r="K2961" s="395">
        <f>DATE(VALUE(LEFT(A2961,4)),VALUE(MID(A2961,5,2)),VALUE(RIGHT(A2961,2)))</f>
        <v/>
      </c>
      <c r="L2961" s="395">
        <f>DATEVALUE(LEFT(F2961,10))</f>
        <v/>
      </c>
      <c r="M2961" s="396">
        <f>TIMEVALUE(MID(F2961,12,8))</f>
        <v/>
      </c>
      <c r="N2961" s="395">
        <f>DATEVALUE(LEFT(G2961,10))</f>
        <v/>
      </c>
      <c r="O2961" s="396">
        <f>TIMEVALUE(MID(G2961,12,8))</f>
        <v/>
      </c>
      <c r="P2961" s="396">
        <f>IFERROR(_xlfn.MINIFS($M:$M,$E:$E,$E2961,$K:$K,$K2961,$M:$M,"&gt;"&amp;$O2961),"")</f>
        <v/>
      </c>
      <c r="Q2961" s="396">
        <f>IF($P2961="","",$P2961-$O2961)</f>
        <v/>
      </c>
    </row>
    <row r="2962" ht="15" customHeight="1" s="231">
      <c r="A2962" s="397" t="n"/>
      <c r="B2962" s="397" t="n"/>
      <c r="C2962" s="397" t="n"/>
      <c r="D2962" s="397" t="n"/>
      <c r="E2962" s="397" t="n"/>
      <c r="F2962" s="397" t="n"/>
      <c r="G2962" s="397" t="n"/>
      <c r="I2962" s="397" t="n"/>
      <c r="J2962" s="397" t="n"/>
      <c r="K2962" s="395">
        <f>DATE(VALUE(LEFT(A2962,4)),VALUE(MID(A2962,5,2)),VALUE(RIGHT(A2962,2)))</f>
        <v/>
      </c>
      <c r="L2962" s="395">
        <f>DATEVALUE(LEFT(F2962,10))</f>
        <v/>
      </c>
      <c r="M2962" s="396">
        <f>TIMEVALUE(MID(F2962,12,8))</f>
        <v/>
      </c>
      <c r="N2962" s="395">
        <f>DATEVALUE(LEFT(G2962,10))</f>
        <v/>
      </c>
      <c r="O2962" s="396">
        <f>TIMEVALUE(MID(G2962,12,8))</f>
        <v/>
      </c>
      <c r="P2962" s="396">
        <f>IFERROR(_xlfn.MINIFS($M:$M,$E:$E,$E2962,$K:$K,$K2962,$M:$M,"&gt;"&amp;$O2962),"")</f>
        <v/>
      </c>
      <c r="Q2962" s="396">
        <f>IF($P2962="","",$P2962-$O2962)</f>
        <v/>
      </c>
    </row>
    <row r="2963" ht="15" customHeight="1" s="231">
      <c r="A2963" s="397" t="n"/>
      <c r="B2963" s="397" t="n"/>
      <c r="C2963" s="397" t="n"/>
      <c r="D2963" s="397" t="n"/>
      <c r="E2963" s="397" t="n"/>
      <c r="F2963" s="397" t="n"/>
      <c r="G2963" s="397" t="n"/>
      <c r="I2963" s="397" t="n"/>
      <c r="J2963" s="397" t="n"/>
      <c r="K2963" s="395">
        <f>DATE(VALUE(LEFT(A2963,4)),VALUE(MID(A2963,5,2)),VALUE(RIGHT(A2963,2)))</f>
        <v/>
      </c>
      <c r="L2963" s="395">
        <f>DATEVALUE(LEFT(F2963,10))</f>
        <v/>
      </c>
      <c r="M2963" s="396">
        <f>TIMEVALUE(MID(F2963,12,8))</f>
        <v/>
      </c>
      <c r="N2963" s="395">
        <f>DATEVALUE(LEFT(G2963,10))</f>
        <v/>
      </c>
      <c r="O2963" s="396">
        <f>TIMEVALUE(MID(G2963,12,8))</f>
        <v/>
      </c>
      <c r="P2963" s="396">
        <f>IFERROR(_xlfn.MINIFS($M:$M,$E:$E,$E2963,$K:$K,$K2963,$M:$M,"&gt;"&amp;$O2963),"")</f>
        <v/>
      </c>
      <c r="Q2963" s="396">
        <f>IF($P2963="","",$P2963-$O2963)</f>
        <v/>
      </c>
    </row>
    <row r="2964" ht="15" customHeight="1" s="231">
      <c r="A2964" s="397" t="n"/>
      <c r="B2964" s="397" t="n"/>
      <c r="C2964" s="397" t="n"/>
      <c r="D2964" s="397" t="n"/>
      <c r="E2964" s="397" t="n"/>
      <c r="F2964" s="397" t="n"/>
      <c r="G2964" s="397" t="n"/>
      <c r="I2964" s="397" t="n"/>
      <c r="J2964" s="397" t="n"/>
      <c r="K2964" s="395">
        <f>DATE(VALUE(LEFT(A2964,4)),VALUE(MID(A2964,5,2)),VALUE(RIGHT(A2964,2)))</f>
        <v/>
      </c>
      <c r="L2964" s="395">
        <f>DATEVALUE(LEFT(F2964,10))</f>
        <v/>
      </c>
      <c r="M2964" s="396">
        <f>TIMEVALUE(MID(F2964,12,8))</f>
        <v/>
      </c>
      <c r="N2964" s="395">
        <f>DATEVALUE(LEFT(G2964,10))</f>
        <v/>
      </c>
      <c r="O2964" s="396">
        <f>TIMEVALUE(MID(G2964,12,8))</f>
        <v/>
      </c>
      <c r="P2964" s="396">
        <f>IFERROR(_xlfn.MINIFS($M:$M,$E:$E,$E2964,$K:$K,$K2964,$M:$M,"&gt;"&amp;$O2964),"")</f>
        <v/>
      </c>
      <c r="Q2964" s="396">
        <f>IF($P2964="","",$P2964-$O2964)</f>
        <v/>
      </c>
    </row>
    <row r="2965" ht="15" customHeight="1" s="231">
      <c r="A2965" s="397" t="n"/>
      <c r="B2965" s="397" t="n"/>
      <c r="C2965" s="397" t="n"/>
      <c r="D2965" s="397" t="n"/>
      <c r="E2965" s="397" t="n"/>
      <c r="F2965" s="397" t="n"/>
      <c r="G2965" s="397" t="n"/>
      <c r="I2965" s="397" t="n"/>
      <c r="J2965" s="397" t="n"/>
      <c r="K2965" s="395">
        <f>DATE(VALUE(LEFT(A2965,4)),VALUE(MID(A2965,5,2)),VALUE(RIGHT(A2965,2)))</f>
        <v/>
      </c>
      <c r="L2965" s="395">
        <f>DATEVALUE(LEFT(F2965,10))</f>
        <v/>
      </c>
      <c r="M2965" s="396">
        <f>TIMEVALUE(MID(F2965,12,8))</f>
        <v/>
      </c>
      <c r="N2965" s="395">
        <f>DATEVALUE(LEFT(G2965,10))</f>
        <v/>
      </c>
      <c r="O2965" s="396">
        <f>TIMEVALUE(MID(G2965,12,8))</f>
        <v/>
      </c>
      <c r="P2965" s="396">
        <f>IFERROR(_xlfn.MINIFS($M:$M,$E:$E,$E2965,$K:$K,$K2965,$M:$M,"&gt;"&amp;$O2965),"")</f>
        <v/>
      </c>
      <c r="Q2965" s="396">
        <f>IF($P2965="","",$P2965-$O2965)</f>
        <v/>
      </c>
    </row>
    <row r="2966" ht="15" customHeight="1" s="231">
      <c r="A2966" s="397" t="n"/>
      <c r="B2966" s="397" t="n"/>
      <c r="C2966" s="397" t="n"/>
      <c r="D2966" s="397" t="n"/>
      <c r="E2966" s="397" t="n"/>
      <c r="F2966" s="397" t="n"/>
      <c r="G2966" s="397" t="n"/>
      <c r="I2966" s="397" t="n"/>
      <c r="J2966" s="397" t="n"/>
      <c r="K2966" s="395">
        <f>DATE(VALUE(LEFT(A2966,4)),VALUE(MID(A2966,5,2)),VALUE(RIGHT(A2966,2)))</f>
        <v/>
      </c>
      <c r="L2966" s="395">
        <f>DATEVALUE(LEFT(F2966,10))</f>
        <v/>
      </c>
      <c r="M2966" s="396">
        <f>TIMEVALUE(MID(F2966,12,8))</f>
        <v/>
      </c>
      <c r="N2966" s="395">
        <f>DATEVALUE(LEFT(G2966,10))</f>
        <v/>
      </c>
      <c r="O2966" s="396">
        <f>TIMEVALUE(MID(G2966,12,8))</f>
        <v/>
      </c>
      <c r="P2966" s="396">
        <f>IFERROR(_xlfn.MINIFS($M:$M,$E:$E,$E2966,$K:$K,$K2966,$M:$M,"&gt;"&amp;$O2966),"")</f>
        <v/>
      </c>
      <c r="Q2966" s="396">
        <f>IF($P2966="","",$P2966-$O2966)</f>
        <v/>
      </c>
    </row>
    <row r="2967" ht="15" customHeight="1" s="231">
      <c r="A2967" s="397" t="n"/>
      <c r="B2967" s="397" t="n"/>
      <c r="C2967" s="397" t="n"/>
      <c r="D2967" s="397" t="n"/>
      <c r="E2967" s="397" t="n"/>
      <c r="F2967" s="397" t="n"/>
      <c r="G2967" s="397" t="n"/>
      <c r="I2967" s="397" t="n"/>
      <c r="J2967" s="397" t="n"/>
      <c r="K2967" s="395">
        <f>DATE(VALUE(LEFT(A2967,4)),VALUE(MID(A2967,5,2)),VALUE(RIGHT(A2967,2)))</f>
        <v/>
      </c>
      <c r="L2967" s="395">
        <f>DATEVALUE(LEFT(F2967,10))</f>
        <v/>
      </c>
      <c r="M2967" s="396">
        <f>TIMEVALUE(MID(F2967,12,8))</f>
        <v/>
      </c>
      <c r="N2967" s="395">
        <f>DATEVALUE(LEFT(G2967,10))</f>
        <v/>
      </c>
      <c r="O2967" s="396">
        <f>TIMEVALUE(MID(G2967,12,8))</f>
        <v/>
      </c>
      <c r="P2967" s="396">
        <f>IFERROR(_xlfn.MINIFS($M:$M,$E:$E,$E2967,$K:$K,$K2967,$M:$M,"&gt;"&amp;$O2967),"")</f>
        <v/>
      </c>
      <c r="Q2967" s="396">
        <f>IF($P2967="","",$P2967-$O2967)</f>
        <v/>
      </c>
    </row>
    <row r="2968" ht="15" customHeight="1" s="231">
      <c r="A2968" s="397" t="n"/>
      <c r="B2968" s="397" t="n"/>
      <c r="C2968" s="397" t="n"/>
      <c r="D2968" s="397" t="n"/>
      <c r="E2968" s="397" t="n"/>
      <c r="F2968" s="397" t="n"/>
      <c r="G2968" s="397" t="n"/>
      <c r="I2968" s="397" t="n"/>
      <c r="J2968" s="397" t="n"/>
      <c r="K2968" s="395">
        <f>DATE(VALUE(LEFT(A2968,4)),VALUE(MID(A2968,5,2)),VALUE(RIGHT(A2968,2)))</f>
        <v/>
      </c>
      <c r="L2968" s="395">
        <f>DATEVALUE(LEFT(F2968,10))</f>
        <v/>
      </c>
      <c r="M2968" s="396">
        <f>TIMEVALUE(MID(F2968,12,8))</f>
        <v/>
      </c>
      <c r="N2968" s="395">
        <f>DATEVALUE(LEFT(G2968,10))</f>
        <v/>
      </c>
      <c r="O2968" s="396">
        <f>TIMEVALUE(MID(G2968,12,8))</f>
        <v/>
      </c>
      <c r="P2968" s="396">
        <f>IFERROR(_xlfn.MINIFS($M:$M,$E:$E,$E2968,$K:$K,$K2968,$M:$M,"&gt;"&amp;$O2968),"")</f>
        <v/>
      </c>
      <c r="Q2968" s="396">
        <f>IF($P2968="","",$P2968-$O2968)</f>
        <v/>
      </c>
    </row>
    <row r="2969" ht="15" customHeight="1" s="231">
      <c r="A2969" s="397" t="n"/>
      <c r="B2969" s="397" t="n"/>
      <c r="C2969" s="397" t="n"/>
      <c r="D2969" s="397" t="n"/>
      <c r="E2969" s="397" t="n"/>
      <c r="F2969" s="397" t="n"/>
      <c r="G2969" s="397" t="n"/>
      <c r="I2969" s="397" t="n"/>
      <c r="J2969" s="397" t="n"/>
      <c r="K2969" s="395">
        <f>DATE(VALUE(LEFT(A2969,4)),VALUE(MID(A2969,5,2)),VALUE(RIGHT(A2969,2)))</f>
        <v/>
      </c>
      <c r="L2969" s="395">
        <f>DATEVALUE(LEFT(F2969,10))</f>
        <v/>
      </c>
      <c r="M2969" s="396">
        <f>TIMEVALUE(MID(F2969,12,8))</f>
        <v/>
      </c>
      <c r="N2969" s="395">
        <f>DATEVALUE(LEFT(G2969,10))</f>
        <v/>
      </c>
      <c r="O2969" s="396">
        <f>TIMEVALUE(MID(G2969,12,8))</f>
        <v/>
      </c>
      <c r="P2969" s="396">
        <f>IFERROR(_xlfn.MINIFS($M:$M,$E:$E,$E2969,$K:$K,$K2969,$M:$M,"&gt;"&amp;$O2969),"")</f>
        <v/>
      </c>
      <c r="Q2969" s="396">
        <f>IF($P2969="","",$P2969-$O2969)</f>
        <v/>
      </c>
    </row>
    <row r="2970" ht="15" customHeight="1" s="231">
      <c r="A2970" s="397" t="n"/>
      <c r="B2970" s="397" t="n"/>
      <c r="C2970" s="397" t="n"/>
      <c r="D2970" s="397" t="n"/>
      <c r="E2970" s="397" t="n"/>
      <c r="F2970" s="397" t="n"/>
      <c r="G2970" s="397" t="n"/>
      <c r="I2970" s="397" t="n"/>
      <c r="J2970" s="397" t="n"/>
      <c r="K2970" s="395">
        <f>DATE(VALUE(LEFT(A2970,4)),VALUE(MID(A2970,5,2)),VALUE(RIGHT(A2970,2)))</f>
        <v/>
      </c>
      <c r="L2970" s="395">
        <f>DATEVALUE(LEFT(F2970,10))</f>
        <v/>
      </c>
      <c r="M2970" s="396">
        <f>TIMEVALUE(MID(F2970,12,8))</f>
        <v/>
      </c>
      <c r="N2970" s="395">
        <f>DATEVALUE(LEFT(G2970,10))</f>
        <v/>
      </c>
      <c r="O2970" s="396">
        <f>TIMEVALUE(MID(G2970,12,8))</f>
        <v/>
      </c>
      <c r="P2970" s="396">
        <f>IFERROR(_xlfn.MINIFS($M:$M,$E:$E,$E2970,$K:$K,$K2970,$M:$M,"&gt;"&amp;$O2970),"")</f>
        <v/>
      </c>
      <c r="Q2970" s="396">
        <f>IF($P2970="","",$P2970-$O2970)</f>
        <v/>
      </c>
    </row>
    <row r="2971" ht="15" customHeight="1" s="231">
      <c r="A2971" s="397" t="n"/>
      <c r="B2971" s="397" t="n"/>
      <c r="C2971" s="397" t="n"/>
      <c r="D2971" s="397" t="n"/>
      <c r="E2971" s="397" t="n"/>
      <c r="F2971" s="397" t="n"/>
      <c r="G2971" s="397" t="n"/>
      <c r="I2971" s="397" t="n"/>
      <c r="J2971" s="397" t="n"/>
      <c r="K2971" s="395">
        <f>DATE(VALUE(LEFT(A2971,4)),VALUE(MID(A2971,5,2)),VALUE(RIGHT(A2971,2)))</f>
        <v/>
      </c>
      <c r="L2971" s="395">
        <f>DATEVALUE(LEFT(F2971,10))</f>
        <v/>
      </c>
      <c r="M2971" s="396">
        <f>TIMEVALUE(MID(F2971,12,8))</f>
        <v/>
      </c>
      <c r="N2971" s="395">
        <f>DATEVALUE(LEFT(G2971,10))</f>
        <v/>
      </c>
      <c r="O2971" s="396">
        <f>TIMEVALUE(MID(G2971,12,8))</f>
        <v/>
      </c>
      <c r="P2971" s="396">
        <f>IFERROR(_xlfn.MINIFS($M:$M,$E:$E,$E2971,$K:$K,$K2971,$M:$M,"&gt;"&amp;$O2971),"")</f>
        <v/>
      </c>
      <c r="Q2971" s="396">
        <f>IF($P2971="","",$P2971-$O2971)</f>
        <v/>
      </c>
    </row>
    <row r="2972" ht="15" customHeight="1" s="231">
      <c r="A2972" s="397" t="n"/>
      <c r="B2972" s="397" t="n"/>
      <c r="C2972" s="397" t="n"/>
      <c r="D2972" s="397" t="n"/>
      <c r="E2972" s="397" t="n"/>
      <c r="F2972" s="397" t="n"/>
      <c r="G2972" s="397" t="n"/>
      <c r="I2972" s="397" t="n"/>
      <c r="J2972" s="397" t="n"/>
      <c r="K2972" s="395">
        <f>DATE(VALUE(LEFT(A2972,4)),VALUE(MID(A2972,5,2)),VALUE(RIGHT(A2972,2)))</f>
        <v/>
      </c>
      <c r="L2972" s="395">
        <f>DATEVALUE(LEFT(F2972,10))</f>
        <v/>
      </c>
      <c r="M2972" s="396">
        <f>TIMEVALUE(MID(F2972,12,8))</f>
        <v/>
      </c>
      <c r="N2972" s="395">
        <f>DATEVALUE(LEFT(G2972,10))</f>
        <v/>
      </c>
      <c r="O2972" s="396">
        <f>TIMEVALUE(MID(G2972,12,8))</f>
        <v/>
      </c>
      <c r="P2972" s="396">
        <f>IFERROR(_xlfn.MINIFS($M:$M,$E:$E,$E2972,$K:$K,$K2972,$M:$M,"&gt;"&amp;$O2972),"")</f>
        <v/>
      </c>
      <c r="Q2972" s="396">
        <f>IF($P2972="","",$P2972-$O2972)</f>
        <v/>
      </c>
    </row>
    <row r="2973" ht="15" customHeight="1" s="231">
      <c r="A2973" s="397" t="n"/>
      <c r="B2973" s="397" t="n"/>
      <c r="C2973" s="397" t="n"/>
      <c r="D2973" s="397" t="n"/>
      <c r="E2973" s="397" t="n"/>
      <c r="F2973" s="397" t="n"/>
      <c r="G2973" s="397" t="n"/>
      <c r="I2973" s="397" t="n"/>
      <c r="J2973" s="397" t="n"/>
      <c r="K2973" s="395">
        <f>DATE(VALUE(LEFT(A2973,4)),VALUE(MID(A2973,5,2)),VALUE(RIGHT(A2973,2)))</f>
        <v/>
      </c>
      <c r="L2973" s="395">
        <f>DATEVALUE(LEFT(F2973,10))</f>
        <v/>
      </c>
      <c r="M2973" s="396">
        <f>TIMEVALUE(MID(F2973,12,8))</f>
        <v/>
      </c>
      <c r="N2973" s="395">
        <f>DATEVALUE(LEFT(G2973,10))</f>
        <v/>
      </c>
      <c r="O2973" s="396">
        <f>TIMEVALUE(MID(G2973,12,8))</f>
        <v/>
      </c>
      <c r="P2973" s="396">
        <f>IFERROR(_xlfn.MINIFS($M:$M,$E:$E,$E2973,$K:$K,$K2973,$M:$M,"&gt;"&amp;$O2973),"")</f>
        <v/>
      </c>
      <c r="Q2973" s="396">
        <f>IF($P2973="","",$P2973-$O2973)</f>
        <v/>
      </c>
    </row>
    <row r="2974" ht="15" customHeight="1" s="231">
      <c r="A2974" s="397" t="n"/>
      <c r="B2974" s="397" t="n"/>
      <c r="C2974" s="397" t="n"/>
      <c r="D2974" s="397" t="n"/>
      <c r="E2974" s="397" t="n"/>
      <c r="F2974" s="397" t="n"/>
      <c r="G2974" s="397" t="n"/>
      <c r="I2974" s="397" t="n"/>
      <c r="J2974" s="397" t="n"/>
      <c r="K2974" s="395">
        <f>DATE(VALUE(LEFT(A2974,4)),VALUE(MID(A2974,5,2)),VALUE(RIGHT(A2974,2)))</f>
        <v/>
      </c>
      <c r="L2974" s="395">
        <f>DATEVALUE(LEFT(F2974,10))</f>
        <v/>
      </c>
      <c r="M2974" s="396">
        <f>TIMEVALUE(MID(F2974,12,8))</f>
        <v/>
      </c>
      <c r="N2974" s="395">
        <f>DATEVALUE(LEFT(G2974,10))</f>
        <v/>
      </c>
      <c r="O2974" s="396">
        <f>TIMEVALUE(MID(G2974,12,8))</f>
        <v/>
      </c>
      <c r="P2974" s="396">
        <f>IFERROR(_xlfn.MINIFS($M:$M,$E:$E,$E2974,$K:$K,$K2974,$M:$M,"&gt;"&amp;$O2974),"")</f>
        <v/>
      </c>
      <c r="Q2974" s="396">
        <f>IF($P2974="","",$P2974-$O2974)</f>
        <v/>
      </c>
    </row>
    <row r="2975" ht="15" customHeight="1" s="231">
      <c r="A2975" s="397" t="n"/>
      <c r="B2975" s="397" t="n"/>
      <c r="C2975" s="397" t="n"/>
      <c r="D2975" s="397" t="n"/>
      <c r="E2975" s="397" t="n"/>
      <c r="F2975" s="397" t="n"/>
      <c r="G2975" s="397" t="n"/>
      <c r="I2975" s="397" t="n"/>
      <c r="J2975" s="397" t="n"/>
      <c r="K2975" s="395">
        <f>DATE(VALUE(LEFT(A2975,4)),VALUE(MID(A2975,5,2)),VALUE(RIGHT(A2975,2)))</f>
        <v/>
      </c>
      <c r="L2975" s="395">
        <f>DATEVALUE(LEFT(F2975,10))</f>
        <v/>
      </c>
      <c r="M2975" s="396">
        <f>TIMEVALUE(MID(F2975,12,8))</f>
        <v/>
      </c>
      <c r="N2975" s="395">
        <f>DATEVALUE(LEFT(G2975,10))</f>
        <v/>
      </c>
      <c r="O2975" s="396">
        <f>TIMEVALUE(MID(G2975,12,8))</f>
        <v/>
      </c>
      <c r="P2975" s="396">
        <f>IFERROR(_xlfn.MINIFS($M:$M,$E:$E,$E2975,$K:$K,$K2975,$M:$M,"&gt;"&amp;$O2975),"")</f>
        <v/>
      </c>
      <c r="Q2975" s="396">
        <f>IF($P2975="","",$P2975-$O2975)</f>
        <v/>
      </c>
    </row>
    <row r="2976" ht="15" customHeight="1" s="231">
      <c r="A2976" s="397" t="n"/>
      <c r="B2976" s="397" t="n"/>
      <c r="C2976" s="397" t="n"/>
      <c r="D2976" s="397" t="n"/>
      <c r="E2976" s="397" t="n"/>
      <c r="F2976" s="397" t="n"/>
      <c r="G2976" s="397" t="n"/>
      <c r="I2976" s="397" t="n"/>
      <c r="J2976" s="397" t="n"/>
      <c r="K2976" s="395">
        <f>DATE(VALUE(LEFT(A2976,4)),VALUE(MID(A2976,5,2)),VALUE(RIGHT(A2976,2)))</f>
        <v/>
      </c>
      <c r="L2976" s="395">
        <f>DATEVALUE(LEFT(F2976,10))</f>
        <v/>
      </c>
      <c r="M2976" s="396">
        <f>TIMEVALUE(MID(F2976,12,8))</f>
        <v/>
      </c>
      <c r="N2976" s="395">
        <f>DATEVALUE(LEFT(G2976,10))</f>
        <v/>
      </c>
      <c r="O2976" s="396">
        <f>TIMEVALUE(MID(G2976,12,8))</f>
        <v/>
      </c>
      <c r="P2976" s="396">
        <f>IFERROR(_xlfn.MINIFS($M:$M,$E:$E,$E2976,$K:$K,$K2976,$M:$M,"&gt;"&amp;$O2976),"")</f>
        <v/>
      </c>
      <c r="Q2976" s="396">
        <f>IF($P2976="","",$P2976-$O2976)</f>
        <v/>
      </c>
    </row>
    <row r="2977" ht="15" customHeight="1" s="231">
      <c r="A2977" s="397" t="n"/>
      <c r="B2977" s="397" t="n"/>
      <c r="C2977" s="397" t="n"/>
      <c r="D2977" s="397" t="n"/>
      <c r="E2977" s="397" t="n"/>
      <c r="F2977" s="397" t="n"/>
      <c r="G2977" s="397" t="n"/>
      <c r="I2977" s="397" t="n"/>
      <c r="J2977" s="397" t="n"/>
      <c r="K2977" s="395">
        <f>DATE(VALUE(LEFT(A2977,4)),VALUE(MID(A2977,5,2)),VALUE(RIGHT(A2977,2)))</f>
        <v/>
      </c>
      <c r="L2977" s="395">
        <f>DATEVALUE(LEFT(F2977,10))</f>
        <v/>
      </c>
      <c r="M2977" s="396">
        <f>TIMEVALUE(MID(F2977,12,8))</f>
        <v/>
      </c>
      <c r="N2977" s="395">
        <f>DATEVALUE(LEFT(G2977,10))</f>
        <v/>
      </c>
      <c r="O2977" s="396">
        <f>TIMEVALUE(MID(G2977,12,8))</f>
        <v/>
      </c>
      <c r="P2977" s="396">
        <f>IFERROR(_xlfn.MINIFS($M:$M,$E:$E,$E2977,$K:$K,$K2977,$M:$M,"&gt;"&amp;$O2977),"")</f>
        <v/>
      </c>
      <c r="Q2977" s="396">
        <f>IF($P2977="","",$P2977-$O2977)</f>
        <v/>
      </c>
    </row>
    <row r="2978" ht="15" customHeight="1" s="231">
      <c r="A2978" s="397" t="n"/>
      <c r="B2978" s="397" t="n"/>
      <c r="C2978" s="397" t="n"/>
      <c r="D2978" s="397" t="n"/>
      <c r="E2978" s="397" t="n"/>
      <c r="F2978" s="397" t="n"/>
      <c r="G2978" s="397" t="n"/>
      <c r="I2978" s="397" t="n"/>
      <c r="J2978" s="397" t="n"/>
      <c r="K2978" s="395">
        <f>DATE(VALUE(LEFT(A2978,4)),VALUE(MID(A2978,5,2)),VALUE(RIGHT(A2978,2)))</f>
        <v/>
      </c>
      <c r="L2978" s="395">
        <f>DATEVALUE(LEFT(F2978,10))</f>
        <v/>
      </c>
      <c r="M2978" s="396">
        <f>TIMEVALUE(MID(F2978,12,8))</f>
        <v/>
      </c>
      <c r="N2978" s="395">
        <f>DATEVALUE(LEFT(G2978,10))</f>
        <v/>
      </c>
      <c r="O2978" s="396">
        <f>TIMEVALUE(MID(G2978,12,8))</f>
        <v/>
      </c>
      <c r="P2978" s="396">
        <f>IFERROR(_xlfn.MINIFS($M:$M,$E:$E,$E2978,$K:$K,$K2978,$M:$M,"&gt;"&amp;$O2978),"")</f>
        <v/>
      </c>
      <c r="Q2978" s="396">
        <f>IF($P2978="","",$P2978-$O2978)</f>
        <v/>
      </c>
    </row>
    <row r="2979" ht="15" customHeight="1" s="231">
      <c r="A2979" s="397" t="n"/>
      <c r="B2979" s="397" t="n"/>
      <c r="C2979" s="397" t="n"/>
      <c r="D2979" s="397" t="n"/>
      <c r="E2979" s="397" t="n"/>
      <c r="F2979" s="397" t="n"/>
      <c r="G2979" s="397" t="n"/>
      <c r="I2979" s="397" t="n"/>
      <c r="J2979" s="397" t="n"/>
      <c r="K2979" s="395">
        <f>DATE(VALUE(LEFT(A2979,4)),VALUE(MID(A2979,5,2)),VALUE(RIGHT(A2979,2)))</f>
        <v/>
      </c>
      <c r="L2979" s="395">
        <f>DATEVALUE(LEFT(F2979,10))</f>
        <v/>
      </c>
      <c r="M2979" s="396">
        <f>TIMEVALUE(MID(F2979,12,8))</f>
        <v/>
      </c>
      <c r="N2979" s="395">
        <f>DATEVALUE(LEFT(G2979,10))</f>
        <v/>
      </c>
      <c r="O2979" s="396">
        <f>TIMEVALUE(MID(G2979,12,8))</f>
        <v/>
      </c>
      <c r="P2979" s="396">
        <f>IFERROR(_xlfn.MINIFS($M:$M,$E:$E,$E2979,$K:$K,$K2979,$M:$M,"&gt;"&amp;$O2979),"")</f>
        <v/>
      </c>
      <c r="Q2979" s="396">
        <f>IF($P2979="","",$P2979-$O2979)</f>
        <v/>
      </c>
    </row>
    <row r="2980" ht="15" customHeight="1" s="231">
      <c r="A2980" s="397" t="n"/>
      <c r="B2980" s="397" t="n"/>
      <c r="C2980" s="397" t="n"/>
      <c r="D2980" s="397" t="n"/>
      <c r="E2980" s="397" t="n"/>
      <c r="F2980" s="397" t="n"/>
      <c r="G2980" s="397" t="n"/>
      <c r="I2980" s="397" t="n"/>
      <c r="J2980" s="397" t="n"/>
      <c r="K2980" s="395">
        <f>DATE(VALUE(LEFT(A2980,4)),VALUE(MID(A2980,5,2)),VALUE(RIGHT(A2980,2)))</f>
        <v/>
      </c>
      <c r="L2980" s="395">
        <f>DATEVALUE(LEFT(F2980,10))</f>
        <v/>
      </c>
      <c r="M2980" s="396">
        <f>TIMEVALUE(MID(F2980,12,8))</f>
        <v/>
      </c>
      <c r="N2980" s="395">
        <f>DATEVALUE(LEFT(G2980,10))</f>
        <v/>
      </c>
      <c r="O2980" s="396">
        <f>TIMEVALUE(MID(G2980,12,8))</f>
        <v/>
      </c>
      <c r="P2980" s="396">
        <f>IFERROR(_xlfn.MINIFS($M:$M,$E:$E,$E2980,$K:$K,$K2980,$M:$M,"&gt;"&amp;$O2980),"")</f>
        <v/>
      </c>
      <c r="Q2980" s="396">
        <f>IF($P2980="","",$P2980-$O2980)</f>
        <v/>
      </c>
    </row>
    <row r="2981" ht="15" customHeight="1" s="231">
      <c r="A2981" s="397" t="n"/>
      <c r="B2981" s="397" t="n"/>
      <c r="C2981" s="397" t="n"/>
      <c r="D2981" s="397" t="n"/>
      <c r="E2981" s="397" t="n"/>
      <c r="F2981" s="397" t="n"/>
      <c r="G2981" s="397" t="n"/>
      <c r="I2981" s="397" t="n"/>
      <c r="J2981" s="397" t="n"/>
      <c r="K2981" s="395">
        <f>DATE(VALUE(LEFT(A2981,4)),VALUE(MID(A2981,5,2)),VALUE(RIGHT(A2981,2)))</f>
        <v/>
      </c>
      <c r="L2981" s="395">
        <f>DATEVALUE(LEFT(F2981,10))</f>
        <v/>
      </c>
      <c r="M2981" s="396">
        <f>TIMEVALUE(MID(F2981,12,8))</f>
        <v/>
      </c>
      <c r="N2981" s="395">
        <f>DATEVALUE(LEFT(G2981,10))</f>
        <v/>
      </c>
      <c r="O2981" s="396">
        <f>TIMEVALUE(MID(G2981,12,8))</f>
        <v/>
      </c>
      <c r="P2981" s="396">
        <f>IFERROR(_xlfn.MINIFS($M:$M,$E:$E,$E2981,$K:$K,$K2981,$M:$M,"&gt;"&amp;$O2981),"")</f>
        <v/>
      </c>
      <c r="Q2981" s="396">
        <f>IF($P2981="","",$P2981-$O2981)</f>
        <v/>
      </c>
    </row>
    <row r="2982" ht="15" customHeight="1" s="231">
      <c r="A2982" s="397" t="n"/>
      <c r="B2982" s="397" t="n"/>
      <c r="C2982" s="397" t="n"/>
      <c r="D2982" s="397" t="n"/>
      <c r="E2982" s="397" t="n"/>
      <c r="F2982" s="397" t="n"/>
      <c r="G2982" s="397" t="n"/>
      <c r="I2982" s="397" t="n"/>
      <c r="J2982" s="397" t="n"/>
      <c r="K2982" s="395">
        <f>DATE(VALUE(LEFT(A2982,4)),VALUE(MID(A2982,5,2)),VALUE(RIGHT(A2982,2)))</f>
        <v/>
      </c>
      <c r="L2982" s="395">
        <f>DATEVALUE(LEFT(F2982,10))</f>
        <v/>
      </c>
      <c r="M2982" s="396">
        <f>TIMEVALUE(MID(F2982,12,8))</f>
        <v/>
      </c>
      <c r="N2982" s="395">
        <f>DATEVALUE(LEFT(G2982,10))</f>
        <v/>
      </c>
      <c r="O2982" s="396">
        <f>TIMEVALUE(MID(G2982,12,8))</f>
        <v/>
      </c>
      <c r="P2982" s="396">
        <f>IFERROR(_xlfn.MINIFS($M:$M,$E:$E,$E2982,$K:$K,$K2982,$M:$M,"&gt;"&amp;$O2982),"")</f>
        <v/>
      </c>
      <c r="Q2982" s="396">
        <f>IF($P2982="","",$P2982-$O2982)</f>
        <v/>
      </c>
    </row>
    <row r="2983" ht="15" customHeight="1" s="231">
      <c r="A2983" s="397" t="n"/>
      <c r="B2983" s="397" t="n"/>
      <c r="C2983" s="397" t="n"/>
      <c r="D2983" s="397" t="n"/>
      <c r="E2983" s="397" t="n"/>
      <c r="F2983" s="397" t="n"/>
      <c r="G2983" s="397" t="n"/>
      <c r="I2983" s="397" t="n"/>
      <c r="J2983" s="397" t="n"/>
      <c r="K2983" s="395">
        <f>DATE(VALUE(LEFT(A2983,4)),VALUE(MID(A2983,5,2)),VALUE(RIGHT(A2983,2)))</f>
        <v/>
      </c>
      <c r="L2983" s="395">
        <f>DATEVALUE(LEFT(F2983,10))</f>
        <v/>
      </c>
      <c r="M2983" s="396">
        <f>TIMEVALUE(MID(F2983,12,8))</f>
        <v/>
      </c>
      <c r="N2983" s="395">
        <f>DATEVALUE(LEFT(G2983,10))</f>
        <v/>
      </c>
      <c r="O2983" s="396">
        <f>TIMEVALUE(MID(G2983,12,8))</f>
        <v/>
      </c>
      <c r="P2983" s="396">
        <f>IFERROR(_xlfn.MINIFS($M:$M,$E:$E,$E2983,$K:$K,$K2983,$M:$M,"&gt;"&amp;$O2983),"")</f>
        <v/>
      </c>
      <c r="Q2983" s="396">
        <f>IF($P2983="","",$P2983-$O2983)</f>
        <v/>
      </c>
    </row>
    <row r="2984" ht="15" customHeight="1" s="231">
      <c r="A2984" s="397" t="n"/>
      <c r="B2984" s="397" t="n"/>
      <c r="C2984" s="397" t="n"/>
      <c r="D2984" s="397" t="n"/>
      <c r="E2984" s="397" t="n"/>
      <c r="F2984" s="397" t="n"/>
      <c r="G2984" s="397" t="n"/>
      <c r="I2984" s="397" t="n"/>
      <c r="J2984" s="397" t="n"/>
      <c r="K2984" s="395">
        <f>DATE(VALUE(LEFT(A2984,4)),VALUE(MID(A2984,5,2)),VALUE(RIGHT(A2984,2)))</f>
        <v/>
      </c>
      <c r="L2984" s="395">
        <f>DATEVALUE(LEFT(F2984,10))</f>
        <v/>
      </c>
      <c r="M2984" s="396">
        <f>TIMEVALUE(MID(F2984,12,8))</f>
        <v/>
      </c>
      <c r="N2984" s="395">
        <f>DATEVALUE(LEFT(G2984,10))</f>
        <v/>
      </c>
      <c r="O2984" s="396">
        <f>TIMEVALUE(MID(G2984,12,8))</f>
        <v/>
      </c>
      <c r="P2984" s="396">
        <f>IFERROR(_xlfn.MINIFS($M:$M,$E:$E,$E2984,$K:$K,$K2984,$M:$M,"&gt;"&amp;$O2984),"")</f>
        <v/>
      </c>
      <c r="Q2984" s="396">
        <f>IF($P2984="","",$P2984-$O2984)</f>
        <v/>
      </c>
    </row>
    <row r="2985" ht="15" customHeight="1" s="231">
      <c r="A2985" s="397" t="n"/>
      <c r="B2985" s="397" t="n"/>
      <c r="C2985" s="397" t="n"/>
      <c r="D2985" s="397" t="n"/>
      <c r="E2985" s="397" t="n"/>
      <c r="F2985" s="397" t="n"/>
      <c r="G2985" s="397" t="n"/>
      <c r="I2985" s="397" t="n"/>
      <c r="J2985" s="397" t="n"/>
      <c r="K2985" s="395">
        <f>DATE(VALUE(LEFT(A2985,4)),VALUE(MID(A2985,5,2)),VALUE(RIGHT(A2985,2)))</f>
        <v/>
      </c>
      <c r="L2985" s="395">
        <f>DATEVALUE(LEFT(F2985,10))</f>
        <v/>
      </c>
      <c r="M2985" s="396">
        <f>TIMEVALUE(MID(F2985,12,8))</f>
        <v/>
      </c>
      <c r="N2985" s="395">
        <f>DATEVALUE(LEFT(G2985,10))</f>
        <v/>
      </c>
      <c r="O2985" s="396">
        <f>TIMEVALUE(MID(G2985,12,8))</f>
        <v/>
      </c>
      <c r="P2985" s="396">
        <f>IFERROR(_xlfn.MINIFS($M:$M,$E:$E,$E2985,$K:$K,$K2985,$M:$M,"&gt;"&amp;$O2985),"")</f>
        <v/>
      </c>
      <c r="Q2985" s="396">
        <f>IF($P2985="","",$P2985-$O2985)</f>
        <v/>
      </c>
    </row>
    <row r="2986" ht="15" customHeight="1" s="231">
      <c r="A2986" s="397" t="n"/>
      <c r="B2986" s="397" t="n"/>
      <c r="C2986" s="397" t="n"/>
      <c r="D2986" s="397" t="n"/>
      <c r="E2986" s="397" t="n"/>
      <c r="F2986" s="397" t="n"/>
      <c r="G2986" s="397" t="n"/>
      <c r="I2986" s="397" t="n"/>
      <c r="J2986" s="397" t="n"/>
      <c r="K2986" s="395">
        <f>DATE(VALUE(LEFT(A2986,4)),VALUE(MID(A2986,5,2)),VALUE(RIGHT(A2986,2)))</f>
        <v/>
      </c>
      <c r="L2986" s="395">
        <f>DATEVALUE(LEFT(F2986,10))</f>
        <v/>
      </c>
      <c r="M2986" s="396">
        <f>TIMEVALUE(MID(F2986,12,8))</f>
        <v/>
      </c>
      <c r="N2986" s="395">
        <f>DATEVALUE(LEFT(G2986,10))</f>
        <v/>
      </c>
      <c r="O2986" s="396">
        <f>TIMEVALUE(MID(G2986,12,8))</f>
        <v/>
      </c>
      <c r="P2986" s="396">
        <f>IFERROR(_xlfn.MINIFS($M:$M,$E:$E,$E2986,$K:$K,$K2986,$M:$M,"&gt;"&amp;$O2986),"")</f>
        <v/>
      </c>
      <c r="Q2986" s="396">
        <f>IF($P2986="","",$P2986-$O2986)</f>
        <v/>
      </c>
    </row>
    <row r="2987" ht="15" customHeight="1" s="231">
      <c r="A2987" s="397" t="n"/>
      <c r="B2987" s="397" t="n"/>
      <c r="C2987" s="397" t="n"/>
      <c r="D2987" s="397" t="n"/>
      <c r="E2987" s="397" t="n"/>
      <c r="F2987" s="397" t="n"/>
      <c r="G2987" s="397" t="n"/>
      <c r="I2987" s="397" t="n"/>
      <c r="J2987" s="397" t="n"/>
      <c r="K2987" s="395">
        <f>DATE(VALUE(LEFT(A2987,4)),VALUE(MID(A2987,5,2)),VALUE(RIGHT(A2987,2)))</f>
        <v/>
      </c>
      <c r="L2987" s="395">
        <f>DATEVALUE(LEFT(F2987,10))</f>
        <v/>
      </c>
      <c r="M2987" s="396">
        <f>TIMEVALUE(MID(F2987,12,8))</f>
        <v/>
      </c>
      <c r="N2987" s="395">
        <f>DATEVALUE(LEFT(G2987,10))</f>
        <v/>
      </c>
      <c r="O2987" s="396">
        <f>TIMEVALUE(MID(G2987,12,8))</f>
        <v/>
      </c>
      <c r="P2987" s="396">
        <f>IFERROR(_xlfn.MINIFS($M:$M,$E:$E,$E2987,$K:$K,$K2987,$M:$M,"&gt;"&amp;$O2987),"")</f>
        <v/>
      </c>
      <c r="Q2987" s="396">
        <f>IF($P2987="","",$P2987-$O2987)</f>
        <v/>
      </c>
    </row>
    <row r="2988" ht="15" customHeight="1" s="231">
      <c r="A2988" s="397" t="n"/>
      <c r="B2988" s="397" t="n"/>
      <c r="C2988" s="397" t="n"/>
      <c r="D2988" s="397" t="n"/>
      <c r="E2988" s="397" t="n"/>
      <c r="F2988" s="397" t="n"/>
      <c r="G2988" s="397" t="n"/>
      <c r="I2988" s="397" t="n"/>
      <c r="J2988" s="397" t="n"/>
      <c r="K2988" s="395">
        <f>DATE(VALUE(LEFT(A2988,4)),VALUE(MID(A2988,5,2)),VALUE(RIGHT(A2988,2)))</f>
        <v/>
      </c>
      <c r="L2988" s="395">
        <f>DATEVALUE(LEFT(F2988,10))</f>
        <v/>
      </c>
      <c r="M2988" s="396">
        <f>TIMEVALUE(MID(F2988,12,8))</f>
        <v/>
      </c>
      <c r="N2988" s="395">
        <f>DATEVALUE(LEFT(G2988,10))</f>
        <v/>
      </c>
      <c r="O2988" s="396">
        <f>TIMEVALUE(MID(G2988,12,8))</f>
        <v/>
      </c>
      <c r="P2988" s="396">
        <f>IFERROR(_xlfn.MINIFS($M:$M,$E:$E,$E2988,$K:$K,$K2988,$M:$M,"&gt;"&amp;$O2988),"")</f>
        <v/>
      </c>
      <c r="Q2988" s="396">
        <f>IF($P2988="","",$P2988-$O2988)</f>
        <v/>
      </c>
    </row>
    <row r="2989" ht="15" customHeight="1" s="231">
      <c r="A2989" s="397" t="n"/>
      <c r="B2989" s="397" t="n"/>
      <c r="C2989" s="397" t="n"/>
      <c r="D2989" s="397" t="n"/>
      <c r="E2989" s="397" t="n"/>
      <c r="F2989" s="397" t="n"/>
      <c r="G2989" s="397" t="n"/>
      <c r="I2989" s="397" t="n"/>
      <c r="J2989" s="397" t="n"/>
      <c r="K2989" s="395">
        <f>DATE(VALUE(LEFT(A2989,4)),VALUE(MID(A2989,5,2)),VALUE(RIGHT(A2989,2)))</f>
        <v/>
      </c>
      <c r="L2989" s="395">
        <f>DATEVALUE(LEFT(F2989,10))</f>
        <v/>
      </c>
      <c r="M2989" s="396">
        <f>TIMEVALUE(MID(F2989,12,8))</f>
        <v/>
      </c>
      <c r="N2989" s="395">
        <f>DATEVALUE(LEFT(G2989,10))</f>
        <v/>
      </c>
      <c r="O2989" s="396">
        <f>TIMEVALUE(MID(G2989,12,8))</f>
        <v/>
      </c>
      <c r="P2989" s="396">
        <f>IFERROR(_xlfn.MINIFS($M:$M,$E:$E,$E2989,$K:$K,$K2989,$M:$M,"&gt;"&amp;$O2989),"")</f>
        <v/>
      </c>
      <c r="Q2989" s="396">
        <f>IF($P2989="","",$P2989-$O2989)</f>
        <v/>
      </c>
    </row>
    <row r="2990" ht="15" customHeight="1" s="231">
      <c r="A2990" s="397" t="n"/>
      <c r="B2990" s="397" t="n"/>
      <c r="C2990" s="397" t="n"/>
      <c r="D2990" s="397" t="n"/>
      <c r="E2990" s="397" t="n"/>
      <c r="F2990" s="397" t="n"/>
      <c r="G2990" s="397" t="n"/>
      <c r="I2990" s="397" t="n"/>
      <c r="J2990" s="397" t="n"/>
      <c r="K2990" s="395">
        <f>DATE(VALUE(LEFT(A2990,4)),VALUE(MID(A2990,5,2)),VALUE(RIGHT(A2990,2)))</f>
        <v/>
      </c>
      <c r="L2990" s="395">
        <f>DATEVALUE(LEFT(F2990,10))</f>
        <v/>
      </c>
      <c r="M2990" s="396">
        <f>TIMEVALUE(MID(F2990,12,8))</f>
        <v/>
      </c>
      <c r="N2990" s="395">
        <f>DATEVALUE(LEFT(G2990,10))</f>
        <v/>
      </c>
      <c r="O2990" s="396">
        <f>TIMEVALUE(MID(G2990,12,8))</f>
        <v/>
      </c>
      <c r="P2990" s="396">
        <f>IFERROR(_xlfn.MINIFS($M:$M,$E:$E,$E2990,$K:$K,$K2990,$M:$M,"&gt;"&amp;$O2990),"")</f>
        <v/>
      </c>
      <c r="Q2990" s="396">
        <f>IF($P2990="","",$P2990-$O2990)</f>
        <v/>
      </c>
    </row>
    <row r="2991" ht="15" customHeight="1" s="231">
      <c r="A2991" s="397" t="n"/>
      <c r="B2991" s="397" t="n"/>
      <c r="C2991" s="397" t="n"/>
      <c r="D2991" s="397" t="n"/>
      <c r="E2991" s="397" t="n"/>
      <c r="F2991" s="397" t="n"/>
      <c r="G2991" s="397" t="n"/>
      <c r="I2991" s="397" t="n"/>
      <c r="J2991" s="397" t="n"/>
      <c r="K2991" s="395">
        <f>DATE(VALUE(LEFT(A2991,4)),VALUE(MID(A2991,5,2)),VALUE(RIGHT(A2991,2)))</f>
        <v/>
      </c>
      <c r="L2991" s="395">
        <f>DATEVALUE(LEFT(F2991,10))</f>
        <v/>
      </c>
      <c r="M2991" s="396">
        <f>TIMEVALUE(MID(F2991,12,8))</f>
        <v/>
      </c>
      <c r="N2991" s="395">
        <f>DATEVALUE(LEFT(G2991,10))</f>
        <v/>
      </c>
      <c r="O2991" s="396">
        <f>TIMEVALUE(MID(G2991,12,8))</f>
        <v/>
      </c>
      <c r="P2991" s="396">
        <f>IFERROR(_xlfn.MINIFS($M:$M,$E:$E,$E2991,$K:$K,$K2991,$M:$M,"&gt;"&amp;$O2991),"")</f>
        <v/>
      </c>
      <c r="Q2991" s="396">
        <f>IF($P2991="","",$P2991-$O2991)</f>
        <v/>
      </c>
    </row>
    <row r="2992" ht="15" customHeight="1" s="231">
      <c r="A2992" s="397" t="n"/>
      <c r="B2992" s="397" t="n"/>
      <c r="C2992" s="397" t="n"/>
      <c r="D2992" s="397" t="n"/>
      <c r="E2992" s="397" t="n"/>
      <c r="F2992" s="397" t="n"/>
      <c r="G2992" s="397" t="n"/>
      <c r="I2992" s="397" t="n"/>
      <c r="J2992" s="397" t="n"/>
      <c r="K2992" s="395">
        <f>DATE(VALUE(LEFT(A2992,4)),VALUE(MID(A2992,5,2)),VALUE(RIGHT(A2992,2)))</f>
        <v/>
      </c>
      <c r="L2992" s="395">
        <f>DATEVALUE(LEFT(F2992,10))</f>
        <v/>
      </c>
      <c r="M2992" s="396">
        <f>TIMEVALUE(MID(F2992,12,8))</f>
        <v/>
      </c>
      <c r="N2992" s="395">
        <f>DATEVALUE(LEFT(G2992,10))</f>
        <v/>
      </c>
      <c r="O2992" s="396">
        <f>TIMEVALUE(MID(G2992,12,8))</f>
        <v/>
      </c>
      <c r="P2992" s="396">
        <f>IFERROR(_xlfn.MINIFS($M:$M,$E:$E,$E2992,$K:$K,$K2992,$M:$M,"&gt;"&amp;$O2992),"")</f>
        <v/>
      </c>
      <c r="Q2992" s="396">
        <f>IF($P2992="","",$P2992-$O2992)</f>
        <v/>
      </c>
    </row>
    <row r="2993" ht="15" customHeight="1" s="231">
      <c r="A2993" s="397" t="n"/>
      <c r="B2993" s="397" t="n"/>
      <c r="C2993" s="397" t="n"/>
      <c r="D2993" s="397" t="n"/>
      <c r="E2993" s="397" t="n"/>
      <c r="F2993" s="397" t="n"/>
      <c r="G2993" s="397" t="n"/>
      <c r="I2993" s="397" t="n"/>
      <c r="J2993" s="397" t="n"/>
      <c r="K2993" s="395">
        <f>DATE(VALUE(LEFT(A2993,4)),VALUE(MID(A2993,5,2)),VALUE(RIGHT(A2993,2)))</f>
        <v/>
      </c>
      <c r="L2993" s="395">
        <f>DATEVALUE(LEFT(F2993,10))</f>
        <v/>
      </c>
      <c r="M2993" s="396">
        <f>TIMEVALUE(MID(F2993,12,8))</f>
        <v/>
      </c>
      <c r="N2993" s="395">
        <f>DATEVALUE(LEFT(G2993,10))</f>
        <v/>
      </c>
      <c r="O2993" s="396">
        <f>TIMEVALUE(MID(G2993,12,8))</f>
        <v/>
      </c>
      <c r="P2993" s="396">
        <f>IFERROR(_xlfn.MINIFS($M:$M,$E:$E,$E2993,$K:$K,$K2993,$M:$M,"&gt;"&amp;$O2993),"")</f>
        <v/>
      </c>
      <c r="Q2993" s="396">
        <f>IF($P2993="","",$P2993-$O2993)</f>
        <v/>
      </c>
    </row>
    <row r="2994" ht="15" customHeight="1" s="231">
      <c r="A2994" s="397" t="n"/>
      <c r="B2994" s="397" t="n"/>
      <c r="C2994" s="397" t="n"/>
      <c r="D2994" s="397" t="n"/>
      <c r="E2994" s="397" t="n"/>
      <c r="F2994" s="397" t="n"/>
      <c r="G2994" s="397" t="n"/>
      <c r="I2994" s="397" t="n"/>
      <c r="J2994" s="397" t="n"/>
      <c r="K2994" s="395">
        <f>DATE(VALUE(LEFT(A2994,4)),VALUE(MID(A2994,5,2)),VALUE(RIGHT(A2994,2)))</f>
        <v/>
      </c>
      <c r="L2994" s="395">
        <f>DATEVALUE(LEFT(F2994,10))</f>
        <v/>
      </c>
      <c r="M2994" s="396">
        <f>TIMEVALUE(MID(F2994,12,8))</f>
        <v/>
      </c>
      <c r="N2994" s="395">
        <f>DATEVALUE(LEFT(G2994,10))</f>
        <v/>
      </c>
      <c r="O2994" s="396">
        <f>TIMEVALUE(MID(G2994,12,8))</f>
        <v/>
      </c>
      <c r="P2994" s="396">
        <f>IFERROR(_xlfn.MINIFS($M:$M,$E:$E,$E2994,$K:$K,$K2994,$M:$M,"&gt;"&amp;$O2994),"")</f>
        <v/>
      </c>
      <c r="Q2994" s="396">
        <f>IF($P2994="","",$P2994-$O2994)</f>
        <v/>
      </c>
    </row>
    <row r="2995" ht="15" customHeight="1" s="231">
      <c r="A2995" s="397" t="n"/>
      <c r="B2995" s="397" t="n"/>
      <c r="C2995" s="397" t="n"/>
      <c r="D2995" s="397" t="n"/>
      <c r="E2995" s="397" t="n"/>
      <c r="F2995" s="397" t="n"/>
      <c r="G2995" s="397" t="n"/>
      <c r="I2995" s="397" t="n"/>
      <c r="J2995" s="397" t="n"/>
      <c r="K2995" s="395">
        <f>DATE(VALUE(LEFT(A2995,4)),VALUE(MID(A2995,5,2)),VALUE(RIGHT(A2995,2)))</f>
        <v/>
      </c>
      <c r="L2995" s="395">
        <f>DATEVALUE(LEFT(F2995,10))</f>
        <v/>
      </c>
      <c r="M2995" s="396">
        <f>TIMEVALUE(MID(F2995,12,8))</f>
        <v/>
      </c>
      <c r="N2995" s="395">
        <f>DATEVALUE(LEFT(G2995,10))</f>
        <v/>
      </c>
      <c r="O2995" s="396">
        <f>TIMEVALUE(MID(G2995,12,8))</f>
        <v/>
      </c>
      <c r="P2995" s="396">
        <f>IFERROR(_xlfn.MINIFS($M:$M,$E:$E,$E2995,$K:$K,$K2995,$M:$M,"&gt;"&amp;$O2995),"")</f>
        <v/>
      </c>
      <c r="Q2995" s="396">
        <f>IF($P2995="","",$P2995-$O2995)</f>
        <v/>
      </c>
    </row>
    <row r="2996" ht="15" customHeight="1" s="231">
      <c r="A2996" s="397" t="n"/>
      <c r="B2996" s="397" t="n"/>
      <c r="C2996" s="397" t="n"/>
      <c r="D2996" s="397" t="n"/>
      <c r="E2996" s="397" t="n"/>
      <c r="F2996" s="397" t="n"/>
      <c r="G2996" s="397" t="n"/>
      <c r="I2996" s="397" t="n"/>
      <c r="J2996" s="397" t="n"/>
      <c r="K2996" s="395">
        <f>DATE(VALUE(LEFT(A2996,4)),VALUE(MID(A2996,5,2)),VALUE(RIGHT(A2996,2)))</f>
        <v/>
      </c>
      <c r="L2996" s="395">
        <f>DATEVALUE(LEFT(F2996,10))</f>
        <v/>
      </c>
      <c r="M2996" s="396">
        <f>TIMEVALUE(MID(F2996,12,8))</f>
        <v/>
      </c>
      <c r="N2996" s="395">
        <f>DATEVALUE(LEFT(G2996,10))</f>
        <v/>
      </c>
      <c r="O2996" s="396">
        <f>TIMEVALUE(MID(G2996,12,8))</f>
        <v/>
      </c>
      <c r="P2996" s="396">
        <f>IFERROR(_xlfn.MINIFS($M:$M,$E:$E,$E2996,$K:$K,$K2996,$M:$M,"&gt;"&amp;$O2996),"")</f>
        <v/>
      </c>
      <c r="Q2996" s="396">
        <f>IF($P2996="","",$P2996-$O2996)</f>
        <v/>
      </c>
    </row>
    <row r="2997" ht="15" customHeight="1" s="231">
      <c r="A2997" s="397" t="n"/>
      <c r="B2997" s="397" t="n"/>
      <c r="C2997" s="397" t="n"/>
      <c r="D2997" s="397" t="n"/>
      <c r="E2997" s="397" t="n"/>
      <c r="F2997" s="397" t="n"/>
      <c r="G2997" s="397" t="n"/>
      <c r="I2997" s="397" t="n"/>
      <c r="J2997" s="397" t="n"/>
      <c r="K2997" s="395">
        <f>DATE(VALUE(LEFT(A2997,4)),VALUE(MID(A2997,5,2)),VALUE(RIGHT(A2997,2)))</f>
        <v/>
      </c>
      <c r="L2997" s="395">
        <f>DATEVALUE(LEFT(F2997,10))</f>
        <v/>
      </c>
      <c r="M2997" s="396">
        <f>TIMEVALUE(MID(F2997,12,8))</f>
        <v/>
      </c>
      <c r="N2997" s="395">
        <f>DATEVALUE(LEFT(G2997,10))</f>
        <v/>
      </c>
      <c r="O2997" s="396">
        <f>TIMEVALUE(MID(G2997,12,8))</f>
        <v/>
      </c>
      <c r="P2997" s="396">
        <f>IFERROR(_xlfn.MINIFS($M:$M,$E:$E,$E2997,$K:$K,$K2997,$M:$M,"&gt;"&amp;$O2997),"")</f>
        <v/>
      </c>
      <c r="Q2997" s="396">
        <f>IF($P2997="","",$P2997-$O2997)</f>
        <v/>
      </c>
    </row>
    <row r="2998" ht="15" customHeight="1" s="231">
      <c r="A2998" s="397" t="n"/>
      <c r="B2998" s="397" t="n"/>
      <c r="C2998" s="397" t="n"/>
      <c r="D2998" s="397" t="n"/>
      <c r="E2998" s="397" t="n"/>
      <c r="F2998" s="397" t="n"/>
      <c r="G2998" s="397" t="n"/>
      <c r="I2998" s="397" t="n"/>
      <c r="J2998" s="397" t="n"/>
      <c r="K2998" s="395">
        <f>DATE(VALUE(LEFT(A2998,4)),VALUE(MID(A2998,5,2)),VALUE(RIGHT(A2998,2)))</f>
        <v/>
      </c>
      <c r="L2998" s="395">
        <f>DATEVALUE(LEFT(F2998,10))</f>
        <v/>
      </c>
      <c r="M2998" s="396">
        <f>TIMEVALUE(MID(F2998,12,8))</f>
        <v/>
      </c>
      <c r="N2998" s="395">
        <f>DATEVALUE(LEFT(G2998,10))</f>
        <v/>
      </c>
      <c r="O2998" s="396">
        <f>TIMEVALUE(MID(G2998,12,8))</f>
        <v/>
      </c>
      <c r="P2998" s="396">
        <f>IFERROR(_xlfn.MINIFS($M:$M,$E:$E,$E2998,$K:$K,$K2998,$M:$M,"&gt;"&amp;$O2998),"")</f>
        <v/>
      </c>
      <c r="Q2998" s="396">
        <f>IF($P2998="","",$P2998-$O2998)</f>
        <v/>
      </c>
    </row>
    <row r="2999" ht="15" customHeight="1" s="231">
      <c r="A2999" s="397" t="n"/>
      <c r="B2999" s="397" t="n"/>
      <c r="C2999" s="397" t="n"/>
      <c r="D2999" s="397" t="n"/>
      <c r="E2999" s="397" t="n"/>
      <c r="F2999" s="397" t="n"/>
      <c r="G2999" s="397" t="n"/>
      <c r="I2999" s="397" t="n"/>
      <c r="J2999" s="397" t="n"/>
      <c r="K2999" s="395">
        <f>DATE(VALUE(LEFT(A2999,4)),VALUE(MID(A2999,5,2)),VALUE(RIGHT(A2999,2)))</f>
        <v/>
      </c>
      <c r="L2999" s="395">
        <f>DATEVALUE(LEFT(F2999,10))</f>
        <v/>
      </c>
      <c r="M2999" s="396">
        <f>TIMEVALUE(MID(F2999,12,8))</f>
        <v/>
      </c>
      <c r="N2999" s="395">
        <f>DATEVALUE(LEFT(G2999,10))</f>
        <v/>
      </c>
      <c r="O2999" s="396">
        <f>TIMEVALUE(MID(G2999,12,8))</f>
        <v/>
      </c>
      <c r="P2999" s="396">
        <f>IFERROR(_xlfn.MINIFS($M:$M,$E:$E,$E2999,$K:$K,$K2999,$M:$M,"&gt;"&amp;$O2999),"")</f>
        <v/>
      </c>
      <c r="Q2999" s="396">
        <f>IF($P2999="","",$P2999-$O2999)</f>
        <v/>
      </c>
    </row>
    <row r="3000" ht="15" customHeight="1" s="231">
      <c r="A3000" s="397" t="n"/>
      <c r="B3000" s="397" t="n"/>
      <c r="C3000" s="397" t="n"/>
      <c r="D3000" s="397" t="n"/>
      <c r="E3000" s="397" t="n"/>
      <c r="F3000" s="397" t="n"/>
      <c r="G3000" s="397" t="n"/>
      <c r="I3000" s="397" t="n"/>
      <c r="J3000" s="397" t="n"/>
      <c r="K3000" s="395">
        <f>DATE(VALUE(LEFT(A3000,4)),VALUE(MID(A3000,5,2)),VALUE(RIGHT(A3000,2)))</f>
        <v/>
      </c>
      <c r="L3000" s="395">
        <f>DATEVALUE(LEFT(F3000,10))</f>
        <v/>
      </c>
      <c r="M3000" s="396">
        <f>TIMEVALUE(MID(F3000,12,8))</f>
        <v/>
      </c>
      <c r="N3000" s="395">
        <f>DATEVALUE(LEFT(G3000,10))</f>
        <v/>
      </c>
      <c r="O3000" s="396">
        <f>TIMEVALUE(MID(G3000,12,8))</f>
        <v/>
      </c>
      <c r="P3000" s="396">
        <f>IFERROR(_xlfn.MINIFS($M:$M,$E:$E,$E3000,$K:$K,$K3000,$M:$M,"&gt;"&amp;$O3000),"")</f>
        <v/>
      </c>
      <c r="Q3000" s="396">
        <f>IF($P3000="","",$P3000-$O3000)</f>
        <v/>
      </c>
    </row>
    <row r="3001" ht="15" customHeight="1" s="231">
      <c r="A3001" s="397" t="n"/>
      <c r="B3001" s="397" t="n"/>
      <c r="C3001" s="397" t="n"/>
      <c r="D3001" s="397" t="n"/>
      <c r="E3001" s="397" t="n"/>
      <c r="F3001" s="397" t="n"/>
      <c r="G3001" s="397" t="n"/>
      <c r="I3001" s="397" t="n"/>
      <c r="J3001" s="397" t="n"/>
      <c r="K3001" s="395">
        <f>DATE(VALUE(LEFT(A3001,4)),VALUE(MID(A3001,5,2)),VALUE(RIGHT(A3001,2)))</f>
        <v/>
      </c>
      <c r="L3001" s="395">
        <f>DATEVALUE(LEFT(F3001,10))</f>
        <v/>
      </c>
      <c r="M3001" s="396">
        <f>TIMEVALUE(MID(F3001,12,8))</f>
        <v/>
      </c>
      <c r="N3001" s="395">
        <f>DATEVALUE(LEFT(G3001,10))</f>
        <v/>
      </c>
      <c r="O3001" s="396">
        <f>TIMEVALUE(MID(G3001,12,8))</f>
        <v/>
      </c>
      <c r="P3001" s="396">
        <f>IFERROR(_xlfn.MINIFS($M:$M,$E:$E,$E3001,$K:$K,$K3001,$M:$M,"&gt;"&amp;$O3001),"")</f>
        <v/>
      </c>
      <c r="Q3001" s="396">
        <f>IF($P3001="","",$P3001-$O3001)</f>
        <v/>
      </c>
    </row>
    <row r="3002" ht="15" customHeight="1" s="231">
      <c r="A3002" s="397" t="n"/>
      <c r="B3002" s="397" t="n"/>
      <c r="C3002" s="397" t="n"/>
      <c r="D3002" s="397" t="n"/>
      <c r="E3002" s="397" t="n"/>
      <c r="F3002" s="397" t="n"/>
      <c r="G3002" s="397" t="n"/>
      <c r="I3002" s="397" t="n"/>
      <c r="J3002" s="397" t="n"/>
      <c r="K3002" s="395">
        <f>DATE(VALUE(LEFT(A3002,4)),VALUE(MID(A3002,5,2)),VALUE(RIGHT(A3002,2)))</f>
        <v/>
      </c>
      <c r="L3002" s="395">
        <f>DATEVALUE(LEFT(F3002,10))</f>
        <v/>
      </c>
      <c r="M3002" s="396">
        <f>TIMEVALUE(MID(F3002,12,8))</f>
        <v/>
      </c>
      <c r="N3002" s="395">
        <f>DATEVALUE(LEFT(G3002,10))</f>
        <v/>
      </c>
      <c r="O3002" s="396">
        <f>TIMEVALUE(MID(G3002,12,8))</f>
        <v/>
      </c>
      <c r="P3002" s="396">
        <f>IFERROR(_xlfn.MINIFS($M:$M,$E:$E,$E3002,$K:$K,$K3002,$M:$M,"&gt;"&amp;$O3002),"")</f>
        <v/>
      </c>
      <c r="Q3002" s="396">
        <f>IF($P3002="","",$P3002-$O3002)</f>
        <v/>
      </c>
    </row>
    <row r="3003" ht="15" customHeight="1" s="231">
      <c r="A3003" s="397" t="n"/>
      <c r="B3003" s="397" t="n"/>
      <c r="C3003" s="397" t="n"/>
      <c r="D3003" s="397" t="n"/>
      <c r="E3003" s="397" t="n"/>
      <c r="F3003" s="397" t="n"/>
      <c r="G3003" s="397" t="n"/>
      <c r="I3003" s="397" t="n"/>
      <c r="J3003" s="397" t="n"/>
      <c r="K3003" s="395">
        <f>DATE(VALUE(LEFT(A3003,4)),VALUE(MID(A3003,5,2)),VALUE(RIGHT(A3003,2)))</f>
        <v/>
      </c>
      <c r="L3003" s="395">
        <f>DATEVALUE(LEFT(F3003,10))</f>
        <v/>
      </c>
      <c r="M3003" s="396">
        <f>TIMEVALUE(MID(F3003,12,8))</f>
        <v/>
      </c>
      <c r="N3003" s="395">
        <f>DATEVALUE(LEFT(G3003,10))</f>
        <v/>
      </c>
      <c r="O3003" s="396">
        <f>TIMEVALUE(MID(G3003,12,8))</f>
        <v/>
      </c>
      <c r="P3003" s="396">
        <f>IFERROR(_xlfn.MINIFS($M:$M,$E:$E,$E3003,$K:$K,$K3003,$M:$M,"&gt;"&amp;$O3003),"")</f>
        <v/>
      </c>
      <c r="Q3003" s="396">
        <f>IF($P3003="","",$P3003-$O3003)</f>
        <v/>
      </c>
    </row>
    <row r="3004" ht="15" customHeight="1" s="231">
      <c r="A3004" s="397" t="n"/>
      <c r="B3004" s="397" t="n"/>
      <c r="C3004" s="397" t="n"/>
      <c r="D3004" s="397" t="n"/>
      <c r="E3004" s="397" t="n"/>
      <c r="F3004" s="397" t="n"/>
      <c r="G3004" s="397" t="n"/>
      <c r="I3004" s="397" t="n"/>
      <c r="J3004" s="397" t="n"/>
      <c r="K3004" s="395">
        <f>DATE(VALUE(LEFT(A3004,4)),VALUE(MID(A3004,5,2)),VALUE(RIGHT(A3004,2)))</f>
        <v/>
      </c>
      <c r="L3004" s="395">
        <f>DATEVALUE(LEFT(F3004,10))</f>
        <v/>
      </c>
      <c r="M3004" s="396">
        <f>TIMEVALUE(MID(F3004,12,8))</f>
        <v/>
      </c>
      <c r="N3004" s="395">
        <f>DATEVALUE(LEFT(G3004,10))</f>
        <v/>
      </c>
      <c r="O3004" s="396">
        <f>TIMEVALUE(MID(G3004,12,8))</f>
        <v/>
      </c>
      <c r="P3004" s="396">
        <f>IFERROR(_xlfn.MINIFS($M:$M,$E:$E,$E3004,$K:$K,$K3004,$M:$M,"&gt;"&amp;$O3004),"")</f>
        <v/>
      </c>
      <c r="Q3004" s="396">
        <f>IF($P3004="","",$P3004-$O3004)</f>
        <v/>
      </c>
    </row>
    <row r="3005" ht="15" customHeight="1" s="231">
      <c r="A3005" s="397" t="n"/>
      <c r="B3005" s="397" t="n"/>
      <c r="C3005" s="397" t="n"/>
      <c r="D3005" s="397" t="n"/>
      <c r="E3005" s="397" t="n"/>
      <c r="F3005" s="397" t="n"/>
      <c r="G3005" s="397" t="n"/>
      <c r="I3005" s="397" t="n"/>
      <c r="J3005" s="397" t="n"/>
      <c r="K3005" s="395">
        <f>DATE(VALUE(LEFT(A3005,4)),VALUE(MID(A3005,5,2)),VALUE(RIGHT(A3005,2)))</f>
        <v/>
      </c>
      <c r="L3005" s="395">
        <f>DATEVALUE(LEFT(F3005,10))</f>
        <v/>
      </c>
      <c r="M3005" s="396">
        <f>TIMEVALUE(MID(F3005,12,8))</f>
        <v/>
      </c>
      <c r="N3005" s="395">
        <f>DATEVALUE(LEFT(G3005,10))</f>
        <v/>
      </c>
      <c r="O3005" s="396">
        <f>TIMEVALUE(MID(G3005,12,8))</f>
        <v/>
      </c>
      <c r="P3005" s="396">
        <f>IFERROR(_xlfn.MINIFS($M:$M,$E:$E,$E3005,$K:$K,$K3005,$M:$M,"&gt;"&amp;$O3005),"")</f>
        <v/>
      </c>
      <c r="Q3005" s="396">
        <f>IF($P3005="","",$P3005-$O3005)</f>
        <v/>
      </c>
    </row>
    <row r="3006" ht="15" customHeight="1" s="231">
      <c r="A3006" s="397" t="n"/>
      <c r="B3006" s="397" t="n"/>
      <c r="C3006" s="397" t="n"/>
      <c r="D3006" s="397" t="n"/>
      <c r="E3006" s="397" t="n"/>
      <c r="F3006" s="397" t="n"/>
      <c r="G3006" s="397" t="n"/>
      <c r="I3006" s="397" t="n"/>
      <c r="J3006" s="397" t="n"/>
      <c r="K3006" s="395">
        <f>DATE(VALUE(LEFT(A3006,4)),VALUE(MID(A3006,5,2)),VALUE(RIGHT(A3006,2)))</f>
        <v/>
      </c>
      <c r="L3006" s="395">
        <f>DATEVALUE(LEFT(F3006,10))</f>
        <v/>
      </c>
      <c r="M3006" s="396">
        <f>TIMEVALUE(MID(F3006,12,8))</f>
        <v/>
      </c>
      <c r="N3006" s="395">
        <f>DATEVALUE(LEFT(G3006,10))</f>
        <v/>
      </c>
      <c r="O3006" s="396">
        <f>TIMEVALUE(MID(G3006,12,8))</f>
        <v/>
      </c>
      <c r="P3006" s="396">
        <f>IFERROR(_xlfn.MINIFS($M:$M,$E:$E,$E3006,$K:$K,$K3006,$M:$M,"&gt;"&amp;$O3006),"")</f>
        <v/>
      </c>
      <c r="Q3006" s="396">
        <f>IF($P3006="","",$P3006-$O3006)</f>
        <v/>
      </c>
    </row>
    <row r="3007" ht="15" customHeight="1" s="231">
      <c r="A3007" s="397" t="n"/>
      <c r="B3007" s="397" t="n"/>
      <c r="C3007" s="397" t="n"/>
      <c r="D3007" s="397" t="n"/>
      <c r="E3007" s="397" t="n"/>
      <c r="F3007" s="397" t="n"/>
      <c r="G3007" s="397" t="n"/>
      <c r="I3007" s="397" t="n"/>
      <c r="J3007" s="397" t="n"/>
      <c r="K3007" s="395">
        <f>DATE(VALUE(LEFT(A3007,4)),VALUE(MID(A3007,5,2)),VALUE(RIGHT(A3007,2)))</f>
        <v/>
      </c>
      <c r="L3007" s="395">
        <f>DATEVALUE(LEFT(F3007,10))</f>
        <v/>
      </c>
      <c r="M3007" s="396">
        <f>TIMEVALUE(MID(F3007,12,8))</f>
        <v/>
      </c>
      <c r="N3007" s="395">
        <f>DATEVALUE(LEFT(G3007,10))</f>
        <v/>
      </c>
      <c r="O3007" s="396">
        <f>TIMEVALUE(MID(G3007,12,8))</f>
        <v/>
      </c>
      <c r="P3007" s="396">
        <f>IFERROR(_xlfn.MINIFS($M:$M,$E:$E,$E3007,$K:$K,$K3007,$M:$M,"&gt;"&amp;$O3007),"")</f>
        <v/>
      </c>
      <c r="Q3007" s="396">
        <f>IF($P3007="","",$P3007-$O3007)</f>
        <v/>
      </c>
    </row>
    <row r="3008" ht="15" customHeight="1" s="231">
      <c r="A3008" s="397" t="n"/>
      <c r="B3008" s="397" t="n"/>
      <c r="C3008" s="397" t="n"/>
      <c r="D3008" s="397" t="n"/>
      <c r="E3008" s="397" t="n"/>
      <c r="F3008" s="397" t="n"/>
      <c r="G3008" s="397" t="n"/>
      <c r="I3008" s="397" t="n"/>
      <c r="J3008" s="397" t="n"/>
      <c r="K3008" s="395">
        <f>DATE(VALUE(LEFT(A3008,4)),VALUE(MID(A3008,5,2)),VALUE(RIGHT(A3008,2)))</f>
        <v/>
      </c>
      <c r="L3008" s="395">
        <f>DATEVALUE(LEFT(F3008,10))</f>
        <v/>
      </c>
      <c r="M3008" s="396">
        <f>TIMEVALUE(MID(F3008,12,8))</f>
        <v/>
      </c>
      <c r="N3008" s="395">
        <f>DATEVALUE(LEFT(G3008,10))</f>
        <v/>
      </c>
      <c r="O3008" s="396">
        <f>TIMEVALUE(MID(G3008,12,8))</f>
        <v/>
      </c>
      <c r="P3008" s="396">
        <f>IFERROR(_xlfn.MINIFS($M:$M,$E:$E,$E3008,$K:$K,$K3008,$M:$M,"&gt;"&amp;$O3008),"")</f>
        <v/>
      </c>
      <c r="Q3008" s="396">
        <f>IF($P3008="","",$P3008-$O3008)</f>
        <v/>
      </c>
    </row>
    <row r="3009" ht="15" customHeight="1" s="231">
      <c r="A3009" s="397" t="n"/>
      <c r="B3009" s="397" t="n"/>
      <c r="C3009" s="397" t="n"/>
      <c r="D3009" s="397" t="n"/>
      <c r="E3009" s="397" t="n"/>
      <c r="F3009" s="397" t="n"/>
      <c r="G3009" s="397" t="n"/>
      <c r="I3009" s="397" t="n"/>
      <c r="J3009" s="397" t="n"/>
      <c r="K3009" s="395">
        <f>DATE(VALUE(LEFT(A3009,4)),VALUE(MID(A3009,5,2)),VALUE(RIGHT(A3009,2)))</f>
        <v/>
      </c>
      <c r="L3009" s="395">
        <f>DATEVALUE(LEFT(F3009,10))</f>
        <v/>
      </c>
      <c r="M3009" s="396">
        <f>TIMEVALUE(MID(F3009,12,8))</f>
        <v/>
      </c>
      <c r="N3009" s="395">
        <f>DATEVALUE(LEFT(G3009,10))</f>
        <v/>
      </c>
      <c r="O3009" s="396">
        <f>TIMEVALUE(MID(G3009,12,8))</f>
        <v/>
      </c>
      <c r="P3009" s="396">
        <f>IFERROR(_xlfn.MINIFS($M:$M,$E:$E,$E3009,$K:$K,$K3009,$M:$M,"&gt;"&amp;$O3009),"")</f>
        <v/>
      </c>
      <c r="Q3009" s="396">
        <f>IF($P3009="","",$P3009-$O3009)</f>
        <v/>
      </c>
    </row>
    <row r="3010" ht="15" customHeight="1" s="231">
      <c r="A3010" s="397" t="n"/>
      <c r="B3010" s="397" t="n"/>
      <c r="C3010" s="397" t="n"/>
      <c r="D3010" s="397" t="n"/>
      <c r="E3010" s="397" t="n"/>
      <c r="F3010" s="397" t="n"/>
      <c r="G3010" s="397" t="n"/>
      <c r="I3010" s="397" t="n"/>
      <c r="J3010" s="397" t="n"/>
      <c r="K3010" s="395">
        <f>DATE(VALUE(LEFT(A3010,4)),VALUE(MID(A3010,5,2)),VALUE(RIGHT(A3010,2)))</f>
        <v/>
      </c>
      <c r="L3010" s="395">
        <f>DATEVALUE(LEFT(F3010,10))</f>
        <v/>
      </c>
      <c r="M3010" s="396">
        <f>TIMEVALUE(MID(F3010,12,8))</f>
        <v/>
      </c>
      <c r="N3010" s="395">
        <f>DATEVALUE(LEFT(G3010,10))</f>
        <v/>
      </c>
      <c r="O3010" s="396">
        <f>TIMEVALUE(MID(G3010,12,8))</f>
        <v/>
      </c>
      <c r="P3010" s="396">
        <f>IFERROR(_xlfn.MINIFS($M:$M,$E:$E,$E3010,$K:$K,$K3010,$M:$M,"&gt;"&amp;$O3010),"")</f>
        <v/>
      </c>
      <c r="Q3010" s="396">
        <f>IF($P3010="","",$P3010-$O3010)</f>
        <v/>
      </c>
    </row>
    <row r="3011" ht="15" customHeight="1" s="231">
      <c r="A3011" s="397" t="n"/>
      <c r="B3011" s="397" t="n"/>
      <c r="C3011" s="397" t="n"/>
      <c r="D3011" s="397" t="n"/>
      <c r="E3011" s="397" t="n"/>
      <c r="F3011" s="397" t="n"/>
      <c r="G3011" s="397" t="n"/>
      <c r="I3011" s="397" t="n"/>
      <c r="J3011" s="397" t="n"/>
      <c r="K3011" s="395">
        <f>DATE(VALUE(LEFT(A3011,4)),VALUE(MID(A3011,5,2)),VALUE(RIGHT(A3011,2)))</f>
        <v/>
      </c>
      <c r="L3011" s="395">
        <f>DATEVALUE(LEFT(F3011,10))</f>
        <v/>
      </c>
      <c r="M3011" s="396">
        <f>TIMEVALUE(MID(F3011,12,8))</f>
        <v/>
      </c>
      <c r="N3011" s="395">
        <f>DATEVALUE(LEFT(G3011,10))</f>
        <v/>
      </c>
      <c r="O3011" s="396">
        <f>TIMEVALUE(MID(G3011,12,8))</f>
        <v/>
      </c>
      <c r="P3011" s="396">
        <f>IFERROR(_xlfn.MINIFS($M:$M,$E:$E,$E3011,$K:$K,$K3011,$M:$M,"&gt;"&amp;$O3011),"")</f>
        <v/>
      </c>
      <c r="Q3011" s="396">
        <f>IF($P3011="","",$P3011-$O3011)</f>
        <v/>
      </c>
    </row>
    <row r="3012" ht="15" customHeight="1" s="231">
      <c r="A3012" s="397" t="n"/>
      <c r="B3012" s="397" t="n"/>
      <c r="C3012" s="397" t="n"/>
      <c r="D3012" s="397" t="n"/>
      <c r="E3012" s="397" t="n"/>
      <c r="F3012" s="397" t="n"/>
      <c r="G3012" s="397" t="n"/>
      <c r="I3012" s="397" t="n"/>
      <c r="J3012" s="397" t="n"/>
      <c r="K3012" s="395">
        <f>DATE(VALUE(LEFT(A3012,4)),VALUE(MID(A3012,5,2)),VALUE(RIGHT(A3012,2)))</f>
        <v/>
      </c>
      <c r="L3012" s="395">
        <f>DATEVALUE(LEFT(F3012,10))</f>
        <v/>
      </c>
      <c r="M3012" s="396">
        <f>TIMEVALUE(MID(F3012,12,8))</f>
        <v/>
      </c>
      <c r="N3012" s="395">
        <f>DATEVALUE(LEFT(G3012,10))</f>
        <v/>
      </c>
      <c r="O3012" s="396">
        <f>TIMEVALUE(MID(G3012,12,8))</f>
        <v/>
      </c>
      <c r="P3012" s="396">
        <f>IFERROR(_xlfn.MINIFS($M:$M,$E:$E,$E3012,$K:$K,$K3012,$M:$M,"&gt;"&amp;$O3012),"")</f>
        <v/>
      </c>
      <c r="Q3012" s="396">
        <f>IF($P3012="","",$P3012-$O3012)</f>
        <v/>
      </c>
    </row>
    <row r="3013" ht="15" customHeight="1" s="231">
      <c r="A3013" s="397" t="n"/>
      <c r="B3013" s="397" t="n"/>
      <c r="C3013" s="397" t="n"/>
      <c r="D3013" s="397" t="n"/>
      <c r="E3013" s="397" t="n"/>
      <c r="F3013" s="397" t="n"/>
      <c r="G3013" s="397" t="n"/>
      <c r="I3013" s="397" t="n"/>
      <c r="J3013" s="397" t="n"/>
      <c r="K3013" s="395">
        <f>DATE(VALUE(LEFT(A3013,4)),VALUE(MID(A3013,5,2)),VALUE(RIGHT(A3013,2)))</f>
        <v/>
      </c>
      <c r="L3013" s="395">
        <f>DATEVALUE(LEFT(F3013,10))</f>
        <v/>
      </c>
      <c r="M3013" s="396">
        <f>TIMEVALUE(MID(F3013,12,8))</f>
        <v/>
      </c>
      <c r="N3013" s="395">
        <f>DATEVALUE(LEFT(G3013,10))</f>
        <v/>
      </c>
      <c r="O3013" s="396">
        <f>TIMEVALUE(MID(G3013,12,8))</f>
        <v/>
      </c>
      <c r="P3013" s="396">
        <f>IFERROR(_xlfn.MINIFS($M:$M,$E:$E,$E3013,$K:$K,$K3013,$M:$M,"&gt;"&amp;$O3013),"")</f>
        <v/>
      </c>
      <c r="Q3013" s="396">
        <f>IF($P3013="","",$P3013-$O3013)</f>
        <v/>
      </c>
    </row>
    <row r="3014" ht="15" customHeight="1" s="231">
      <c r="A3014" s="397" t="n"/>
      <c r="B3014" s="397" t="n"/>
      <c r="C3014" s="397" t="n"/>
      <c r="D3014" s="397" t="n"/>
      <c r="E3014" s="397" t="n"/>
      <c r="F3014" s="397" t="n"/>
      <c r="G3014" s="397" t="n"/>
      <c r="I3014" s="397" t="n"/>
      <c r="J3014" s="397" t="n"/>
      <c r="K3014" s="395">
        <f>DATE(VALUE(LEFT(A3014,4)),VALUE(MID(A3014,5,2)),VALUE(RIGHT(A3014,2)))</f>
        <v/>
      </c>
      <c r="L3014" s="395">
        <f>DATEVALUE(LEFT(F3014,10))</f>
        <v/>
      </c>
      <c r="M3014" s="396">
        <f>TIMEVALUE(MID(F3014,12,8))</f>
        <v/>
      </c>
      <c r="N3014" s="395">
        <f>DATEVALUE(LEFT(G3014,10))</f>
        <v/>
      </c>
      <c r="O3014" s="396">
        <f>TIMEVALUE(MID(G3014,12,8))</f>
        <v/>
      </c>
      <c r="P3014" s="396">
        <f>IFERROR(_xlfn.MINIFS($M:$M,$E:$E,$E3014,$K:$K,$K3014,$M:$M,"&gt;"&amp;$O3014),"")</f>
        <v/>
      </c>
      <c r="Q3014" s="396">
        <f>IF($P3014="","",$P3014-$O3014)</f>
        <v/>
      </c>
    </row>
    <row r="3015" ht="15" customHeight="1" s="231">
      <c r="A3015" s="397" t="n"/>
      <c r="B3015" s="397" t="n"/>
      <c r="C3015" s="397" t="n"/>
      <c r="D3015" s="397" t="n"/>
      <c r="E3015" s="397" t="n"/>
      <c r="F3015" s="397" t="n"/>
      <c r="G3015" s="397" t="n"/>
      <c r="I3015" s="397" t="n"/>
      <c r="J3015" s="397" t="n"/>
      <c r="K3015" s="395">
        <f>DATE(VALUE(LEFT(A3015,4)),VALUE(MID(A3015,5,2)),VALUE(RIGHT(A3015,2)))</f>
        <v/>
      </c>
      <c r="L3015" s="395">
        <f>DATEVALUE(LEFT(F3015,10))</f>
        <v/>
      </c>
      <c r="M3015" s="396">
        <f>TIMEVALUE(MID(F3015,12,8))</f>
        <v/>
      </c>
      <c r="N3015" s="395">
        <f>DATEVALUE(LEFT(G3015,10))</f>
        <v/>
      </c>
      <c r="O3015" s="396">
        <f>TIMEVALUE(MID(G3015,12,8))</f>
        <v/>
      </c>
      <c r="P3015" s="396">
        <f>IFERROR(_xlfn.MINIFS($M:$M,$E:$E,$E3015,$K:$K,$K3015,$M:$M,"&gt;"&amp;$O3015),"")</f>
        <v/>
      </c>
      <c r="Q3015" s="396">
        <f>IF($P3015="","",$P3015-$O3015)</f>
        <v/>
      </c>
    </row>
    <row r="3016" ht="15" customHeight="1" s="231">
      <c r="A3016" s="397" t="n"/>
      <c r="B3016" s="397" t="n"/>
      <c r="C3016" s="397" t="n"/>
      <c r="D3016" s="397" t="n"/>
      <c r="E3016" s="397" t="n"/>
      <c r="F3016" s="397" t="n"/>
      <c r="G3016" s="397" t="n"/>
      <c r="I3016" s="397" t="n"/>
      <c r="J3016" s="397" t="n"/>
      <c r="K3016" s="395">
        <f>DATE(VALUE(LEFT(A3016,4)),VALUE(MID(A3016,5,2)),VALUE(RIGHT(A3016,2)))</f>
        <v/>
      </c>
      <c r="L3016" s="395">
        <f>DATEVALUE(LEFT(F3016,10))</f>
        <v/>
      </c>
      <c r="M3016" s="396">
        <f>TIMEVALUE(MID(F3016,12,8))</f>
        <v/>
      </c>
      <c r="N3016" s="395">
        <f>DATEVALUE(LEFT(G3016,10))</f>
        <v/>
      </c>
      <c r="O3016" s="396">
        <f>TIMEVALUE(MID(G3016,12,8))</f>
        <v/>
      </c>
      <c r="P3016" s="396">
        <f>IFERROR(_xlfn.MINIFS($M:$M,$E:$E,$E3016,$K:$K,$K3016,$M:$M,"&gt;"&amp;$O3016),"")</f>
        <v/>
      </c>
      <c r="Q3016" s="396">
        <f>IF($P3016="","",$P3016-$O3016)</f>
        <v/>
      </c>
    </row>
    <row r="3017" ht="15" customHeight="1" s="231">
      <c r="A3017" s="397" t="n"/>
      <c r="B3017" s="397" t="n"/>
      <c r="C3017" s="397" t="n"/>
      <c r="D3017" s="397" t="n"/>
      <c r="E3017" s="397" t="n"/>
      <c r="F3017" s="397" t="n"/>
      <c r="G3017" s="397" t="n"/>
      <c r="I3017" s="397" t="n"/>
      <c r="J3017" s="397" t="n"/>
      <c r="K3017" s="395">
        <f>DATE(VALUE(LEFT(A3017,4)),VALUE(MID(A3017,5,2)),VALUE(RIGHT(A3017,2)))</f>
        <v/>
      </c>
      <c r="L3017" s="395">
        <f>DATEVALUE(LEFT(F3017,10))</f>
        <v/>
      </c>
      <c r="M3017" s="396">
        <f>TIMEVALUE(MID(F3017,12,8))</f>
        <v/>
      </c>
      <c r="N3017" s="395">
        <f>DATEVALUE(LEFT(G3017,10))</f>
        <v/>
      </c>
      <c r="O3017" s="396">
        <f>TIMEVALUE(MID(G3017,12,8))</f>
        <v/>
      </c>
      <c r="P3017" s="396">
        <f>IFERROR(_xlfn.MINIFS($M:$M,$E:$E,$E3017,$K:$K,$K3017,$M:$M,"&gt;"&amp;$O3017),"")</f>
        <v/>
      </c>
      <c r="Q3017" s="396">
        <f>IF($P3017="","",$P3017-$O3017)</f>
        <v/>
      </c>
    </row>
    <row r="3018" ht="15" customHeight="1" s="231">
      <c r="A3018" s="397" t="n"/>
      <c r="B3018" s="397" t="n"/>
      <c r="C3018" s="397" t="n"/>
      <c r="D3018" s="397" t="n"/>
      <c r="E3018" s="397" t="n"/>
      <c r="F3018" s="397" t="n"/>
      <c r="G3018" s="397" t="n"/>
      <c r="I3018" s="397" t="n"/>
      <c r="J3018" s="397" t="n"/>
      <c r="K3018" s="395">
        <f>DATE(VALUE(LEFT(A3018,4)),VALUE(MID(A3018,5,2)),VALUE(RIGHT(A3018,2)))</f>
        <v/>
      </c>
      <c r="L3018" s="395">
        <f>DATEVALUE(LEFT(F3018,10))</f>
        <v/>
      </c>
      <c r="M3018" s="396">
        <f>TIMEVALUE(MID(F3018,12,8))</f>
        <v/>
      </c>
      <c r="N3018" s="395">
        <f>DATEVALUE(LEFT(G3018,10))</f>
        <v/>
      </c>
      <c r="O3018" s="396">
        <f>TIMEVALUE(MID(G3018,12,8))</f>
        <v/>
      </c>
      <c r="P3018" s="396">
        <f>IFERROR(_xlfn.MINIFS($M:$M,$E:$E,$E3018,$K:$K,$K3018,$M:$M,"&gt;"&amp;$O3018),"")</f>
        <v/>
      </c>
      <c r="Q3018" s="396">
        <f>IF($P3018="","",$P3018-$O3018)</f>
        <v/>
      </c>
    </row>
    <row r="3019" ht="15" customHeight="1" s="231">
      <c r="A3019" s="397" t="n"/>
      <c r="B3019" s="397" t="n"/>
      <c r="C3019" s="397" t="n"/>
      <c r="D3019" s="397" t="n"/>
      <c r="E3019" s="397" t="n"/>
      <c r="F3019" s="397" t="n"/>
      <c r="G3019" s="397" t="n"/>
      <c r="I3019" s="397" t="n"/>
      <c r="J3019" s="397" t="n"/>
      <c r="K3019" s="395">
        <f>DATE(VALUE(LEFT(A3019,4)),VALUE(MID(A3019,5,2)),VALUE(RIGHT(A3019,2)))</f>
        <v/>
      </c>
      <c r="L3019" s="395">
        <f>DATEVALUE(LEFT(F3019,10))</f>
        <v/>
      </c>
      <c r="M3019" s="396">
        <f>TIMEVALUE(MID(F3019,12,8))</f>
        <v/>
      </c>
      <c r="N3019" s="395">
        <f>DATEVALUE(LEFT(G3019,10))</f>
        <v/>
      </c>
      <c r="O3019" s="396">
        <f>TIMEVALUE(MID(G3019,12,8))</f>
        <v/>
      </c>
      <c r="P3019" s="396">
        <f>IFERROR(_xlfn.MINIFS($M:$M,$E:$E,$E3019,$K:$K,$K3019,$M:$M,"&gt;"&amp;$O3019),"")</f>
        <v/>
      </c>
      <c r="Q3019" s="396">
        <f>IF($P3019="","",$P3019-$O3019)</f>
        <v/>
      </c>
    </row>
    <row r="3020" ht="15" customHeight="1" s="231">
      <c r="A3020" s="397" t="n"/>
      <c r="B3020" s="397" t="n"/>
      <c r="C3020" s="397" t="n"/>
      <c r="D3020" s="397" t="n"/>
      <c r="E3020" s="397" t="n"/>
      <c r="F3020" s="397" t="n"/>
      <c r="G3020" s="397" t="n"/>
      <c r="I3020" s="397" t="n"/>
      <c r="J3020" s="397" t="n"/>
      <c r="K3020" s="395">
        <f>DATE(VALUE(LEFT(A3020,4)),VALUE(MID(A3020,5,2)),VALUE(RIGHT(A3020,2)))</f>
        <v/>
      </c>
      <c r="L3020" s="395">
        <f>DATEVALUE(LEFT(F3020,10))</f>
        <v/>
      </c>
      <c r="M3020" s="396">
        <f>TIMEVALUE(MID(F3020,12,8))</f>
        <v/>
      </c>
      <c r="N3020" s="395">
        <f>DATEVALUE(LEFT(G3020,10))</f>
        <v/>
      </c>
      <c r="O3020" s="396">
        <f>TIMEVALUE(MID(G3020,12,8))</f>
        <v/>
      </c>
      <c r="P3020" s="396">
        <f>IFERROR(_xlfn.MINIFS($M:$M,$E:$E,$E3020,$K:$K,$K3020,$M:$M,"&gt;"&amp;$O3020),"")</f>
        <v/>
      </c>
      <c r="Q3020" s="396">
        <f>IF($P3020="","",$P3020-$O3020)</f>
        <v/>
      </c>
    </row>
    <row r="3021" ht="15" customHeight="1" s="231">
      <c r="A3021" s="397" t="n"/>
      <c r="B3021" s="397" t="n"/>
      <c r="C3021" s="397" t="n"/>
      <c r="D3021" s="397" t="n"/>
      <c r="E3021" s="397" t="n"/>
      <c r="F3021" s="397" t="n"/>
      <c r="G3021" s="397" t="n"/>
      <c r="I3021" s="397" t="n"/>
      <c r="J3021" s="397" t="n"/>
      <c r="K3021" s="395">
        <f>DATE(VALUE(LEFT(A3021,4)),VALUE(MID(A3021,5,2)),VALUE(RIGHT(A3021,2)))</f>
        <v/>
      </c>
      <c r="L3021" s="395">
        <f>DATEVALUE(LEFT(F3021,10))</f>
        <v/>
      </c>
      <c r="M3021" s="396">
        <f>TIMEVALUE(MID(F3021,12,8))</f>
        <v/>
      </c>
      <c r="N3021" s="395">
        <f>DATEVALUE(LEFT(G3021,10))</f>
        <v/>
      </c>
      <c r="O3021" s="396">
        <f>TIMEVALUE(MID(G3021,12,8))</f>
        <v/>
      </c>
      <c r="P3021" s="396">
        <f>IFERROR(_xlfn.MINIFS($M:$M,$E:$E,$E3021,$K:$K,$K3021,$M:$M,"&gt;"&amp;$O3021),"")</f>
        <v/>
      </c>
      <c r="Q3021" s="396">
        <f>IF($P3021="","",$P3021-$O3021)</f>
        <v/>
      </c>
    </row>
    <row r="3022" ht="15" customHeight="1" s="231">
      <c r="A3022" s="397" t="n"/>
      <c r="B3022" s="397" t="n"/>
      <c r="C3022" s="397" t="n"/>
      <c r="D3022" s="397" t="n"/>
      <c r="E3022" s="397" t="n"/>
      <c r="F3022" s="397" t="n"/>
      <c r="G3022" s="397" t="n"/>
      <c r="I3022" s="397" t="n"/>
      <c r="J3022" s="397" t="n"/>
      <c r="K3022" s="395">
        <f>DATE(VALUE(LEFT(A3022,4)),VALUE(MID(A3022,5,2)),VALUE(RIGHT(A3022,2)))</f>
        <v/>
      </c>
      <c r="L3022" s="395">
        <f>DATEVALUE(LEFT(F3022,10))</f>
        <v/>
      </c>
      <c r="M3022" s="396">
        <f>TIMEVALUE(MID(F3022,12,8))</f>
        <v/>
      </c>
      <c r="N3022" s="395">
        <f>DATEVALUE(LEFT(G3022,10))</f>
        <v/>
      </c>
      <c r="O3022" s="396">
        <f>TIMEVALUE(MID(G3022,12,8))</f>
        <v/>
      </c>
      <c r="P3022" s="396">
        <f>IFERROR(_xlfn.MINIFS($M:$M,$E:$E,$E3022,$K:$K,$K3022,$M:$M,"&gt;"&amp;$O3022),"")</f>
        <v/>
      </c>
      <c r="Q3022" s="396">
        <f>IF($P3022="","",$P3022-$O3022)</f>
        <v/>
      </c>
    </row>
    <row r="3023" ht="15" customHeight="1" s="231">
      <c r="A3023" s="397" t="n"/>
      <c r="B3023" s="397" t="n"/>
      <c r="C3023" s="397" t="n"/>
      <c r="D3023" s="397" t="n"/>
      <c r="E3023" s="397" t="n"/>
      <c r="F3023" s="397" t="n"/>
      <c r="G3023" s="397" t="n"/>
      <c r="I3023" s="397" t="n"/>
      <c r="J3023" s="397" t="n"/>
      <c r="K3023" s="395">
        <f>DATE(VALUE(LEFT(A3023,4)),VALUE(MID(A3023,5,2)),VALUE(RIGHT(A3023,2)))</f>
        <v/>
      </c>
      <c r="L3023" s="395">
        <f>DATEVALUE(LEFT(F3023,10))</f>
        <v/>
      </c>
      <c r="M3023" s="396">
        <f>TIMEVALUE(MID(F3023,12,8))</f>
        <v/>
      </c>
      <c r="N3023" s="395">
        <f>DATEVALUE(LEFT(G3023,10))</f>
        <v/>
      </c>
      <c r="O3023" s="396">
        <f>TIMEVALUE(MID(G3023,12,8))</f>
        <v/>
      </c>
      <c r="P3023" s="396">
        <f>IFERROR(_xlfn.MINIFS($M:$M,$E:$E,$E3023,$K:$K,$K3023,$M:$M,"&gt;"&amp;$O3023),"")</f>
        <v/>
      </c>
      <c r="Q3023" s="396">
        <f>IF($P3023="","",$P3023-$O3023)</f>
        <v/>
      </c>
    </row>
    <row r="3024" ht="15" customHeight="1" s="231">
      <c r="A3024" s="397" t="n"/>
      <c r="B3024" s="397" t="n"/>
      <c r="C3024" s="397" t="n"/>
      <c r="D3024" s="397" t="n"/>
      <c r="E3024" s="397" t="n"/>
      <c r="F3024" s="397" t="n"/>
      <c r="G3024" s="397" t="n"/>
      <c r="I3024" s="397" t="n"/>
      <c r="J3024" s="397" t="n"/>
      <c r="K3024" s="395">
        <f>DATE(VALUE(LEFT(A3024,4)),VALUE(MID(A3024,5,2)),VALUE(RIGHT(A3024,2)))</f>
        <v/>
      </c>
      <c r="L3024" s="395">
        <f>DATEVALUE(LEFT(F3024,10))</f>
        <v/>
      </c>
      <c r="M3024" s="396">
        <f>TIMEVALUE(MID(F3024,12,8))</f>
        <v/>
      </c>
      <c r="N3024" s="395">
        <f>DATEVALUE(LEFT(G3024,10))</f>
        <v/>
      </c>
      <c r="O3024" s="396">
        <f>TIMEVALUE(MID(G3024,12,8))</f>
        <v/>
      </c>
      <c r="P3024" s="396">
        <f>IFERROR(_xlfn.MINIFS($M:$M,$E:$E,$E3024,$K:$K,$K3024,$M:$M,"&gt;"&amp;$O3024),"")</f>
        <v/>
      </c>
      <c r="Q3024" s="396">
        <f>IF($P3024="","",$P3024-$O3024)</f>
        <v/>
      </c>
    </row>
    <row r="3025" ht="15" customHeight="1" s="231">
      <c r="A3025" s="397" t="n"/>
      <c r="B3025" s="397" t="n"/>
      <c r="C3025" s="397" t="n"/>
      <c r="D3025" s="397" t="n"/>
      <c r="E3025" s="397" t="n"/>
      <c r="F3025" s="397" t="n"/>
      <c r="G3025" s="397" t="n"/>
      <c r="I3025" s="397" t="n"/>
      <c r="J3025" s="397" t="n"/>
      <c r="K3025" s="395">
        <f>DATE(VALUE(LEFT(A3025,4)),VALUE(MID(A3025,5,2)),VALUE(RIGHT(A3025,2)))</f>
        <v/>
      </c>
      <c r="L3025" s="395">
        <f>DATEVALUE(LEFT(F3025,10))</f>
        <v/>
      </c>
      <c r="M3025" s="396">
        <f>TIMEVALUE(MID(F3025,12,8))</f>
        <v/>
      </c>
      <c r="N3025" s="395">
        <f>DATEVALUE(LEFT(G3025,10))</f>
        <v/>
      </c>
      <c r="O3025" s="396">
        <f>TIMEVALUE(MID(G3025,12,8))</f>
        <v/>
      </c>
      <c r="P3025" s="396">
        <f>IFERROR(_xlfn.MINIFS($M:$M,$E:$E,$E3025,$K:$K,$K3025,$M:$M,"&gt;"&amp;$O3025),"")</f>
        <v/>
      </c>
      <c r="Q3025" s="396">
        <f>IF($P3025="","",$P3025-$O3025)</f>
        <v/>
      </c>
    </row>
    <row r="3026" ht="15" customHeight="1" s="231">
      <c r="A3026" s="397" t="n"/>
      <c r="B3026" s="397" t="n"/>
      <c r="C3026" s="397" t="n"/>
      <c r="D3026" s="397" t="n"/>
      <c r="E3026" s="397" t="n"/>
      <c r="F3026" s="397" t="n"/>
      <c r="G3026" s="397" t="n"/>
      <c r="I3026" s="397" t="n"/>
      <c r="J3026" s="397" t="n"/>
      <c r="K3026" s="395">
        <f>DATE(VALUE(LEFT(A3026,4)),VALUE(MID(A3026,5,2)),VALUE(RIGHT(A3026,2)))</f>
        <v/>
      </c>
      <c r="L3026" s="395">
        <f>DATEVALUE(LEFT(F3026,10))</f>
        <v/>
      </c>
      <c r="M3026" s="396">
        <f>TIMEVALUE(MID(F3026,12,8))</f>
        <v/>
      </c>
      <c r="N3026" s="395">
        <f>DATEVALUE(LEFT(G3026,10))</f>
        <v/>
      </c>
      <c r="O3026" s="396">
        <f>TIMEVALUE(MID(G3026,12,8))</f>
        <v/>
      </c>
      <c r="P3026" s="396">
        <f>IFERROR(_xlfn.MINIFS($M:$M,$E:$E,$E3026,$K:$K,$K3026,$M:$M,"&gt;"&amp;$O3026),"")</f>
        <v/>
      </c>
      <c r="Q3026" s="396">
        <f>IF($P3026="","",$P3026-$O3026)</f>
        <v/>
      </c>
    </row>
    <row r="3027" ht="15" customHeight="1" s="231">
      <c r="A3027" s="397" t="n"/>
      <c r="B3027" s="397" t="n"/>
      <c r="C3027" s="397" t="n"/>
      <c r="D3027" s="397" t="n"/>
      <c r="E3027" s="397" t="n"/>
      <c r="F3027" s="397" t="n"/>
      <c r="G3027" s="397" t="n"/>
      <c r="I3027" s="397" t="n"/>
      <c r="J3027" s="397" t="n"/>
      <c r="K3027" s="395">
        <f>DATE(VALUE(LEFT(A3027,4)),VALUE(MID(A3027,5,2)),VALUE(RIGHT(A3027,2)))</f>
        <v/>
      </c>
      <c r="L3027" s="395">
        <f>DATEVALUE(LEFT(F3027,10))</f>
        <v/>
      </c>
      <c r="M3027" s="396">
        <f>TIMEVALUE(MID(F3027,12,8))</f>
        <v/>
      </c>
      <c r="N3027" s="395">
        <f>DATEVALUE(LEFT(G3027,10))</f>
        <v/>
      </c>
      <c r="O3027" s="396">
        <f>TIMEVALUE(MID(G3027,12,8))</f>
        <v/>
      </c>
      <c r="P3027" s="396">
        <f>IFERROR(_xlfn.MINIFS($M:$M,$E:$E,$E3027,$K:$K,$K3027,$M:$M,"&gt;"&amp;$O3027),"")</f>
        <v/>
      </c>
      <c r="Q3027" s="396">
        <f>IF($P3027="","",$P3027-$O3027)</f>
        <v/>
      </c>
    </row>
    <row r="3028" ht="15" customHeight="1" s="231">
      <c r="A3028" s="397" t="n"/>
      <c r="B3028" s="397" t="n"/>
      <c r="C3028" s="397" t="n"/>
      <c r="D3028" s="397" t="n"/>
      <c r="E3028" s="397" t="n"/>
      <c r="F3028" s="397" t="n"/>
      <c r="G3028" s="397" t="n"/>
      <c r="I3028" s="397" t="n"/>
      <c r="J3028" s="397" t="n"/>
      <c r="K3028" s="395">
        <f>DATE(VALUE(LEFT(A3028,4)),VALUE(MID(A3028,5,2)),VALUE(RIGHT(A3028,2)))</f>
        <v/>
      </c>
      <c r="L3028" s="395">
        <f>DATEVALUE(LEFT(F3028,10))</f>
        <v/>
      </c>
      <c r="M3028" s="396">
        <f>TIMEVALUE(MID(F3028,12,8))</f>
        <v/>
      </c>
      <c r="N3028" s="395">
        <f>DATEVALUE(LEFT(G3028,10))</f>
        <v/>
      </c>
      <c r="O3028" s="396">
        <f>TIMEVALUE(MID(G3028,12,8))</f>
        <v/>
      </c>
      <c r="P3028" s="396">
        <f>IFERROR(_xlfn.MINIFS($M:$M,$E:$E,$E3028,$K:$K,$K3028,$M:$M,"&gt;"&amp;$O3028),"")</f>
        <v/>
      </c>
      <c r="Q3028" s="396">
        <f>IF($P3028="","",$P3028-$O3028)</f>
        <v/>
      </c>
    </row>
    <row r="3029" ht="15" customHeight="1" s="231">
      <c r="A3029" s="397" t="n"/>
      <c r="B3029" s="397" t="n"/>
      <c r="C3029" s="397" t="n"/>
      <c r="D3029" s="397" t="n"/>
      <c r="E3029" s="397" t="n"/>
      <c r="F3029" s="397" t="n"/>
      <c r="G3029" s="397" t="n"/>
      <c r="I3029" s="397" t="n"/>
      <c r="J3029" s="397" t="n"/>
      <c r="K3029" s="395">
        <f>DATE(VALUE(LEFT(A3029,4)),VALUE(MID(A3029,5,2)),VALUE(RIGHT(A3029,2)))</f>
        <v/>
      </c>
      <c r="L3029" s="395">
        <f>DATEVALUE(LEFT(F3029,10))</f>
        <v/>
      </c>
      <c r="M3029" s="396">
        <f>TIMEVALUE(MID(F3029,12,8))</f>
        <v/>
      </c>
      <c r="N3029" s="395">
        <f>DATEVALUE(LEFT(G3029,10))</f>
        <v/>
      </c>
      <c r="O3029" s="396">
        <f>TIMEVALUE(MID(G3029,12,8))</f>
        <v/>
      </c>
      <c r="P3029" s="396">
        <f>IFERROR(_xlfn.MINIFS($M:$M,$E:$E,$E3029,$K:$K,$K3029,$M:$M,"&gt;"&amp;$O3029),"")</f>
        <v/>
      </c>
      <c r="Q3029" s="396">
        <f>IF($P3029="","",$P3029-$O3029)</f>
        <v/>
      </c>
    </row>
    <row r="3030" ht="15" customHeight="1" s="231">
      <c r="A3030" s="397" t="n"/>
      <c r="B3030" s="397" t="n"/>
      <c r="C3030" s="397" t="n"/>
      <c r="D3030" s="397" t="n"/>
      <c r="E3030" s="397" t="n"/>
      <c r="F3030" s="397" t="n"/>
      <c r="G3030" s="397" t="n"/>
      <c r="I3030" s="397" t="n"/>
      <c r="J3030" s="397" t="n"/>
      <c r="K3030" s="395">
        <f>DATE(VALUE(LEFT(A3030,4)),VALUE(MID(A3030,5,2)),VALUE(RIGHT(A3030,2)))</f>
        <v/>
      </c>
      <c r="L3030" s="395">
        <f>DATEVALUE(LEFT(F3030,10))</f>
        <v/>
      </c>
      <c r="M3030" s="396">
        <f>TIMEVALUE(MID(F3030,12,8))</f>
        <v/>
      </c>
      <c r="N3030" s="395">
        <f>DATEVALUE(LEFT(G3030,10))</f>
        <v/>
      </c>
      <c r="O3030" s="396">
        <f>TIMEVALUE(MID(G3030,12,8))</f>
        <v/>
      </c>
      <c r="P3030" s="396">
        <f>IFERROR(_xlfn.MINIFS($M:$M,$E:$E,$E3030,$K:$K,$K3030,$M:$M,"&gt;"&amp;$O3030),"")</f>
        <v/>
      </c>
      <c r="Q3030" s="396">
        <f>IF($P3030="","",$P3030-$O3030)</f>
        <v/>
      </c>
    </row>
    <row r="3031" ht="15" customHeight="1" s="231">
      <c r="A3031" s="397" t="n"/>
      <c r="B3031" s="397" t="n"/>
      <c r="C3031" s="397" t="n"/>
      <c r="D3031" s="397" t="n"/>
      <c r="E3031" s="397" t="n"/>
      <c r="F3031" s="397" t="n"/>
      <c r="G3031" s="397" t="n"/>
      <c r="I3031" s="397" t="n"/>
      <c r="J3031" s="397" t="n"/>
      <c r="K3031" s="395">
        <f>DATE(VALUE(LEFT(A3031,4)),VALUE(MID(A3031,5,2)),VALUE(RIGHT(A3031,2)))</f>
        <v/>
      </c>
      <c r="L3031" s="395">
        <f>DATEVALUE(LEFT(F3031,10))</f>
        <v/>
      </c>
      <c r="M3031" s="396">
        <f>TIMEVALUE(MID(F3031,12,8))</f>
        <v/>
      </c>
      <c r="N3031" s="395">
        <f>DATEVALUE(LEFT(G3031,10))</f>
        <v/>
      </c>
      <c r="O3031" s="396">
        <f>TIMEVALUE(MID(G3031,12,8))</f>
        <v/>
      </c>
      <c r="P3031" s="396">
        <f>IFERROR(_xlfn.MINIFS($M:$M,$E:$E,$E3031,$K:$K,$K3031,$M:$M,"&gt;"&amp;$O3031),"")</f>
        <v/>
      </c>
      <c r="Q3031" s="396">
        <f>IF($P3031="","",$P3031-$O3031)</f>
        <v/>
      </c>
    </row>
    <row r="3032" ht="15" customHeight="1" s="231">
      <c r="A3032" s="397" t="n"/>
      <c r="B3032" s="397" t="n"/>
      <c r="C3032" s="397" t="n"/>
      <c r="D3032" s="397" t="n"/>
      <c r="E3032" s="397" t="n"/>
      <c r="F3032" s="397" t="n"/>
      <c r="G3032" s="397" t="n"/>
      <c r="I3032" s="397" t="n"/>
      <c r="J3032" s="397" t="n"/>
      <c r="K3032" s="395">
        <f>DATE(VALUE(LEFT(A3032,4)),VALUE(MID(A3032,5,2)),VALUE(RIGHT(A3032,2)))</f>
        <v/>
      </c>
      <c r="L3032" s="395">
        <f>DATEVALUE(LEFT(F3032,10))</f>
        <v/>
      </c>
      <c r="M3032" s="396">
        <f>TIMEVALUE(MID(F3032,12,8))</f>
        <v/>
      </c>
      <c r="N3032" s="395">
        <f>DATEVALUE(LEFT(G3032,10))</f>
        <v/>
      </c>
      <c r="O3032" s="396">
        <f>TIMEVALUE(MID(G3032,12,8))</f>
        <v/>
      </c>
      <c r="P3032" s="396">
        <f>IFERROR(_xlfn.MINIFS($M:$M,$E:$E,$E3032,$K:$K,$K3032,$M:$M,"&gt;"&amp;$O3032),"")</f>
        <v/>
      </c>
      <c r="Q3032" s="396">
        <f>IF($P3032="","",$P3032-$O3032)</f>
        <v/>
      </c>
    </row>
    <row r="3033" ht="15" customHeight="1" s="231">
      <c r="A3033" s="397" t="n"/>
      <c r="B3033" s="397" t="n"/>
      <c r="C3033" s="397" t="n"/>
      <c r="D3033" s="397" t="n"/>
      <c r="E3033" s="397" t="n"/>
      <c r="F3033" s="397" t="n"/>
      <c r="G3033" s="397" t="n"/>
      <c r="I3033" s="397" t="n"/>
      <c r="J3033" s="397" t="n"/>
      <c r="K3033" s="395">
        <f>DATE(VALUE(LEFT(A3033,4)),VALUE(MID(A3033,5,2)),VALUE(RIGHT(A3033,2)))</f>
        <v/>
      </c>
      <c r="L3033" s="395">
        <f>DATEVALUE(LEFT(F3033,10))</f>
        <v/>
      </c>
      <c r="M3033" s="396">
        <f>TIMEVALUE(MID(F3033,12,8))</f>
        <v/>
      </c>
      <c r="N3033" s="395">
        <f>DATEVALUE(LEFT(G3033,10))</f>
        <v/>
      </c>
      <c r="O3033" s="396">
        <f>TIMEVALUE(MID(G3033,12,8))</f>
        <v/>
      </c>
      <c r="P3033" s="396">
        <f>IFERROR(_xlfn.MINIFS($M:$M,$E:$E,$E3033,$K:$K,$K3033,$M:$M,"&gt;"&amp;$O3033),"")</f>
        <v/>
      </c>
      <c r="Q3033" s="396">
        <f>IF($P3033="","",$P3033-$O3033)</f>
        <v/>
      </c>
    </row>
    <row r="3034" ht="15" customHeight="1" s="231">
      <c r="A3034" s="397" t="n"/>
      <c r="B3034" s="397" t="n"/>
      <c r="C3034" s="397" t="n"/>
      <c r="D3034" s="397" t="n"/>
      <c r="E3034" s="397" t="n"/>
      <c r="F3034" s="397" t="n"/>
      <c r="G3034" s="397" t="n"/>
      <c r="I3034" s="397" t="n"/>
      <c r="J3034" s="397" t="n"/>
      <c r="K3034" s="395">
        <f>DATE(VALUE(LEFT(A3034,4)),VALUE(MID(A3034,5,2)),VALUE(RIGHT(A3034,2)))</f>
        <v/>
      </c>
      <c r="L3034" s="395">
        <f>DATEVALUE(LEFT(F3034,10))</f>
        <v/>
      </c>
      <c r="M3034" s="396">
        <f>TIMEVALUE(MID(F3034,12,8))</f>
        <v/>
      </c>
      <c r="N3034" s="395">
        <f>DATEVALUE(LEFT(G3034,10))</f>
        <v/>
      </c>
      <c r="O3034" s="396">
        <f>TIMEVALUE(MID(G3034,12,8))</f>
        <v/>
      </c>
      <c r="P3034" s="396">
        <f>IFERROR(_xlfn.MINIFS($M:$M,$E:$E,$E3034,$K:$K,$K3034,$M:$M,"&gt;"&amp;$O3034),"")</f>
        <v/>
      </c>
      <c r="Q3034" s="396">
        <f>IF($P3034="","",$P3034-$O3034)</f>
        <v/>
      </c>
    </row>
    <row r="3035" ht="15" customHeight="1" s="231">
      <c r="A3035" s="397" t="n"/>
      <c r="B3035" s="397" t="n"/>
      <c r="C3035" s="397" t="n"/>
      <c r="D3035" s="397" t="n"/>
      <c r="E3035" s="397" t="n"/>
      <c r="F3035" s="397" t="n"/>
      <c r="G3035" s="397" t="n"/>
      <c r="I3035" s="397" t="n"/>
      <c r="J3035" s="397" t="n"/>
      <c r="K3035" s="395">
        <f>DATE(VALUE(LEFT(A3035,4)),VALUE(MID(A3035,5,2)),VALUE(RIGHT(A3035,2)))</f>
        <v/>
      </c>
      <c r="L3035" s="395">
        <f>DATEVALUE(LEFT(F3035,10))</f>
        <v/>
      </c>
      <c r="M3035" s="396">
        <f>TIMEVALUE(MID(F3035,12,8))</f>
        <v/>
      </c>
      <c r="N3035" s="395">
        <f>DATEVALUE(LEFT(G3035,10))</f>
        <v/>
      </c>
      <c r="O3035" s="396">
        <f>TIMEVALUE(MID(G3035,12,8))</f>
        <v/>
      </c>
      <c r="P3035" s="396">
        <f>IFERROR(_xlfn.MINIFS($M:$M,$E:$E,$E3035,$K:$K,$K3035,$M:$M,"&gt;"&amp;$O3035),"")</f>
        <v/>
      </c>
      <c r="Q3035" s="396">
        <f>IF($P3035="","",$P3035-$O3035)</f>
        <v/>
      </c>
    </row>
    <row r="3036" ht="15" customHeight="1" s="231">
      <c r="A3036" s="397" t="n"/>
      <c r="B3036" s="397" t="n"/>
      <c r="C3036" s="397" t="n"/>
      <c r="D3036" s="397" t="n"/>
      <c r="E3036" s="397" t="n"/>
      <c r="F3036" s="397" t="n"/>
      <c r="G3036" s="397" t="n"/>
      <c r="I3036" s="397" t="n"/>
      <c r="J3036" s="397" t="n"/>
      <c r="K3036" s="395">
        <f>DATE(VALUE(LEFT(A3036,4)),VALUE(MID(A3036,5,2)),VALUE(RIGHT(A3036,2)))</f>
        <v/>
      </c>
      <c r="L3036" s="395">
        <f>DATEVALUE(LEFT(F3036,10))</f>
        <v/>
      </c>
      <c r="M3036" s="396">
        <f>TIMEVALUE(MID(F3036,12,8))</f>
        <v/>
      </c>
      <c r="N3036" s="395">
        <f>DATEVALUE(LEFT(G3036,10))</f>
        <v/>
      </c>
      <c r="O3036" s="396">
        <f>TIMEVALUE(MID(G3036,12,8))</f>
        <v/>
      </c>
      <c r="P3036" s="396">
        <f>IFERROR(_xlfn.MINIFS($M:$M,$E:$E,$E3036,$K:$K,$K3036,$M:$M,"&gt;"&amp;$O3036),"")</f>
        <v/>
      </c>
      <c r="Q3036" s="396">
        <f>IF($P3036="","",$P3036-$O3036)</f>
        <v/>
      </c>
    </row>
    <row r="3037" ht="15" customHeight="1" s="231">
      <c r="A3037" s="397" t="n"/>
      <c r="B3037" s="397" t="n"/>
      <c r="C3037" s="397" t="n"/>
      <c r="D3037" s="397" t="n"/>
      <c r="E3037" s="397" t="n"/>
      <c r="F3037" s="397" t="n"/>
      <c r="G3037" s="397" t="n"/>
      <c r="I3037" s="397" t="n"/>
      <c r="J3037" s="397" t="n"/>
      <c r="K3037" s="395">
        <f>DATE(VALUE(LEFT(A3037,4)),VALUE(MID(A3037,5,2)),VALUE(RIGHT(A3037,2)))</f>
        <v/>
      </c>
      <c r="L3037" s="395">
        <f>DATEVALUE(LEFT(F3037,10))</f>
        <v/>
      </c>
      <c r="M3037" s="396">
        <f>TIMEVALUE(MID(F3037,12,8))</f>
        <v/>
      </c>
      <c r="N3037" s="395">
        <f>DATEVALUE(LEFT(G3037,10))</f>
        <v/>
      </c>
      <c r="O3037" s="396">
        <f>TIMEVALUE(MID(G3037,12,8))</f>
        <v/>
      </c>
      <c r="P3037" s="396">
        <f>IFERROR(_xlfn.MINIFS($M:$M,$E:$E,$E3037,$K:$K,$K3037,$M:$M,"&gt;"&amp;$O3037),"")</f>
        <v/>
      </c>
      <c r="Q3037" s="396">
        <f>IF($P3037="","",$P3037-$O3037)</f>
        <v/>
      </c>
    </row>
    <row r="3038" ht="15" customHeight="1" s="231">
      <c r="A3038" s="397" t="n"/>
      <c r="B3038" s="397" t="n"/>
      <c r="C3038" s="397" t="n"/>
      <c r="D3038" s="397" t="n"/>
      <c r="E3038" s="397" t="n"/>
      <c r="F3038" s="397" t="n"/>
      <c r="G3038" s="397" t="n"/>
      <c r="I3038" s="397" t="n"/>
      <c r="J3038" s="397" t="n"/>
      <c r="K3038" s="395">
        <f>DATE(VALUE(LEFT(A3038,4)),VALUE(MID(A3038,5,2)),VALUE(RIGHT(A3038,2)))</f>
        <v/>
      </c>
      <c r="L3038" s="395">
        <f>DATEVALUE(LEFT(F3038,10))</f>
        <v/>
      </c>
      <c r="M3038" s="396">
        <f>TIMEVALUE(MID(F3038,12,8))</f>
        <v/>
      </c>
      <c r="N3038" s="395">
        <f>DATEVALUE(LEFT(G3038,10))</f>
        <v/>
      </c>
      <c r="O3038" s="396">
        <f>TIMEVALUE(MID(G3038,12,8))</f>
        <v/>
      </c>
      <c r="P3038" s="396">
        <f>IFERROR(_xlfn.MINIFS($M:$M,$E:$E,$E3038,$K:$K,$K3038,$M:$M,"&gt;"&amp;$O3038),"")</f>
        <v/>
      </c>
      <c r="Q3038" s="396">
        <f>IF($P3038="","",$P3038-$O3038)</f>
        <v/>
      </c>
    </row>
    <row r="3039" ht="15" customHeight="1" s="231">
      <c r="A3039" s="397" t="n"/>
      <c r="B3039" s="397" t="n"/>
      <c r="C3039" s="397" t="n"/>
      <c r="D3039" s="397" t="n"/>
      <c r="E3039" s="397" t="n"/>
      <c r="F3039" s="397" t="n"/>
      <c r="G3039" s="397" t="n"/>
      <c r="I3039" s="397" t="n"/>
      <c r="J3039" s="397" t="n"/>
      <c r="K3039" s="395">
        <f>DATE(VALUE(LEFT(A3039,4)),VALUE(MID(A3039,5,2)),VALUE(RIGHT(A3039,2)))</f>
        <v/>
      </c>
      <c r="L3039" s="395">
        <f>DATEVALUE(LEFT(F3039,10))</f>
        <v/>
      </c>
      <c r="M3039" s="396">
        <f>TIMEVALUE(MID(F3039,12,8))</f>
        <v/>
      </c>
      <c r="N3039" s="395">
        <f>DATEVALUE(LEFT(G3039,10))</f>
        <v/>
      </c>
      <c r="O3039" s="396">
        <f>TIMEVALUE(MID(G3039,12,8))</f>
        <v/>
      </c>
      <c r="P3039" s="396">
        <f>IFERROR(_xlfn.MINIFS($M:$M,$E:$E,$E3039,$K:$K,$K3039,$M:$M,"&gt;"&amp;$O3039),"")</f>
        <v/>
      </c>
      <c r="Q3039" s="396">
        <f>IF($P3039="","",$P3039-$O3039)</f>
        <v/>
      </c>
    </row>
    <row r="3040" ht="15" customHeight="1" s="231">
      <c r="A3040" s="397" t="n"/>
      <c r="B3040" s="397" t="n"/>
      <c r="C3040" s="397" t="n"/>
      <c r="D3040" s="397" t="n"/>
      <c r="E3040" s="397" t="n"/>
      <c r="F3040" s="397" t="n"/>
      <c r="G3040" s="397" t="n"/>
      <c r="I3040" s="397" t="n"/>
      <c r="J3040" s="397" t="n"/>
      <c r="K3040" s="395">
        <f>DATE(VALUE(LEFT(A3040,4)),VALUE(MID(A3040,5,2)),VALUE(RIGHT(A3040,2)))</f>
        <v/>
      </c>
      <c r="L3040" s="395">
        <f>DATEVALUE(LEFT(F3040,10))</f>
        <v/>
      </c>
      <c r="M3040" s="396">
        <f>TIMEVALUE(MID(F3040,12,8))</f>
        <v/>
      </c>
      <c r="N3040" s="395">
        <f>DATEVALUE(LEFT(G3040,10))</f>
        <v/>
      </c>
      <c r="O3040" s="396">
        <f>TIMEVALUE(MID(G3040,12,8))</f>
        <v/>
      </c>
      <c r="P3040" s="396">
        <f>IFERROR(_xlfn.MINIFS($M:$M,$E:$E,$E3040,$K:$K,$K3040,$M:$M,"&gt;"&amp;$O3040),"")</f>
        <v/>
      </c>
      <c r="Q3040" s="396">
        <f>IF($P3040="","",$P3040-$O3040)</f>
        <v/>
      </c>
    </row>
    <row r="3041" ht="15" customHeight="1" s="231">
      <c r="A3041" s="397" t="n"/>
      <c r="B3041" s="397" t="n"/>
      <c r="C3041" s="397" t="n"/>
      <c r="D3041" s="397" t="n"/>
      <c r="E3041" s="397" t="n"/>
      <c r="F3041" s="397" t="n"/>
      <c r="G3041" s="397" t="n"/>
      <c r="I3041" s="397" t="n"/>
      <c r="J3041" s="397" t="n"/>
      <c r="K3041" s="395">
        <f>DATE(VALUE(LEFT(A3041,4)),VALUE(MID(A3041,5,2)),VALUE(RIGHT(A3041,2)))</f>
        <v/>
      </c>
      <c r="L3041" s="395">
        <f>DATEVALUE(LEFT(F3041,10))</f>
        <v/>
      </c>
      <c r="M3041" s="396">
        <f>TIMEVALUE(MID(F3041,12,8))</f>
        <v/>
      </c>
      <c r="N3041" s="395">
        <f>DATEVALUE(LEFT(G3041,10))</f>
        <v/>
      </c>
      <c r="O3041" s="396">
        <f>TIMEVALUE(MID(G3041,12,8))</f>
        <v/>
      </c>
      <c r="P3041" s="396">
        <f>IFERROR(_xlfn.MINIFS($M:$M,$E:$E,$E3041,$K:$K,$K3041,$M:$M,"&gt;"&amp;$O3041),"")</f>
        <v/>
      </c>
      <c r="Q3041" s="396">
        <f>IF($P3041="","",$P3041-$O3041)</f>
        <v/>
      </c>
    </row>
    <row r="3042" ht="15" customHeight="1" s="231">
      <c r="A3042" s="397" t="n"/>
      <c r="B3042" s="397" t="n"/>
      <c r="C3042" s="397" t="n"/>
      <c r="D3042" s="397" t="n"/>
      <c r="E3042" s="397" t="n"/>
      <c r="F3042" s="397" t="n"/>
      <c r="G3042" s="397" t="n"/>
      <c r="I3042" s="397" t="n"/>
      <c r="J3042" s="397" t="n"/>
      <c r="K3042" s="395">
        <f>DATE(VALUE(LEFT(A3042,4)),VALUE(MID(A3042,5,2)),VALUE(RIGHT(A3042,2)))</f>
        <v/>
      </c>
      <c r="L3042" s="395">
        <f>DATEVALUE(LEFT(F3042,10))</f>
        <v/>
      </c>
      <c r="M3042" s="396">
        <f>TIMEVALUE(MID(F3042,12,8))</f>
        <v/>
      </c>
      <c r="N3042" s="395">
        <f>DATEVALUE(LEFT(G3042,10))</f>
        <v/>
      </c>
      <c r="O3042" s="396">
        <f>TIMEVALUE(MID(G3042,12,8))</f>
        <v/>
      </c>
      <c r="P3042" s="396">
        <f>IFERROR(_xlfn.MINIFS($M:$M,$E:$E,$E3042,$K:$K,$K3042,$M:$M,"&gt;"&amp;$O3042),"")</f>
        <v/>
      </c>
      <c r="Q3042" s="396">
        <f>IF($P3042="","",$P3042-$O3042)</f>
        <v/>
      </c>
    </row>
    <row r="3043" ht="15" customHeight="1" s="231">
      <c r="A3043" s="397" t="n"/>
      <c r="B3043" s="397" t="n"/>
      <c r="C3043" s="397" t="n"/>
      <c r="D3043" s="397" t="n"/>
      <c r="E3043" s="397" t="n"/>
      <c r="F3043" s="397" t="n"/>
      <c r="G3043" s="397" t="n"/>
      <c r="I3043" s="397" t="n"/>
      <c r="J3043" s="397" t="n"/>
      <c r="K3043" s="395">
        <f>DATE(VALUE(LEFT(A3043,4)),VALUE(MID(A3043,5,2)),VALUE(RIGHT(A3043,2)))</f>
        <v/>
      </c>
      <c r="L3043" s="395">
        <f>DATEVALUE(LEFT(F3043,10))</f>
        <v/>
      </c>
      <c r="M3043" s="396">
        <f>TIMEVALUE(MID(F3043,12,8))</f>
        <v/>
      </c>
      <c r="N3043" s="395">
        <f>DATEVALUE(LEFT(G3043,10))</f>
        <v/>
      </c>
      <c r="O3043" s="396">
        <f>TIMEVALUE(MID(G3043,12,8))</f>
        <v/>
      </c>
      <c r="P3043" s="396">
        <f>IFERROR(_xlfn.MINIFS($M:$M,$E:$E,$E3043,$K:$K,$K3043,$M:$M,"&gt;"&amp;$O3043),"")</f>
        <v/>
      </c>
      <c r="Q3043" s="396">
        <f>IF($P3043="","",$P3043-$O3043)</f>
        <v/>
      </c>
    </row>
    <row r="3044" ht="15" customHeight="1" s="231">
      <c r="A3044" s="397" t="n"/>
      <c r="B3044" s="397" t="n"/>
      <c r="C3044" s="397" t="n"/>
      <c r="D3044" s="397" t="n"/>
      <c r="E3044" s="397" t="n"/>
      <c r="F3044" s="397" t="n"/>
      <c r="G3044" s="397" t="n"/>
      <c r="I3044" s="397" t="n"/>
      <c r="J3044" s="397" t="n"/>
      <c r="K3044" s="395">
        <f>DATE(VALUE(LEFT(A3044,4)),VALUE(MID(A3044,5,2)),VALUE(RIGHT(A3044,2)))</f>
        <v/>
      </c>
      <c r="L3044" s="395">
        <f>DATEVALUE(LEFT(F3044,10))</f>
        <v/>
      </c>
      <c r="M3044" s="396">
        <f>TIMEVALUE(MID(F3044,12,8))</f>
        <v/>
      </c>
      <c r="N3044" s="395">
        <f>DATEVALUE(LEFT(G3044,10))</f>
        <v/>
      </c>
      <c r="O3044" s="396">
        <f>TIMEVALUE(MID(G3044,12,8))</f>
        <v/>
      </c>
      <c r="P3044" s="396">
        <f>IFERROR(_xlfn.MINIFS($M:$M,$E:$E,$E3044,$K:$K,$K3044,$M:$M,"&gt;"&amp;$O3044),"")</f>
        <v/>
      </c>
      <c r="Q3044" s="396">
        <f>IF($P3044="","",$P3044-$O3044)</f>
        <v/>
      </c>
    </row>
    <row r="3045" ht="15" customHeight="1" s="231">
      <c r="A3045" s="397" t="n"/>
      <c r="B3045" s="397" t="n"/>
      <c r="C3045" s="397" t="n"/>
      <c r="D3045" s="397" t="n"/>
      <c r="E3045" s="397" t="n"/>
      <c r="F3045" s="397" t="n"/>
      <c r="G3045" s="397" t="n"/>
      <c r="I3045" s="397" t="n"/>
      <c r="J3045" s="397" t="n"/>
      <c r="K3045" s="395">
        <f>DATE(VALUE(LEFT(A3045,4)),VALUE(MID(A3045,5,2)),VALUE(RIGHT(A3045,2)))</f>
        <v/>
      </c>
      <c r="L3045" s="395">
        <f>DATEVALUE(LEFT(F3045,10))</f>
        <v/>
      </c>
      <c r="M3045" s="396">
        <f>TIMEVALUE(MID(F3045,12,8))</f>
        <v/>
      </c>
      <c r="N3045" s="395">
        <f>DATEVALUE(LEFT(G3045,10))</f>
        <v/>
      </c>
      <c r="O3045" s="396">
        <f>TIMEVALUE(MID(G3045,12,8))</f>
        <v/>
      </c>
      <c r="P3045" s="396">
        <f>IFERROR(_xlfn.MINIFS($M:$M,$E:$E,$E3045,$K:$K,$K3045,$M:$M,"&gt;"&amp;$O3045),"")</f>
        <v/>
      </c>
      <c r="Q3045" s="396">
        <f>IF($P3045="","",$P3045-$O3045)</f>
        <v/>
      </c>
    </row>
    <row r="3046" ht="15" customHeight="1" s="231">
      <c r="A3046" s="397" t="n"/>
      <c r="B3046" s="397" t="n"/>
      <c r="C3046" s="397" t="n"/>
      <c r="D3046" s="397" t="n"/>
      <c r="E3046" s="397" t="n"/>
      <c r="F3046" s="397" t="n"/>
      <c r="G3046" s="397" t="n"/>
      <c r="I3046" s="397" t="n"/>
      <c r="J3046" s="397" t="n"/>
      <c r="K3046" s="395">
        <f>DATE(VALUE(LEFT(A3046,4)),VALUE(MID(A3046,5,2)),VALUE(RIGHT(A3046,2)))</f>
        <v/>
      </c>
      <c r="L3046" s="395">
        <f>DATEVALUE(LEFT(F3046,10))</f>
        <v/>
      </c>
      <c r="M3046" s="396">
        <f>TIMEVALUE(MID(F3046,12,8))</f>
        <v/>
      </c>
      <c r="N3046" s="395">
        <f>DATEVALUE(LEFT(G3046,10))</f>
        <v/>
      </c>
      <c r="O3046" s="396">
        <f>TIMEVALUE(MID(G3046,12,8))</f>
        <v/>
      </c>
      <c r="P3046" s="396">
        <f>IFERROR(_xlfn.MINIFS($M:$M,$E:$E,$E3046,$K:$K,$K3046,$M:$M,"&gt;"&amp;$O3046),"")</f>
        <v/>
      </c>
      <c r="Q3046" s="396">
        <f>IF($P3046="","",$P3046-$O3046)</f>
        <v/>
      </c>
    </row>
    <row r="3047" ht="15" customHeight="1" s="231">
      <c r="A3047" s="397" t="n"/>
      <c r="B3047" s="397" t="n"/>
      <c r="C3047" s="397" t="n"/>
      <c r="D3047" s="397" t="n"/>
      <c r="E3047" s="397" t="n"/>
      <c r="F3047" s="397" t="n"/>
      <c r="G3047" s="397" t="n"/>
      <c r="I3047" s="397" t="n"/>
      <c r="J3047" s="397" t="n"/>
      <c r="K3047" s="395">
        <f>DATE(VALUE(LEFT(A3047,4)),VALUE(MID(A3047,5,2)),VALUE(RIGHT(A3047,2)))</f>
        <v/>
      </c>
      <c r="L3047" s="395">
        <f>DATEVALUE(LEFT(F3047,10))</f>
        <v/>
      </c>
      <c r="M3047" s="396">
        <f>TIMEVALUE(MID(F3047,12,8))</f>
        <v/>
      </c>
      <c r="N3047" s="395">
        <f>DATEVALUE(LEFT(G3047,10))</f>
        <v/>
      </c>
      <c r="O3047" s="396">
        <f>TIMEVALUE(MID(G3047,12,8))</f>
        <v/>
      </c>
      <c r="P3047" s="396">
        <f>IFERROR(_xlfn.MINIFS($M:$M,$E:$E,$E3047,$K:$K,$K3047,$M:$M,"&gt;"&amp;$O3047),"")</f>
        <v/>
      </c>
      <c r="Q3047" s="396">
        <f>IF($P3047="","",$P3047-$O3047)</f>
        <v/>
      </c>
    </row>
    <row r="3048" ht="15" customHeight="1" s="231">
      <c r="A3048" s="397" t="n"/>
      <c r="B3048" s="397" t="n"/>
      <c r="C3048" s="397" t="n"/>
      <c r="D3048" s="397" t="n"/>
      <c r="E3048" s="397" t="n"/>
      <c r="F3048" s="397" t="n"/>
      <c r="G3048" s="397" t="n"/>
      <c r="I3048" s="397" t="n"/>
      <c r="J3048" s="397" t="n"/>
      <c r="K3048" s="395">
        <f>DATE(VALUE(LEFT(A3048,4)),VALUE(MID(A3048,5,2)),VALUE(RIGHT(A3048,2)))</f>
        <v/>
      </c>
      <c r="L3048" s="395">
        <f>DATEVALUE(LEFT(F3048,10))</f>
        <v/>
      </c>
      <c r="M3048" s="396">
        <f>TIMEVALUE(MID(F3048,12,8))</f>
        <v/>
      </c>
      <c r="N3048" s="395">
        <f>DATEVALUE(LEFT(G3048,10))</f>
        <v/>
      </c>
      <c r="O3048" s="396">
        <f>TIMEVALUE(MID(G3048,12,8))</f>
        <v/>
      </c>
      <c r="P3048" s="396">
        <f>IFERROR(_xlfn.MINIFS($M:$M,$E:$E,$E3048,$K:$K,$K3048,$M:$M,"&gt;"&amp;$O3048),"")</f>
        <v/>
      </c>
      <c r="Q3048" s="396">
        <f>IF($P3048="","",$P3048-$O3048)</f>
        <v/>
      </c>
    </row>
    <row r="3049" ht="15" customHeight="1" s="231">
      <c r="A3049" s="397" t="n"/>
      <c r="B3049" s="397" t="n"/>
      <c r="C3049" s="397" t="n"/>
      <c r="D3049" s="397" t="n"/>
      <c r="E3049" s="397" t="n"/>
      <c r="F3049" s="397" t="n"/>
      <c r="G3049" s="397" t="n"/>
      <c r="I3049" s="397" t="n"/>
      <c r="J3049" s="397" t="n"/>
      <c r="K3049" s="395">
        <f>DATE(VALUE(LEFT(A3049,4)),VALUE(MID(A3049,5,2)),VALUE(RIGHT(A3049,2)))</f>
        <v/>
      </c>
      <c r="L3049" s="395">
        <f>DATEVALUE(LEFT(F3049,10))</f>
        <v/>
      </c>
      <c r="M3049" s="396">
        <f>TIMEVALUE(MID(F3049,12,8))</f>
        <v/>
      </c>
      <c r="N3049" s="395">
        <f>DATEVALUE(LEFT(G3049,10))</f>
        <v/>
      </c>
      <c r="O3049" s="396">
        <f>TIMEVALUE(MID(G3049,12,8))</f>
        <v/>
      </c>
      <c r="P3049" s="396">
        <f>IFERROR(_xlfn.MINIFS($M:$M,$E:$E,$E3049,$K:$K,$K3049,$M:$M,"&gt;"&amp;$O3049),"")</f>
        <v/>
      </c>
      <c r="Q3049" s="396">
        <f>IF($P3049="","",$P3049-$O3049)</f>
        <v/>
      </c>
    </row>
    <row r="3050" ht="15" customHeight="1" s="231">
      <c r="A3050" s="397" t="n"/>
      <c r="B3050" s="397" t="n"/>
      <c r="C3050" s="397" t="n"/>
      <c r="D3050" s="397" t="n"/>
      <c r="E3050" s="397" t="n"/>
      <c r="F3050" s="397" t="n"/>
      <c r="G3050" s="397" t="n"/>
      <c r="I3050" s="397" t="n"/>
      <c r="J3050" s="397" t="n"/>
      <c r="K3050" s="395">
        <f>DATE(VALUE(LEFT(A3050,4)),VALUE(MID(A3050,5,2)),VALUE(RIGHT(A3050,2)))</f>
        <v/>
      </c>
      <c r="L3050" s="395">
        <f>DATEVALUE(LEFT(F3050,10))</f>
        <v/>
      </c>
      <c r="M3050" s="396">
        <f>TIMEVALUE(MID(F3050,12,8))</f>
        <v/>
      </c>
      <c r="N3050" s="395">
        <f>DATEVALUE(LEFT(G3050,10))</f>
        <v/>
      </c>
      <c r="O3050" s="396">
        <f>TIMEVALUE(MID(G3050,12,8))</f>
        <v/>
      </c>
      <c r="P3050" s="396">
        <f>IFERROR(_xlfn.MINIFS($M:$M,$E:$E,$E3050,$K:$K,$K3050,$M:$M,"&gt;"&amp;$O3050),"")</f>
        <v/>
      </c>
      <c r="Q3050" s="396">
        <f>IF($P3050="","",$P3050-$O3050)</f>
        <v/>
      </c>
    </row>
    <row r="3051" ht="15" customHeight="1" s="231">
      <c r="A3051" s="397" t="n"/>
      <c r="B3051" s="397" t="n"/>
      <c r="C3051" s="397" t="n"/>
      <c r="D3051" s="397" t="n"/>
      <c r="E3051" s="397" t="n"/>
      <c r="F3051" s="397" t="n"/>
      <c r="G3051" s="397" t="n"/>
      <c r="I3051" s="397" t="n"/>
      <c r="J3051" s="397" t="n"/>
      <c r="K3051" s="395">
        <f>DATE(VALUE(LEFT(A3051,4)),VALUE(MID(A3051,5,2)),VALUE(RIGHT(A3051,2)))</f>
        <v/>
      </c>
      <c r="L3051" s="395">
        <f>DATEVALUE(LEFT(F3051,10))</f>
        <v/>
      </c>
      <c r="M3051" s="396">
        <f>TIMEVALUE(MID(F3051,12,8))</f>
        <v/>
      </c>
      <c r="N3051" s="395">
        <f>DATEVALUE(LEFT(G3051,10))</f>
        <v/>
      </c>
      <c r="O3051" s="396">
        <f>TIMEVALUE(MID(G3051,12,8))</f>
        <v/>
      </c>
      <c r="P3051" s="396">
        <f>IFERROR(_xlfn.MINIFS($M:$M,$E:$E,$E3051,$K:$K,$K3051,$M:$M,"&gt;"&amp;$O3051),"")</f>
        <v/>
      </c>
      <c r="Q3051" s="396">
        <f>IF($P3051="","",$P3051-$O3051)</f>
        <v/>
      </c>
    </row>
    <row r="3052" ht="15" customHeight="1" s="231">
      <c r="A3052" s="397" t="n"/>
      <c r="B3052" s="397" t="n"/>
      <c r="C3052" s="397" t="n"/>
      <c r="D3052" s="397" t="n"/>
      <c r="E3052" s="397" t="n"/>
      <c r="F3052" s="397" t="n"/>
      <c r="G3052" s="397" t="n"/>
      <c r="I3052" s="397" t="n"/>
      <c r="J3052" s="397" t="n"/>
      <c r="K3052" s="395">
        <f>DATE(VALUE(LEFT(A3052,4)),VALUE(MID(A3052,5,2)),VALUE(RIGHT(A3052,2)))</f>
        <v/>
      </c>
      <c r="L3052" s="395">
        <f>DATEVALUE(LEFT(F3052,10))</f>
        <v/>
      </c>
      <c r="M3052" s="396">
        <f>TIMEVALUE(MID(F3052,12,8))</f>
        <v/>
      </c>
      <c r="N3052" s="395">
        <f>DATEVALUE(LEFT(G3052,10))</f>
        <v/>
      </c>
      <c r="O3052" s="396">
        <f>TIMEVALUE(MID(G3052,12,8))</f>
        <v/>
      </c>
      <c r="P3052" s="396">
        <f>IFERROR(_xlfn.MINIFS($M:$M,$E:$E,$E3052,$K:$K,$K3052,$M:$M,"&gt;"&amp;$O3052),"")</f>
        <v/>
      </c>
      <c r="Q3052" s="396">
        <f>IF($P3052="","",$P3052-$O3052)</f>
        <v/>
      </c>
    </row>
    <row r="3053" ht="15" customHeight="1" s="231">
      <c r="A3053" s="397" t="n"/>
      <c r="B3053" s="397" t="n"/>
      <c r="C3053" s="397" t="n"/>
      <c r="D3053" s="397" t="n"/>
      <c r="E3053" s="397" t="n"/>
      <c r="F3053" s="397" t="n"/>
      <c r="G3053" s="397" t="n"/>
      <c r="I3053" s="397" t="n"/>
      <c r="J3053" s="397" t="n"/>
      <c r="K3053" s="395">
        <f>DATE(VALUE(LEFT(A3053,4)),VALUE(MID(A3053,5,2)),VALUE(RIGHT(A3053,2)))</f>
        <v/>
      </c>
      <c r="L3053" s="395">
        <f>DATEVALUE(LEFT(F3053,10))</f>
        <v/>
      </c>
      <c r="M3053" s="396">
        <f>TIMEVALUE(MID(F3053,12,8))</f>
        <v/>
      </c>
      <c r="N3053" s="395">
        <f>DATEVALUE(LEFT(G3053,10))</f>
        <v/>
      </c>
      <c r="O3053" s="396">
        <f>TIMEVALUE(MID(G3053,12,8))</f>
        <v/>
      </c>
      <c r="P3053" s="396">
        <f>IFERROR(_xlfn.MINIFS($M:$M,$E:$E,$E3053,$K:$K,$K3053,$M:$M,"&gt;"&amp;$O3053),"")</f>
        <v/>
      </c>
      <c r="Q3053" s="396">
        <f>IF($P3053="","",$P3053-$O3053)</f>
        <v/>
      </c>
    </row>
    <row r="3054" ht="15" customHeight="1" s="231">
      <c r="A3054" s="397" t="n"/>
      <c r="B3054" s="397" t="n"/>
      <c r="C3054" s="397" t="n"/>
      <c r="D3054" s="397" t="n"/>
      <c r="E3054" s="397" t="n"/>
      <c r="F3054" s="397" t="n"/>
      <c r="G3054" s="397" t="n"/>
      <c r="I3054" s="397" t="n"/>
      <c r="J3054" s="397" t="n"/>
      <c r="K3054" s="395">
        <f>DATE(VALUE(LEFT(A3054,4)),VALUE(MID(A3054,5,2)),VALUE(RIGHT(A3054,2)))</f>
        <v/>
      </c>
      <c r="L3054" s="395">
        <f>DATEVALUE(LEFT(F3054,10))</f>
        <v/>
      </c>
      <c r="M3054" s="396">
        <f>TIMEVALUE(MID(F3054,12,8))</f>
        <v/>
      </c>
      <c r="N3054" s="395">
        <f>DATEVALUE(LEFT(G3054,10))</f>
        <v/>
      </c>
      <c r="O3054" s="396">
        <f>TIMEVALUE(MID(G3054,12,8))</f>
        <v/>
      </c>
      <c r="P3054" s="396">
        <f>IFERROR(_xlfn.MINIFS($M:$M,$E:$E,$E3054,$K:$K,$K3054,$M:$M,"&gt;"&amp;$O3054),"")</f>
        <v/>
      </c>
      <c r="Q3054" s="396">
        <f>IF($P3054="","",$P3054-$O3054)</f>
        <v/>
      </c>
    </row>
    <row r="3055" ht="15" customHeight="1" s="231">
      <c r="A3055" s="397" t="n"/>
      <c r="B3055" s="397" t="n"/>
      <c r="C3055" s="397" t="n"/>
      <c r="D3055" s="397" t="n"/>
      <c r="E3055" s="397" t="n"/>
      <c r="F3055" s="397" t="n"/>
      <c r="G3055" s="397" t="n"/>
      <c r="I3055" s="397" t="n"/>
      <c r="J3055" s="397" t="n"/>
      <c r="K3055" s="395">
        <f>DATE(VALUE(LEFT(A3055,4)),VALUE(MID(A3055,5,2)),VALUE(RIGHT(A3055,2)))</f>
        <v/>
      </c>
      <c r="L3055" s="395">
        <f>DATEVALUE(LEFT(F3055,10))</f>
        <v/>
      </c>
      <c r="M3055" s="396">
        <f>TIMEVALUE(MID(F3055,12,8))</f>
        <v/>
      </c>
      <c r="N3055" s="395">
        <f>DATEVALUE(LEFT(G3055,10))</f>
        <v/>
      </c>
      <c r="O3055" s="396">
        <f>TIMEVALUE(MID(G3055,12,8))</f>
        <v/>
      </c>
      <c r="P3055" s="396">
        <f>IFERROR(_xlfn.MINIFS($M:$M,$E:$E,$E3055,$K:$K,$K3055,$M:$M,"&gt;"&amp;$O3055),"")</f>
        <v/>
      </c>
      <c r="Q3055" s="396">
        <f>IF($P3055="","",$P3055-$O3055)</f>
        <v/>
      </c>
    </row>
    <row r="3056" ht="15" customHeight="1" s="231">
      <c r="A3056" s="397" t="n"/>
      <c r="B3056" s="397" t="n"/>
      <c r="C3056" s="397" t="n"/>
      <c r="D3056" s="397" t="n"/>
      <c r="E3056" s="397" t="n"/>
      <c r="F3056" s="397" t="n"/>
      <c r="G3056" s="397" t="n"/>
      <c r="I3056" s="397" t="n"/>
      <c r="J3056" s="397" t="n"/>
      <c r="K3056" s="395">
        <f>DATE(VALUE(LEFT(A3056,4)),VALUE(MID(A3056,5,2)),VALUE(RIGHT(A3056,2)))</f>
        <v/>
      </c>
      <c r="L3056" s="395">
        <f>DATEVALUE(LEFT(F3056,10))</f>
        <v/>
      </c>
      <c r="M3056" s="396">
        <f>TIMEVALUE(MID(F3056,12,8))</f>
        <v/>
      </c>
      <c r="N3056" s="395">
        <f>DATEVALUE(LEFT(G3056,10))</f>
        <v/>
      </c>
      <c r="O3056" s="396">
        <f>TIMEVALUE(MID(G3056,12,8))</f>
        <v/>
      </c>
      <c r="P3056" s="396">
        <f>IFERROR(_xlfn.MINIFS($M:$M,$E:$E,$E3056,$K:$K,$K3056,$M:$M,"&gt;"&amp;$O3056),"")</f>
        <v/>
      </c>
      <c r="Q3056" s="396">
        <f>IF($P3056="","",$P3056-$O3056)</f>
        <v/>
      </c>
    </row>
    <row r="3057" ht="15" customHeight="1" s="231">
      <c r="A3057" s="397" t="n"/>
      <c r="B3057" s="397" t="n"/>
      <c r="C3057" s="397" t="n"/>
      <c r="D3057" s="397" t="n"/>
      <c r="E3057" s="397" t="n"/>
      <c r="F3057" s="397" t="n"/>
      <c r="G3057" s="397" t="n"/>
      <c r="I3057" s="397" t="n"/>
      <c r="J3057" s="397" t="n"/>
      <c r="K3057" s="395">
        <f>DATE(VALUE(LEFT(A3057,4)),VALUE(MID(A3057,5,2)),VALUE(RIGHT(A3057,2)))</f>
        <v/>
      </c>
      <c r="L3057" s="395">
        <f>DATEVALUE(LEFT(F3057,10))</f>
        <v/>
      </c>
      <c r="M3057" s="396">
        <f>TIMEVALUE(MID(F3057,12,8))</f>
        <v/>
      </c>
      <c r="N3057" s="395">
        <f>DATEVALUE(LEFT(G3057,10))</f>
        <v/>
      </c>
      <c r="O3057" s="396">
        <f>TIMEVALUE(MID(G3057,12,8))</f>
        <v/>
      </c>
      <c r="P3057" s="396">
        <f>IFERROR(_xlfn.MINIFS($M:$M,$E:$E,$E3057,$K:$K,$K3057,$M:$M,"&gt;"&amp;$O3057),"")</f>
        <v/>
      </c>
      <c r="Q3057" s="396">
        <f>IF($P3057="","",$P3057-$O3057)</f>
        <v/>
      </c>
    </row>
    <row r="3058" ht="15" customHeight="1" s="231">
      <c r="A3058" s="397" t="n"/>
      <c r="B3058" s="397" t="n"/>
      <c r="C3058" s="397" t="n"/>
      <c r="D3058" s="397" t="n"/>
      <c r="E3058" s="397" t="n"/>
      <c r="F3058" s="397" t="n"/>
      <c r="G3058" s="397" t="n"/>
      <c r="I3058" s="397" t="n"/>
      <c r="J3058" s="397" t="n"/>
      <c r="K3058" s="395">
        <f>DATE(VALUE(LEFT(A3058,4)),VALUE(MID(A3058,5,2)),VALUE(RIGHT(A3058,2)))</f>
        <v/>
      </c>
      <c r="L3058" s="395">
        <f>DATEVALUE(LEFT(F3058,10))</f>
        <v/>
      </c>
      <c r="M3058" s="396">
        <f>TIMEVALUE(MID(F3058,12,8))</f>
        <v/>
      </c>
      <c r="N3058" s="395">
        <f>DATEVALUE(LEFT(G3058,10))</f>
        <v/>
      </c>
      <c r="O3058" s="396">
        <f>TIMEVALUE(MID(G3058,12,8))</f>
        <v/>
      </c>
      <c r="P3058" s="396">
        <f>IFERROR(_xlfn.MINIFS($M:$M,$E:$E,$E3058,$K:$K,$K3058,$M:$M,"&gt;"&amp;$O3058),"")</f>
        <v/>
      </c>
      <c r="Q3058" s="396">
        <f>IF($P3058="","",$P3058-$O3058)</f>
        <v/>
      </c>
    </row>
    <row r="3059" ht="15" customHeight="1" s="231">
      <c r="A3059" s="397" t="n"/>
      <c r="B3059" s="397" t="n"/>
      <c r="C3059" s="397" t="n"/>
      <c r="D3059" s="397" t="n"/>
      <c r="E3059" s="397" t="n"/>
      <c r="F3059" s="397" t="n"/>
      <c r="G3059" s="397" t="n"/>
      <c r="I3059" s="397" t="n"/>
      <c r="J3059" s="397" t="n"/>
      <c r="K3059" s="395">
        <f>DATE(VALUE(LEFT(A3059,4)),VALUE(MID(A3059,5,2)),VALUE(RIGHT(A3059,2)))</f>
        <v/>
      </c>
      <c r="L3059" s="395">
        <f>DATEVALUE(LEFT(F3059,10))</f>
        <v/>
      </c>
      <c r="M3059" s="396">
        <f>TIMEVALUE(MID(F3059,12,8))</f>
        <v/>
      </c>
      <c r="N3059" s="395">
        <f>DATEVALUE(LEFT(G3059,10))</f>
        <v/>
      </c>
      <c r="O3059" s="396">
        <f>TIMEVALUE(MID(G3059,12,8))</f>
        <v/>
      </c>
      <c r="P3059" s="396">
        <f>IFERROR(_xlfn.MINIFS($M:$M,$E:$E,$E3059,$K:$K,$K3059,$M:$M,"&gt;"&amp;$O3059),"")</f>
        <v/>
      </c>
      <c r="Q3059" s="396">
        <f>IF($P3059="","",$P3059-$O3059)</f>
        <v/>
      </c>
    </row>
    <row r="3060" ht="15" customHeight="1" s="231">
      <c r="A3060" s="397" t="n"/>
      <c r="B3060" s="397" t="n"/>
      <c r="C3060" s="397" t="n"/>
      <c r="D3060" s="397" t="n"/>
      <c r="E3060" s="397" t="n"/>
      <c r="F3060" s="397" t="n"/>
      <c r="G3060" s="397" t="n"/>
      <c r="I3060" s="397" t="n"/>
      <c r="J3060" s="397" t="n"/>
      <c r="K3060" s="395">
        <f>DATE(VALUE(LEFT(A3060,4)),VALUE(MID(A3060,5,2)),VALUE(RIGHT(A3060,2)))</f>
        <v/>
      </c>
      <c r="L3060" s="395">
        <f>DATEVALUE(LEFT(F3060,10))</f>
        <v/>
      </c>
      <c r="M3060" s="396">
        <f>TIMEVALUE(MID(F3060,12,8))</f>
        <v/>
      </c>
      <c r="N3060" s="395">
        <f>DATEVALUE(LEFT(G3060,10))</f>
        <v/>
      </c>
      <c r="O3060" s="396">
        <f>TIMEVALUE(MID(G3060,12,8))</f>
        <v/>
      </c>
      <c r="P3060" s="396">
        <f>IFERROR(_xlfn.MINIFS($M:$M,$E:$E,$E3060,$K:$K,$K3060,$M:$M,"&gt;"&amp;$O3060),"")</f>
        <v/>
      </c>
      <c r="Q3060" s="396">
        <f>IF($P3060="","",$P3060-$O3060)</f>
        <v/>
      </c>
    </row>
    <row r="3061" ht="15" customHeight="1" s="231">
      <c r="A3061" s="397" t="n"/>
      <c r="B3061" s="397" t="n"/>
      <c r="C3061" s="397" t="n"/>
      <c r="D3061" s="397" t="n"/>
      <c r="E3061" s="397" t="n"/>
      <c r="F3061" s="397" t="n"/>
      <c r="G3061" s="397" t="n"/>
      <c r="I3061" s="397" t="n"/>
      <c r="J3061" s="397" t="n"/>
      <c r="K3061" s="395">
        <f>DATE(VALUE(LEFT(A3061,4)),VALUE(MID(A3061,5,2)),VALUE(RIGHT(A3061,2)))</f>
        <v/>
      </c>
      <c r="L3061" s="395">
        <f>DATEVALUE(LEFT(F3061,10))</f>
        <v/>
      </c>
      <c r="M3061" s="396">
        <f>TIMEVALUE(MID(F3061,12,8))</f>
        <v/>
      </c>
      <c r="N3061" s="395">
        <f>DATEVALUE(LEFT(G3061,10))</f>
        <v/>
      </c>
      <c r="O3061" s="396">
        <f>TIMEVALUE(MID(G3061,12,8))</f>
        <v/>
      </c>
      <c r="P3061" s="396">
        <f>IFERROR(_xlfn.MINIFS($M:$M,$E:$E,$E3061,$K:$K,$K3061,$M:$M,"&gt;"&amp;$O3061),"")</f>
        <v/>
      </c>
      <c r="Q3061" s="396">
        <f>IF($P3061="","",$P3061-$O3061)</f>
        <v/>
      </c>
    </row>
    <row r="3062" ht="15" customHeight="1" s="231">
      <c r="A3062" s="397" t="n"/>
      <c r="B3062" s="397" t="n"/>
      <c r="C3062" s="397" t="n"/>
      <c r="D3062" s="397" t="n"/>
      <c r="E3062" s="397" t="n"/>
      <c r="F3062" s="397" t="n"/>
      <c r="G3062" s="397" t="n"/>
      <c r="I3062" s="397" t="n"/>
      <c r="J3062" s="397" t="n"/>
      <c r="K3062" s="395">
        <f>DATE(VALUE(LEFT(A3062,4)),VALUE(MID(A3062,5,2)),VALUE(RIGHT(A3062,2)))</f>
        <v/>
      </c>
      <c r="L3062" s="395">
        <f>DATEVALUE(LEFT(F3062,10))</f>
        <v/>
      </c>
      <c r="M3062" s="396">
        <f>TIMEVALUE(MID(F3062,12,8))</f>
        <v/>
      </c>
      <c r="N3062" s="395">
        <f>DATEVALUE(LEFT(G3062,10))</f>
        <v/>
      </c>
      <c r="O3062" s="396">
        <f>TIMEVALUE(MID(G3062,12,8))</f>
        <v/>
      </c>
      <c r="P3062" s="396">
        <f>IFERROR(_xlfn.MINIFS($M:$M,$E:$E,$E3062,$K:$K,$K3062,$M:$M,"&gt;"&amp;$O3062),"")</f>
        <v/>
      </c>
      <c r="Q3062" s="396">
        <f>IF($P3062="","",$P3062-$O3062)</f>
        <v/>
      </c>
    </row>
    <row r="3063" ht="15" customHeight="1" s="231">
      <c r="A3063" s="397" t="n"/>
      <c r="B3063" s="397" t="n"/>
      <c r="C3063" s="397" t="n"/>
      <c r="D3063" s="397" t="n"/>
      <c r="E3063" s="397" t="n"/>
      <c r="F3063" s="397" t="n"/>
      <c r="G3063" s="397" t="n"/>
      <c r="I3063" s="397" t="n"/>
      <c r="J3063" s="397" t="n"/>
      <c r="K3063" s="395">
        <f>DATE(VALUE(LEFT(A3063,4)),VALUE(MID(A3063,5,2)),VALUE(RIGHT(A3063,2)))</f>
        <v/>
      </c>
      <c r="L3063" s="395">
        <f>DATEVALUE(LEFT(F3063,10))</f>
        <v/>
      </c>
      <c r="M3063" s="396">
        <f>TIMEVALUE(MID(F3063,12,8))</f>
        <v/>
      </c>
      <c r="N3063" s="395">
        <f>DATEVALUE(LEFT(G3063,10))</f>
        <v/>
      </c>
      <c r="O3063" s="396">
        <f>TIMEVALUE(MID(G3063,12,8))</f>
        <v/>
      </c>
      <c r="P3063" s="396">
        <f>IFERROR(_xlfn.MINIFS($M:$M,$E:$E,$E3063,$K:$K,$K3063,$M:$M,"&gt;"&amp;$O3063),"")</f>
        <v/>
      </c>
      <c r="Q3063" s="396">
        <f>IF($P3063="","",$P3063-$O3063)</f>
        <v/>
      </c>
    </row>
    <row r="3064" ht="15" customHeight="1" s="231">
      <c r="A3064" s="397" t="n"/>
      <c r="B3064" s="397" t="n"/>
      <c r="C3064" s="397" t="n"/>
      <c r="D3064" s="397" t="n"/>
      <c r="E3064" s="397" t="n"/>
      <c r="F3064" s="397" t="n"/>
      <c r="G3064" s="397" t="n"/>
      <c r="I3064" s="397" t="n"/>
      <c r="J3064" s="397" t="n"/>
      <c r="K3064" s="395">
        <f>DATE(VALUE(LEFT(A3064,4)),VALUE(MID(A3064,5,2)),VALUE(RIGHT(A3064,2)))</f>
        <v/>
      </c>
      <c r="L3064" s="395">
        <f>DATEVALUE(LEFT(F3064,10))</f>
        <v/>
      </c>
      <c r="M3064" s="396">
        <f>TIMEVALUE(MID(F3064,12,8))</f>
        <v/>
      </c>
      <c r="N3064" s="395">
        <f>DATEVALUE(LEFT(G3064,10))</f>
        <v/>
      </c>
      <c r="O3064" s="396">
        <f>TIMEVALUE(MID(G3064,12,8))</f>
        <v/>
      </c>
      <c r="P3064" s="396">
        <f>IFERROR(_xlfn.MINIFS($M:$M,$E:$E,$E3064,$K:$K,$K3064,$M:$M,"&gt;"&amp;$O3064),"")</f>
        <v/>
      </c>
      <c r="Q3064" s="396">
        <f>IF($P3064="","",$P3064-$O3064)</f>
        <v/>
      </c>
    </row>
    <row r="3065" ht="15" customHeight="1" s="231">
      <c r="A3065" s="397" t="n"/>
      <c r="B3065" s="397" t="n"/>
      <c r="C3065" s="397" t="n"/>
      <c r="D3065" s="397" t="n"/>
      <c r="E3065" s="397" t="n"/>
      <c r="F3065" s="397" t="n"/>
      <c r="G3065" s="397" t="n"/>
      <c r="I3065" s="397" t="n"/>
      <c r="J3065" s="397" t="n"/>
      <c r="K3065" s="395">
        <f>DATE(VALUE(LEFT(A3065,4)),VALUE(MID(A3065,5,2)),VALUE(RIGHT(A3065,2)))</f>
        <v/>
      </c>
      <c r="L3065" s="395">
        <f>DATEVALUE(LEFT(F3065,10))</f>
        <v/>
      </c>
      <c r="M3065" s="396">
        <f>TIMEVALUE(MID(F3065,12,8))</f>
        <v/>
      </c>
      <c r="N3065" s="395">
        <f>DATEVALUE(LEFT(G3065,10))</f>
        <v/>
      </c>
      <c r="O3065" s="396">
        <f>TIMEVALUE(MID(G3065,12,8))</f>
        <v/>
      </c>
      <c r="P3065" s="396">
        <f>IFERROR(_xlfn.MINIFS($M:$M,$E:$E,$E3065,$K:$K,$K3065,$M:$M,"&gt;"&amp;$O3065),"")</f>
        <v/>
      </c>
      <c r="Q3065" s="396">
        <f>IF($P3065="","",$P3065-$O3065)</f>
        <v/>
      </c>
    </row>
    <row r="3066" ht="15" customHeight="1" s="231">
      <c r="A3066" s="397" t="n"/>
      <c r="B3066" s="397" t="n"/>
      <c r="C3066" s="397" t="n"/>
      <c r="D3066" s="397" t="n"/>
      <c r="E3066" s="397" t="n"/>
      <c r="F3066" s="397" t="n"/>
      <c r="G3066" s="397" t="n"/>
      <c r="I3066" s="397" t="n"/>
      <c r="J3066" s="397" t="n"/>
      <c r="K3066" s="395">
        <f>DATE(VALUE(LEFT(A3066,4)),VALUE(MID(A3066,5,2)),VALUE(RIGHT(A3066,2)))</f>
        <v/>
      </c>
      <c r="L3066" s="395">
        <f>DATEVALUE(LEFT(F3066,10))</f>
        <v/>
      </c>
      <c r="M3066" s="396">
        <f>TIMEVALUE(MID(F3066,12,8))</f>
        <v/>
      </c>
      <c r="N3066" s="395">
        <f>DATEVALUE(LEFT(G3066,10))</f>
        <v/>
      </c>
      <c r="O3066" s="396">
        <f>TIMEVALUE(MID(G3066,12,8))</f>
        <v/>
      </c>
      <c r="P3066" s="396">
        <f>IFERROR(_xlfn.MINIFS($M:$M,$E:$E,$E3066,$K:$K,$K3066,$M:$M,"&gt;"&amp;$O3066),"")</f>
        <v/>
      </c>
      <c r="Q3066" s="396">
        <f>IF($P3066="","",$P3066-$O3066)</f>
        <v/>
      </c>
    </row>
    <row r="3067" ht="15" customHeight="1" s="231">
      <c r="A3067" s="397" t="n"/>
      <c r="B3067" s="397" t="n"/>
      <c r="C3067" s="397" t="n"/>
      <c r="D3067" s="397" t="n"/>
      <c r="E3067" s="397" t="n"/>
      <c r="F3067" s="397" t="n"/>
      <c r="G3067" s="397" t="n"/>
      <c r="I3067" s="397" t="n"/>
      <c r="J3067" s="397" t="n"/>
      <c r="K3067" s="395">
        <f>DATE(VALUE(LEFT(A3067,4)),VALUE(MID(A3067,5,2)),VALUE(RIGHT(A3067,2)))</f>
        <v/>
      </c>
      <c r="L3067" s="395">
        <f>DATEVALUE(LEFT(F3067,10))</f>
        <v/>
      </c>
      <c r="M3067" s="396">
        <f>TIMEVALUE(MID(F3067,12,8))</f>
        <v/>
      </c>
      <c r="N3067" s="395">
        <f>DATEVALUE(LEFT(G3067,10))</f>
        <v/>
      </c>
      <c r="O3067" s="396">
        <f>TIMEVALUE(MID(G3067,12,8))</f>
        <v/>
      </c>
      <c r="P3067" s="396">
        <f>IFERROR(_xlfn.MINIFS($M:$M,$E:$E,$E3067,$K:$K,$K3067,$M:$M,"&gt;"&amp;$O3067),"")</f>
        <v/>
      </c>
      <c r="Q3067" s="396">
        <f>IF($P3067="","",$P3067-$O3067)</f>
        <v/>
      </c>
    </row>
    <row r="3068" ht="15" customHeight="1" s="231">
      <c r="A3068" s="397" t="n"/>
      <c r="B3068" s="397" t="n"/>
      <c r="C3068" s="397" t="n"/>
      <c r="D3068" s="397" t="n"/>
      <c r="E3068" s="397" t="n"/>
      <c r="F3068" s="397" t="n"/>
      <c r="G3068" s="397" t="n"/>
      <c r="I3068" s="397" t="n"/>
      <c r="J3068" s="397" t="n"/>
      <c r="K3068" s="395">
        <f>DATE(VALUE(LEFT(A3068,4)),VALUE(MID(A3068,5,2)),VALUE(RIGHT(A3068,2)))</f>
        <v/>
      </c>
      <c r="L3068" s="395">
        <f>DATEVALUE(LEFT(F3068,10))</f>
        <v/>
      </c>
      <c r="M3068" s="396">
        <f>TIMEVALUE(MID(F3068,12,8))</f>
        <v/>
      </c>
      <c r="N3068" s="395">
        <f>DATEVALUE(LEFT(G3068,10))</f>
        <v/>
      </c>
      <c r="O3068" s="396">
        <f>TIMEVALUE(MID(G3068,12,8))</f>
        <v/>
      </c>
      <c r="P3068" s="396">
        <f>IFERROR(_xlfn.MINIFS($M:$M,$E:$E,$E3068,$K:$K,$K3068,$M:$M,"&gt;"&amp;$O3068),"")</f>
        <v/>
      </c>
      <c r="Q3068" s="396">
        <f>IF($P3068="","",$P3068-$O3068)</f>
        <v/>
      </c>
    </row>
    <row r="3069" ht="15" customHeight="1" s="231">
      <c r="A3069" s="397" t="n"/>
      <c r="B3069" s="397" t="n"/>
      <c r="C3069" s="397" t="n"/>
      <c r="D3069" s="397" t="n"/>
      <c r="E3069" s="397" t="n"/>
      <c r="F3069" s="397" t="n"/>
      <c r="G3069" s="397" t="n"/>
      <c r="I3069" s="397" t="n"/>
      <c r="J3069" s="397" t="n"/>
      <c r="K3069" s="395">
        <f>DATE(VALUE(LEFT(A3069,4)),VALUE(MID(A3069,5,2)),VALUE(RIGHT(A3069,2)))</f>
        <v/>
      </c>
      <c r="L3069" s="395">
        <f>DATEVALUE(LEFT(F3069,10))</f>
        <v/>
      </c>
      <c r="M3069" s="396">
        <f>TIMEVALUE(MID(F3069,12,8))</f>
        <v/>
      </c>
      <c r="N3069" s="395">
        <f>DATEVALUE(LEFT(G3069,10))</f>
        <v/>
      </c>
      <c r="O3069" s="396">
        <f>TIMEVALUE(MID(G3069,12,8))</f>
        <v/>
      </c>
      <c r="P3069" s="396">
        <f>IFERROR(_xlfn.MINIFS($M:$M,$E:$E,$E3069,$K:$K,$K3069,$M:$M,"&gt;"&amp;$O3069),"")</f>
        <v/>
      </c>
      <c r="Q3069" s="396">
        <f>IF($P3069="","",$P3069-$O3069)</f>
        <v/>
      </c>
    </row>
    <row r="3070" ht="15" customHeight="1" s="231">
      <c r="A3070" s="397" t="n"/>
      <c r="B3070" s="397" t="n"/>
      <c r="C3070" s="397" t="n"/>
      <c r="D3070" s="397" t="n"/>
      <c r="E3070" s="397" t="n"/>
      <c r="F3070" s="397" t="n"/>
      <c r="G3070" s="397" t="n"/>
      <c r="I3070" s="397" t="n"/>
      <c r="J3070" s="397" t="n"/>
      <c r="K3070" s="395">
        <f>DATE(VALUE(LEFT(A3070,4)),VALUE(MID(A3070,5,2)),VALUE(RIGHT(A3070,2)))</f>
        <v/>
      </c>
      <c r="L3070" s="395">
        <f>DATEVALUE(LEFT(F3070,10))</f>
        <v/>
      </c>
      <c r="M3070" s="396">
        <f>TIMEVALUE(MID(F3070,12,8))</f>
        <v/>
      </c>
      <c r="N3070" s="395">
        <f>DATEVALUE(LEFT(G3070,10))</f>
        <v/>
      </c>
      <c r="O3070" s="396">
        <f>TIMEVALUE(MID(G3070,12,8))</f>
        <v/>
      </c>
      <c r="P3070" s="396">
        <f>IFERROR(_xlfn.MINIFS($M:$M,$E:$E,$E3070,$K:$K,$K3070,$M:$M,"&gt;"&amp;$O3070),"")</f>
        <v/>
      </c>
      <c r="Q3070" s="396">
        <f>IF($P3070="","",$P3070-$O3070)</f>
        <v/>
      </c>
    </row>
    <row r="3071" ht="15" customHeight="1" s="231">
      <c r="A3071" s="397" t="n"/>
      <c r="B3071" s="397" t="n"/>
      <c r="C3071" s="397" t="n"/>
      <c r="D3071" s="397" t="n"/>
      <c r="E3071" s="397" t="n"/>
      <c r="F3071" s="397" t="n"/>
      <c r="G3071" s="397" t="n"/>
      <c r="I3071" s="397" t="n"/>
      <c r="J3071" s="397" t="n"/>
      <c r="K3071" s="395">
        <f>DATE(VALUE(LEFT(A3071,4)),VALUE(MID(A3071,5,2)),VALUE(RIGHT(A3071,2)))</f>
        <v/>
      </c>
      <c r="L3071" s="395">
        <f>DATEVALUE(LEFT(F3071,10))</f>
        <v/>
      </c>
      <c r="M3071" s="396">
        <f>TIMEVALUE(MID(F3071,12,8))</f>
        <v/>
      </c>
      <c r="N3071" s="395">
        <f>DATEVALUE(LEFT(G3071,10))</f>
        <v/>
      </c>
      <c r="O3071" s="396">
        <f>TIMEVALUE(MID(G3071,12,8))</f>
        <v/>
      </c>
      <c r="P3071" s="396">
        <f>IFERROR(_xlfn.MINIFS($M:$M,$E:$E,$E3071,$K:$K,$K3071,$M:$M,"&gt;"&amp;$O3071),"")</f>
        <v/>
      </c>
      <c r="Q3071" s="396">
        <f>IF($P3071="","",$P3071-$O3071)</f>
        <v/>
      </c>
    </row>
    <row r="3072" ht="15" customHeight="1" s="231">
      <c r="A3072" s="397" t="n"/>
      <c r="B3072" s="397" t="n"/>
      <c r="C3072" s="397" t="n"/>
      <c r="D3072" s="397" t="n"/>
      <c r="E3072" s="397" t="n"/>
      <c r="F3072" s="397" t="n"/>
      <c r="G3072" s="397" t="n"/>
      <c r="I3072" s="397" t="n"/>
      <c r="J3072" s="397" t="n"/>
      <c r="K3072" s="395">
        <f>DATE(VALUE(LEFT(A3072,4)),VALUE(MID(A3072,5,2)),VALUE(RIGHT(A3072,2)))</f>
        <v/>
      </c>
      <c r="L3072" s="395">
        <f>DATEVALUE(LEFT(F3072,10))</f>
        <v/>
      </c>
      <c r="M3072" s="396">
        <f>TIMEVALUE(MID(F3072,12,8))</f>
        <v/>
      </c>
      <c r="N3072" s="395">
        <f>DATEVALUE(LEFT(G3072,10))</f>
        <v/>
      </c>
      <c r="O3072" s="396">
        <f>TIMEVALUE(MID(G3072,12,8))</f>
        <v/>
      </c>
      <c r="P3072" s="396">
        <f>IFERROR(_xlfn.MINIFS($M:$M,$E:$E,$E3072,$K:$K,$K3072,$M:$M,"&gt;"&amp;$O3072),"")</f>
        <v/>
      </c>
      <c r="Q3072" s="396">
        <f>IF($P3072="","",$P3072-$O3072)</f>
        <v/>
      </c>
    </row>
    <row r="3073" ht="15" customHeight="1" s="231">
      <c r="A3073" s="397" t="n"/>
      <c r="B3073" s="397" t="n"/>
      <c r="C3073" s="397" t="n"/>
      <c r="D3073" s="397" t="n"/>
      <c r="E3073" s="397" t="n"/>
      <c r="F3073" s="397" t="n"/>
      <c r="G3073" s="397" t="n"/>
      <c r="I3073" s="397" t="n"/>
      <c r="J3073" s="397" t="n"/>
      <c r="K3073" s="395">
        <f>DATE(VALUE(LEFT(A3073,4)),VALUE(MID(A3073,5,2)),VALUE(RIGHT(A3073,2)))</f>
        <v/>
      </c>
      <c r="L3073" s="395">
        <f>DATEVALUE(LEFT(F3073,10))</f>
        <v/>
      </c>
      <c r="M3073" s="396">
        <f>TIMEVALUE(MID(F3073,12,8))</f>
        <v/>
      </c>
      <c r="N3073" s="395">
        <f>DATEVALUE(LEFT(G3073,10))</f>
        <v/>
      </c>
      <c r="O3073" s="396">
        <f>TIMEVALUE(MID(G3073,12,8))</f>
        <v/>
      </c>
      <c r="P3073" s="396">
        <f>IFERROR(_xlfn.MINIFS($M:$M,$E:$E,$E3073,$K:$K,$K3073,$M:$M,"&gt;"&amp;$O3073),"")</f>
        <v/>
      </c>
      <c r="Q3073" s="396">
        <f>IF($P3073="","",$P3073-$O3073)</f>
        <v/>
      </c>
    </row>
    <row r="3074" ht="15" customHeight="1" s="231">
      <c r="A3074" s="397" t="n"/>
      <c r="B3074" s="397" t="n"/>
      <c r="C3074" s="397" t="n"/>
      <c r="D3074" s="397" t="n"/>
      <c r="E3074" s="397" t="n"/>
      <c r="F3074" s="397" t="n"/>
      <c r="G3074" s="397" t="n"/>
      <c r="I3074" s="397" t="n"/>
      <c r="J3074" s="397" t="n"/>
      <c r="K3074" s="395">
        <f>DATE(VALUE(LEFT(A3074,4)),VALUE(MID(A3074,5,2)),VALUE(RIGHT(A3074,2)))</f>
        <v/>
      </c>
      <c r="L3074" s="395">
        <f>DATEVALUE(LEFT(F3074,10))</f>
        <v/>
      </c>
      <c r="M3074" s="396">
        <f>TIMEVALUE(MID(F3074,12,8))</f>
        <v/>
      </c>
      <c r="N3074" s="395">
        <f>DATEVALUE(LEFT(G3074,10))</f>
        <v/>
      </c>
      <c r="O3074" s="396">
        <f>TIMEVALUE(MID(G3074,12,8))</f>
        <v/>
      </c>
      <c r="P3074" s="396">
        <f>IFERROR(_xlfn.MINIFS($M:$M,$E:$E,$E3074,$K:$K,$K3074,$M:$M,"&gt;"&amp;$O3074),"")</f>
        <v/>
      </c>
      <c r="Q3074" s="396">
        <f>IF($P3074="","",$P3074-$O3074)</f>
        <v/>
      </c>
    </row>
    <row r="3075" ht="15" customHeight="1" s="231">
      <c r="A3075" s="397" t="n"/>
      <c r="B3075" s="397" t="n"/>
      <c r="C3075" s="397" t="n"/>
      <c r="D3075" s="397" t="n"/>
      <c r="E3075" s="397" t="n"/>
      <c r="F3075" s="397" t="n"/>
      <c r="G3075" s="397" t="n"/>
      <c r="I3075" s="397" t="n"/>
      <c r="J3075" s="397" t="n"/>
      <c r="K3075" s="395">
        <f>DATE(VALUE(LEFT(A3075,4)),VALUE(MID(A3075,5,2)),VALUE(RIGHT(A3075,2)))</f>
        <v/>
      </c>
      <c r="L3075" s="395">
        <f>DATEVALUE(LEFT(F3075,10))</f>
        <v/>
      </c>
      <c r="M3075" s="396">
        <f>TIMEVALUE(MID(F3075,12,8))</f>
        <v/>
      </c>
      <c r="N3075" s="395">
        <f>DATEVALUE(LEFT(G3075,10))</f>
        <v/>
      </c>
      <c r="O3075" s="396">
        <f>TIMEVALUE(MID(G3075,12,8))</f>
        <v/>
      </c>
      <c r="P3075" s="396">
        <f>IFERROR(_xlfn.MINIFS($M:$M,$E:$E,$E3075,$K:$K,$K3075,$M:$M,"&gt;"&amp;$O3075),"")</f>
        <v/>
      </c>
      <c r="Q3075" s="396">
        <f>IF($P3075="","",$P3075-$O3075)</f>
        <v/>
      </c>
    </row>
    <row r="3076" ht="15" customHeight="1" s="231">
      <c r="A3076" s="397" t="n"/>
      <c r="B3076" s="397" t="n"/>
      <c r="C3076" s="397" t="n"/>
      <c r="D3076" s="397" t="n"/>
      <c r="E3076" s="397" t="n"/>
      <c r="F3076" s="397" t="n"/>
      <c r="G3076" s="397" t="n"/>
      <c r="I3076" s="397" t="n"/>
      <c r="J3076" s="397" t="n"/>
      <c r="K3076" s="395">
        <f>DATE(VALUE(LEFT(A3076,4)),VALUE(MID(A3076,5,2)),VALUE(RIGHT(A3076,2)))</f>
        <v/>
      </c>
      <c r="L3076" s="395">
        <f>DATEVALUE(LEFT(F3076,10))</f>
        <v/>
      </c>
      <c r="M3076" s="396">
        <f>TIMEVALUE(MID(F3076,12,8))</f>
        <v/>
      </c>
      <c r="N3076" s="395">
        <f>DATEVALUE(LEFT(G3076,10))</f>
        <v/>
      </c>
      <c r="O3076" s="396">
        <f>TIMEVALUE(MID(G3076,12,8))</f>
        <v/>
      </c>
      <c r="P3076" s="396">
        <f>IFERROR(_xlfn.MINIFS($M:$M,$E:$E,$E3076,$K:$K,$K3076,$M:$M,"&gt;"&amp;$O3076),"")</f>
        <v/>
      </c>
      <c r="Q3076" s="396">
        <f>IF($P3076="","",$P3076-$O3076)</f>
        <v/>
      </c>
    </row>
    <row r="3077" ht="15" customHeight="1" s="231">
      <c r="A3077" s="397" t="n"/>
      <c r="B3077" s="397" t="n"/>
      <c r="C3077" s="397" t="n"/>
      <c r="D3077" s="397" t="n"/>
      <c r="E3077" s="397" t="n"/>
      <c r="F3077" s="397" t="n"/>
      <c r="G3077" s="397" t="n"/>
      <c r="I3077" s="397" t="n"/>
      <c r="J3077" s="397" t="n"/>
      <c r="K3077" s="395">
        <f>DATE(VALUE(LEFT(A3077,4)),VALUE(MID(A3077,5,2)),VALUE(RIGHT(A3077,2)))</f>
        <v/>
      </c>
      <c r="L3077" s="395">
        <f>DATEVALUE(LEFT(F3077,10))</f>
        <v/>
      </c>
      <c r="M3077" s="396">
        <f>TIMEVALUE(MID(F3077,12,8))</f>
        <v/>
      </c>
      <c r="N3077" s="395">
        <f>DATEVALUE(LEFT(G3077,10))</f>
        <v/>
      </c>
      <c r="O3077" s="396">
        <f>TIMEVALUE(MID(G3077,12,8))</f>
        <v/>
      </c>
      <c r="P3077" s="396">
        <f>IFERROR(_xlfn.MINIFS($M:$M,$E:$E,$E3077,$K:$K,$K3077,$M:$M,"&gt;"&amp;$O3077),"")</f>
        <v/>
      </c>
      <c r="Q3077" s="396">
        <f>IF($P3077="","",$P3077-$O3077)</f>
        <v/>
      </c>
    </row>
    <row r="3078" ht="15" customHeight="1" s="231">
      <c r="A3078" s="397" t="n"/>
      <c r="B3078" s="397" t="n"/>
      <c r="C3078" s="397" t="n"/>
      <c r="D3078" s="397" t="n"/>
      <c r="E3078" s="397" t="n"/>
      <c r="F3078" s="397" t="n"/>
      <c r="G3078" s="397" t="n"/>
      <c r="I3078" s="397" t="n"/>
      <c r="J3078" s="397" t="n"/>
      <c r="K3078" s="395">
        <f>DATE(VALUE(LEFT(A3078,4)),VALUE(MID(A3078,5,2)),VALUE(RIGHT(A3078,2)))</f>
        <v/>
      </c>
      <c r="L3078" s="395">
        <f>DATEVALUE(LEFT(F3078,10))</f>
        <v/>
      </c>
      <c r="M3078" s="396">
        <f>TIMEVALUE(MID(F3078,12,8))</f>
        <v/>
      </c>
      <c r="N3078" s="395">
        <f>DATEVALUE(LEFT(G3078,10))</f>
        <v/>
      </c>
      <c r="O3078" s="396">
        <f>TIMEVALUE(MID(G3078,12,8))</f>
        <v/>
      </c>
      <c r="P3078" s="396">
        <f>IFERROR(_xlfn.MINIFS($M:$M,$E:$E,$E3078,$K:$K,$K3078,$M:$M,"&gt;"&amp;$O3078),"")</f>
        <v/>
      </c>
      <c r="Q3078" s="396">
        <f>IF($P3078="","",$P3078-$O3078)</f>
        <v/>
      </c>
    </row>
    <row r="3079" ht="15" customHeight="1" s="231">
      <c r="A3079" s="397" t="n"/>
      <c r="B3079" s="397" t="n"/>
      <c r="C3079" s="397" t="n"/>
      <c r="D3079" s="397" t="n"/>
      <c r="E3079" s="397" t="n"/>
      <c r="F3079" s="397" t="n"/>
      <c r="G3079" s="397" t="n"/>
      <c r="I3079" s="397" t="n"/>
      <c r="J3079" s="397" t="n"/>
      <c r="K3079" s="395">
        <f>DATE(VALUE(LEFT(A3079,4)),VALUE(MID(A3079,5,2)),VALUE(RIGHT(A3079,2)))</f>
        <v/>
      </c>
      <c r="L3079" s="395">
        <f>DATEVALUE(LEFT(F3079,10))</f>
        <v/>
      </c>
      <c r="M3079" s="396">
        <f>TIMEVALUE(MID(F3079,12,8))</f>
        <v/>
      </c>
      <c r="N3079" s="395">
        <f>DATEVALUE(LEFT(G3079,10))</f>
        <v/>
      </c>
      <c r="O3079" s="396">
        <f>TIMEVALUE(MID(G3079,12,8))</f>
        <v/>
      </c>
      <c r="P3079" s="396">
        <f>IFERROR(_xlfn.MINIFS($M:$M,$E:$E,$E3079,$K:$K,$K3079,$M:$M,"&gt;"&amp;$O3079),"")</f>
        <v/>
      </c>
      <c r="Q3079" s="396">
        <f>IF($P3079="","",$P3079-$O3079)</f>
        <v/>
      </c>
    </row>
    <row r="3080" ht="15" customHeight="1" s="231">
      <c r="A3080" s="397" t="n"/>
      <c r="B3080" s="397" t="n"/>
      <c r="C3080" s="397" t="n"/>
      <c r="D3080" s="397" t="n"/>
      <c r="E3080" s="397" t="n"/>
      <c r="F3080" s="397" t="n"/>
      <c r="G3080" s="397" t="n"/>
      <c r="I3080" s="397" t="n"/>
      <c r="J3080" s="397" t="n"/>
      <c r="K3080" s="395">
        <f>DATE(VALUE(LEFT(A3080,4)),VALUE(MID(A3080,5,2)),VALUE(RIGHT(A3080,2)))</f>
        <v/>
      </c>
      <c r="L3080" s="395">
        <f>DATEVALUE(LEFT(F3080,10))</f>
        <v/>
      </c>
      <c r="M3080" s="396">
        <f>TIMEVALUE(MID(F3080,12,8))</f>
        <v/>
      </c>
      <c r="N3080" s="395">
        <f>DATEVALUE(LEFT(G3080,10))</f>
        <v/>
      </c>
      <c r="O3080" s="396">
        <f>TIMEVALUE(MID(G3080,12,8))</f>
        <v/>
      </c>
      <c r="P3080" s="396">
        <f>IFERROR(_xlfn.MINIFS($M:$M,$E:$E,$E3080,$K:$K,$K3080,$M:$M,"&gt;"&amp;$O3080),"")</f>
        <v/>
      </c>
      <c r="Q3080" s="396">
        <f>IF($P3080="","",$P3080-$O3080)</f>
        <v/>
      </c>
    </row>
    <row r="3081" ht="15" customHeight="1" s="231">
      <c r="A3081" s="397" t="n"/>
      <c r="B3081" s="397" t="n"/>
      <c r="C3081" s="397" t="n"/>
      <c r="D3081" s="397" t="n"/>
      <c r="E3081" s="397" t="n"/>
      <c r="F3081" s="397" t="n"/>
      <c r="G3081" s="397" t="n"/>
      <c r="I3081" s="397" t="n"/>
      <c r="J3081" s="397" t="n"/>
      <c r="K3081" s="395">
        <f>DATE(VALUE(LEFT(A3081,4)),VALUE(MID(A3081,5,2)),VALUE(RIGHT(A3081,2)))</f>
        <v/>
      </c>
      <c r="L3081" s="395">
        <f>DATEVALUE(LEFT(F3081,10))</f>
        <v/>
      </c>
      <c r="M3081" s="396">
        <f>TIMEVALUE(MID(F3081,12,8))</f>
        <v/>
      </c>
      <c r="N3081" s="395">
        <f>DATEVALUE(LEFT(G3081,10))</f>
        <v/>
      </c>
      <c r="O3081" s="396">
        <f>TIMEVALUE(MID(G3081,12,8))</f>
        <v/>
      </c>
      <c r="P3081" s="396">
        <f>IFERROR(_xlfn.MINIFS($M:$M,$E:$E,$E3081,$K:$K,$K3081,$M:$M,"&gt;"&amp;$O3081),"")</f>
        <v/>
      </c>
      <c r="Q3081" s="396">
        <f>IF($P3081="","",$P3081-$O3081)</f>
        <v/>
      </c>
    </row>
    <row r="3082" ht="15" customHeight="1" s="231">
      <c r="A3082" s="397" t="n"/>
      <c r="B3082" s="397" t="n"/>
      <c r="C3082" s="397" t="n"/>
      <c r="D3082" s="397" t="n"/>
      <c r="E3082" s="397" t="n"/>
      <c r="F3082" s="397" t="n"/>
      <c r="G3082" s="397" t="n"/>
      <c r="I3082" s="397" t="n"/>
      <c r="J3082" s="397" t="n"/>
      <c r="K3082" s="395">
        <f>DATE(VALUE(LEFT(A3082,4)),VALUE(MID(A3082,5,2)),VALUE(RIGHT(A3082,2)))</f>
        <v/>
      </c>
      <c r="L3082" s="395">
        <f>DATEVALUE(LEFT(F3082,10))</f>
        <v/>
      </c>
      <c r="M3082" s="396">
        <f>TIMEVALUE(MID(F3082,12,8))</f>
        <v/>
      </c>
      <c r="N3082" s="395">
        <f>DATEVALUE(LEFT(G3082,10))</f>
        <v/>
      </c>
      <c r="O3082" s="396">
        <f>TIMEVALUE(MID(G3082,12,8))</f>
        <v/>
      </c>
      <c r="P3082" s="396">
        <f>IFERROR(_xlfn.MINIFS($M:$M,$E:$E,$E3082,$K:$K,$K3082,$M:$M,"&gt;"&amp;$O3082),"")</f>
        <v/>
      </c>
      <c r="Q3082" s="396">
        <f>IF($P3082="","",$P3082-$O3082)</f>
        <v/>
      </c>
    </row>
    <row r="3083" ht="15" customHeight="1" s="231">
      <c r="A3083" s="397" t="n"/>
      <c r="B3083" s="397" t="n"/>
      <c r="C3083" s="397" t="n"/>
      <c r="D3083" s="397" t="n"/>
      <c r="E3083" s="397" t="n"/>
      <c r="F3083" s="397" t="n"/>
      <c r="G3083" s="397" t="n"/>
      <c r="I3083" s="397" t="n"/>
      <c r="J3083" s="397" t="n"/>
      <c r="K3083" s="395">
        <f>DATE(VALUE(LEFT(A3083,4)),VALUE(MID(A3083,5,2)),VALUE(RIGHT(A3083,2)))</f>
        <v/>
      </c>
      <c r="L3083" s="395">
        <f>DATEVALUE(LEFT(F3083,10))</f>
        <v/>
      </c>
      <c r="M3083" s="396">
        <f>TIMEVALUE(MID(F3083,12,8))</f>
        <v/>
      </c>
      <c r="N3083" s="395">
        <f>DATEVALUE(LEFT(G3083,10))</f>
        <v/>
      </c>
      <c r="O3083" s="396">
        <f>TIMEVALUE(MID(G3083,12,8))</f>
        <v/>
      </c>
      <c r="P3083" s="396">
        <f>IFERROR(_xlfn.MINIFS($M:$M,$E:$E,$E3083,$K:$K,$K3083,$M:$M,"&gt;"&amp;$O3083),"")</f>
        <v/>
      </c>
      <c r="Q3083" s="396">
        <f>IF($P3083="","",$P3083-$O3083)</f>
        <v/>
      </c>
    </row>
    <row r="3084" ht="15" customHeight="1" s="231">
      <c r="A3084" s="397" t="n"/>
      <c r="B3084" s="397" t="n"/>
      <c r="C3084" s="397" t="n"/>
      <c r="D3084" s="397" t="n"/>
      <c r="E3084" s="397" t="n"/>
      <c r="F3084" s="397" t="n"/>
      <c r="G3084" s="397" t="n"/>
      <c r="I3084" s="397" t="n"/>
      <c r="J3084" s="397" t="n"/>
      <c r="K3084" s="395">
        <f>DATE(VALUE(LEFT(A3084,4)),VALUE(MID(A3084,5,2)),VALUE(RIGHT(A3084,2)))</f>
        <v/>
      </c>
      <c r="L3084" s="395">
        <f>DATEVALUE(LEFT(F3084,10))</f>
        <v/>
      </c>
      <c r="M3084" s="396">
        <f>TIMEVALUE(MID(F3084,12,8))</f>
        <v/>
      </c>
      <c r="N3084" s="395">
        <f>DATEVALUE(LEFT(G3084,10))</f>
        <v/>
      </c>
      <c r="O3084" s="396">
        <f>TIMEVALUE(MID(G3084,12,8))</f>
        <v/>
      </c>
      <c r="P3084" s="396">
        <f>IFERROR(_xlfn.MINIFS($M:$M,$E:$E,$E3084,$K:$K,$K3084,$M:$M,"&gt;"&amp;$O3084),"")</f>
        <v/>
      </c>
      <c r="Q3084" s="396">
        <f>IF($P3084="","",$P3084-$O3084)</f>
        <v/>
      </c>
    </row>
    <row r="3085" ht="15" customHeight="1" s="231">
      <c r="A3085" s="397" t="n"/>
      <c r="B3085" s="397" t="n"/>
      <c r="C3085" s="397" t="n"/>
      <c r="D3085" s="397" t="n"/>
      <c r="E3085" s="397" t="n"/>
      <c r="F3085" s="397" t="n"/>
      <c r="G3085" s="397" t="n"/>
      <c r="I3085" s="397" t="n"/>
      <c r="J3085" s="397" t="n"/>
      <c r="K3085" s="395">
        <f>DATE(VALUE(LEFT(A3085,4)),VALUE(MID(A3085,5,2)),VALUE(RIGHT(A3085,2)))</f>
        <v/>
      </c>
      <c r="L3085" s="395">
        <f>DATEVALUE(LEFT(F3085,10))</f>
        <v/>
      </c>
      <c r="M3085" s="396">
        <f>TIMEVALUE(MID(F3085,12,8))</f>
        <v/>
      </c>
      <c r="N3085" s="395">
        <f>DATEVALUE(LEFT(G3085,10))</f>
        <v/>
      </c>
      <c r="O3085" s="396">
        <f>TIMEVALUE(MID(G3085,12,8))</f>
        <v/>
      </c>
      <c r="P3085" s="396">
        <f>IFERROR(_xlfn.MINIFS($M:$M,$E:$E,$E3085,$K:$K,$K3085,$M:$M,"&gt;"&amp;$O3085),"")</f>
        <v/>
      </c>
      <c r="Q3085" s="396">
        <f>IF($P3085="","",$P3085-$O3085)</f>
        <v/>
      </c>
    </row>
    <row r="3086" ht="15" customHeight="1" s="231">
      <c r="A3086" s="397" t="n"/>
      <c r="B3086" s="397" t="n"/>
      <c r="C3086" s="397" t="n"/>
      <c r="D3086" s="397" t="n"/>
      <c r="E3086" s="397" t="n"/>
      <c r="F3086" s="397" t="n"/>
      <c r="G3086" s="397" t="n"/>
      <c r="I3086" s="397" t="n"/>
      <c r="J3086" s="397" t="n"/>
      <c r="K3086" s="395">
        <f>DATE(VALUE(LEFT(A3086,4)),VALUE(MID(A3086,5,2)),VALUE(RIGHT(A3086,2)))</f>
        <v/>
      </c>
      <c r="L3086" s="395">
        <f>DATEVALUE(LEFT(F3086,10))</f>
        <v/>
      </c>
      <c r="M3086" s="396">
        <f>TIMEVALUE(MID(F3086,12,8))</f>
        <v/>
      </c>
      <c r="N3086" s="395">
        <f>DATEVALUE(LEFT(G3086,10))</f>
        <v/>
      </c>
      <c r="O3086" s="396">
        <f>TIMEVALUE(MID(G3086,12,8))</f>
        <v/>
      </c>
      <c r="P3086" s="396">
        <f>IFERROR(_xlfn.MINIFS($M:$M,$E:$E,$E3086,$K:$K,$K3086,$M:$M,"&gt;"&amp;$O3086),"")</f>
        <v/>
      </c>
      <c r="Q3086" s="396">
        <f>IF($P3086="","",$P3086-$O3086)</f>
        <v/>
      </c>
    </row>
    <row r="3087" ht="15" customHeight="1" s="231">
      <c r="A3087" s="397" t="n"/>
      <c r="B3087" s="397" t="n"/>
      <c r="C3087" s="397" t="n"/>
      <c r="D3087" s="397" t="n"/>
      <c r="E3087" s="397" t="n"/>
      <c r="F3087" s="397" t="n"/>
      <c r="G3087" s="397" t="n"/>
      <c r="I3087" s="397" t="n"/>
      <c r="J3087" s="397" t="n"/>
      <c r="K3087" s="395">
        <f>DATE(VALUE(LEFT(A3087,4)),VALUE(MID(A3087,5,2)),VALUE(RIGHT(A3087,2)))</f>
        <v/>
      </c>
      <c r="L3087" s="395">
        <f>DATEVALUE(LEFT(F3087,10))</f>
        <v/>
      </c>
      <c r="M3087" s="396">
        <f>TIMEVALUE(MID(F3087,12,8))</f>
        <v/>
      </c>
      <c r="N3087" s="395">
        <f>DATEVALUE(LEFT(G3087,10))</f>
        <v/>
      </c>
      <c r="O3087" s="396">
        <f>TIMEVALUE(MID(G3087,12,8))</f>
        <v/>
      </c>
      <c r="P3087" s="396">
        <f>IFERROR(_xlfn.MINIFS($M:$M,$E:$E,$E3087,$K:$K,$K3087,$M:$M,"&gt;"&amp;$O3087),"")</f>
        <v/>
      </c>
      <c r="Q3087" s="396">
        <f>IF($P3087="","",$P3087-$O3087)</f>
        <v/>
      </c>
    </row>
    <row r="3088" ht="15" customHeight="1" s="231">
      <c r="A3088" s="397" t="n"/>
      <c r="B3088" s="397" t="n"/>
      <c r="C3088" s="397" t="n"/>
      <c r="D3088" s="397" t="n"/>
      <c r="E3088" s="397" t="n"/>
      <c r="F3088" s="397" t="n"/>
      <c r="G3088" s="397" t="n"/>
      <c r="I3088" s="397" t="n"/>
      <c r="J3088" s="397" t="n"/>
      <c r="K3088" s="395">
        <f>DATE(VALUE(LEFT(A3088,4)),VALUE(MID(A3088,5,2)),VALUE(RIGHT(A3088,2)))</f>
        <v/>
      </c>
      <c r="L3088" s="395">
        <f>DATEVALUE(LEFT(F3088,10))</f>
        <v/>
      </c>
      <c r="M3088" s="396">
        <f>TIMEVALUE(MID(F3088,12,8))</f>
        <v/>
      </c>
      <c r="N3088" s="395">
        <f>DATEVALUE(LEFT(G3088,10))</f>
        <v/>
      </c>
      <c r="O3088" s="396">
        <f>TIMEVALUE(MID(G3088,12,8))</f>
        <v/>
      </c>
      <c r="P3088" s="396">
        <f>IFERROR(_xlfn.MINIFS($M:$M,$E:$E,$E3088,$K:$K,$K3088,$M:$M,"&gt;"&amp;$O3088),"")</f>
        <v/>
      </c>
      <c r="Q3088" s="396">
        <f>IF($P3088="","",$P3088-$O3088)</f>
        <v/>
      </c>
    </row>
    <row r="3089" ht="15" customHeight="1" s="231">
      <c r="A3089" s="397" t="n"/>
      <c r="B3089" s="397" t="n"/>
      <c r="C3089" s="397" t="n"/>
      <c r="D3089" s="397" t="n"/>
      <c r="E3089" s="397" t="n"/>
      <c r="F3089" s="397" t="n"/>
      <c r="G3089" s="397" t="n"/>
      <c r="I3089" s="397" t="n"/>
      <c r="J3089" s="397" t="n"/>
      <c r="K3089" s="395">
        <f>DATE(VALUE(LEFT(A3089,4)),VALUE(MID(A3089,5,2)),VALUE(RIGHT(A3089,2)))</f>
        <v/>
      </c>
      <c r="L3089" s="395">
        <f>DATEVALUE(LEFT(F3089,10))</f>
        <v/>
      </c>
      <c r="M3089" s="396">
        <f>TIMEVALUE(MID(F3089,12,8))</f>
        <v/>
      </c>
      <c r="N3089" s="395">
        <f>DATEVALUE(LEFT(G3089,10))</f>
        <v/>
      </c>
      <c r="O3089" s="396">
        <f>TIMEVALUE(MID(G3089,12,8))</f>
        <v/>
      </c>
      <c r="P3089" s="396">
        <f>IFERROR(_xlfn.MINIFS($M:$M,$E:$E,$E3089,$K:$K,$K3089,$M:$M,"&gt;"&amp;$O3089),"")</f>
        <v/>
      </c>
      <c r="Q3089" s="396">
        <f>IF($P3089="","",$P3089-$O3089)</f>
        <v/>
      </c>
    </row>
    <row r="3090" ht="15" customHeight="1" s="231">
      <c r="A3090" s="397" t="n"/>
      <c r="B3090" s="397" t="n"/>
      <c r="C3090" s="397" t="n"/>
      <c r="D3090" s="397" t="n"/>
      <c r="E3090" s="397" t="n"/>
      <c r="F3090" s="397" t="n"/>
      <c r="G3090" s="397" t="n"/>
      <c r="I3090" s="397" t="n"/>
      <c r="J3090" s="397" t="n"/>
      <c r="K3090" s="395">
        <f>DATE(VALUE(LEFT(A3090,4)),VALUE(MID(A3090,5,2)),VALUE(RIGHT(A3090,2)))</f>
        <v/>
      </c>
      <c r="L3090" s="395">
        <f>DATEVALUE(LEFT(F3090,10))</f>
        <v/>
      </c>
      <c r="M3090" s="396">
        <f>TIMEVALUE(MID(F3090,12,8))</f>
        <v/>
      </c>
      <c r="N3090" s="395">
        <f>DATEVALUE(LEFT(G3090,10))</f>
        <v/>
      </c>
      <c r="O3090" s="396">
        <f>TIMEVALUE(MID(G3090,12,8))</f>
        <v/>
      </c>
      <c r="P3090" s="396">
        <f>IFERROR(_xlfn.MINIFS($M:$M,$E:$E,$E3090,$K:$K,$K3090,$M:$M,"&gt;"&amp;$O3090),"")</f>
        <v/>
      </c>
      <c r="Q3090" s="396">
        <f>IF($P3090="","",$P3090-$O3090)</f>
        <v/>
      </c>
    </row>
    <row r="3091" ht="15" customHeight="1" s="231">
      <c r="A3091" s="397" t="n"/>
      <c r="B3091" s="397" t="n"/>
      <c r="C3091" s="397" t="n"/>
      <c r="D3091" s="397" t="n"/>
      <c r="E3091" s="397" t="n"/>
      <c r="F3091" s="397" t="n"/>
      <c r="G3091" s="397" t="n"/>
      <c r="I3091" s="397" t="n"/>
      <c r="J3091" s="397" t="n"/>
      <c r="K3091" s="395">
        <f>DATE(VALUE(LEFT(A3091,4)),VALUE(MID(A3091,5,2)),VALUE(RIGHT(A3091,2)))</f>
        <v/>
      </c>
      <c r="L3091" s="395">
        <f>DATEVALUE(LEFT(F3091,10))</f>
        <v/>
      </c>
      <c r="M3091" s="396">
        <f>TIMEVALUE(MID(F3091,12,8))</f>
        <v/>
      </c>
      <c r="N3091" s="395">
        <f>DATEVALUE(LEFT(G3091,10))</f>
        <v/>
      </c>
      <c r="O3091" s="396">
        <f>TIMEVALUE(MID(G3091,12,8))</f>
        <v/>
      </c>
      <c r="P3091" s="396">
        <f>IFERROR(_xlfn.MINIFS($M:$M,$E:$E,$E3091,$K:$K,$K3091,$M:$M,"&gt;"&amp;$O3091),"")</f>
        <v/>
      </c>
      <c r="Q3091" s="396">
        <f>IF($P3091="","",$P3091-$O3091)</f>
        <v/>
      </c>
    </row>
    <row r="3092" ht="15" customHeight="1" s="231">
      <c r="A3092" s="397" t="n"/>
      <c r="B3092" s="397" t="n"/>
      <c r="C3092" s="397" t="n"/>
      <c r="D3092" s="397" t="n"/>
      <c r="E3092" s="397" t="n"/>
      <c r="F3092" s="397" t="n"/>
      <c r="G3092" s="397" t="n"/>
      <c r="I3092" s="397" t="n"/>
      <c r="J3092" s="397" t="n"/>
      <c r="K3092" s="395">
        <f>DATE(VALUE(LEFT(A3092,4)),VALUE(MID(A3092,5,2)),VALUE(RIGHT(A3092,2)))</f>
        <v/>
      </c>
      <c r="L3092" s="395">
        <f>DATEVALUE(LEFT(F3092,10))</f>
        <v/>
      </c>
      <c r="M3092" s="396">
        <f>TIMEVALUE(MID(F3092,12,8))</f>
        <v/>
      </c>
      <c r="N3092" s="395">
        <f>DATEVALUE(LEFT(G3092,10))</f>
        <v/>
      </c>
      <c r="O3092" s="396">
        <f>TIMEVALUE(MID(G3092,12,8))</f>
        <v/>
      </c>
      <c r="P3092" s="396">
        <f>IFERROR(_xlfn.MINIFS($M:$M,$E:$E,$E3092,$K:$K,$K3092,$M:$M,"&gt;"&amp;$O3092),"")</f>
        <v/>
      </c>
      <c r="Q3092" s="396">
        <f>IF($P3092="","",$P3092-$O3092)</f>
        <v/>
      </c>
    </row>
    <row r="3093" ht="15" customHeight="1" s="231">
      <c r="A3093" s="397" t="n"/>
      <c r="B3093" s="397" t="n"/>
      <c r="C3093" s="397" t="n"/>
      <c r="D3093" s="397" t="n"/>
      <c r="E3093" s="397" t="n"/>
      <c r="F3093" s="397" t="n"/>
      <c r="G3093" s="397" t="n"/>
      <c r="I3093" s="397" t="n"/>
      <c r="J3093" s="397" t="n"/>
      <c r="K3093" s="395">
        <f>DATE(VALUE(LEFT(A3093,4)),VALUE(MID(A3093,5,2)),VALUE(RIGHT(A3093,2)))</f>
        <v/>
      </c>
      <c r="L3093" s="395">
        <f>DATEVALUE(LEFT(F3093,10))</f>
        <v/>
      </c>
      <c r="M3093" s="396">
        <f>TIMEVALUE(MID(F3093,12,8))</f>
        <v/>
      </c>
      <c r="N3093" s="395">
        <f>DATEVALUE(LEFT(G3093,10))</f>
        <v/>
      </c>
      <c r="O3093" s="396">
        <f>TIMEVALUE(MID(G3093,12,8))</f>
        <v/>
      </c>
      <c r="P3093" s="396">
        <f>IFERROR(_xlfn.MINIFS($M:$M,$E:$E,$E3093,$K:$K,$K3093,$M:$M,"&gt;"&amp;$O3093),"")</f>
        <v/>
      </c>
      <c r="Q3093" s="396">
        <f>IF($P3093="","",$P3093-$O3093)</f>
        <v/>
      </c>
    </row>
    <row r="3094" ht="15" customHeight="1" s="231">
      <c r="A3094" s="397" t="n"/>
      <c r="B3094" s="397" t="n"/>
      <c r="C3094" s="397" t="n"/>
      <c r="D3094" s="397" t="n"/>
      <c r="E3094" s="397" t="n"/>
      <c r="F3094" s="397" t="n"/>
      <c r="G3094" s="397" t="n"/>
      <c r="I3094" s="397" t="n"/>
      <c r="J3094" s="397" t="n"/>
      <c r="K3094" s="395">
        <f>DATE(VALUE(LEFT(A3094,4)),VALUE(MID(A3094,5,2)),VALUE(RIGHT(A3094,2)))</f>
        <v/>
      </c>
      <c r="L3094" s="395">
        <f>DATEVALUE(LEFT(F3094,10))</f>
        <v/>
      </c>
      <c r="M3094" s="396">
        <f>TIMEVALUE(MID(F3094,12,8))</f>
        <v/>
      </c>
      <c r="N3094" s="395">
        <f>DATEVALUE(LEFT(G3094,10))</f>
        <v/>
      </c>
      <c r="O3094" s="396">
        <f>TIMEVALUE(MID(G3094,12,8))</f>
        <v/>
      </c>
      <c r="P3094" s="396">
        <f>IFERROR(_xlfn.MINIFS($M:$M,$E:$E,$E3094,$K:$K,$K3094,$M:$M,"&gt;"&amp;$O3094),"")</f>
        <v/>
      </c>
      <c r="Q3094" s="396">
        <f>IF($P3094="","",$P3094-$O3094)</f>
        <v/>
      </c>
    </row>
    <row r="3095" ht="15" customHeight="1" s="231">
      <c r="A3095" s="397" t="n"/>
      <c r="B3095" s="397" t="n"/>
      <c r="C3095" s="397" t="n"/>
      <c r="D3095" s="397" t="n"/>
      <c r="E3095" s="397" t="n"/>
      <c r="F3095" s="397" t="n"/>
      <c r="G3095" s="397" t="n"/>
      <c r="I3095" s="397" t="n"/>
      <c r="J3095" s="397" t="n"/>
      <c r="K3095" s="395">
        <f>DATE(VALUE(LEFT(A3095,4)),VALUE(MID(A3095,5,2)),VALUE(RIGHT(A3095,2)))</f>
        <v/>
      </c>
      <c r="L3095" s="395">
        <f>DATEVALUE(LEFT(F3095,10))</f>
        <v/>
      </c>
      <c r="M3095" s="396">
        <f>TIMEVALUE(MID(F3095,12,8))</f>
        <v/>
      </c>
      <c r="N3095" s="395">
        <f>DATEVALUE(LEFT(G3095,10))</f>
        <v/>
      </c>
      <c r="O3095" s="396">
        <f>TIMEVALUE(MID(G3095,12,8))</f>
        <v/>
      </c>
      <c r="P3095" s="396">
        <f>IFERROR(_xlfn.MINIFS($M:$M,$E:$E,$E3095,$K:$K,$K3095,$M:$M,"&gt;"&amp;$O3095),"")</f>
        <v/>
      </c>
      <c r="Q3095" s="396">
        <f>IF($P3095="","",$P3095-$O3095)</f>
        <v/>
      </c>
    </row>
    <row r="3096" ht="15" customHeight="1" s="231">
      <c r="A3096" s="397" t="n"/>
      <c r="B3096" s="397" t="n"/>
      <c r="C3096" s="397" t="n"/>
      <c r="D3096" s="397" t="n"/>
      <c r="E3096" s="397" t="n"/>
      <c r="F3096" s="397" t="n"/>
      <c r="G3096" s="397" t="n"/>
      <c r="I3096" s="397" t="n"/>
      <c r="J3096" s="397" t="n"/>
      <c r="K3096" s="395">
        <f>DATE(VALUE(LEFT(A3096,4)),VALUE(MID(A3096,5,2)),VALUE(RIGHT(A3096,2)))</f>
        <v/>
      </c>
      <c r="L3096" s="395">
        <f>DATEVALUE(LEFT(F3096,10))</f>
        <v/>
      </c>
      <c r="M3096" s="396">
        <f>TIMEVALUE(MID(F3096,12,8))</f>
        <v/>
      </c>
      <c r="N3096" s="395">
        <f>DATEVALUE(LEFT(G3096,10))</f>
        <v/>
      </c>
      <c r="O3096" s="396">
        <f>TIMEVALUE(MID(G3096,12,8))</f>
        <v/>
      </c>
      <c r="P3096" s="396">
        <f>IFERROR(_xlfn.MINIFS($M:$M,$E:$E,$E3096,$K:$K,$K3096,$M:$M,"&gt;"&amp;$O3096),"")</f>
        <v/>
      </c>
      <c r="Q3096" s="396">
        <f>IF($P3096="","",$P3096-$O3096)</f>
        <v/>
      </c>
    </row>
    <row r="3097" ht="15" customHeight="1" s="231">
      <c r="A3097" s="397" t="n"/>
      <c r="B3097" s="397" t="n"/>
      <c r="C3097" s="397" t="n"/>
      <c r="D3097" s="397" t="n"/>
      <c r="E3097" s="397" t="n"/>
      <c r="F3097" s="397" t="n"/>
      <c r="G3097" s="397" t="n"/>
      <c r="I3097" s="397" t="n"/>
      <c r="J3097" s="397" t="n"/>
      <c r="K3097" s="395">
        <f>DATE(VALUE(LEFT(A3097,4)),VALUE(MID(A3097,5,2)),VALUE(RIGHT(A3097,2)))</f>
        <v/>
      </c>
      <c r="L3097" s="395">
        <f>DATEVALUE(LEFT(F3097,10))</f>
        <v/>
      </c>
      <c r="M3097" s="396">
        <f>TIMEVALUE(MID(F3097,12,8))</f>
        <v/>
      </c>
      <c r="N3097" s="395">
        <f>DATEVALUE(LEFT(G3097,10))</f>
        <v/>
      </c>
      <c r="O3097" s="396">
        <f>TIMEVALUE(MID(G3097,12,8))</f>
        <v/>
      </c>
      <c r="P3097" s="396">
        <f>IFERROR(_xlfn.MINIFS($M:$M,$E:$E,$E3097,$K:$K,$K3097,$M:$M,"&gt;"&amp;$O3097),"")</f>
        <v/>
      </c>
      <c r="Q3097" s="396">
        <f>IF($P3097="","",$P3097-$O3097)</f>
        <v/>
      </c>
    </row>
    <row r="3098" ht="15" customHeight="1" s="231">
      <c r="A3098" s="397" t="n"/>
      <c r="B3098" s="397" t="n"/>
      <c r="C3098" s="397" t="n"/>
      <c r="D3098" s="397" t="n"/>
      <c r="E3098" s="397" t="n"/>
      <c r="F3098" s="397" t="n"/>
      <c r="G3098" s="397" t="n"/>
      <c r="I3098" s="397" t="n"/>
      <c r="J3098" s="397" t="n"/>
      <c r="K3098" s="395">
        <f>DATE(VALUE(LEFT(A3098,4)),VALUE(MID(A3098,5,2)),VALUE(RIGHT(A3098,2)))</f>
        <v/>
      </c>
      <c r="L3098" s="395">
        <f>DATEVALUE(LEFT(F3098,10))</f>
        <v/>
      </c>
      <c r="M3098" s="396">
        <f>TIMEVALUE(MID(F3098,12,8))</f>
        <v/>
      </c>
      <c r="N3098" s="395">
        <f>DATEVALUE(LEFT(G3098,10))</f>
        <v/>
      </c>
      <c r="O3098" s="396">
        <f>TIMEVALUE(MID(G3098,12,8))</f>
        <v/>
      </c>
      <c r="P3098" s="396">
        <f>IFERROR(_xlfn.MINIFS($M:$M,$E:$E,$E3098,$K:$K,$K3098,$M:$M,"&gt;"&amp;$O3098),"")</f>
        <v/>
      </c>
      <c r="Q3098" s="396">
        <f>IF($P3098="","",$P3098-$O3098)</f>
        <v/>
      </c>
    </row>
    <row r="3099" ht="15" customHeight="1" s="231">
      <c r="A3099" s="397" t="n"/>
      <c r="B3099" s="397" t="n"/>
      <c r="C3099" s="397" t="n"/>
      <c r="D3099" s="397" t="n"/>
      <c r="E3099" s="397" t="n"/>
      <c r="F3099" s="397" t="n"/>
      <c r="G3099" s="397" t="n"/>
      <c r="I3099" s="397" t="n"/>
      <c r="J3099" s="397" t="n"/>
      <c r="K3099" s="395">
        <f>DATE(VALUE(LEFT(A3099,4)),VALUE(MID(A3099,5,2)),VALUE(RIGHT(A3099,2)))</f>
        <v/>
      </c>
      <c r="L3099" s="395">
        <f>DATEVALUE(LEFT(F3099,10))</f>
        <v/>
      </c>
      <c r="M3099" s="396">
        <f>TIMEVALUE(MID(F3099,12,8))</f>
        <v/>
      </c>
      <c r="N3099" s="395">
        <f>DATEVALUE(LEFT(G3099,10))</f>
        <v/>
      </c>
      <c r="O3099" s="396">
        <f>TIMEVALUE(MID(G3099,12,8))</f>
        <v/>
      </c>
      <c r="P3099" s="396">
        <f>IFERROR(_xlfn.MINIFS($M:$M,$E:$E,$E3099,$K:$K,$K3099,$M:$M,"&gt;"&amp;$O3099),"")</f>
        <v/>
      </c>
      <c r="Q3099" s="396">
        <f>IF($P3099="","",$P3099-$O3099)</f>
        <v/>
      </c>
    </row>
    <row r="3100" ht="15" customHeight="1" s="231">
      <c r="A3100" s="397" t="n"/>
      <c r="B3100" s="397" t="n"/>
      <c r="C3100" s="397" t="n"/>
      <c r="D3100" s="397" t="n"/>
      <c r="E3100" s="397" t="n"/>
      <c r="F3100" s="397" t="n"/>
      <c r="G3100" s="397" t="n"/>
      <c r="I3100" s="397" t="n"/>
      <c r="J3100" s="397" t="n"/>
      <c r="K3100" s="395">
        <f>DATE(VALUE(LEFT(A3100,4)),VALUE(MID(A3100,5,2)),VALUE(RIGHT(A3100,2)))</f>
        <v/>
      </c>
      <c r="L3100" s="395">
        <f>DATEVALUE(LEFT(F3100,10))</f>
        <v/>
      </c>
      <c r="M3100" s="396">
        <f>TIMEVALUE(MID(F3100,12,8))</f>
        <v/>
      </c>
      <c r="N3100" s="395">
        <f>DATEVALUE(LEFT(G3100,10))</f>
        <v/>
      </c>
      <c r="O3100" s="396">
        <f>TIMEVALUE(MID(G3100,12,8))</f>
        <v/>
      </c>
      <c r="P3100" s="396">
        <f>IFERROR(_xlfn.MINIFS($M:$M,$E:$E,$E3100,$K:$K,$K3100,$M:$M,"&gt;"&amp;$O3100),"")</f>
        <v/>
      </c>
      <c r="Q3100" s="396">
        <f>IF($P3100="","",$P3100-$O3100)</f>
        <v/>
      </c>
    </row>
    <row r="3101" ht="15" customHeight="1" s="231">
      <c r="A3101" s="397" t="n"/>
      <c r="B3101" s="397" t="n"/>
      <c r="C3101" s="397" t="n"/>
      <c r="D3101" s="397" t="n"/>
      <c r="E3101" s="397" t="n"/>
      <c r="F3101" s="397" t="n"/>
      <c r="G3101" s="397" t="n"/>
      <c r="I3101" s="397" t="n"/>
      <c r="J3101" s="397" t="n"/>
      <c r="K3101" s="395">
        <f>DATE(VALUE(LEFT(A3101,4)),VALUE(MID(A3101,5,2)),VALUE(RIGHT(A3101,2)))</f>
        <v/>
      </c>
      <c r="L3101" s="395">
        <f>DATEVALUE(LEFT(F3101,10))</f>
        <v/>
      </c>
      <c r="M3101" s="396">
        <f>TIMEVALUE(MID(F3101,12,8))</f>
        <v/>
      </c>
      <c r="N3101" s="395">
        <f>DATEVALUE(LEFT(G3101,10))</f>
        <v/>
      </c>
      <c r="O3101" s="396">
        <f>TIMEVALUE(MID(G3101,12,8))</f>
        <v/>
      </c>
      <c r="P3101" s="396">
        <f>IFERROR(_xlfn.MINIFS($M:$M,$E:$E,$E3101,$K:$K,$K3101,$M:$M,"&gt;"&amp;$O3101),"")</f>
        <v/>
      </c>
      <c r="Q3101" s="396">
        <f>IF($P3101="","",$P3101-$O3101)</f>
        <v/>
      </c>
    </row>
    <row r="3102" ht="15" customHeight="1" s="231">
      <c r="A3102" s="397" t="n"/>
      <c r="B3102" s="397" t="n"/>
      <c r="C3102" s="397" t="n"/>
      <c r="D3102" s="397" t="n"/>
      <c r="E3102" s="397" t="n"/>
      <c r="F3102" s="397" t="n"/>
      <c r="G3102" s="397" t="n"/>
      <c r="I3102" s="397" t="n"/>
      <c r="J3102" s="397" t="n"/>
      <c r="K3102" s="395">
        <f>DATE(VALUE(LEFT(A3102,4)),VALUE(MID(A3102,5,2)),VALUE(RIGHT(A3102,2)))</f>
        <v/>
      </c>
      <c r="L3102" s="395">
        <f>DATEVALUE(LEFT(F3102,10))</f>
        <v/>
      </c>
      <c r="M3102" s="396">
        <f>TIMEVALUE(MID(F3102,12,8))</f>
        <v/>
      </c>
      <c r="N3102" s="395">
        <f>DATEVALUE(LEFT(G3102,10))</f>
        <v/>
      </c>
      <c r="O3102" s="396">
        <f>TIMEVALUE(MID(G3102,12,8))</f>
        <v/>
      </c>
      <c r="P3102" s="396">
        <f>IFERROR(_xlfn.MINIFS($M:$M,$E:$E,$E3102,$K:$K,$K3102,$M:$M,"&gt;"&amp;$O3102),"")</f>
        <v/>
      </c>
      <c r="Q3102" s="396">
        <f>IF($P3102="","",$P3102-$O3102)</f>
        <v/>
      </c>
    </row>
    <row r="3103" ht="15" customHeight="1" s="231">
      <c r="A3103" s="397" t="n"/>
      <c r="B3103" s="397" t="n"/>
      <c r="C3103" s="397" t="n"/>
      <c r="D3103" s="397" t="n"/>
      <c r="E3103" s="397" t="n"/>
      <c r="F3103" s="397" t="n"/>
      <c r="G3103" s="397" t="n"/>
      <c r="I3103" s="397" t="n"/>
      <c r="J3103" s="397" t="n"/>
      <c r="K3103" s="395">
        <f>DATE(VALUE(LEFT(A3103,4)),VALUE(MID(A3103,5,2)),VALUE(RIGHT(A3103,2)))</f>
        <v/>
      </c>
      <c r="L3103" s="395">
        <f>DATEVALUE(LEFT(F3103,10))</f>
        <v/>
      </c>
      <c r="M3103" s="396">
        <f>TIMEVALUE(MID(F3103,12,8))</f>
        <v/>
      </c>
      <c r="N3103" s="395">
        <f>DATEVALUE(LEFT(G3103,10))</f>
        <v/>
      </c>
      <c r="O3103" s="396">
        <f>TIMEVALUE(MID(G3103,12,8))</f>
        <v/>
      </c>
      <c r="P3103" s="396">
        <f>IFERROR(_xlfn.MINIFS($M:$M,$E:$E,$E3103,$K:$K,$K3103,$M:$M,"&gt;"&amp;$O3103),"")</f>
        <v/>
      </c>
      <c r="Q3103" s="396">
        <f>IF($P3103="","",$P3103-$O3103)</f>
        <v/>
      </c>
    </row>
    <row r="3104" ht="15" customHeight="1" s="231">
      <c r="A3104" s="397" t="n"/>
      <c r="B3104" s="397" t="n"/>
      <c r="C3104" s="397" t="n"/>
      <c r="D3104" s="397" t="n"/>
      <c r="E3104" s="397" t="n"/>
      <c r="F3104" s="397" t="n"/>
      <c r="G3104" s="397" t="n"/>
      <c r="I3104" s="397" t="n"/>
      <c r="J3104" s="397" t="n"/>
      <c r="K3104" s="395">
        <f>DATE(VALUE(LEFT(A3104,4)),VALUE(MID(A3104,5,2)),VALUE(RIGHT(A3104,2)))</f>
        <v/>
      </c>
      <c r="L3104" s="395">
        <f>DATEVALUE(LEFT(F3104,10))</f>
        <v/>
      </c>
      <c r="M3104" s="396">
        <f>TIMEVALUE(MID(F3104,12,8))</f>
        <v/>
      </c>
      <c r="N3104" s="395">
        <f>DATEVALUE(LEFT(G3104,10))</f>
        <v/>
      </c>
      <c r="O3104" s="396">
        <f>TIMEVALUE(MID(G3104,12,8))</f>
        <v/>
      </c>
      <c r="P3104" s="396">
        <f>IFERROR(_xlfn.MINIFS($M:$M,$E:$E,$E3104,$K:$K,$K3104,$M:$M,"&gt;"&amp;$O3104),"")</f>
        <v/>
      </c>
      <c r="Q3104" s="396">
        <f>IF($P3104="","",$P3104-$O3104)</f>
        <v/>
      </c>
    </row>
    <row r="3105" ht="15" customHeight="1" s="231">
      <c r="A3105" s="397" t="n"/>
      <c r="B3105" s="397" t="n"/>
      <c r="C3105" s="397" t="n"/>
      <c r="D3105" s="397" t="n"/>
      <c r="E3105" s="397" t="n"/>
      <c r="F3105" s="397" t="n"/>
      <c r="G3105" s="397" t="n"/>
      <c r="I3105" s="397" t="n"/>
      <c r="J3105" s="397" t="n"/>
      <c r="K3105" s="395">
        <f>DATE(VALUE(LEFT(A3105,4)),VALUE(MID(A3105,5,2)),VALUE(RIGHT(A3105,2)))</f>
        <v/>
      </c>
      <c r="L3105" s="395">
        <f>DATEVALUE(LEFT(F3105,10))</f>
        <v/>
      </c>
      <c r="M3105" s="396">
        <f>TIMEVALUE(MID(F3105,12,8))</f>
        <v/>
      </c>
      <c r="N3105" s="395">
        <f>DATEVALUE(LEFT(G3105,10))</f>
        <v/>
      </c>
      <c r="O3105" s="396">
        <f>TIMEVALUE(MID(G3105,12,8))</f>
        <v/>
      </c>
      <c r="P3105" s="396">
        <f>IFERROR(_xlfn.MINIFS($M:$M,$E:$E,$E3105,$K:$K,$K3105,$M:$M,"&gt;"&amp;$O3105),"")</f>
        <v/>
      </c>
      <c r="Q3105" s="396">
        <f>IF($P3105="","",$P3105-$O3105)</f>
        <v/>
      </c>
    </row>
    <row r="3106" ht="15" customHeight="1" s="231">
      <c r="A3106" s="397" t="n"/>
      <c r="B3106" s="397" t="n"/>
      <c r="C3106" s="397" t="n"/>
      <c r="D3106" s="397" t="n"/>
      <c r="E3106" s="397" t="n"/>
      <c r="F3106" s="397" t="n"/>
      <c r="G3106" s="397" t="n"/>
      <c r="I3106" s="397" t="n"/>
      <c r="J3106" s="397" t="n"/>
      <c r="K3106" s="395">
        <f>DATE(VALUE(LEFT(A3106,4)),VALUE(MID(A3106,5,2)),VALUE(RIGHT(A3106,2)))</f>
        <v/>
      </c>
      <c r="L3106" s="395">
        <f>DATEVALUE(LEFT(F3106,10))</f>
        <v/>
      </c>
      <c r="M3106" s="396">
        <f>TIMEVALUE(MID(F3106,12,8))</f>
        <v/>
      </c>
      <c r="N3106" s="395">
        <f>DATEVALUE(LEFT(G3106,10))</f>
        <v/>
      </c>
      <c r="O3106" s="396">
        <f>TIMEVALUE(MID(G3106,12,8))</f>
        <v/>
      </c>
      <c r="P3106" s="396">
        <f>IFERROR(_xlfn.MINIFS($M:$M,$E:$E,$E3106,$K:$K,$K3106,$M:$M,"&gt;"&amp;$O3106),"")</f>
        <v/>
      </c>
      <c r="Q3106" s="396">
        <f>IF($P3106="","",$P3106-$O3106)</f>
        <v/>
      </c>
    </row>
    <row r="3107" ht="15" customHeight="1" s="231">
      <c r="A3107" s="397" t="n"/>
      <c r="B3107" s="397" t="n"/>
      <c r="C3107" s="397" t="n"/>
      <c r="D3107" s="397" t="n"/>
      <c r="E3107" s="397" t="n"/>
      <c r="F3107" s="397" t="n"/>
      <c r="G3107" s="397" t="n"/>
      <c r="I3107" s="397" t="n"/>
      <c r="J3107" s="397" t="n"/>
      <c r="K3107" s="395">
        <f>DATE(VALUE(LEFT(A3107,4)),VALUE(MID(A3107,5,2)),VALUE(RIGHT(A3107,2)))</f>
        <v/>
      </c>
      <c r="L3107" s="395">
        <f>DATEVALUE(LEFT(F3107,10))</f>
        <v/>
      </c>
      <c r="M3107" s="396">
        <f>TIMEVALUE(MID(F3107,12,8))</f>
        <v/>
      </c>
      <c r="N3107" s="395">
        <f>DATEVALUE(LEFT(G3107,10))</f>
        <v/>
      </c>
      <c r="O3107" s="396">
        <f>TIMEVALUE(MID(G3107,12,8))</f>
        <v/>
      </c>
      <c r="P3107" s="396">
        <f>IFERROR(_xlfn.MINIFS($M:$M,$E:$E,$E3107,$K:$K,$K3107,$M:$M,"&gt;"&amp;$O3107),"")</f>
        <v/>
      </c>
      <c r="Q3107" s="396">
        <f>IF($P3107="","",$P3107-$O3107)</f>
        <v/>
      </c>
    </row>
    <row r="3108" ht="15" customHeight="1" s="231">
      <c r="A3108" s="397" t="n"/>
      <c r="B3108" s="397" t="n"/>
      <c r="C3108" s="397" t="n"/>
      <c r="D3108" s="397" t="n"/>
      <c r="E3108" s="397" t="n"/>
      <c r="F3108" s="397" t="n"/>
      <c r="G3108" s="397" t="n"/>
      <c r="I3108" s="397" t="n"/>
      <c r="J3108" s="397" t="n"/>
      <c r="K3108" s="395">
        <f>DATE(VALUE(LEFT(A3108,4)),VALUE(MID(A3108,5,2)),VALUE(RIGHT(A3108,2)))</f>
        <v/>
      </c>
      <c r="L3108" s="395">
        <f>DATEVALUE(LEFT(F3108,10))</f>
        <v/>
      </c>
      <c r="M3108" s="396">
        <f>TIMEVALUE(MID(F3108,12,8))</f>
        <v/>
      </c>
      <c r="N3108" s="395">
        <f>DATEVALUE(LEFT(G3108,10))</f>
        <v/>
      </c>
      <c r="O3108" s="396">
        <f>TIMEVALUE(MID(G3108,12,8))</f>
        <v/>
      </c>
      <c r="P3108" s="396">
        <f>IFERROR(_xlfn.MINIFS($M:$M,$E:$E,$E3108,$K:$K,$K3108,$M:$M,"&gt;"&amp;$O3108),"")</f>
        <v/>
      </c>
      <c r="Q3108" s="396">
        <f>IF($P3108="","",$P3108-$O3108)</f>
        <v/>
      </c>
    </row>
    <row r="3109" ht="15" customHeight="1" s="231">
      <c r="A3109" s="397" t="n"/>
      <c r="B3109" s="397" t="n"/>
      <c r="C3109" s="397" t="n"/>
      <c r="D3109" s="397" t="n"/>
      <c r="E3109" s="397" t="n"/>
      <c r="F3109" s="397" t="n"/>
      <c r="G3109" s="397" t="n"/>
      <c r="I3109" s="397" t="n"/>
      <c r="J3109" s="397" t="n"/>
      <c r="K3109" s="395">
        <f>DATE(VALUE(LEFT(A3109,4)),VALUE(MID(A3109,5,2)),VALUE(RIGHT(A3109,2)))</f>
        <v/>
      </c>
      <c r="L3109" s="395">
        <f>DATEVALUE(LEFT(F3109,10))</f>
        <v/>
      </c>
      <c r="M3109" s="396">
        <f>TIMEVALUE(MID(F3109,12,8))</f>
        <v/>
      </c>
      <c r="N3109" s="395">
        <f>DATEVALUE(LEFT(G3109,10))</f>
        <v/>
      </c>
      <c r="O3109" s="396">
        <f>TIMEVALUE(MID(G3109,12,8))</f>
        <v/>
      </c>
      <c r="P3109" s="396">
        <f>IFERROR(_xlfn.MINIFS($M:$M,$E:$E,$E3109,$K:$K,$K3109,$M:$M,"&gt;"&amp;$O3109),"")</f>
        <v/>
      </c>
      <c r="Q3109" s="396">
        <f>IF($P3109="","",$P3109-$O3109)</f>
        <v/>
      </c>
    </row>
    <row r="3110" ht="15" customHeight="1" s="231">
      <c r="A3110" s="397" t="n"/>
      <c r="B3110" s="397" t="n"/>
      <c r="C3110" s="397" t="n"/>
      <c r="D3110" s="397" t="n"/>
      <c r="E3110" s="397" t="n"/>
      <c r="F3110" s="397" t="n"/>
      <c r="G3110" s="397" t="n"/>
      <c r="I3110" s="397" t="n"/>
      <c r="J3110" s="397" t="n"/>
      <c r="K3110" s="395">
        <f>DATE(VALUE(LEFT(A3110,4)),VALUE(MID(A3110,5,2)),VALUE(RIGHT(A3110,2)))</f>
        <v/>
      </c>
      <c r="L3110" s="395">
        <f>DATEVALUE(LEFT(F3110,10))</f>
        <v/>
      </c>
      <c r="M3110" s="396">
        <f>TIMEVALUE(MID(F3110,12,8))</f>
        <v/>
      </c>
      <c r="N3110" s="395">
        <f>DATEVALUE(LEFT(G3110,10))</f>
        <v/>
      </c>
      <c r="O3110" s="396">
        <f>TIMEVALUE(MID(G3110,12,8))</f>
        <v/>
      </c>
      <c r="P3110" s="396">
        <f>IFERROR(_xlfn.MINIFS($M:$M,$E:$E,$E3110,$K:$K,$K3110,$M:$M,"&gt;"&amp;$O3110),"")</f>
        <v/>
      </c>
      <c r="Q3110" s="396">
        <f>IF($P3110="","",$P3110-$O3110)</f>
        <v/>
      </c>
    </row>
    <row r="3111" ht="15" customHeight="1" s="231">
      <c r="A3111" s="397" t="n"/>
      <c r="B3111" s="397" t="n"/>
      <c r="C3111" s="397" t="n"/>
      <c r="D3111" s="397" t="n"/>
      <c r="E3111" s="397" t="n"/>
      <c r="F3111" s="397" t="n"/>
      <c r="G3111" s="397" t="n"/>
      <c r="I3111" s="397" t="n"/>
      <c r="J3111" s="397" t="n"/>
      <c r="K3111" s="395">
        <f>DATE(VALUE(LEFT(A3111,4)),VALUE(MID(A3111,5,2)),VALUE(RIGHT(A3111,2)))</f>
        <v/>
      </c>
      <c r="L3111" s="395">
        <f>DATEVALUE(LEFT(F3111,10))</f>
        <v/>
      </c>
      <c r="M3111" s="396">
        <f>TIMEVALUE(MID(F3111,12,8))</f>
        <v/>
      </c>
      <c r="N3111" s="395">
        <f>DATEVALUE(LEFT(G3111,10))</f>
        <v/>
      </c>
      <c r="O3111" s="396">
        <f>TIMEVALUE(MID(G3111,12,8))</f>
        <v/>
      </c>
      <c r="P3111" s="396">
        <f>IFERROR(_xlfn.MINIFS($M:$M,$E:$E,$E3111,$K:$K,$K3111,$M:$M,"&gt;"&amp;$O3111),"")</f>
        <v/>
      </c>
      <c r="Q3111" s="396">
        <f>IF($P3111="","",$P3111-$O3111)</f>
        <v/>
      </c>
    </row>
    <row r="3112" ht="15" customHeight="1" s="231">
      <c r="A3112" s="397" t="n"/>
      <c r="B3112" s="397" t="n"/>
      <c r="C3112" s="397" t="n"/>
      <c r="D3112" s="397" t="n"/>
      <c r="E3112" s="397" t="n"/>
      <c r="F3112" s="397" t="n"/>
      <c r="G3112" s="397" t="n"/>
      <c r="I3112" s="397" t="n"/>
      <c r="J3112" s="397" t="n"/>
      <c r="K3112" s="395">
        <f>DATE(VALUE(LEFT(A3112,4)),VALUE(MID(A3112,5,2)),VALUE(RIGHT(A3112,2)))</f>
        <v/>
      </c>
      <c r="L3112" s="395">
        <f>DATEVALUE(LEFT(F3112,10))</f>
        <v/>
      </c>
      <c r="M3112" s="396">
        <f>TIMEVALUE(MID(F3112,12,8))</f>
        <v/>
      </c>
      <c r="N3112" s="395">
        <f>DATEVALUE(LEFT(G3112,10))</f>
        <v/>
      </c>
      <c r="O3112" s="396">
        <f>TIMEVALUE(MID(G3112,12,8))</f>
        <v/>
      </c>
      <c r="P3112" s="396">
        <f>IFERROR(_xlfn.MINIFS($M:$M,$E:$E,$E3112,$K:$K,$K3112,$M:$M,"&gt;"&amp;$O3112),"")</f>
        <v/>
      </c>
      <c r="Q3112" s="396">
        <f>IF($P3112="","",$P3112-$O3112)</f>
        <v/>
      </c>
    </row>
    <row r="3113" ht="15" customHeight="1" s="231">
      <c r="A3113" s="397" t="n"/>
      <c r="B3113" s="397" t="n"/>
      <c r="C3113" s="397" t="n"/>
      <c r="D3113" s="397" t="n"/>
      <c r="E3113" s="397" t="n"/>
      <c r="F3113" s="397" t="n"/>
      <c r="G3113" s="397" t="n"/>
      <c r="I3113" s="397" t="n"/>
      <c r="J3113" s="397" t="n"/>
      <c r="K3113" s="395">
        <f>DATE(VALUE(LEFT(A3113,4)),VALUE(MID(A3113,5,2)),VALUE(RIGHT(A3113,2)))</f>
        <v/>
      </c>
      <c r="L3113" s="395">
        <f>DATEVALUE(LEFT(F3113,10))</f>
        <v/>
      </c>
      <c r="M3113" s="396">
        <f>TIMEVALUE(MID(F3113,12,8))</f>
        <v/>
      </c>
      <c r="N3113" s="395">
        <f>DATEVALUE(LEFT(G3113,10))</f>
        <v/>
      </c>
      <c r="O3113" s="396">
        <f>TIMEVALUE(MID(G3113,12,8))</f>
        <v/>
      </c>
      <c r="P3113" s="396">
        <f>IFERROR(_xlfn.MINIFS($M:$M,$E:$E,$E3113,$K:$K,$K3113,$M:$M,"&gt;"&amp;$O3113),"")</f>
        <v/>
      </c>
      <c r="Q3113" s="396">
        <f>IF($P3113="","",$P3113-$O3113)</f>
        <v/>
      </c>
    </row>
    <row r="3114" ht="15" customHeight="1" s="231">
      <c r="A3114" s="397" t="n"/>
      <c r="B3114" s="397" t="n"/>
      <c r="C3114" s="397" t="n"/>
      <c r="D3114" s="397" t="n"/>
      <c r="E3114" s="397" t="n"/>
      <c r="F3114" s="397" t="n"/>
      <c r="G3114" s="397" t="n"/>
      <c r="I3114" s="397" t="n"/>
      <c r="J3114" s="397" t="n"/>
      <c r="K3114" s="395">
        <f>DATE(VALUE(LEFT(A3114,4)),VALUE(MID(A3114,5,2)),VALUE(RIGHT(A3114,2)))</f>
        <v/>
      </c>
      <c r="L3114" s="395">
        <f>DATEVALUE(LEFT(F3114,10))</f>
        <v/>
      </c>
      <c r="M3114" s="396">
        <f>TIMEVALUE(MID(F3114,12,8))</f>
        <v/>
      </c>
      <c r="N3114" s="395">
        <f>DATEVALUE(LEFT(G3114,10))</f>
        <v/>
      </c>
      <c r="O3114" s="396">
        <f>TIMEVALUE(MID(G3114,12,8))</f>
        <v/>
      </c>
      <c r="P3114" s="396">
        <f>IFERROR(_xlfn.MINIFS($M:$M,$E:$E,$E3114,$K:$K,$K3114,$M:$M,"&gt;"&amp;$O3114),"")</f>
        <v/>
      </c>
      <c r="Q3114" s="396">
        <f>IF($P3114="","",$P3114-$O3114)</f>
        <v/>
      </c>
    </row>
    <row r="3115" ht="15" customHeight="1" s="231">
      <c r="A3115" s="397" t="n"/>
      <c r="B3115" s="397" t="n"/>
      <c r="C3115" s="397" t="n"/>
      <c r="D3115" s="397" t="n"/>
      <c r="E3115" s="397" t="n"/>
      <c r="F3115" s="397" t="n"/>
      <c r="G3115" s="397" t="n"/>
      <c r="I3115" s="397" t="n"/>
      <c r="J3115" s="397" t="n"/>
      <c r="K3115" s="395">
        <f>DATE(VALUE(LEFT(A3115,4)),VALUE(MID(A3115,5,2)),VALUE(RIGHT(A3115,2)))</f>
        <v/>
      </c>
      <c r="L3115" s="395">
        <f>DATEVALUE(LEFT(F3115,10))</f>
        <v/>
      </c>
      <c r="M3115" s="396">
        <f>TIMEVALUE(MID(F3115,12,8))</f>
        <v/>
      </c>
      <c r="N3115" s="395">
        <f>DATEVALUE(LEFT(G3115,10))</f>
        <v/>
      </c>
      <c r="O3115" s="396">
        <f>TIMEVALUE(MID(G3115,12,8))</f>
        <v/>
      </c>
      <c r="P3115" s="396">
        <f>IFERROR(_xlfn.MINIFS($M:$M,$E:$E,$E3115,$K:$K,$K3115,$M:$M,"&gt;"&amp;$O3115),"")</f>
        <v/>
      </c>
      <c r="Q3115" s="396">
        <f>IF($P3115="","",$P3115-$O3115)</f>
        <v/>
      </c>
    </row>
    <row r="3116" ht="15" customHeight="1" s="231">
      <c r="A3116" s="397" t="n"/>
      <c r="B3116" s="397" t="n"/>
      <c r="C3116" s="397" t="n"/>
      <c r="D3116" s="397" t="n"/>
      <c r="E3116" s="397" t="n"/>
      <c r="F3116" s="397" t="n"/>
      <c r="G3116" s="397" t="n"/>
      <c r="I3116" s="397" t="n"/>
      <c r="J3116" s="397" t="n"/>
      <c r="K3116" s="395">
        <f>DATE(VALUE(LEFT(A3116,4)),VALUE(MID(A3116,5,2)),VALUE(RIGHT(A3116,2)))</f>
        <v/>
      </c>
      <c r="L3116" s="395">
        <f>DATEVALUE(LEFT(F3116,10))</f>
        <v/>
      </c>
      <c r="M3116" s="396">
        <f>TIMEVALUE(MID(F3116,12,8))</f>
        <v/>
      </c>
      <c r="N3116" s="395">
        <f>DATEVALUE(LEFT(G3116,10))</f>
        <v/>
      </c>
      <c r="O3116" s="396">
        <f>TIMEVALUE(MID(G3116,12,8))</f>
        <v/>
      </c>
      <c r="P3116" s="396">
        <f>IFERROR(_xlfn.MINIFS($M:$M,$E:$E,$E3116,$K:$K,$K3116,$M:$M,"&gt;"&amp;$O3116),"")</f>
        <v/>
      </c>
      <c r="Q3116" s="396">
        <f>IF($P3116="","",$P3116-$O3116)</f>
        <v/>
      </c>
    </row>
    <row r="3117" ht="15" customHeight="1" s="231">
      <c r="A3117" s="397" t="n"/>
      <c r="B3117" s="397" t="n"/>
      <c r="C3117" s="397" t="n"/>
      <c r="D3117" s="397" t="n"/>
      <c r="E3117" s="397" t="n"/>
      <c r="F3117" s="397" t="n"/>
      <c r="G3117" s="397" t="n"/>
      <c r="I3117" s="397" t="n"/>
      <c r="J3117" s="397" t="n"/>
      <c r="K3117" s="395">
        <f>DATE(VALUE(LEFT(A3117,4)),VALUE(MID(A3117,5,2)),VALUE(RIGHT(A3117,2)))</f>
        <v/>
      </c>
      <c r="L3117" s="395">
        <f>DATEVALUE(LEFT(F3117,10))</f>
        <v/>
      </c>
      <c r="M3117" s="396">
        <f>TIMEVALUE(MID(F3117,12,8))</f>
        <v/>
      </c>
      <c r="N3117" s="395">
        <f>DATEVALUE(LEFT(G3117,10))</f>
        <v/>
      </c>
      <c r="O3117" s="396">
        <f>TIMEVALUE(MID(G3117,12,8))</f>
        <v/>
      </c>
      <c r="P3117" s="396">
        <f>IFERROR(_xlfn.MINIFS($M:$M,$E:$E,$E3117,$K:$K,$K3117,$M:$M,"&gt;"&amp;$O3117),"")</f>
        <v/>
      </c>
      <c r="Q3117" s="396">
        <f>IF($P3117="","",$P3117-$O3117)</f>
        <v/>
      </c>
    </row>
    <row r="3118" ht="15" customHeight="1" s="231">
      <c r="A3118" s="397" t="n"/>
      <c r="B3118" s="397" t="n"/>
      <c r="C3118" s="397" t="n"/>
      <c r="D3118" s="397" t="n"/>
      <c r="E3118" s="397" t="n"/>
      <c r="F3118" s="397" t="n"/>
      <c r="G3118" s="397" t="n"/>
      <c r="I3118" s="397" t="n"/>
      <c r="J3118" s="397" t="n"/>
      <c r="K3118" s="395">
        <f>DATE(VALUE(LEFT(A3118,4)),VALUE(MID(A3118,5,2)),VALUE(RIGHT(A3118,2)))</f>
        <v/>
      </c>
      <c r="L3118" s="395">
        <f>DATEVALUE(LEFT(F3118,10))</f>
        <v/>
      </c>
      <c r="M3118" s="396">
        <f>TIMEVALUE(MID(F3118,12,8))</f>
        <v/>
      </c>
      <c r="N3118" s="395">
        <f>DATEVALUE(LEFT(G3118,10))</f>
        <v/>
      </c>
      <c r="O3118" s="396">
        <f>TIMEVALUE(MID(G3118,12,8))</f>
        <v/>
      </c>
      <c r="P3118" s="396">
        <f>IFERROR(_xlfn.MINIFS($M:$M,$E:$E,$E3118,$K:$K,$K3118,$M:$M,"&gt;"&amp;$O3118),"")</f>
        <v/>
      </c>
      <c r="Q3118" s="396">
        <f>IF($P3118="","",$P3118-$O3118)</f>
        <v/>
      </c>
    </row>
    <row r="3119" ht="15" customHeight="1" s="231">
      <c r="A3119" s="397" t="n"/>
      <c r="B3119" s="397" t="n"/>
      <c r="C3119" s="397" t="n"/>
      <c r="D3119" s="397" t="n"/>
      <c r="E3119" s="397" t="n"/>
      <c r="F3119" s="397" t="n"/>
      <c r="G3119" s="397" t="n"/>
      <c r="I3119" s="397" t="n"/>
      <c r="J3119" s="397" t="n"/>
      <c r="K3119" s="395">
        <f>DATE(VALUE(LEFT(A3119,4)),VALUE(MID(A3119,5,2)),VALUE(RIGHT(A3119,2)))</f>
        <v/>
      </c>
      <c r="L3119" s="395">
        <f>DATEVALUE(LEFT(F3119,10))</f>
        <v/>
      </c>
      <c r="M3119" s="396">
        <f>TIMEVALUE(MID(F3119,12,8))</f>
        <v/>
      </c>
      <c r="N3119" s="395">
        <f>DATEVALUE(LEFT(G3119,10))</f>
        <v/>
      </c>
      <c r="O3119" s="396">
        <f>TIMEVALUE(MID(G3119,12,8))</f>
        <v/>
      </c>
      <c r="P3119" s="396">
        <f>IFERROR(_xlfn.MINIFS($M:$M,$E:$E,$E3119,$K:$K,$K3119,$M:$M,"&gt;"&amp;$O3119),"")</f>
        <v/>
      </c>
      <c r="Q3119" s="396">
        <f>IF($P3119="","",$P3119-$O3119)</f>
        <v/>
      </c>
    </row>
    <row r="3120" ht="15" customHeight="1" s="231">
      <c r="A3120" s="397" t="n"/>
      <c r="B3120" s="397" t="n"/>
      <c r="C3120" s="397" t="n"/>
      <c r="D3120" s="397" t="n"/>
      <c r="E3120" s="397" t="n"/>
      <c r="F3120" s="397" t="n"/>
      <c r="G3120" s="397" t="n"/>
      <c r="I3120" s="397" t="n"/>
      <c r="J3120" s="397" t="n"/>
      <c r="K3120" s="395">
        <f>DATE(VALUE(LEFT(A3120,4)),VALUE(MID(A3120,5,2)),VALUE(RIGHT(A3120,2)))</f>
        <v/>
      </c>
      <c r="L3120" s="395">
        <f>DATEVALUE(LEFT(F3120,10))</f>
        <v/>
      </c>
      <c r="M3120" s="396">
        <f>TIMEVALUE(MID(F3120,12,8))</f>
        <v/>
      </c>
      <c r="N3120" s="395">
        <f>DATEVALUE(LEFT(G3120,10))</f>
        <v/>
      </c>
      <c r="O3120" s="396">
        <f>TIMEVALUE(MID(G3120,12,8))</f>
        <v/>
      </c>
      <c r="P3120" s="396">
        <f>IFERROR(_xlfn.MINIFS($M:$M,$E:$E,$E3120,$K:$K,$K3120,$M:$M,"&gt;"&amp;$O3120),"")</f>
        <v/>
      </c>
      <c r="Q3120" s="396">
        <f>IF($P3120="","",$P3120-$O3120)</f>
        <v/>
      </c>
    </row>
    <row r="3121" ht="15" customHeight="1" s="231">
      <c r="A3121" s="397" t="n"/>
      <c r="B3121" s="397" t="n"/>
      <c r="C3121" s="397" t="n"/>
      <c r="D3121" s="397" t="n"/>
      <c r="E3121" s="397" t="n"/>
      <c r="F3121" s="397" t="n"/>
      <c r="G3121" s="397" t="n"/>
      <c r="I3121" s="397" t="n"/>
      <c r="J3121" s="397" t="n"/>
      <c r="K3121" s="395">
        <f>DATE(VALUE(LEFT(A3121,4)),VALUE(MID(A3121,5,2)),VALUE(RIGHT(A3121,2)))</f>
        <v/>
      </c>
      <c r="L3121" s="395">
        <f>DATEVALUE(LEFT(F3121,10))</f>
        <v/>
      </c>
      <c r="M3121" s="396">
        <f>TIMEVALUE(MID(F3121,12,8))</f>
        <v/>
      </c>
      <c r="N3121" s="395">
        <f>DATEVALUE(LEFT(G3121,10))</f>
        <v/>
      </c>
      <c r="O3121" s="396">
        <f>TIMEVALUE(MID(G3121,12,8))</f>
        <v/>
      </c>
      <c r="P3121" s="396">
        <f>IFERROR(_xlfn.MINIFS($M:$M,$E:$E,$E3121,$K:$K,$K3121,$M:$M,"&gt;"&amp;$O3121),"")</f>
        <v/>
      </c>
      <c r="Q3121" s="396">
        <f>IF($P3121="","",$P3121-$O3121)</f>
        <v/>
      </c>
    </row>
    <row r="3122" ht="15" customHeight="1" s="231">
      <c r="A3122" s="397" t="n"/>
      <c r="B3122" s="397" t="n"/>
      <c r="C3122" s="397" t="n"/>
      <c r="D3122" s="397" t="n"/>
      <c r="E3122" s="397" t="n"/>
      <c r="F3122" s="397" t="n"/>
      <c r="G3122" s="397" t="n"/>
      <c r="I3122" s="397" t="n"/>
      <c r="J3122" s="397" t="n"/>
      <c r="K3122" s="395">
        <f>DATE(VALUE(LEFT(A3122,4)),VALUE(MID(A3122,5,2)),VALUE(RIGHT(A3122,2)))</f>
        <v/>
      </c>
      <c r="L3122" s="395">
        <f>DATEVALUE(LEFT(F3122,10))</f>
        <v/>
      </c>
      <c r="M3122" s="396">
        <f>TIMEVALUE(MID(F3122,12,8))</f>
        <v/>
      </c>
      <c r="N3122" s="395">
        <f>DATEVALUE(LEFT(G3122,10))</f>
        <v/>
      </c>
      <c r="O3122" s="396">
        <f>TIMEVALUE(MID(G3122,12,8))</f>
        <v/>
      </c>
      <c r="P3122" s="396">
        <f>IFERROR(_xlfn.MINIFS($M:$M,$E:$E,$E3122,$K:$K,$K3122,$M:$M,"&gt;"&amp;$O3122),"")</f>
        <v/>
      </c>
      <c r="Q3122" s="396">
        <f>IF($P3122="","",$P3122-$O3122)</f>
        <v/>
      </c>
    </row>
    <row r="3123" ht="15" customHeight="1" s="231">
      <c r="A3123" s="397" t="n"/>
      <c r="B3123" s="397" t="n"/>
      <c r="C3123" s="397" t="n"/>
      <c r="D3123" s="397" t="n"/>
      <c r="E3123" s="397" t="n"/>
      <c r="F3123" s="397" t="n"/>
      <c r="G3123" s="397" t="n"/>
      <c r="I3123" s="397" t="n"/>
      <c r="J3123" s="397" t="n"/>
      <c r="K3123" s="395">
        <f>DATE(VALUE(LEFT(A3123,4)),VALUE(MID(A3123,5,2)),VALUE(RIGHT(A3123,2)))</f>
        <v/>
      </c>
      <c r="L3123" s="395">
        <f>DATEVALUE(LEFT(F3123,10))</f>
        <v/>
      </c>
      <c r="M3123" s="396">
        <f>TIMEVALUE(MID(F3123,12,8))</f>
        <v/>
      </c>
      <c r="N3123" s="395">
        <f>DATEVALUE(LEFT(G3123,10))</f>
        <v/>
      </c>
      <c r="O3123" s="396">
        <f>TIMEVALUE(MID(G3123,12,8))</f>
        <v/>
      </c>
      <c r="P3123" s="396">
        <f>IFERROR(_xlfn.MINIFS($M:$M,$E:$E,$E3123,$K:$K,$K3123,$M:$M,"&gt;"&amp;$O3123),"")</f>
        <v/>
      </c>
      <c r="Q3123" s="396">
        <f>IF($P3123="","",$P3123-$O3123)</f>
        <v/>
      </c>
    </row>
    <row r="3124" ht="15" customHeight="1" s="231">
      <c r="A3124" s="397" t="n"/>
      <c r="B3124" s="397" t="n"/>
      <c r="C3124" s="397" t="n"/>
      <c r="D3124" s="397" t="n"/>
      <c r="E3124" s="397" t="n"/>
      <c r="F3124" s="397" t="n"/>
      <c r="G3124" s="397" t="n"/>
      <c r="I3124" s="397" t="n"/>
      <c r="J3124" s="397" t="n"/>
      <c r="K3124" s="395">
        <f>DATE(VALUE(LEFT(A3124,4)),VALUE(MID(A3124,5,2)),VALUE(RIGHT(A3124,2)))</f>
        <v/>
      </c>
      <c r="L3124" s="395">
        <f>DATEVALUE(LEFT(F3124,10))</f>
        <v/>
      </c>
      <c r="M3124" s="396">
        <f>TIMEVALUE(MID(F3124,12,8))</f>
        <v/>
      </c>
      <c r="N3124" s="395">
        <f>DATEVALUE(LEFT(G3124,10))</f>
        <v/>
      </c>
      <c r="O3124" s="396">
        <f>TIMEVALUE(MID(G3124,12,8))</f>
        <v/>
      </c>
      <c r="P3124" s="396">
        <f>IFERROR(_xlfn.MINIFS($M:$M,$E:$E,$E3124,$K:$K,$K3124,$M:$M,"&gt;"&amp;$O3124),"")</f>
        <v/>
      </c>
      <c r="Q3124" s="396">
        <f>IF($P3124="","",$P3124-$O3124)</f>
        <v/>
      </c>
    </row>
    <row r="3125" ht="15" customHeight="1" s="231">
      <c r="A3125" s="397" t="n"/>
      <c r="B3125" s="397" t="n"/>
      <c r="C3125" s="397" t="n"/>
      <c r="D3125" s="397" t="n"/>
      <c r="E3125" s="397" t="n"/>
      <c r="F3125" s="397" t="n"/>
      <c r="G3125" s="397" t="n"/>
      <c r="I3125" s="397" t="n"/>
      <c r="J3125" s="397" t="n"/>
      <c r="K3125" s="395">
        <f>DATE(VALUE(LEFT(A3125,4)),VALUE(MID(A3125,5,2)),VALUE(RIGHT(A3125,2)))</f>
        <v/>
      </c>
      <c r="L3125" s="395">
        <f>DATEVALUE(LEFT(F3125,10))</f>
        <v/>
      </c>
      <c r="M3125" s="396">
        <f>TIMEVALUE(MID(F3125,12,8))</f>
        <v/>
      </c>
      <c r="N3125" s="395">
        <f>DATEVALUE(LEFT(G3125,10))</f>
        <v/>
      </c>
      <c r="O3125" s="396">
        <f>TIMEVALUE(MID(G3125,12,8))</f>
        <v/>
      </c>
      <c r="P3125" s="396">
        <f>IFERROR(_xlfn.MINIFS($M:$M,$E:$E,$E3125,$K:$K,$K3125,$M:$M,"&gt;"&amp;$O3125),"")</f>
        <v/>
      </c>
      <c r="Q3125" s="396">
        <f>IF($P3125="","",$P3125-$O3125)</f>
        <v/>
      </c>
    </row>
    <row r="3126" ht="15" customHeight="1" s="231">
      <c r="A3126" s="397" t="n"/>
      <c r="B3126" s="397" t="n"/>
      <c r="C3126" s="397" t="n"/>
      <c r="D3126" s="397" t="n"/>
      <c r="E3126" s="397" t="n"/>
      <c r="F3126" s="397" t="n"/>
      <c r="G3126" s="397" t="n"/>
      <c r="I3126" s="397" t="n"/>
      <c r="J3126" s="397" t="n"/>
      <c r="K3126" s="395">
        <f>DATE(VALUE(LEFT(A3126,4)),VALUE(MID(A3126,5,2)),VALUE(RIGHT(A3126,2)))</f>
        <v/>
      </c>
      <c r="L3126" s="395">
        <f>DATEVALUE(LEFT(F3126,10))</f>
        <v/>
      </c>
      <c r="M3126" s="396">
        <f>TIMEVALUE(MID(F3126,12,8))</f>
        <v/>
      </c>
      <c r="N3126" s="395">
        <f>DATEVALUE(LEFT(G3126,10))</f>
        <v/>
      </c>
      <c r="O3126" s="396">
        <f>TIMEVALUE(MID(G3126,12,8))</f>
        <v/>
      </c>
      <c r="P3126" s="396">
        <f>IFERROR(_xlfn.MINIFS($M:$M,$E:$E,$E3126,$K:$K,$K3126,$M:$M,"&gt;"&amp;$O3126),"")</f>
        <v/>
      </c>
      <c r="Q3126" s="396">
        <f>IF($P3126="","",$P3126-$O3126)</f>
        <v/>
      </c>
    </row>
    <row r="3127" ht="15" customHeight="1" s="231">
      <c r="A3127" s="397" t="n"/>
      <c r="B3127" s="397" t="n"/>
      <c r="C3127" s="397" t="n"/>
      <c r="D3127" s="397" t="n"/>
      <c r="E3127" s="397" t="n"/>
      <c r="F3127" s="397" t="n"/>
      <c r="G3127" s="397" t="n"/>
      <c r="I3127" s="397" t="n"/>
      <c r="J3127" s="397" t="n"/>
      <c r="K3127" s="395">
        <f>DATE(VALUE(LEFT(A3127,4)),VALUE(MID(A3127,5,2)),VALUE(RIGHT(A3127,2)))</f>
        <v/>
      </c>
      <c r="L3127" s="395">
        <f>DATEVALUE(LEFT(F3127,10))</f>
        <v/>
      </c>
      <c r="M3127" s="396">
        <f>TIMEVALUE(MID(F3127,12,8))</f>
        <v/>
      </c>
      <c r="N3127" s="395">
        <f>DATEVALUE(LEFT(G3127,10))</f>
        <v/>
      </c>
      <c r="O3127" s="396">
        <f>TIMEVALUE(MID(G3127,12,8))</f>
        <v/>
      </c>
      <c r="P3127" s="396">
        <f>IFERROR(_xlfn.MINIFS($M:$M,$E:$E,$E3127,$K:$K,$K3127,$M:$M,"&gt;"&amp;$O3127),"")</f>
        <v/>
      </c>
      <c r="Q3127" s="396">
        <f>IF($P3127="","",$P3127-$O3127)</f>
        <v/>
      </c>
    </row>
    <row r="3128" ht="15" customHeight="1" s="231">
      <c r="A3128" s="397" t="n"/>
      <c r="B3128" s="397" t="n"/>
      <c r="C3128" s="397" t="n"/>
      <c r="D3128" s="397" t="n"/>
      <c r="E3128" s="397" t="n"/>
      <c r="F3128" s="397" t="n"/>
      <c r="G3128" s="397" t="n"/>
      <c r="I3128" s="397" t="n"/>
      <c r="J3128" s="397" t="n"/>
      <c r="K3128" s="395">
        <f>DATE(VALUE(LEFT(A3128,4)),VALUE(MID(A3128,5,2)),VALUE(RIGHT(A3128,2)))</f>
        <v/>
      </c>
      <c r="L3128" s="395">
        <f>DATEVALUE(LEFT(F3128,10))</f>
        <v/>
      </c>
      <c r="M3128" s="396">
        <f>TIMEVALUE(MID(F3128,12,8))</f>
        <v/>
      </c>
      <c r="N3128" s="395">
        <f>DATEVALUE(LEFT(G3128,10))</f>
        <v/>
      </c>
      <c r="O3128" s="396">
        <f>TIMEVALUE(MID(G3128,12,8))</f>
        <v/>
      </c>
      <c r="P3128" s="396">
        <f>IFERROR(_xlfn.MINIFS($M:$M,$E:$E,$E3128,$K:$K,$K3128,$M:$M,"&gt;"&amp;$O3128),"")</f>
        <v/>
      </c>
      <c r="Q3128" s="396">
        <f>IF($P3128="","",$P3128-$O3128)</f>
        <v/>
      </c>
    </row>
    <row r="3129" ht="15" customHeight="1" s="231">
      <c r="A3129" s="397" t="n"/>
      <c r="B3129" s="397" t="n"/>
      <c r="C3129" s="397" t="n"/>
      <c r="D3129" s="397" t="n"/>
      <c r="E3129" s="397" t="n"/>
      <c r="F3129" s="397" t="n"/>
      <c r="G3129" s="397" t="n"/>
      <c r="I3129" s="397" t="n"/>
      <c r="J3129" s="397" t="n"/>
      <c r="K3129" s="395">
        <f>DATE(VALUE(LEFT(A3129,4)),VALUE(MID(A3129,5,2)),VALUE(RIGHT(A3129,2)))</f>
        <v/>
      </c>
      <c r="L3129" s="395">
        <f>DATEVALUE(LEFT(F3129,10))</f>
        <v/>
      </c>
      <c r="M3129" s="396">
        <f>TIMEVALUE(MID(F3129,12,8))</f>
        <v/>
      </c>
      <c r="N3129" s="395">
        <f>DATEVALUE(LEFT(G3129,10))</f>
        <v/>
      </c>
      <c r="O3129" s="396">
        <f>TIMEVALUE(MID(G3129,12,8))</f>
        <v/>
      </c>
      <c r="P3129" s="396">
        <f>IFERROR(_xlfn.MINIFS($M:$M,$E:$E,$E3129,$K:$K,$K3129,$M:$M,"&gt;"&amp;$O3129),"")</f>
        <v/>
      </c>
      <c r="Q3129" s="396">
        <f>IF($P3129="","",$P3129-$O3129)</f>
        <v/>
      </c>
    </row>
    <row r="3130" ht="15" customHeight="1" s="231">
      <c r="A3130" s="397" t="n"/>
      <c r="B3130" s="397" t="n"/>
      <c r="C3130" s="397" t="n"/>
      <c r="D3130" s="397" t="n"/>
      <c r="E3130" s="397" t="n"/>
      <c r="F3130" s="397" t="n"/>
      <c r="G3130" s="397" t="n"/>
      <c r="I3130" s="397" t="n"/>
      <c r="J3130" s="397" t="n"/>
      <c r="K3130" s="395">
        <f>DATE(VALUE(LEFT(A3130,4)),VALUE(MID(A3130,5,2)),VALUE(RIGHT(A3130,2)))</f>
        <v/>
      </c>
      <c r="L3130" s="395">
        <f>DATEVALUE(LEFT(F3130,10))</f>
        <v/>
      </c>
      <c r="M3130" s="396">
        <f>TIMEVALUE(MID(F3130,12,8))</f>
        <v/>
      </c>
      <c r="N3130" s="395">
        <f>DATEVALUE(LEFT(G3130,10))</f>
        <v/>
      </c>
      <c r="O3130" s="396">
        <f>TIMEVALUE(MID(G3130,12,8))</f>
        <v/>
      </c>
      <c r="P3130" s="396">
        <f>IFERROR(_xlfn.MINIFS($M:$M,$E:$E,$E3130,$K:$K,$K3130,$M:$M,"&gt;"&amp;$O3130),"")</f>
        <v/>
      </c>
      <c r="Q3130" s="396">
        <f>IF($P3130="","",$P3130-$O3130)</f>
        <v/>
      </c>
    </row>
    <row r="3131" ht="15" customHeight="1" s="231">
      <c r="A3131" s="397" t="n"/>
      <c r="B3131" s="397" t="n"/>
      <c r="C3131" s="397" t="n"/>
      <c r="D3131" s="397" t="n"/>
      <c r="E3131" s="397" t="n"/>
      <c r="F3131" s="397" t="n"/>
      <c r="G3131" s="397" t="n"/>
      <c r="I3131" s="397" t="n"/>
      <c r="J3131" s="397" t="n"/>
      <c r="K3131" s="395">
        <f>DATE(VALUE(LEFT(A3131,4)),VALUE(MID(A3131,5,2)),VALUE(RIGHT(A3131,2)))</f>
        <v/>
      </c>
      <c r="L3131" s="395">
        <f>DATEVALUE(LEFT(F3131,10))</f>
        <v/>
      </c>
      <c r="M3131" s="396">
        <f>TIMEVALUE(MID(F3131,12,8))</f>
        <v/>
      </c>
      <c r="N3131" s="395">
        <f>DATEVALUE(LEFT(G3131,10))</f>
        <v/>
      </c>
      <c r="O3131" s="396">
        <f>TIMEVALUE(MID(G3131,12,8))</f>
        <v/>
      </c>
      <c r="P3131" s="396">
        <f>IFERROR(_xlfn.MINIFS($M:$M,$E:$E,$E3131,$K:$K,$K3131,$M:$M,"&gt;"&amp;$O3131),"")</f>
        <v/>
      </c>
      <c r="Q3131" s="396">
        <f>IF($P3131="","",$P3131-$O3131)</f>
        <v/>
      </c>
    </row>
    <row r="3132" ht="15" customHeight="1" s="231">
      <c r="A3132" s="397" t="n"/>
      <c r="B3132" s="397" t="n"/>
      <c r="C3132" s="397" t="n"/>
      <c r="D3132" s="397" t="n"/>
      <c r="E3132" s="397" t="n"/>
      <c r="F3132" s="397" t="n"/>
      <c r="G3132" s="397" t="n"/>
      <c r="I3132" s="397" t="n"/>
      <c r="J3132" s="397" t="n"/>
      <c r="K3132" s="395">
        <f>DATE(VALUE(LEFT(A3132,4)),VALUE(MID(A3132,5,2)),VALUE(RIGHT(A3132,2)))</f>
        <v/>
      </c>
      <c r="L3132" s="395">
        <f>DATEVALUE(LEFT(F3132,10))</f>
        <v/>
      </c>
      <c r="M3132" s="396">
        <f>TIMEVALUE(MID(F3132,12,8))</f>
        <v/>
      </c>
      <c r="N3132" s="395">
        <f>DATEVALUE(LEFT(G3132,10))</f>
        <v/>
      </c>
      <c r="O3132" s="396">
        <f>TIMEVALUE(MID(G3132,12,8))</f>
        <v/>
      </c>
      <c r="P3132" s="396">
        <f>IFERROR(_xlfn.MINIFS($M:$M,$E:$E,$E3132,$K:$K,$K3132,$M:$M,"&gt;"&amp;$O3132),"")</f>
        <v/>
      </c>
      <c r="Q3132" s="396">
        <f>IF($P3132="","",$P3132-$O3132)</f>
        <v/>
      </c>
    </row>
    <row r="3133" ht="15" customHeight="1" s="231">
      <c r="A3133" s="397" t="n"/>
      <c r="B3133" s="397" t="n"/>
      <c r="C3133" s="397" t="n"/>
      <c r="D3133" s="397" t="n"/>
      <c r="E3133" s="397" t="n"/>
      <c r="F3133" s="397" t="n"/>
      <c r="G3133" s="397" t="n"/>
      <c r="I3133" s="397" t="n"/>
      <c r="J3133" s="397" t="n"/>
      <c r="K3133" s="395">
        <f>DATE(VALUE(LEFT(A3133,4)),VALUE(MID(A3133,5,2)),VALUE(RIGHT(A3133,2)))</f>
        <v/>
      </c>
      <c r="L3133" s="395">
        <f>DATEVALUE(LEFT(F3133,10))</f>
        <v/>
      </c>
      <c r="M3133" s="396">
        <f>TIMEVALUE(MID(F3133,12,8))</f>
        <v/>
      </c>
      <c r="N3133" s="395">
        <f>DATEVALUE(LEFT(G3133,10))</f>
        <v/>
      </c>
      <c r="O3133" s="396">
        <f>TIMEVALUE(MID(G3133,12,8))</f>
        <v/>
      </c>
      <c r="P3133" s="396">
        <f>IFERROR(_xlfn.MINIFS($M:$M,$E:$E,$E3133,$K:$K,$K3133,$M:$M,"&gt;"&amp;$O3133),"")</f>
        <v/>
      </c>
      <c r="Q3133" s="396">
        <f>IF($P3133="","",$P3133-$O3133)</f>
        <v/>
      </c>
    </row>
    <row r="3134" ht="15" customHeight="1" s="231">
      <c r="A3134" s="397" t="n"/>
      <c r="B3134" s="397" t="n"/>
      <c r="C3134" s="397" t="n"/>
      <c r="D3134" s="397" t="n"/>
      <c r="E3134" s="397" t="n"/>
      <c r="F3134" s="397" t="n"/>
      <c r="G3134" s="397" t="n"/>
      <c r="I3134" s="397" t="n"/>
      <c r="J3134" s="397" t="n"/>
      <c r="K3134" s="395">
        <f>DATE(VALUE(LEFT(A3134,4)),VALUE(MID(A3134,5,2)),VALUE(RIGHT(A3134,2)))</f>
        <v/>
      </c>
      <c r="L3134" s="395">
        <f>DATEVALUE(LEFT(F3134,10))</f>
        <v/>
      </c>
      <c r="M3134" s="396">
        <f>TIMEVALUE(MID(F3134,12,8))</f>
        <v/>
      </c>
      <c r="N3134" s="395">
        <f>DATEVALUE(LEFT(G3134,10))</f>
        <v/>
      </c>
      <c r="O3134" s="396">
        <f>TIMEVALUE(MID(G3134,12,8))</f>
        <v/>
      </c>
      <c r="P3134" s="396">
        <f>IFERROR(_xlfn.MINIFS($M:$M,$E:$E,$E3134,$K:$K,$K3134,$M:$M,"&gt;"&amp;$O3134),"")</f>
        <v/>
      </c>
      <c r="Q3134" s="396">
        <f>IF($P3134="","",$P3134-$O3134)</f>
        <v/>
      </c>
    </row>
    <row r="3135" ht="15" customHeight="1" s="231">
      <c r="A3135" s="397" t="n"/>
      <c r="B3135" s="397" t="n"/>
      <c r="C3135" s="397" t="n"/>
      <c r="D3135" s="397" t="n"/>
      <c r="E3135" s="397" t="n"/>
      <c r="F3135" s="397" t="n"/>
      <c r="G3135" s="397" t="n"/>
      <c r="I3135" s="397" t="n"/>
      <c r="J3135" s="397" t="n"/>
      <c r="K3135" s="395">
        <f>DATE(VALUE(LEFT(A3135,4)),VALUE(MID(A3135,5,2)),VALUE(RIGHT(A3135,2)))</f>
        <v/>
      </c>
      <c r="L3135" s="395">
        <f>DATEVALUE(LEFT(F3135,10))</f>
        <v/>
      </c>
      <c r="M3135" s="396">
        <f>TIMEVALUE(MID(F3135,12,8))</f>
        <v/>
      </c>
      <c r="N3135" s="395">
        <f>DATEVALUE(LEFT(G3135,10))</f>
        <v/>
      </c>
      <c r="O3135" s="396">
        <f>TIMEVALUE(MID(G3135,12,8))</f>
        <v/>
      </c>
      <c r="P3135" s="396">
        <f>IFERROR(_xlfn.MINIFS($M:$M,$E:$E,$E3135,$K:$K,$K3135,$M:$M,"&gt;"&amp;$O3135),"")</f>
        <v/>
      </c>
      <c r="Q3135" s="396">
        <f>IF($P3135="","",$P3135-$O3135)</f>
        <v/>
      </c>
    </row>
    <row r="3136" ht="15" customHeight="1" s="231">
      <c r="A3136" s="397" t="n"/>
      <c r="B3136" s="397" t="n"/>
      <c r="C3136" s="397" t="n"/>
      <c r="D3136" s="397" t="n"/>
      <c r="E3136" s="397" t="n"/>
      <c r="F3136" s="397" t="n"/>
      <c r="G3136" s="397" t="n"/>
      <c r="I3136" s="397" t="n"/>
      <c r="J3136" s="397" t="n"/>
      <c r="K3136" s="395">
        <f>DATE(VALUE(LEFT(A3136,4)),VALUE(MID(A3136,5,2)),VALUE(RIGHT(A3136,2)))</f>
        <v/>
      </c>
      <c r="L3136" s="395">
        <f>DATEVALUE(LEFT(F3136,10))</f>
        <v/>
      </c>
      <c r="M3136" s="396">
        <f>TIMEVALUE(MID(F3136,12,8))</f>
        <v/>
      </c>
      <c r="N3136" s="395">
        <f>DATEVALUE(LEFT(G3136,10))</f>
        <v/>
      </c>
      <c r="O3136" s="396">
        <f>TIMEVALUE(MID(G3136,12,8))</f>
        <v/>
      </c>
      <c r="P3136" s="396">
        <f>IFERROR(_xlfn.MINIFS($M:$M,$E:$E,$E3136,$K:$K,$K3136,$M:$M,"&gt;"&amp;$O3136),"")</f>
        <v/>
      </c>
      <c r="Q3136" s="396">
        <f>IF($P3136="","",$P3136-$O3136)</f>
        <v/>
      </c>
    </row>
    <row r="3137" ht="15" customHeight="1" s="231">
      <c r="A3137" s="397" t="n"/>
      <c r="B3137" s="397" t="n"/>
      <c r="C3137" s="397" t="n"/>
      <c r="D3137" s="397" t="n"/>
      <c r="E3137" s="397" t="n"/>
      <c r="F3137" s="397" t="n"/>
      <c r="G3137" s="397" t="n"/>
      <c r="I3137" s="397" t="n"/>
      <c r="J3137" s="397" t="n"/>
      <c r="K3137" s="395">
        <f>DATE(VALUE(LEFT(A3137,4)),VALUE(MID(A3137,5,2)),VALUE(RIGHT(A3137,2)))</f>
        <v/>
      </c>
      <c r="L3137" s="395">
        <f>DATEVALUE(LEFT(F3137,10))</f>
        <v/>
      </c>
      <c r="M3137" s="396">
        <f>TIMEVALUE(MID(F3137,12,8))</f>
        <v/>
      </c>
      <c r="N3137" s="395">
        <f>DATEVALUE(LEFT(G3137,10))</f>
        <v/>
      </c>
      <c r="O3137" s="396">
        <f>TIMEVALUE(MID(G3137,12,8))</f>
        <v/>
      </c>
      <c r="P3137" s="396">
        <f>IFERROR(_xlfn.MINIFS($M:$M,$E:$E,$E3137,$K:$K,$K3137,$M:$M,"&gt;"&amp;$O3137),"")</f>
        <v/>
      </c>
      <c r="Q3137" s="396">
        <f>IF($P3137="","",$P3137-$O3137)</f>
        <v/>
      </c>
    </row>
    <row r="3138" ht="15" customHeight="1" s="231">
      <c r="A3138" s="397" t="n"/>
      <c r="B3138" s="397" t="n"/>
      <c r="C3138" s="397" t="n"/>
      <c r="D3138" s="397" t="n"/>
      <c r="E3138" s="397" t="n"/>
      <c r="F3138" s="397" t="n"/>
      <c r="G3138" s="397" t="n"/>
      <c r="I3138" s="397" t="n"/>
      <c r="J3138" s="397" t="n"/>
      <c r="K3138" s="395">
        <f>DATE(VALUE(LEFT(A3138,4)),VALUE(MID(A3138,5,2)),VALUE(RIGHT(A3138,2)))</f>
        <v/>
      </c>
      <c r="L3138" s="395">
        <f>DATEVALUE(LEFT(F3138,10))</f>
        <v/>
      </c>
      <c r="M3138" s="396">
        <f>TIMEVALUE(MID(F3138,12,8))</f>
        <v/>
      </c>
      <c r="N3138" s="395">
        <f>DATEVALUE(LEFT(G3138,10))</f>
        <v/>
      </c>
      <c r="O3138" s="396">
        <f>TIMEVALUE(MID(G3138,12,8))</f>
        <v/>
      </c>
      <c r="P3138" s="396">
        <f>IFERROR(_xlfn.MINIFS($M:$M,$E:$E,$E3138,$K:$K,$K3138,$M:$M,"&gt;"&amp;$O3138),"")</f>
        <v/>
      </c>
      <c r="Q3138" s="396">
        <f>IF($P3138="","",$P3138-$O3138)</f>
        <v/>
      </c>
    </row>
    <row r="3139" ht="15" customHeight="1" s="231">
      <c r="A3139" s="397" t="n"/>
      <c r="B3139" s="397" t="n"/>
      <c r="C3139" s="397" t="n"/>
      <c r="D3139" s="397" t="n"/>
      <c r="E3139" s="397" t="n"/>
      <c r="F3139" s="397" t="n"/>
      <c r="G3139" s="397" t="n"/>
      <c r="I3139" s="397" t="n"/>
      <c r="J3139" s="397" t="n"/>
      <c r="K3139" s="395">
        <f>DATE(VALUE(LEFT(A3139,4)),VALUE(MID(A3139,5,2)),VALUE(RIGHT(A3139,2)))</f>
        <v/>
      </c>
      <c r="L3139" s="395">
        <f>DATEVALUE(LEFT(F3139,10))</f>
        <v/>
      </c>
      <c r="M3139" s="396">
        <f>TIMEVALUE(MID(F3139,12,8))</f>
        <v/>
      </c>
      <c r="N3139" s="395">
        <f>DATEVALUE(LEFT(G3139,10))</f>
        <v/>
      </c>
      <c r="O3139" s="396">
        <f>TIMEVALUE(MID(G3139,12,8))</f>
        <v/>
      </c>
      <c r="P3139" s="396">
        <f>IFERROR(_xlfn.MINIFS($M:$M,$E:$E,$E3139,$K:$K,$K3139,$M:$M,"&gt;"&amp;$O3139),"")</f>
        <v/>
      </c>
      <c r="Q3139" s="396">
        <f>IF($P3139="","",$P3139-$O3139)</f>
        <v/>
      </c>
    </row>
    <row r="3140" ht="15" customHeight="1" s="231">
      <c r="A3140" s="397" t="n"/>
      <c r="B3140" s="397" t="n"/>
      <c r="C3140" s="397" t="n"/>
      <c r="D3140" s="397" t="n"/>
      <c r="E3140" s="397" t="n"/>
      <c r="F3140" s="397" t="n"/>
      <c r="G3140" s="397" t="n"/>
      <c r="I3140" s="397" t="n"/>
      <c r="J3140" s="397" t="n"/>
      <c r="K3140" s="395">
        <f>DATE(VALUE(LEFT(A3140,4)),VALUE(MID(A3140,5,2)),VALUE(RIGHT(A3140,2)))</f>
        <v/>
      </c>
      <c r="L3140" s="395">
        <f>DATEVALUE(LEFT(F3140,10))</f>
        <v/>
      </c>
      <c r="M3140" s="396">
        <f>TIMEVALUE(MID(F3140,12,8))</f>
        <v/>
      </c>
      <c r="N3140" s="395">
        <f>DATEVALUE(LEFT(G3140,10))</f>
        <v/>
      </c>
      <c r="O3140" s="396">
        <f>TIMEVALUE(MID(G3140,12,8))</f>
        <v/>
      </c>
      <c r="P3140" s="396">
        <f>IFERROR(_xlfn.MINIFS($M:$M,$E:$E,$E3140,$K:$K,$K3140,$M:$M,"&gt;"&amp;$O3140),"")</f>
        <v/>
      </c>
      <c r="Q3140" s="396">
        <f>IF($P3140="","",$P3140-$O3140)</f>
        <v/>
      </c>
    </row>
    <row r="3141" ht="15" customHeight="1" s="231">
      <c r="A3141" s="397" t="n"/>
      <c r="B3141" s="397" t="n"/>
      <c r="C3141" s="397" t="n"/>
      <c r="D3141" s="397" t="n"/>
      <c r="E3141" s="397" t="n"/>
      <c r="F3141" s="397" t="n"/>
      <c r="G3141" s="397" t="n"/>
      <c r="I3141" s="397" t="n"/>
      <c r="J3141" s="397" t="n"/>
      <c r="K3141" s="395">
        <f>DATE(VALUE(LEFT(A3141,4)),VALUE(MID(A3141,5,2)),VALUE(RIGHT(A3141,2)))</f>
        <v/>
      </c>
      <c r="L3141" s="395">
        <f>DATEVALUE(LEFT(F3141,10))</f>
        <v/>
      </c>
      <c r="M3141" s="396">
        <f>TIMEVALUE(MID(F3141,12,8))</f>
        <v/>
      </c>
      <c r="N3141" s="395">
        <f>DATEVALUE(LEFT(G3141,10))</f>
        <v/>
      </c>
      <c r="O3141" s="396">
        <f>TIMEVALUE(MID(G3141,12,8))</f>
        <v/>
      </c>
      <c r="P3141" s="396">
        <f>IFERROR(_xlfn.MINIFS($M:$M,$E:$E,$E3141,$K:$K,$K3141,$M:$M,"&gt;"&amp;$O3141),"")</f>
        <v/>
      </c>
      <c r="Q3141" s="396">
        <f>IF($P3141="","",$P3141-$O3141)</f>
        <v/>
      </c>
    </row>
    <row r="3142" ht="15" customHeight="1" s="231">
      <c r="A3142" s="397" t="n"/>
      <c r="B3142" s="397" t="n"/>
      <c r="C3142" s="397" t="n"/>
      <c r="D3142" s="397" t="n"/>
      <c r="E3142" s="397" t="n"/>
      <c r="F3142" s="397" t="n"/>
      <c r="G3142" s="397" t="n"/>
      <c r="I3142" s="397" t="n"/>
      <c r="J3142" s="397" t="n"/>
      <c r="K3142" s="395">
        <f>DATE(VALUE(LEFT(A3142,4)),VALUE(MID(A3142,5,2)),VALUE(RIGHT(A3142,2)))</f>
        <v/>
      </c>
      <c r="L3142" s="395">
        <f>DATEVALUE(LEFT(F3142,10))</f>
        <v/>
      </c>
      <c r="M3142" s="396">
        <f>TIMEVALUE(MID(F3142,12,8))</f>
        <v/>
      </c>
      <c r="N3142" s="395">
        <f>DATEVALUE(LEFT(G3142,10))</f>
        <v/>
      </c>
      <c r="O3142" s="396">
        <f>TIMEVALUE(MID(G3142,12,8))</f>
        <v/>
      </c>
      <c r="P3142" s="396">
        <f>IFERROR(_xlfn.MINIFS($M:$M,$E:$E,$E3142,$K:$K,$K3142,$M:$M,"&gt;"&amp;$O3142),"")</f>
        <v/>
      </c>
      <c r="Q3142" s="396">
        <f>IF($P3142="","",$P3142-$O3142)</f>
        <v/>
      </c>
    </row>
    <row r="3143" ht="15" customHeight="1" s="231">
      <c r="A3143" s="397" t="n"/>
      <c r="B3143" s="397" t="n"/>
      <c r="C3143" s="397" t="n"/>
      <c r="D3143" s="397" t="n"/>
      <c r="E3143" s="397" t="n"/>
      <c r="F3143" s="397" t="n"/>
      <c r="G3143" s="397" t="n"/>
      <c r="I3143" s="397" t="n"/>
      <c r="J3143" s="397" t="n"/>
      <c r="K3143" s="395">
        <f>DATE(VALUE(LEFT(A3143,4)),VALUE(MID(A3143,5,2)),VALUE(RIGHT(A3143,2)))</f>
        <v/>
      </c>
      <c r="L3143" s="395">
        <f>DATEVALUE(LEFT(F3143,10))</f>
        <v/>
      </c>
      <c r="M3143" s="396">
        <f>TIMEVALUE(MID(F3143,12,8))</f>
        <v/>
      </c>
      <c r="N3143" s="395">
        <f>DATEVALUE(LEFT(G3143,10))</f>
        <v/>
      </c>
      <c r="O3143" s="396">
        <f>TIMEVALUE(MID(G3143,12,8))</f>
        <v/>
      </c>
      <c r="P3143" s="396">
        <f>IFERROR(_xlfn.MINIFS($M:$M,$E:$E,$E3143,$K:$K,$K3143,$M:$M,"&gt;"&amp;$O3143),"")</f>
        <v/>
      </c>
      <c r="Q3143" s="396">
        <f>IF($P3143="","",$P3143-$O3143)</f>
        <v/>
      </c>
    </row>
    <row r="3144" ht="15" customHeight="1" s="231">
      <c r="A3144" s="397" t="n"/>
      <c r="B3144" s="397" t="n"/>
      <c r="C3144" s="397" t="n"/>
      <c r="D3144" s="397" t="n"/>
      <c r="E3144" s="397" t="n"/>
      <c r="F3144" s="397" t="n"/>
      <c r="G3144" s="397" t="n"/>
      <c r="I3144" s="397" t="n"/>
      <c r="J3144" s="397" t="n"/>
      <c r="K3144" s="395">
        <f>DATE(VALUE(LEFT(A3144,4)),VALUE(MID(A3144,5,2)),VALUE(RIGHT(A3144,2)))</f>
        <v/>
      </c>
      <c r="L3144" s="395">
        <f>DATEVALUE(LEFT(F3144,10))</f>
        <v/>
      </c>
      <c r="M3144" s="396">
        <f>TIMEVALUE(MID(F3144,12,8))</f>
        <v/>
      </c>
      <c r="N3144" s="395">
        <f>DATEVALUE(LEFT(G3144,10))</f>
        <v/>
      </c>
      <c r="O3144" s="396">
        <f>TIMEVALUE(MID(G3144,12,8))</f>
        <v/>
      </c>
      <c r="P3144" s="396">
        <f>IFERROR(_xlfn.MINIFS($M:$M,$E:$E,$E3144,$K:$K,$K3144,$M:$M,"&gt;"&amp;$O3144),"")</f>
        <v/>
      </c>
      <c r="Q3144" s="396">
        <f>IF($P3144="","",$P3144-$O3144)</f>
        <v/>
      </c>
    </row>
    <row r="3145" ht="15" customHeight="1" s="231">
      <c r="A3145" s="397" t="n"/>
      <c r="B3145" s="397" t="n"/>
      <c r="C3145" s="397" t="n"/>
      <c r="D3145" s="397" t="n"/>
      <c r="E3145" s="397" t="n"/>
      <c r="F3145" s="397" t="n"/>
      <c r="G3145" s="397" t="n"/>
      <c r="I3145" s="397" t="n"/>
      <c r="J3145" s="397" t="n"/>
      <c r="K3145" s="395">
        <f>DATE(VALUE(LEFT(A3145,4)),VALUE(MID(A3145,5,2)),VALUE(RIGHT(A3145,2)))</f>
        <v/>
      </c>
      <c r="L3145" s="395">
        <f>DATEVALUE(LEFT(F3145,10))</f>
        <v/>
      </c>
      <c r="M3145" s="396">
        <f>TIMEVALUE(MID(F3145,12,8))</f>
        <v/>
      </c>
      <c r="N3145" s="395">
        <f>DATEVALUE(LEFT(G3145,10))</f>
        <v/>
      </c>
      <c r="O3145" s="396">
        <f>TIMEVALUE(MID(G3145,12,8))</f>
        <v/>
      </c>
      <c r="P3145" s="396">
        <f>IFERROR(_xlfn.MINIFS($M:$M,$E:$E,$E3145,$K:$K,$K3145,$M:$M,"&gt;"&amp;$O3145),"")</f>
        <v/>
      </c>
      <c r="Q3145" s="396">
        <f>IF($P3145="","",$P3145-$O3145)</f>
        <v/>
      </c>
    </row>
    <row r="3146" ht="15" customHeight="1" s="231">
      <c r="A3146" s="397" t="n"/>
      <c r="B3146" s="397" t="n"/>
      <c r="C3146" s="397" t="n"/>
      <c r="D3146" s="397" t="n"/>
      <c r="E3146" s="397" t="n"/>
      <c r="F3146" s="397" t="n"/>
      <c r="G3146" s="397" t="n"/>
      <c r="I3146" s="397" t="n"/>
      <c r="J3146" s="397" t="n"/>
      <c r="K3146" s="395">
        <f>DATE(VALUE(LEFT(A3146,4)),VALUE(MID(A3146,5,2)),VALUE(RIGHT(A3146,2)))</f>
        <v/>
      </c>
      <c r="L3146" s="395">
        <f>DATEVALUE(LEFT(F3146,10))</f>
        <v/>
      </c>
      <c r="M3146" s="396">
        <f>TIMEVALUE(MID(F3146,12,8))</f>
        <v/>
      </c>
      <c r="N3146" s="395">
        <f>DATEVALUE(LEFT(G3146,10))</f>
        <v/>
      </c>
      <c r="O3146" s="396">
        <f>TIMEVALUE(MID(G3146,12,8))</f>
        <v/>
      </c>
      <c r="P3146" s="396">
        <f>IFERROR(_xlfn.MINIFS($M:$M,$E:$E,$E3146,$K:$K,$K3146,$M:$M,"&gt;"&amp;$O3146),"")</f>
        <v/>
      </c>
      <c r="Q3146" s="396">
        <f>IF($P3146="","",$P3146-$O3146)</f>
        <v/>
      </c>
    </row>
    <row r="3147" ht="15" customHeight="1" s="231">
      <c r="A3147" s="397" t="n"/>
      <c r="B3147" s="397" t="n"/>
      <c r="C3147" s="397" t="n"/>
      <c r="D3147" s="397" t="n"/>
      <c r="E3147" s="397" t="n"/>
      <c r="F3147" s="397" t="n"/>
      <c r="G3147" s="397" t="n"/>
      <c r="I3147" s="397" t="n"/>
      <c r="J3147" s="397" t="n"/>
      <c r="K3147" s="395">
        <f>DATE(VALUE(LEFT(A3147,4)),VALUE(MID(A3147,5,2)),VALUE(RIGHT(A3147,2)))</f>
        <v/>
      </c>
      <c r="L3147" s="395">
        <f>DATEVALUE(LEFT(F3147,10))</f>
        <v/>
      </c>
      <c r="M3147" s="396">
        <f>TIMEVALUE(MID(F3147,12,8))</f>
        <v/>
      </c>
      <c r="N3147" s="395">
        <f>DATEVALUE(LEFT(G3147,10))</f>
        <v/>
      </c>
      <c r="O3147" s="396">
        <f>TIMEVALUE(MID(G3147,12,8))</f>
        <v/>
      </c>
      <c r="P3147" s="396">
        <f>IFERROR(_xlfn.MINIFS($M:$M,$E:$E,$E3147,$K:$K,$K3147,$M:$M,"&gt;"&amp;$O3147),"")</f>
        <v/>
      </c>
      <c r="Q3147" s="396">
        <f>IF($P3147="","",$P3147-$O3147)</f>
        <v/>
      </c>
    </row>
    <row r="3148" ht="15" customHeight="1" s="231">
      <c r="A3148" s="397" t="n"/>
      <c r="B3148" s="397" t="n"/>
      <c r="C3148" s="397" t="n"/>
      <c r="D3148" s="397" t="n"/>
      <c r="E3148" s="397" t="n"/>
      <c r="F3148" s="397" t="n"/>
      <c r="G3148" s="397" t="n"/>
      <c r="I3148" s="397" t="n"/>
      <c r="J3148" s="397" t="n"/>
      <c r="K3148" s="395">
        <f>DATE(VALUE(LEFT(A3148,4)),VALUE(MID(A3148,5,2)),VALUE(RIGHT(A3148,2)))</f>
        <v/>
      </c>
      <c r="L3148" s="395">
        <f>DATEVALUE(LEFT(F3148,10))</f>
        <v/>
      </c>
      <c r="M3148" s="396">
        <f>TIMEVALUE(MID(F3148,12,8))</f>
        <v/>
      </c>
      <c r="N3148" s="395">
        <f>DATEVALUE(LEFT(G3148,10))</f>
        <v/>
      </c>
      <c r="O3148" s="396">
        <f>TIMEVALUE(MID(G3148,12,8))</f>
        <v/>
      </c>
      <c r="P3148" s="396">
        <f>IFERROR(_xlfn.MINIFS($M:$M,$E:$E,$E3148,$K:$K,$K3148,$M:$M,"&gt;"&amp;$O3148),"")</f>
        <v/>
      </c>
      <c r="Q3148" s="396">
        <f>IF($P3148="","",$P3148-$O3148)</f>
        <v/>
      </c>
    </row>
    <row r="3149" ht="15" customHeight="1" s="231">
      <c r="A3149" s="397" t="n"/>
      <c r="B3149" s="397" t="n"/>
      <c r="C3149" s="397" t="n"/>
      <c r="D3149" s="397" t="n"/>
      <c r="E3149" s="397" t="n"/>
      <c r="F3149" s="397" t="n"/>
      <c r="G3149" s="397" t="n"/>
      <c r="I3149" s="397" t="n"/>
      <c r="J3149" s="397" t="n"/>
      <c r="K3149" s="395">
        <f>DATE(VALUE(LEFT(A3149,4)),VALUE(MID(A3149,5,2)),VALUE(RIGHT(A3149,2)))</f>
        <v/>
      </c>
      <c r="L3149" s="395">
        <f>DATEVALUE(LEFT(F3149,10))</f>
        <v/>
      </c>
      <c r="M3149" s="396">
        <f>TIMEVALUE(MID(F3149,12,8))</f>
        <v/>
      </c>
      <c r="N3149" s="395">
        <f>DATEVALUE(LEFT(G3149,10))</f>
        <v/>
      </c>
      <c r="O3149" s="396">
        <f>TIMEVALUE(MID(G3149,12,8))</f>
        <v/>
      </c>
      <c r="P3149" s="396">
        <f>IFERROR(_xlfn.MINIFS($M:$M,$E:$E,$E3149,$K:$K,$K3149,$M:$M,"&gt;"&amp;$O3149),"")</f>
        <v/>
      </c>
      <c r="Q3149" s="396">
        <f>IF($P3149="","",$P3149-$O3149)</f>
        <v/>
      </c>
    </row>
    <row r="3150" ht="15" customHeight="1" s="231">
      <c r="A3150" s="397" t="n"/>
      <c r="B3150" s="397" t="n"/>
      <c r="C3150" s="397" t="n"/>
      <c r="D3150" s="397" t="n"/>
      <c r="E3150" s="397" t="n"/>
      <c r="F3150" s="397" t="n"/>
      <c r="G3150" s="397" t="n"/>
      <c r="I3150" s="397" t="n"/>
      <c r="J3150" s="397" t="n"/>
      <c r="K3150" s="395">
        <f>DATE(VALUE(LEFT(A3150,4)),VALUE(MID(A3150,5,2)),VALUE(RIGHT(A3150,2)))</f>
        <v/>
      </c>
      <c r="L3150" s="395">
        <f>DATEVALUE(LEFT(F3150,10))</f>
        <v/>
      </c>
      <c r="M3150" s="396">
        <f>TIMEVALUE(MID(F3150,12,8))</f>
        <v/>
      </c>
      <c r="N3150" s="395">
        <f>DATEVALUE(LEFT(G3150,10))</f>
        <v/>
      </c>
      <c r="O3150" s="396">
        <f>TIMEVALUE(MID(G3150,12,8))</f>
        <v/>
      </c>
      <c r="P3150" s="396">
        <f>IFERROR(_xlfn.MINIFS($M:$M,$E:$E,$E3150,$K:$K,$K3150,$M:$M,"&gt;"&amp;$O3150),"")</f>
        <v/>
      </c>
      <c r="Q3150" s="396">
        <f>IF($P3150="","",$P3150-$O3150)</f>
        <v/>
      </c>
    </row>
    <row r="3151" ht="15" customHeight="1" s="231">
      <c r="A3151" s="397" t="n"/>
      <c r="B3151" s="397" t="n"/>
      <c r="C3151" s="397" t="n"/>
      <c r="D3151" s="397" t="n"/>
      <c r="E3151" s="397" t="n"/>
      <c r="F3151" s="397" t="n"/>
      <c r="G3151" s="397" t="n"/>
      <c r="I3151" s="397" t="n"/>
      <c r="J3151" s="397" t="n"/>
      <c r="K3151" s="395">
        <f>DATE(VALUE(LEFT(A3151,4)),VALUE(MID(A3151,5,2)),VALUE(RIGHT(A3151,2)))</f>
        <v/>
      </c>
      <c r="L3151" s="395">
        <f>DATEVALUE(LEFT(F3151,10))</f>
        <v/>
      </c>
      <c r="M3151" s="396">
        <f>TIMEVALUE(MID(F3151,12,8))</f>
        <v/>
      </c>
      <c r="N3151" s="395">
        <f>DATEVALUE(LEFT(G3151,10))</f>
        <v/>
      </c>
      <c r="O3151" s="396">
        <f>TIMEVALUE(MID(G3151,12,8))</f>
        <v/>
      </c>
      <c r="P3151" s="396">
        <f>IFERROR(_xlfn.MINIFS($M:$M,$E:$E,$E3151,$K:$K,$K3151,$M:$M,"&gt;"&amp;$O3151),"")</f>
        <v/>
      </c>
      <c r="Q3151" s="396">
        <f>IF($P3151="","",$P3151-$O3151)</f>
        <v/>
      </c>
    </row>
    <row r="3152" ht="15" customHeight="1" s="231">
      <c r="A3152" s="397" t="n"/>
      <c r="B3152" s="397" t="n"/>
      <c r="C3152" s="397" t="n"/>
      <c r="D3152" s="397" t="n"/>
      <c r="E3152" s="397" t="n"/>
      <c r="F3152" s="397" t="n"/>
      <c r="G3152" s="397" t="n"/>
      <c r="I3152" s="397" t="n"/>
      <c r="J3152" s="397" t="n"/>
      <c r="K3152" s="395">
        <f>DATE(VALUE(LEFT(A3152,4)),VALUE(MID(A3152,5,2)),VALUE(RIGHT(A3152,2)))</f>
        <v/>
      </c>
      <c r="L3152" s="395">
        <f>DATEVALUE(LEFT(F3152,10))</f>
        <v/>
      </c>
      <c r="M3152" s="396">
        <f>TIMEVALUE(MID(F3152,12,8))</f>
        <v/>
      </c>
      <c r="N3152" s="395">
        <f>DATEVALUE(LEFT(G3152,10))</f>
        <v/>
      </c>
      <c r="O3152" s="396">
        <f>TIMEVALUE(MID(G3152,12,8))</f>
        <v/>
      </c>
      <c r="P3152" s="396">
        <f>IFERROR(_xlfn.MINIFS($M:$M,$E:$E,$E3152,$K:$K,$K3152,$M:$M,"&gt;"&amp;$O3152),"")</f>
        <v/>
      </c>
      <c r="Q3152" s="396">
        <f>IF($P3152="","",$P3152-$O3152)</f>
        <v/>
      </c>
    </row>
    <row r="3153" ht="15" customHeight="1" s="231">
      <c r="A3153" s="397" t="n"/>
      <c r="B3153" s="397" t="n"/>
      <c r="C3153" s="397" t="n"/>
      <c r="D3153" s="397" t="n"/>
      <c r="E3153" s="397" t="n"/>
      <c r="F3153" s="397" t="n"/>
      <c r="G3153" s="397" t="n"/>
      <c r="I3153" s="397" t="n"/>
      <c r="J3153" s="397" t="n"/>
      <c r="K3153" s="395">
        <f>DATE(VALUE(LEFT(A3153,4)),VALUE(MID(A3153,5,2)),VALUE(RIGHT(A3153,2)))</f>
        <v/>
      </c>
      <c r="L3153" s="395">
        <f>DATEVALUE(LEFT(F3153,10))</f>
        <v/>
      </c>
      <c r="M3153" s="396">
        <f>TIMEVALUE(MID(F3153,12,8))</f>
        <v/>
      </c>
      <c r="N3153" s="395">
        <f>DATEVALUE(LEFT(G3153,10))</f>
        <v/>
      </c>
      <c r="O3153" s="396">
        <f>TIMEVALUE(MID(G3153,12,8))</f>
        <v/>
      </c>
      <c r="P3153" s="396">
        <f>IFERROR(_xlfn.MINIFS($M:$M,$E:$E,$E3153,$K:$K,$K3153,$M:$M,"&gt;"&amp;$O3153),"")</f>
        <v/>
      </c>
      <c r="Q3153" s="396">
        <f>IF($P3153="","",$P3153-$O3153)</f>
        <v/>
      </c>
    </row>
    <row r="3154" ht="15" customHeight="1" s="231">
      <c r="A3154" s="397" t="n"/>
      <c r="B3154" s="397" t="n"/>
      <c r="C3154" s="397" t="n"/>
      <c r="D3154" s="397" t="n"/>
      <c r="E3154" s="397" t="n"/>
      <c r="F3154" s="397" t="n"/>
      <c r="G3154" s="397" t="n"/>
      <c r="I3154" s="397" t="n"/>
      <c r="J3154" s="397" t="n"/>
      <c r="K3154" s="395">
        <f>DATE(VALUE(LEFT(A3154,4)),VALUE(MID(A3154,5,2)),VALUE(RIGHT(A3154,2)))</f>
        <v/>
      </c>
      <c r="L3154" s="395">
        <f>DATEVALUE(LEFT(F3154,10))</f>
        <v/>
      </c>
      <c r="M3154" s="396">
        <f>TIMEVALUE(MID(F3154,12,8))</f>
        <v/>
      </c>
      <c r="N3154" s="395">
        <f>DATEVALUE(LEFT(G3154,10))</f>
        <v/>
      </c>
      <c r="O3154" s="396">
        <f>TIMEVALUE(MID(G3154,12,8))</f>
        <v/>
      </c>
      <c r="P3154" s="396">
        <f>IFERROR(_xlfn.MINIFS($M:$M,$E:$E,$E3154,$K:$K,$K3154,$M:$M,"&gt;"&amp;$O3154),"")</f>
        <v/>
      </c>
      <c r="Q3154" s="396">
        <f>IF($P3154="","",$P3154-$O3154)</f>
        <v/>
      </c>
    </row>
    <row r="3155" ht="15" customHeight="1" s="231">
      <c r="A3155" s="397" t="n"/>
      <c r="B3155" s="397" t="n"/>
      <c r="C3155" s="397" t="n"/>
      <c r="D3155" s="397" t="n"/>
      <c r="E3155" s="397" t="n"/>
      <c r="F3155" s="397" t="n"/>
      <c r="G3155" s="397" t="n"/>
      <c r="I3155" s="397" t="n"/>
      <c r="J3155" s="397" t="n"/>
      <c r="K3155" s="395">
        <f>DATE(VALUE(LEFT(A3155,4)),VALUE(MID(A3155,5,2)),VALUE(RIGHT(A3155,2)))</f>
        <v/>
      </c>
      <c r="L3155" s="395">
        <f>DATEVALUE(LEFT(F3155,10))</f>
        <v/>
      </c>
      <c r="M3155" s="396">
        <f>TIMEVALUE(MID(F3155,12,8))</f>
        <v/>
      </c>
      <c r="N3155" s="395">
        <f>DATEVALUE(LEFT(G3155,10))</f>
        <v/>
      </c>
      <c r="O3155" s="396">
        <f>TIMEVALUE(MID(G3155,12,8))</f>
        <v/>
      </c>
      <c r="P3155" s="396">
        <f>IFERROR(_xlfn.MINIFS($M:$M,$E:$E,$E3155,$K:$K,$K3155,$M:$M,"&gt;"&amp;$O3155),"")</f>
        <v/>
      </c>
      <c r="Q3155" s="396">
        <f>IF($P3155="","",$P3155-$O3155)</f>
        <v/>
      </c>
    </row>
    <row r="3156" ht="15" customHeight="1" s="231">
      <c r="A3156" s="397" t="n"/>
      <c r="B3156" s="397" t="n"/>
      <c r="C3156" s="397" t="n"/>
      <c r="D3156" s="397" t="n"/>
      <c r="E3156" s="397" t="n"/>
      <c r="F3156" s="397" t="n"/>
      <c r="G3156" s="397" t="n"/>
      <c r="I3156" s="397" t="n"/>
      <c r="J3156" s="397" t="n"/>
      <c r="K3156" s="395">
        <f>DATE(VALUE(LEFT(A3156,4)),VALUE(MID(A3156,5,2)),VALUE(RIGHT(A3156,2)))</f>
        <v/>
      </c>
      <c r="L3156" s="395">
        <f>DATEVALUE(LEFT(F3156,10))</f>
        <v/>
      </c>
      <c r="M3156" s="396">
        <f>TIMEVALUE(MID(F3156,12,8))</f>
        <v/>
      </c>
      <c r="N3156" s="395">
        <f>DATEVALUE(LEFT(G3156,10))</f>
        <v/>
      </c>
      <c r="O3156" s="396">
        <f>TIMEVALUE(MID(G3156,12,8))</f>
        <v/>
      </c>
      <c r="P3156" s="396">
        <f>IFERROR(_xlfn.MINIFS($M:$M,$E:$E,$E3156,$K:$K,$K3156,$M:$M,"&gt;"&amp;$O3156),"")</f>
        <v/>
      </c>
      <c r="Q3156" s="396">
        <f>IF($P3156="","",$P3156-$O3156)</f>
        <v/>
      </c>
    </row>
    <row r="3157" ht="15" customHeight="1" s="231">
      <c r="A3157" s="397" t="n"/>
      <c r="B3157" s="397" t="n"/>
      <c r="C3157" s="397" t="n"/>
      <c r="D3157" s="397" t="n"/>
      <c r="E3157" s="397" t="n"/>
      <c r="F3157" s="397" t="n"/>
      <c r="G3157" s="397" t="n"/>
      <c r="I3157" s="397" t="n"/>
      <c r="J3157" s="397" t="n"/>
      <c r="K3157" s="395">
        <f>DATE(VALUE(LEFT(A3157,4)),VALUE(MID(A3157,5,2)),VALUE(RIGHT(A3157,2)))</f>
        <v/>
      </c>
      <c r="L3157" s="395">
        <f>DATEVALUE(LEFT(F3157,10))</f>
        <v/>
      </c>
      <c r="M3157" s="396">
        <f>TIMEVALUE(MID(F3157,12,8))</f>
        <v/>
      </c>
      <c r="N3157" s="395">
        <f>DATEVALUE(LEFT(G3157,10))</f>
        <v/>
      </c>
      <c r="O3157" s="396">
        <f>TIMEVALUE(MID(G3157,12,8))</f>
        <v/>
      </c>
      <c r="P3157" s="396">
        <f>IFERROR(_xlfn.MINIFS($M:$M,$E:$E,$E3157,$K:$K,$K3157,$M:$M,"&gt;"&amp;$O3157),"")</f>
        <v/>
      </c>
      <c r="Q3157" s="396">
        <f>IF($P3157="","",$P3157-$O3157)</f>
        <v/>
      </c>
    </row>
    <row r="3158" ht="15" customHeight="1" s="231">
      <c r="A3158" s="397" t="n"/>
      <c r="B3158" s="397" t="n"/>
      <c r="C3158" s="397" t="n"/>
      <c r="D3158" s="397" t="n"/>
      <c r="E3158" s="397" t="n"/>
      <c r="F3158" s="397" t="n"/>
      <c r="G3158" s="397" t="n"/>
      <c r="I3158" s="397" t="n"/>
      <c r="J3158" s="397" t="n"/>
      <c r="K3158" s="395">
        <f>DATE(VALUE(LEFT(A3158,4)),VALUE(MID(A3158,5,2)),VALUE(RIGHT(A3158,2)))</f>
        <v/>
      </c>
      <c r="L3158" s="395">
        <f>DATEVALUE(LEFT(F3158,10))</f>
        <v/>
      </c>
      <c r="M3158" s="396">
        <f>TIMEVALUE(MID(F3158,12,8))</f>
        <v/>
      </c>
      <c r="N3158" s="395">
        <f>DATEVALUE(LEFT(G3158,10))</f>
        <v/>
      </c>
      <c r="O3158" s="396">
        <f>TIMEVALUE(MID(G3158,12,8))</f>
        <v/>
      </c>
      <c r="P3158" s="396">
        <f>IFERROR(_xlfn.MINIFS($M:$M,$E:$E,$E3158,$K:$K,$K3158,$M:$M,"&gt;"&amp;$O3158),"")</f>
        <v/>
      </c>
      <c r="Q3158" s="396">
        <f>IF($P3158="","",$P3158-$O3158)</f>
        <v/>
      </c>
    </row>
    <row r="3159" ht="15" customHeight="1" s="231">
      <c r="A3159" s="397" t="n"/>
      <c r="B3159" s="397" t="n"/>
      <c r="C3159" s="397" t="n"/>
      <c r="D3159" s="397" t="n"/>
      <c r="E3159" s="397" t="n"/>
      <c r="F3159" s="397" t="n"/>
      <c r="G3159" s="397" t="n"/>
      <c r="I3159" s="397" t="n"/>
      <c r="J3159" s="397" t="n"/>
      <c r="K3159" s="395">
        <f>DATE(VALUE(LEFT(A3159,4)),VALUE(MID(A3159,5,2)),VALUE(RIGHT(A3159,2)))</f>
        <v/>
      </c>
      <c r="L3159" s="395">
        <f>DATEVALUE(LEFT(F3159,10))</f>
        <v/>
      </c>
      <c r="M3159" s="396">
        <f>TIMEVALUE(MID(F3159,12,8))</f>
        <v/>
      </c>
      <c r="N3159" s="395">
        <f>DATEVALUE(LEFT(G3159,10))</f>
        <v/>
      </c>
      <c r="O3159" s="396">
        <f>TIMEVALUE(MID(G3159,12,8))</f>
        <v/>
      </c>
      <c r="P3159" s="396">
        <f>IFERROR(_xlfn.MINIFS($M:$M,$E:$E,$E3159,$K:$K,$K3159,$M:$M,"&gt;"&amp;$O3159),"")</f>
        <v/>
      </c>
      <c r="Q3159" s="396">
        <f>IF($P3159="","",$P3159-$O3159)</f>
        <v/>
      </c>
    </row>
    <row r="3160" ht="15" customHeight="1" s="231">
      <c r="A3160" s="397" t="n"/>
      <c r="B3160" s="397" t="n"/>
      <c r="C3160" s="397" t="n"/>
      <c r="D3160" s="397" t="n"/>
      <c r="E3160" s="397" t="n"/>
      <c r="F3160" s="397" t="n"/>
      <c r="G3160" s="397" t="n"/>
      <c r="I3160" s="397" t="n"/>
      <c r="J3160" s="397" t="n"/>
      <c r="K3160" s="395">
        <f>DATE(VALUE(LEFT(A3160,4)),VALUE(MID(A3160,5,2)),VALUE(RIGHT(A3160,2)))</f>
        <v/>
      </c>
      <c r="L3160" s="395">
        <f>DATEVALUE(LEFT(F3160,10))</f>
        <v/>
      </c>
      <c r="M3160" s="396">
        <f>TIMEVALUE(MID(F3160,12,8))</f>
        <v/>
      </c>
      <c r="N3160" s="395">
        <f>DATEVALUE(LEFT(G3160,10))</f>
        <v/>
      </c>
      <c r="O3160" s="396">
        <f>TIMEVALUE(MID(G3160,12,8))</f>
        <v/>
      </c>
      <c r="P3160" s="396">
        <f>IFERROR(_xlfn.MINIFS($M:$M,$E:$E,$E3160,$K:$K,$K3160,$M:$M,"&gt;"&amp;$O3160),"")</f>
        <v/>
      </c>
      <c r="Q3160" s="396">
        <f>IF($P3160="","",$P3160-$O3160)</f>
        <v/>
      </c>
    </row>
    <row r="3161" ht="15" customHeight="1" s="231">
      <c r="A3161" s="397" t="n"/>
      <c r="B3161" s="397" t="n"/>
      <c r="C3161" s="397" t="n"/>
      <c r="D3161" s="397" t="n"/>
      <c r="E3161" s="397" t="n"/>
      <c r="F3161" s="397" t="n"/>
      <c r="G3161" s="397" t="n"/>
      <c r="I3161" s="397" t="n"/>
      <c r="J3161" s="397" t="n"/>
      <c r="K3161" s="395">
        <f>DATE(VALUE(LEFT(A3161,4)),VALUE(MID(A3161,5,2)),VALUE(RIGHT(A3161,2)))</f>
        <v/>
      </c>
      <c r="L3161" s="395">
        <f>DATEVALUE(LEFT(F3161,10))</f>
        <v/>
      </c>
      <c r="M3161" s="396">
        <f>TIMEVALUE(MID(F3161,12,8))</f>
        <v/>
      </c>
      <c r="N3161" s="395">
        <f>DATEVALUE(LEFT(G3161,10))</f>
        <v/>
      </c>
      <c r="O3161" s="396">
        <f>TIMEVALUE(MID(G3161,12,8))</f>
        <v/>
      </c>
      <c r="P3161" s="396">
        <f>IFERROR(_xlfn.MINIFS($M:$M,$E:$E,$E3161,$K:$K,$K3161,$M:$M,"&gt;"&amp;$O3161),"")</f>
        <v/>
      </c>
      <c r="Q3161" s="396">
        <f>IF($P3161="","",$P3161-$O3161)</f>
        <v/>
      </c>
    </row>
    <row r="3162" ht="15" customHeight="1" s="231">
      <c r="A3162" s="397" t="n"/>
      <c r="B3162" s="397" t="n"/>
      <c r="C3162" s="397" t="n"/>
      <c r="D3162" s="397" t="n"/>
      <c r="E3162" s="397" t="n"/>
      <c r="F3162" s="397" t="n"/>
      <c r="G3162" s="397" t="n"/>
      <c r="I3162" s="397" t="n"/>
      <c r="J3162" s="397" t="n"/>
      <c r="K3162" s="395">
        <f>DATE(VALUE(LEFT(A3162,4)),VALUE(MID(A3162,5,2)),VALUE(RIGHT(A3162,2)))</f>
        <v/>
      </c>
      <c r="L3162" s="395">
        <f>DATEVALUE(LEFT(F3162,10))</f>
        <v/>
      </c>
      <c r="M3162" s="396">
        <f>TIMEVALUE(MID(F3162,12,8))</f>
        <v/>
      </c>
      <c r="N3162" s="395">
        <f>DATEVALUE(LEFT(G3162,10))</f>
        <v/>
      </c>
      <c r="O3162" s="396">
        <f>TIMEVALUE(MID(G3162,12,8))</f>
        <v/>
      </c>
      <c r="P3162" s="396">
        <f>IFERROR(_xlfn.MINIFS($M:$M,$E:$E,$E3162,$K:$K,$K3162,$M:$M,"&gt;"&amp;$O3162),"")</f>
        <v/>
      </c>
      <c r="Q3162" s="396">
        <f>IF($P3162="","",$P3162-$O3162)</f>
        <v/>
      </c>
    </row>
    <row r="3163" ht="15" customHeight="1" s="231">
      <c r="A3163" s="397" t="n"/>
      <c r="B3163" s="397" t="n"/>
      <c r="C3163" s="397" t="n"/>
      <c r="D3163" s="397" t="n"/>
      <c r="E3163" s="397" t="n"/>
      <c r="F3163" s="397" t="n"/>
      <c r="G3163" s="397" t="n"/>
      <c r="I3163" s="397" t="n"/>
      <c r="J3163" s="397" t="n"/>
      <c r="K3163" s="395">
        <f>DATE(VALUE(LEFT(A3163,4)),VALUE(MID(A3163,5,2)),VALUE(RIGHT(A3163,2)))</f>
        <v/>
      </c>
      <c r="L3163" s="395">
        <f>DATEVALUE(LEFT(F3163,10))</f>
        <v/>
      </c>
      <c r="M3163" s="396">
        <f>TIMEVALUE(MID(F3163,12,8))</f>
        <v/>
      </c>
      <c r="N3163" s="395">
        <f>DATEVALUE(LEFT(G3163,10))</f>
        <v/>
      </c>
      <c r="O3163" s="396">
        <f>TIMEVALUE(MID(G3163,12,8))</f>
        <v/>
      </c>
      <c r="P3163" s="396">
        <f>IFERROR(_xlfn.MINIFS($M:$M,$E:$E,$E3163,$K:$K,$K3163,$M:$M,"&gt;"&amp;$O3163),"")</f>
        <v/>
      </c>
      <c r="Q3163" s="396">
        <f>IF($P3163="","",$P3163-$O3163)</f>
        <v/>
      </c>
    </row>
    <row r="3164" ht="15" customHeight="1" s="231">
      <c r="A3164" s="397" t="n"/>
      <c r="B3164" s="397" t="n"/>
      <c r="C3164" s="397" t="n"/>
      <c r="D3164" s="397" t="n"/>
      <c r="E3164" s="397" t="n"/>
      <c r="F3164" s="397" t="n"/>
      <c r="G3164" s="397" t="n"/>
      <c r="I3164" s="397" t="n"/>
      <c r="J3164" s="397" t="n"/>
      <c r="K3164" s="395">
        <f>DATE(VALUE(LEFT(A3164,4)),VALUE(MID(A3164,5,2)),VALUE(RIGHT(A3164,2)))</f>
        <v/>
      </c>
      <c r="L3164" s="395">
        <f>DATEVALUE(LEFT(F3164,10))</f>
        <v/>
      </c>
      <c r="M3164" s="396">
        <f>TIMEVALUE(MID(F3164,12,8))</f>
        <v/>
      </c>
      <c r="N3164" s="395">
        <f>DATEVALUE(LEFT(G3164,10))</f>
        <v/>
      </c>
      <c r="O3164" s="396">
        <f>TIMEVALUE(MID(G3164,12,8))</f>
        <v/>
      </c>
      <c r="P3164" s="396">
        <f>IFERROR(_xlfn.MINIFS($M:$M,$E:$E,$E3164,$K:$K,$K3164,$M:$M,"&gt;"&amp;$O3164),"")</f>
        <v/>
      </c>
      <c r="Q3164" s="396">
        <f>IF($P3164="","",$P3164-$O3164)</f>
        <v/>
      </c>
    </row>
    <row r="3165" ht="15" customHeight="1" s="231">
      <c r="A3165" s="397" t="n"/>
      <c r="B3165" s="397" t="n"/>
      <c r="C3165" s="397" t="n"/>
      <c r="D3165" s="397" t="n"/>
      <c r="E3165" s="397" t="n"/>
      <c r="F3165" s="397" t="n"/>
      <c r="G3165" s="397" t="n"/>
      <c r="I3165" s="397" t="n"/>
      <c r="J3165" s="397" t="n"/>
      <c r="K3165" s="395">
        <f>DATE(VALUE(LEFT(A3165,4)),VALUE(MID(A3165,5,2)),VALUE(RIGHT(A3165,2)))</f>
        <v/>
      </c>
      <c r="L3165" s="395">
        <f>DATEVALUE(LEFT(F3165,10))</f>
        <v/>
      </c>
      <c r="M3165" s="396">
        <f>TIMEVALUE(MID(F3165,12,8))</f>
        <v/>
      </c>
      <c r="N3165" s="395">
        <f>DATEVALUE(LEFT(G3165,10))</f>
        <v/>
      </c>
      <c r="O3165" s="396">
        <f>TIMEVALUE(MID(G3165,12,8))</f>
        <v/>
      </c>
      <c r="P3165" s="396">
        <f>IFERROR(_xlfn.MINIFS($M:$M,$E:$E,$E3165,$K:$K,$K3165,$M:$M,"&gt;"&amp;$O3165),"")</f>
        <v/>
      </c>
      <c r="Q3165" s="396">
        <f>IF($P3165="","",$P3165-$O3165)</f>
        <v/>
      </c>
    </row>
    <row r="3166" ht="15" customHeight="1" s="231">
      <c r="A3166" s="397" t="n"/>
      <c r="B3166" s="397" t="n"/>
      <c r="C3166" s="397" t="n"/>
      <c r="D3166" s="397" t="n"/>
      <c r="E3166" s="397" t="n"/>
      <c r="F3166" s="397" t="n"/>
      <c r="G3166" s="397" t="n"/>
      <c r="I3166" s="397" t="n"/>
      <c r="J3166" s="397" t="n"/>
      <c r="K3166" s="395">
        <f>DATE(VALUE(LEFT(A3166,4)),VALUE(MID(A3166,5,2)),VALUE(RIGHT(A3166,2)))</f>
        <v/>
      </c>
      <c r="L3166" s="395">
        <f>DATEVALUE(LEFT(F3166,10))</f>
        <v/>
      </c>
      <c r="M3166" s="396">
        <f>TIMEVALUE(MID(F3166,12,8))</f>
        <v/>
      </c>
      <c r="N3166" s="395">
        <f>DATEVALUE(LEFT(G3166,10))</f>
        <v/>
      </c>
      <c r="O3166" s="396">
        <f>TIMEVALUE(MID(G3166,12,8))</f>
        <v/>
      </c>
      <c r="P3166" s="396">
        <f>IFERROR(_xlfn.MINIFS($M:$M,$E:$E,$E3166,$K:$K,$K3166,$M:$M,"&gt;"&amp;$O3166),"")</f>
        <v/>
      </c>
      <c r="Q3166" s="396">
        <f>IF($P3166="","",$P3166-$O3166)</f>
        <v/>
      </c>
    </row>
    <row r="3167" ht="15" customHeight="1" s="231">
      <c r="A3167" s="397" t="n"/>
      <c r="B3167" s="397" t="n"/>
      <c r="C3167" s="397" t="n"/>
      <c r="D3167" s="397" t="n"/>
      <c r="E3167" s="397" t="n"/>
      <c r="F3167" s="397" t="n"/>
      <c r="G3167" s="397" t="n"/>
      <c r="I3167" s="397" t="n"/>
      <c r="J3167" s="397" t="n"/>
      <c r="K3167" s="395">
        <f>DATE(VALUE(LEFT(A3167,4)),VALUE(MID(A3167,5,2)),VALUE(RIGHT(A3167,2)))</f>
        <v/>
      </c>
      <c r="L3167" s="395">
        <f>DATEVALUE(LEFT(F3167,10))</f>
        <v/>
      </c>
      <c r="M3167" s="396">
        <f>TIMEVALUE(MID(F3167,12,8))</f>
        <v/>
      </c>
      <c r="N3167" s="395">
        <f>DATEVALUE(LEFT(G3167,10))</f>
        <v/>
      </c>
      <c r="O3167" s="396">
        <f>TIMEVALUE(MID(G3167,12,8))</f>
        <v/>
      </c>
      <c r="P3167" s="396">
        <f>IFERROR(_xlfn.MINIFS($M:$M,$E:$E,$E3167,$K:$K,$K3167,$M:$M,"&gt;"&amp;$O3167),"")</f>
        <v/>
      </c>
      <c r="Q3167" s="396">
        <f>IF($P3167="","",$P3167-$O3167)</f>
        <v/>
      </c>
    </row>
    <row r="3168" ht="15" customHeight="1" s="231">
      <c r="A3168" s="397" t="n"/>
      <c r="B3168" s="397" t="n"/>
      <c r="C3168" s="397" t="n"/>
      <c r="D3168" s="397" t="n"/>
      <c r="E3168" s="397" t="n"/>
      <c r="F3168" s="397" t="n"/>
      <c r="G3168" s="397" t="n"/>
      <c r="I3168" s="397" t="n"/>
      <c r="J3168" s="397" t="n"/>
      <c r="K3168" s="395">
        <f>DATE(VALUE(LEFT(A3168,4)),VALUE(MID(A3168,5,2)),VALUE(RIGHT(A3168,2)))</f>
        <v/>
      </c>
      <c r="L3168" s="395">
        <f>DATEVALUE(LEFT(F3168,10))</f>
        <v/>
      </c>
      <c r="M3168" s="396">
        <f>TIMEVALUE(MID(F3168,12,8))</f>
        <v/>
      </c>
      <c r="N3168" s="395">
        <f>DATEVALUE(LEFT(G3168,10))</f>
        <v/>
      </c>
      <c r="O3168" s="396">
        <f>TIMEVALUE(MID(G3168,12,8))</f>
        <v/>
      </c>
      <c r="P3168" s="396">
        <f>IFERROR(_xlfn.MINIFS($M:$M,$E:$E,$E3168,$K:$K,$K3168,$M:$M,"&gt;"&amp;$O3168),"")</f>
        <v/>
      </c>
      <c r="Q3168" s="396">
        <f>IF($P3168="","",$P3168-$O3168)</f>
        <v/>
      </c>
    </row>
    <row r="3169" ht="15" customHeight="1" s="231">
      <c r="A3169" s="397" t="n"/>
      <c r="B3169" s="397" t="n"/>
      <c r="C3169" s="397" t="n"/>
      <c r="D3169" s="397" t="n"/>
      <c r="E3169" s="397" t="n"/>
      <c r="F3169" s="397" t="n"/>
      <c r="G3169" s="397" t="n"/>
      <c r="I3169" s="397" t="n"/>
      <c r="J3169" s="397" t="n"/>
      <c r="K3169" s="395">
        <f>DATE(VALUE(LEFT(A3169,4)),VALUE(MID(A3169,5,2)),VALUE(RIGHT(A3169,2)))</f>
        <v/>
      </c>
      <c r="L3169" s="395">
        <f>DATEVALUE(LEFT(F3169,10))</f>
        <v/>
      </c>
      <c r="M3169" s="396">
        <f>TIMEVALUE(MID(F3169,12,8))</f>
        <v/>
      </c>
      <c r="N3169" s="395">
        <f>DATEVALUE(LEFT(G3169,10))</f>
        <v/>
      </c>
      <c r="O3169" s="396">
        <f>TIMEVALUE(MID(G3169,12,8))</f>
        <v/>
      </c>
      <c r="P3169" s="396">
        <f>IFERROR(_xlfn.MINIFS($M:$M,$E:$E,$E3169,$K:$K,$K3169,$M:$M,"&gt;"&amp;$O3169),"")</f>
        <v/>
      </c>
      <c r="Q3169" s="396">
        <f>IF($P3169="","",$P3169-$O3169)</f>
        <v/>
      </c>
    </row>
    <row r="3170" ht="15" customHeight="1" s="231">
      <c r="A3170" s="397" t="n"/>
      <c r="B3170" s="397" t="n"/>
      <c r="C3170" s="397" t="n"/>
      <c r="D3170" s="397" t="n"/>
      <c r="E3170" s="397" t="n"/>
      <c r="F3170" s="397" t="n"/>
      <c r="G3170" s="397" t="n"/>
      <c r="I3170" s="397" t="n"/>
      <c r="J3170" s="397" t="n"/>
      <c r="K3170" s="395">
        <f>DATE(VALUE(LEFT(A3170,4)),VALUE(MID(A3170,5,2)),VALUE(RIGHT(A3170,2)))</f>
        <v/>
      </c>
      <c r="L3170" s="395">
        <f>DATEVALUE(LEFT(F3170,10))</f>
        <v/>
      </c>
      <c r="M3170" s="396">
        <f>TIMEVALUE(MID(F3170,12,8))</f>
        <v/>
      </c>
      <c r="N3170" s="395">
        <f>DATEVALUE(LEFT(G3170,10))</f>
        <v/>
      </c>
      <c r="O3170" s="396">
        <f>TIMEVALUE(MID(G3170,12,8))</f>
        <v/>
      </c>
      <c r="P3170" s="396">
        <f>IFERROR(_xlfn.MINIFS($M:$M,$E:$E,$E3170,$K:$K,$K3170,$M:$M,"&gt;"&amp;$O3170),"")</f>
        <v/>
      </c>
      <c r="Q3170" s="396">
        <f>IF($P3170="","",$P3170-$O3170)</f>
        <v/>
      </c>
    </row>
    <row r="3171" ht="15" customHeight="1" s="231">
      <c r="A3171" s="397" t="n"/>
      <c r="B3171" s="397" t="n"/>
      <c r="C3171" s="397" t="n"/>
      <c r="D3171" s="397" t="n"/>
      <c r="E3171" s="397" t="n"/>
      <c r="F3171" s="397" t="n"/>
      <c r="G3171" s="397" t="n"/>
      <c r="I3171" s="397" t="n"/>
      <c r="J3171" s="397" t="n"/>
      <c r="K3171" s="395">
        <f>DATE(VALUE(LEFT(A3171,4)),VALUE(MID(A3171,5,2)),VALUE(RIGHT(A3171,2)))</f>
        <v/>
      </c>
      <c r="L3171" s="395">
        <f>DATEVALUE(LEFT(F3171,10))</f>
        <v/>
      </c>
      <c r="M3171" s="396">
        <f>TIMEVALUE(MID(F3171,12,8))</f>
        <v/>
      </c>
      <c r="N3171" s="395">
        <f>DATEVALUE(LEFT(G3171,10))</f>
        <v/>
      </c>
      <c r="O3171" s="396">
        <f>TIMEVALUE(MID(G3171,12,8))</f>
        <v/>
      </c>
      <c r="P3171" s="396">
        <f>IFERROR(_xlfn.MINIFS($M:$M,$E:$E,$E3171,$K:$K,$K3171,$M:$M,"&gt;"&amp;$O3171),"")</f>
        <v/>
      </c>
      <c r="Q3171" s="396">
        <f>IF($P3171="","",$P3171-$O3171)</f>
        <v/>
      </c>
    </row>
    <row r="3172" ht="15" customHeight="1" s="231">
      <c r="A3172" s="397" t="n"/>
      <c r="B3172" s="397" t="n"/>
      <c r="C3172" s="397" t="n"/>
      <c r="D3172" s="397" t="n"/>
      <c r="E3172" s="397" t="n"/>
      <c r="F3172" s="397" t="n"/>
      <c r="G3172" s="397" t="n"/>
      <c r="I3172" s="397" t="n"/>
      <c r="J3172" s="397" t="n"/>
      <c r="K3172" s="395">
        <f>DATE(VALUE(LEFT(A3172,4)),VALUE(MID(A3172,5,2)),VALUE(RIGHT(A3172,2)))</f>
        <v/>
      </c>
      <c r="L3172" s="395">
        <f>DATEVALUE(LEFT(F3172,10))</f>
        <v/>
      </c>
      <c r="M3172" s="396">
        <f>TIMEVALUE(MID(F3172,12,8))</f>
        <v/>
      </c>
      <c r="N3172" s="395">
        <f>DATEVALUE(LEFT(G3172,10))</f>
        <v/>
      </c>
      <c r="O3172" s="396">
        <f>TIMEVALUE(MID(G3172,12,8))</f>
        <v/>
      </c>
      <c r="P3172" s="396">
        <f>IFERROR(_xlfn.MINIFS($M:$M,$E:$E,$E3172,$K:$K,$K3172,$M:$M,"&gt;"&amp;$O3172),"")</f>
        <v/>
      </c>
      <c r="Q3172" s="396">
        <f>IF($P3172="","",$P3172-$O3172)</f>
        <v/>
      </c>
    </row>
    <row r="3173" ht="15" customHeight="1" s="231">
      <c r="A3173" s="397" t="n"/>
      <c r="B3173" s="397" t="n"/>
      <c r="C3173" s="397" t="n"/>
      <c r="D3173" s="397" t="n"/>
      <c r="E3173" s="397" t="n"/>
      <c r="F3173" s="397" t="n"/>
      <c r="G3173" s="397" t="n"/>
      <c r="I3173" s="397" t="n"/>
      <c r="J3173" s="397" t="n"/>
      <c r="K3173" s="395">
        <f>DATE(VALUE(LEFT(A3173,4)),VALUE(MID(A3173,5,2)),VALUE(RIGHT(A3173,2)))</f>
        <v/>
      </c>
      <c r="L3173" s="395">
        <f>DATEVALUE(LEFT(F3173,10))</f>
        <v/>
      </c>
      <c r="M3173" s="396">
        <f>TIMEVALUE(MID(F3173,12,8))</f>
        <v/>
      </c>
      <c r="N3173" s="395">
        <f>DATEVALUE(LEFT(G3173,10))</f>
        <v/>
      </c>
      <c r="O3173" s="396">
        <f>TIMEVALUE(MID(G3173,12,8))</f>
        <v/>
      </c>
      <c r="P3173" s="396">
        <f>IFERROR(_xlfn.MINIFS($M:$M,$E:$E,$E3173,$K:$K,$K3173,$M:$M,"&gt;"&amp;$O3173),"")</f>
        <v/>
      </c>
      <c r="Q3173" s="396">
        <f>IF($P3173="","",$P3173-$O3173)</f>
        <v/>
      </c>
    </row>
    <row r="3174" ht="15" customHeight="1" s="231">
      <c r="A3174" s="397" t="n"/>
      <c r="B3174" s="397" t="n"/>
      <c r="C3174" s="397" t="n"/>
      <c r="D3174" s="397" t="n"/>
      <c r="E3174" s="397" t="n"/>
      <c r="F3174" s="397" t="n"/>
      <c r="G3174" s="397" t="n"/>
      <c r="I3174" s="397" t="n"/>
      <c r="J3174" s="397" t="n"/>
      <c r="K3174" s="395">
        <f>DATE(VALUE(LEFT(A3174,4)),VALUE(MID(A3174,5,2)),VALUE(RIGHT(A3174,2)))</f>
        <v/>
      </c>
      <c r="L3174" s="395">
        <f>DATEVALUE(LEFT(F3174,10))</f>
        <v/>
      </c>
      <c r="M3174" s="396">
        <f>TIMEVALUE(MID(F3174,12,8))</f>
        <v/>
      </c>
      <c r="N3174" s="395">
        <f>DATEVALUE(LEFT(G3174,10))</f>
        <v/>
      </c>
      <c r="O3174" s="396">
        <f>TIMEVALUE(MID(G3174,12,8))</f>
        <v/>
      </c>
      <c r="P3174" s="396">
        <f>IFERROR(_xlfn.MINIFS($M:$M,$E:$E,$E3174,$K:$K,$K3174,$M:$M,"&gt;"&amp;$O3174),"")</f>
        <v/>
      </c>
      <c r="Q3174" s="396">
        <f>IF($P3174="","",$P3174-$O3174)</f>
        <v/>
      </c>
    </row>
    <row r="3175" ht="15" customHeight="1" s="231">
      <c r="A3175" s="397" t="n"/>
      <c r="B3175" s="397" t="n"/>
      <c r="C3175" s="397" t="n"/>
      <c r="D3175" s="397" t="n"/>
      <c r="E3175" s="397" t="n"/>
      <c r="F3175" s="397" t="n"/>
      <c r="G3175" s="397" t="n"/>
      <c r="I3175" s="397" t="n"/>
      <c r="J3175" s="397" t="n"/>
      <c r="K3175" s="395">
        <f>DATE(VALUE(LEFT(A3175,4)),VALUE(MID(A3175,5,2)),VALUE(RIGHT(A3175,2)))</f>
        <v/>
      </c>
      <c r="L3175" s="395">
        <f>DATEVALUE(LEFT(F3175,10))</f>
        <v/>
      </c>
      <c r="M3175" s="396">
        <f>TIMEVALUE(MID(F3175,12,8))</f>
        <v/>
      </c>
      <c r="N3175" s="395">
        <f>DATEVALUE(LEFT(G3175,10))</f>
        <v/>
      </c>
      <c r="O3175" s="396">
        <f>TIMEVALUE(MID(G3175,12,8))</f>
        <v/>
      </c>
      <c r="P3175" s="396">
        <f>IFERROR(_xlfn.MINIFS($M:$M,$E:$E,$E3175,$K:$K,$K3175,$M:$M,"&gt;"&amp;$O3175),"")</f>
        <v/>
      </c>
      <c r="Q3175" s="396">
        <f>IF($P3175="","",$P3175-$O3175)</f>
        <v/>
      </c>
    </row>
    <row r="3176" ht="15" customHeight="1" s="231">
      <c r="A3176" s="397" t="n"/>
      <c r="B3176" s="397" t="n"/>
      <c r="C3176" s="397" t="n"/>
      <c r="D3176" s="397" t="n"/>
      <c r="E3176" s="397" t="n"/>
      <c r="F3176" s="397" t="n"/>
      <c r="G3176" s="397" t="n"/>
      <c r="I3176" s="397" t="n"/>
      <c r="J3176" s="397" t="n"/>
      <c r="K3176" s="395">
        <f>DATE(VALUE(LEFT(A3176,4)),VALUE(MID(A3176,5,2)),VALUE(RIGHT(A3176,2)))</f>
        <v/>
      </c>
      <c r="L3176" s="395">
        <f>DATEVALUE(LEFT(F3176,10))</f>
        <v/>
      </c>
      <c r="M3176" s="396">
        <f>TIMEVALUE(MID(F3176,12,8))</f>
        <v/>
      </c>
      <c r="N3176" s="395">
        <f>DATEVALUE(LEFT(G3176,10))</f>
        <v/>
      </c>
      <c r="O3176" s="396">
        <f>TIMEVALUE(MID(G3176,12,8))</f>
        <v/>
      </c>
      <c r="P3176" s="396">
        <f>IFERROR(_xlfn.MINIFS($M:$M,$E:$E,$E3176,$K:$K,$K3176,$M:$M,"&gt;"&amp;$O3176),"")</f>
        <v/>
      </c>
      <c r="Q3176" s="396">
        <f>IF($P3176="","",$P3176-$O3176)</f>
        <v/>
      </c>
    </row>
    <row r="3177" ht="15" customHeight="1" s="231">
      <c r="A3177" s="397" t="n"/>
      <c r="B3177" s="397" t="n"/>
      <c r="C3177" s="397" t="n"/>
      <c r="D3177" s="397" t="n"/>
      <c r="E3177" s="397" t="n"/>
      <c r="F3177" s="397" t="n"/>
      <c r="G3177" s="397" t="n"/>
      <c r="I3177" s="397" t="n"/>
      <c r="J3177" s="397" t="n"/>
      <c r="K3177" s="395">
        <f>DATE(VALUE(LEFT(A3177,4)),VALUE(MID(A3177,5,2)),VALUE(RIGHT(A3177,2)))</f>
        <v/>
      </c>
      <c r="L3177" s="395">
        <f>DATEVALUE(LEFT(F3177,10))</f>
        <v/>
      </c>
      <c r="M3177" s="396">
        <f>TIMEVALUE(MID(F3177,12,8))</f>
        <v/>
      </c>
      <c r="N3177" s="395">
        <f>DATEVALUE(LEFT(G3177,10))</f>
        <v/>
      </c>
      <c r="O3177" s="396">
        <f>TIMEVALUE(MID(G3177,12,8))</f>
        <v/>
      </c>
      <c r="P3177" s="396">
        <f>IFERROR(_xlfn.MINIFS($M:$M,$E:$E,$E3177,$K:$K,$K3177,$M:$M,"&gt;"&amp;$O3177),"")</f>
        <v/>
      </c>
      <c r="Q3177" s="396">
        <f>IF($P3177="","",$P3177-$O3177)</f>
        <v/>
      </c>
    </row>
    <row r="3178" ht="15" customHeight="1" s="231">
      <c r="A3178" s="397" t="n"/>
      <c r="B3178" s="397" t="n"/>
      <c r="C3178" s="397" t="n"/>
      <c r="D3178" s="397" t="n"/>
      <c r="E3178" s="397" t="n"/>
      <c r="F3178" s="397" t="n"/>
      <c r="G3178" s="397" t="n"/>
      <c r="I3178" s="397" t="n"/>
      <c r="J3178" s="397" t="n"/>
      <c r="K3178" s="395">
        <f>DATE(VALUE(LEFT(A3178,4)),VALUE(MID(A3178,5,2)),VALUE(RIGHT(A3178,2)))</f>
        <v/>
      </c>
      <c r="L3178" s="395">
        <f>DATEVALUE(LEFT(F3178,10))</f>
        <v/>
      </c>
      <c r="M3178" s="396">
        <f>TIMEVALUE(MID(F3178,12,8))</f>
        <v/>
      </c>
      <c r="N3178" s="395">
        <f>DATEVALUE(LEFT(G3178,10))</f>
        <v/>
      </c>
      <c r="O3178" s="396">
        <f>TIMEVALUE(MID(G3178,12,8))</f>
        <v/>
      </c>
      <c r="P3178" s="396">
        <f>IFERROR(_xlfn.MINIFS($M:$M,$E:$E,$E3178,$K:$K,$K3178,$M:$M,"&gt;"&amp;$O3178),"")</f>
        <v/>
      </c>
      <c r="Q3178" s="396">
        <f>IF($P3178="","",$P3178-$O3178)</f>
        <v/>
      </c>
    </row>
    <row r="3179" ht="15" customHeight="1" s="231">
      <c r="A3179" s="397" t="n"/>
      <c r="B3179" s="397" t="n"/>
      <c r="C3179" s="397" t="n"/>
      <c r="D3179" s="397" t="n"/>
      <c r="E3179" s="397" t="n"/>
      <c r="F3179" s="397" t="n"/>
      <c r="G3179" s="397" t="n"/>
      <c r="I3179" s="397" t="n"/>
      <c r="J3179" s="397" t="n"/>
      <c r="K3179" s="395">
        <f>DATE(VALUE(LEFT(A3179,4)),VALUE(MID(A3179,5,2)),VALUE(RIGHT(A3179,2)))</f>
        <v/>
      </c>
      <c r="L3179" s="395">
        <f>DATEVALUE(LEFT(F3179,10))</f>
        <v/>
      </c>
      <c r="M3179" s="396">
        <f>TIMEVALUE(MID(F3179,12,8))</f>
        <v/>
      </c>
      <c r="N3179" s="395">
        <f>DATEVALUE(LEFT(G3179,10))</f>
        <v/>
      </c>
      <c r="O3179" s="396">
        <f>TIMEVALUE(MID(G3179,12,8))</f>
        <v/>
      </c>
      <c r="P3179" s="396">
        <f>IFERROR(_xlfn.MINIFS($M:$M,$E:$E,$E3179,$K:$K,$K3179,$M:$M,"&gt;"&amp;$O3179),"")</f>
        <v/>
      </c>
      <c r="Q3179" s="396">
        <f>IF($P3179="","",$P3179-$O3179)</f>
        <v/>
      </c>
    </row>
    <row r="3180" ht="15" customHeight="1" s="231">
      <c r="A3180" s="397" t="n"/>
      <c r="B3180" s="397" t="n"/>
      <c r="C3180" s="397" t="n"/>
      <c r="D3180" s="397" t="n"/>
      <c r="E3180" s="397" t="n"/>
      <c r="F3180" s="397" t="n"/>
      <c r="G3180" s="397" t="n"/>
      <c r="I3180" s="397" t="n"/>
      <c r="J3180" s="397" t="n"/>
      <c r="K3180" s="395">
        <f>DATE(VALUE(LEFT(A3180,4)),VALUE(MID(A3180,5,2)),VALUE(RIGHT(A3180,2)))</f>
        <v/>
      </c>
      <c r="L3180" s="395">
        <f>DATEVALUE(LEFT(F3180,10))</f>
        <v/>
      </c>
      <c r="M3180" s="396">
        <f>TIMEVALUE(MID(F3180,12,8))</f>
        <v/>
      </c>
      <c r="N3180" s="395">
        <f>DATEVALUE(LEFT(G3180,10))</f>
        <v/>
      </c>
      <c r="O3180" s="396">
        <f>TIMEVALUE(MID(G3180,12,8))</f>
        <v/>
      </c>
      <c r="P3180" s="396">
        <f>IFERROR(_xlfn.MINIFS($M:$M,$E:$E,$E3180,$K:$K,$K3180,$M:$M,"&gt;"&amp;$O3180),"")</f>
        <v/>
      </c>
      <c r="Q3180" s="396">
        <f>IF($P3180="","",$P3180-$O3180)</f>
        <v/>
      </c>
    </row>
    <row r="3181" ht="15" customHeight="1" s="231">
      <c r="A3181" s="397" t="n"/>
      <c r="B3181" s="397" t="n"/>
      <c r="C3181" s="397" t="n"/>
      <c r="D3181" s="397" t="n"/>
      <c r="E3181" s="397" t="n"/>
      <c r="F3181" s="397" t="n"/>
      <c r="G3181" s="397" t="n"/>
      <c r="I3181" s="397" t="n"/>
      <c r="J3181" s="397" t="n"/>
      <c r="K3181" s="395">
        <f>DATE(VALUE(LEFT(A3181,4)),VALUE(MID(A3181,5,2)),VALUE(RIGHT(A3181,2)))</f>
        <v/>
      </c>
      <c r="L3181" s="395">
        <f>DATEVALUE(LEFT(F3181,10))</f>
        <v/>
      </c>
      <c r="M3181" s="396">
        <f>TIMEVALUE(MID(F3181,12,8))</f>
        <v/>
      </c>
      <c r="N3181" s="395">
        <f>DATEVALUE(LEFT(G3181,10))</f>
        <v/>
      </c>
      <c r="O3181" s="396">
        <f>TIMEVALUE(MID(G3181,12,8))</f>
        <v/>
      </c>
      <c r="P3181" s="396">
        <f>IFERROR(_xlfn.MINIFS($M:$M,$E:$E,$E3181,$K:$K,$K3181,$M:$M,"&gt;"&amp;$O3181),"")</f>
        <v/>
      </c>
      <c r="Q3181" s="396">
        <f>IF($P3181="","",$P3181-$O3181)</f>
        <v/>
      </c>
    </row>
    <row r="3182" ht="15" customHeight="1" s="231">
      <c r="A3182" s="397" t="n"/>
      <c r="B3182" s="397" t="n"/>
      <c r="C3182" s="397" t="n"/>
      <c r="D3182" s="397" t="n"/>
      <c r="E3182" s="397" t="n"/>
      <c r="F3182" s="397" t="n"/>
      <c r="G3182" s="397" t="n"/>
      <c r="I3182" s="397" t="n"/>
      <c r="J3182" s="397" t="n"/>
      <c r="K3182" s="395">
        <f>DATE(VALUE(LEFT(A3182,4)),VALUE(MID(A3182,5,2)),VALUE(RIGHT(A3182,2)))</f>
        <v/>
      </c>
      <c r="L3182" s="395">
        <f>DATEVALUE(LEFT(F3182,10))</f>
        <v/>
      </c>
      <c r="M3182" s="396">
        <f>TIMEVALUE(MID(F3182,12,8))</f>
        <v/>
      </c>
      <c r="N3182" s="395">
        <f>DATEVALUE(LEFT(G3182,10))</f>
        <v/>
      </c>
      <c r="O3182" s="396">
        <f>TIMEVALUE(MID(G3182,12,8))</f>
        <v/>
      </c>
      <c r="P3182" s="396">
        <f>IFERROR(_xlfn.MINIFS($M:$M,$E:$E,$E3182,$K:$K,$K3182,$M:$M,"&gt;"&amp;$O3182),"")</f>
        <v/>
      </c>
      <c r="Q3182" s="396">
        <f>IF($P3182="","",$P3182-$O3182)</f>
        <v/>
      </c>
    </row>
    <row r="3183" ht="15" customHeight="1" s="231">
      <c r="A3183" s="397" t="n"/>
      <c r="B3183" s="397" t="n"/>
      <c r="C3183" s="397" t="n"/>
      <c r="D3183" s="397" t="n"/>
      <c r="E3183" s="397" t="n"/>
      <c r="F3183" s="397" t="n"/>
      <c r="G3183" s="397" t="n"/>
      <c r="I3183" s="397" t="n"/>
      <c r="J3183" s="397" t="n"/>
      <c r="K3183" s="395">
        <f>DATE(VALUE(LEFT(A3183,4)),VALUE(MID(A3183,5,2)),VALUE(RIGHT(A3183,2)))</f>
        <v/>
      </c>
      <c r="L3183" s="395">
        <f>DATEVALUE(LEFT(F3183,10))</f>
        <v/>
      </c>
      <c r="M3183" s="396">
        <f>TIMEVALUE(MID(F3183,12,8))</f>
        <v/>
      </c>
      <c r="N3183" s="395">
        <f>DATEVALUE(LEFT(G3183,10))</f>
        <v/>
      </c>
      <c r="O3183" s="396">
        <f>TIMEVALUE(MID(G3183,12,8))</f>
        <v/>
      </c>
      <c r="P3183" s="396">
        <f>IFERROR(_xlfn.MINIFS($M:$M,$E:$E,$E3183,$K:$K,$K3183,$M:$M,"&gt;"&amp;$O3183),"")</f>
        <v/>
      </c>
      <c r="Q3183" s="396">
        <f>IF($P3183="","",$P3183-$O3183)</f>
        <v/>
      </c>
    </row>
    <row r="3184" ht="15" customHeight="1" s="231">
      <c r="A3184" s="397" t="n"/>
      <c r="B3184" s="397" t="n"/>
      <c r="C3184" s="397" t="n"/>
      <c r="D3184" s="397" t="n"/>
      <c r="E3184" s="397" t="n"/>
      <c r="F3184" s="397" t="n"/>
      <c r="G3184" s="397" t="n"/>
      <c r="I3184" s="397" t="n"/>
      <c r="J3184" s="397" t="n"/>
      <c r="K3184" s="395">
        <f>DATE(VALUE(LEFT(A3184,4)),VALUE(MID(A3184,5,2)),VALUE(RIGHT(A3184,2)))</f>
        <v/>
      </c>
      <c r="L3184" s="395">
        <f>DATEVALUE(LEFT(F3184,10))</f>
        <v/>
      </c>
      <c r="M3184" s="396">
        <f>TIMEVALUE(MID(F3184,12,8))</f>
        <v/>
      </c>
      <c r="N3184" s="395">
        <f>DATEVALUE(LEFT(G3184,10))</f>
        <v/>
      </c>
      <c r="O3184" s="396">
        <f>TIMEVALUE(MID(G3184,12,8))</f>
        <v/>
      </c>
      <c r="P3184" s="396">
        <f>IFERROR(_xlfn.MINIFS($M:$M,$E:$E,$E3184,$K:$K,$K3184,$M:$M,"&gt;"&amp;$O3184),"")</f>
        <v/>
      </c>
      <c r="Q3184" s="396">
        <f>IF($P3184="","",$P3184-$O3184)</f>
        <v/>
      </c>
    </row>
    <row r="3185" ht="15" customHeight="1" s="231">
      <c r="A3185" s="397" t="n"/>
      <c r="B3185" s="397" t="n"/>
      <c r="C3185" s="397" t="n"/>
      <c r="D3185" s="397" t="n"/>
      <c r="E3185" s="397" t="n"/>
      <c r="F3185" s="397" t="n"/>
      <c r="G3185" s="397" t="n"/>
      <c r="I3185" s="397" t="n"/>
      <c r="J3185" s="397" t="n"/>
      <c r="K3185" s="395">
        <f>DATE(VALUE(LEFT(A3185,4)),VALUE(MID(A3185,5,2)),VALUE(RIGHT(A3185,2)))</f>
        <v/>
      </c>
      <c r="L3185" s="395">
        <f>DATEVALUE(LEFT(F3185,10))</f>
        <v/>
      </c>
      <c r="M3185" s="396">
        <f>TIMEVALUE(MID(F3185,12,8))</f>
        <v/>
      </c>
      <c r="N3185" s="395">
        <f>DATEVALUE(LEFT(G3185,10))</f>
        <v/>
      </c>
      <c r="O3185" s="396">
        <f>TIMEVALUE(MID(G3185,12,8))</f>
        <v/>
      </c>
      <c r="P3185" s="396">
        <f>IFERROR(_xlfn.MINIFS($M:$M,$E:$E,$E3185,$K:$K,$K3185,$M:$M,"&gt;"&amp;$O3185),"")</f>
        <v/>
      </c>
      <c r="Q3185" s="396">
        <f>IF($P3185="","",$P3185-$O3185)</f>
        <v/>
      </c>
    </row>
    <row r="3186" ht="15" customHeight="1" s="231">
      <c r="A3186" s="397" t="n"/>
      <c r="B3186" s="397" t="n"/>
      <c r="C3186" s="397" t="n"/>
      <c r="D3186" s="397" t="n"/>
      <c r="E3186" s="397" t="n"/>
      <c r="F3186" s="397" t="n"/>
      <c r="G3186" s="397" t="n"/>
      <c r="I3186" s="397" t="n"/>
      <c r="J3186" s="397" t="n"/>
      <c r="K3186" s="395">
        <f>DATE(VALUE(LEFT(A3186,4)),VALUE(MID(A3186,5,2)),VALUE(RIGHT(A3186,2)))</f>
        <v/>
      </c>
      <c r="L3186" s="395">
        <f>DATEVALUE(LEFT(F3186,10))</f>
        <v/>
      </c>
      <c r="M3186" s="396">
        <f>TIMEVALUE(MID(F3186,12,8))</f>
        <v/>
      </c>
      <c r="N3186" s="395">
        <f>DATEVALUE(LEFT(G3186,10))</f>
        <v/>
      </c>
      <c r="O3186" s="396">
        <f>TIMEVALUE(MID(G3186,12,8))</f>
        <v/>
      </c>
      <c r="P3186" s="396">
        <f>IFERROR(_xlfn.MINIFS($M:$M,$E:$E,$E3186,$K:$K,$K3186,$M:$M,"&gt;"&amp;$O3186),"")</f>
        <v/>
      </c>
      <c r="Q3186" s="396">
        <f>IF($P3186="","",$P3186-$O3186)</f>
        <v/>
      </c>
    </row>
    <row r="3187" ht="15" customHeight="1" s="231">
      <c r="A3187" s="397" t="n"/>
      <c r="B3187" s="397" t="n"/>
      <c r="C3187" s="397" t="n"/>
      <c r="D3187" s="397" t="n"/>
      <c r="E3187" s="397" t="n"/>
      <c r="F3187" s="397" t="n"/>
      <c r="G3187" s="397" t="n"/>
      <c r="I3187" s="397" t="n"/>
      <c r="J3187" s="397" t="n"/>
      <c r="K3187" s="395">
        <f>DATE(VALUE(LEFT(A3187,4)),VALUE(MID(A3187,5,2)),VALUE(RIGHT(A3187,2)))</f>
        <v/>
      </c>
      <c r="L3187" s="395">
        <f>DATEVALUE(LEFT(F3187,10))</f>
        <v/>
      </c>
      <c r="M3187" s="396">
        <f>TIMEVALUE(MID(F3187,12,8))</f>
        <v/>
      </c>
      <c r="N3187" s="395">
        <f>DATEVALUE(LEFT(G3187,10))</f>
        <v/>
      </c>
      <c r="O3187" s="396">
        <f>TIMEVALUE(MID(G3187,12,8))</f>
        <v/>
      </c>
      <c r="P3187" s="396">
        <f>IFERROR(_xlfn.MINIFS($M:$M,$E:$E,$E3187,$K:$K,$K3187,$M:$M,"&gt;"&amp;$O3187),"")</f>
        <v/>
      </c>
      <c r="Q3187" s="396">
        <f>IF($P3187="","",$P3187-$O3187)</f>
        <v/>
      </c>
    </row>
    <row r="3188" ht="15" customHeight="1" s="231">
      <c r="A3188" s="397" t="n"/>
      <c r="B3188" s="397" t="n"/>
      <c r="C3188" s="397" t="n"/>
      <c r="D3188" s="397" t="n"/>
      <c r="E3188" s="397" t="n"/>
      <c r="F3188" s="397" t="n"/>
      <c r="G3188" s="397" t="n"/>
      <c r="I3188" s="397" t="n"/>
      <c r="J3188" s="397" t="n"/>
      <c r="K3188" s="395">
        <f>DATE(VALUE(LEFT(A3188,4)),VALUE(MID(A3188,5,2)),VALUE(RIGHT(A3188,2)))</f>
        <v/>
      </c>
      <c r="L3188" s="395">
        <f>DATEVALUE(LEFT(F3188,10))</f>
        <v/>
      </c>
      <c r="M3188" s="396">
        <f>TIMEVALUE(MID(F3188,12,8))</f>
        <v/>
      </c>
      <c r="N3188" s="395">
        <f>DATEVALUE(LEFT(G3188,10))</f>
        <v/>
      </c>
      <c r="O3188" s="396">
        <f>TIMEVALUE(MID(G3188,12,8))</f>
        <v/>
      </c>
      <c r="P3188" s="396">
        <f>IFERROR(_xlfn.MINIFS($M:$M,$E:$E,$E3188,$K:$K,$K3188,$M:$M,"&gt;"&amp;$O3188),"")</f>
        <v/>
      </c>
      <c r="Q3188" s="396">
        <f>IF($P3188="","",$P3188-$O3188)</f>
        <v/>
      </c>
    </row>
    <row r="3189" ht="15" customHeight="1" s="231">
      <c r="A3189" s="397" t="n"/>
      <c r="B3189" s="397" t="n"/>
      <c r="C3189" s="397" t="n"/>
      <c r="D3189" s="397" t="n"/>
      <c r="E3189" s="397" t="n"/>
      <c r="F3189" s="397" t="n"/>
      <c r="G3189" s="397" t="n"/>
      <c r="I3189" s="397" t="n"/>
      <c r="J3189" s="397" t="n"/>
      <c r="K3189" s="395">
        <f>DATE(VALUE(LEFT(A3189,4)),VALUE(MID(A3189,5,2)),VALUE(RIGHT(A3189,2)))</f>
        <v/>
      </c>
      <c r="L3189" s="395">
        <f>DATEVALUE(LEFT(F3189,10))</f>
        <v/>
      </c>
      <c r="M3189" s="396">
        <f>TIMEVALUE(MID(F3189,12,8))</f>
        <v/>
      </c>
      <c r="N3189" s="395">
        <f>DATEVALUE(LEFT(G3189,10))</f>
        <v/>
      </c>
      <c r="O3189" s="396">
        <f>TIMEVALUE(MID(G3189,12,8))</f>
        <v/>
      </c>
      <c r="P3189" s="396">
        <f>IFERROR(_xlfn.MINIFS($M:$M,$E:$E,$E3189,$K:$K,$K3189,$M:$M,"&gt;"&amp;$O3189),"")</f>
        <v/>
      </c>
      <c r="Q3189" s="396">
        <f>IF($P3189="","",$P3189-$O3189)</f>
        <v/>
      </c>
    </row>
    <row r="3190" ht="15" customHeight="1" s="231">
      <c r="A3190" s="397" t="n"/>
      <c r="B3190" s="397" t="n"/>
      <c r="C3190" s="397" t="n"/>
      <c r="D3190" s="397" t="n"/>
      <c r="E3190" s="397" t="n"/>
      <c r="F3190" s="397" t="n"/>
      <c r="G3190" s="397" t="n"/>
      <c r="I3190" s="397" t="n"/>
      <c r="J3190" s="397" t="n"/>
      <c r="K3190" s="395">
        <f>DATE(VALUE(LEFT(A3190,4)),VALUE(MID(A3190,5,2)),VALUE(RIGHT(A3190,2)))</f>
        <v/>
      </c>
      <c r="L3190" s="395">
        <f>DATEVALUE(LEFT(F3190,10))</f>
        <v/>
      </c>
      <c r="M3190" s="396">
        <f>TIMEVALUE(MID(F3190,12,8))</f>
        <v/>
      </c>
      <c r="N3190" s="395">
        <f>DATEVALUE(LEFT(G3190,10))</f>
        <v/>
      </c>
      <c r="O3190" s="396">
        <f>TIMEVALUE(MID(G3190,12,8))</f>
        <v/>
      </c>
      <c r="P3190" s="396">
        <f>IFERROR(_xlfn.MINIFS($M:$M,$E:$E,$E3190,$K:$K,$K3190,$M:$M,"&gt;"&amp;$O3190),"")</f>
        <v/>
      </c>
      <c r="Q3190" s="396">
        <f>IF($P3190="","",$P3190-$O3190)</f>
        <v/>
      </c>
    </row>
    <row r="3191" ht="15" customHeight="1" s="231">
      <c r="A3191" s="397" t="n"/>
      <c r="B3191" s="397" t="n"/>
      <c r="C3191" s="397" t="n"/>
      <c r="D3191" s="397" t="n"/>
      <c r="E3191" s="397" t="n"/>
      <c r="F3191" s="397" t="n"/>
      <c r="G3191" s="397" t="n"/>
      <c r="I3191" s="397" t="n"/>
      <c r="J3191" s="397" t="n"/>
      <c r="K3191" s="395">
        <f>DATE(VALUE(LEFT(A3191,4)),VALUE(MID(A3191,5,2)),VALUE(RIGHT(A3191,2)))</f>
        <v/>
      </c>
      <c r="L3191" s="395">
        <f>DATEVALUE(LEFT(F3191,10))</f>
        <v/>
      </c>
      <c r="M3191" s="396">
        <f>TIMEVALUE(MID(F3191,12,8))</f>
        <v/>
      </c>
      <c r="N3191" s="395">
        <f>DATEVALUE(LEFT(G3191,10))</f>
        <v/>
      </c>
      <c r="O3191" s="396">
        <f>TIMEVALUE(MID(G3191,12,8))</f>
        <v/>
      </c>
      <c r="P3191" s="396">
        <f>IFERROR(_xlfn.MINIFS($M:$M,$E:$E,$E3191,$K:$K,$K3191,$M:$M,"&gt;"&amp;$O3191),"")</f>
        <v/>
      </c>
      <c r="Q3191" s="396">
        <f>IF($P3191="","",$P3191-$O3191)</f>
        <v/>
      </c>
    </row>
    <row r="3192" ht="15" customHeight="1" s="231">
      <c r="A3192" s="397" t="n"/>
      <c r="B3192" s="397" t="n"/>
      <c r="C3192" s="397" t="n"/>
      <c r="D3192" s="397" t="n"/>
      <c r="E3192" s="397" t="n"/>
      <c r="F3192" s="397" t="n"/>
      <c r="G3192" s="397" t="n"/>
      <c r="I3192" s="397" t="n"/>
      <c r="J3192" s="397" t="n"/>
      <c r="K3192" s="395">
        <f>DATE(VALUE(LEFT(A3192,4)),VALUE(MID(A3192,5,2)),VALUE(RIGHT(A3192,2)))</f>
        <v/>
      </c>
      <c r="L3192" s="395">
        <f>DATEVALUE(LEFT(F3192,10))</f>
        <v/>
      </c>
      <c r="M3192" s="396">
        <f>TIMEVALUE(MID(F3192,12,8))</f>
        <v/>
      </c>
      <c r="N3192" s="395">
        <f>DATEVALUE(LEFT(G3192,10))</f>
        <v/>
      </c>
      <c r="O3192" s="396">
        <f>TIMEVALUE(MID(G3192,12,8))</f>
        <v/>
      </c>
      <c r="P3192" s="396">
        <f>IFERROR(_xlfn.MINIFS($M:$M,$E:$E,$E3192,$K:$K,$K3192,$M:$M,"&gt;"&amp;$O3192),"")</f>
        <v/>
      </c>
      <c r="Q3192" s="396">
        <f>IF($P3192="","",$P3192-$O3192)</f>
        <v/>
      </c>
    </row>
    <row r="3193" ht="15" customHeight="1" s="231">
      <c r="A3193" s="397" t="n"/>
      <c r="B3193" s="397" t="n"/>
      <c r="C3193" s="397" t="n"/>
      <c r="D3193" s="397" t="n"/>
      <c r="E3193" s="397" t="n"/>
      <c r="F3193" s="397" t="n"/>
      <c r="G3193" s="397" t="n"/>
      <c r="I3193" s="397" t="n"/>
      <c r="J3193" s="397" t="n"/>
      <c r="K3193" s="395">
        <f>DATE(VALUE(LEFT(A3193,4)),VALUE(MID(A3193,5,2)),VALUE(RIGHT(A3193,2)))</f>
        <v/>
      </c>
      <c r="L3193" s="395">
        <f>DATEVALUE(LEFT(F3193,10))</f>
        <v/>
      </c>
      <c r="M3193" s="396">
        <f>TIMEVALUE(MID(F3193,12,8))</f>
        <v/>
      </c>
      <c r="N3193" s="395">
        <f>DATEVALUE(LEFT(G3193,10))</f>
        <v/>
      </c>
      <c r="O3193" s="396">
        <f>TIMEVALUE(MID(G3193,12,8))</f>
        <v/>
      </c>
      <c r="P3193" s="396">
        <f>IFERROR(_xlfn.MINIFS($M:$M,$E:$E,$E3193,$K:$K,$K3193,$M:$M,"&gt;"&amp;$O3193),"")</f>
        <v/>
      </c>
      <c r="Q3193" s="396">
        <f>IF($P3193="","",$P3193-$O3193)</f>
        <v/>
      </c>
    </row>
    <row r="3194" ht="15" customHeight="1" s="231">
      <c r="A3194" s="397" t="n"/>
      <c r="B3194" s="397" t="n"/>
      <c r="C3194" s="397" t="n"/>
      <c r="D3194" s="397" t="n"/>
      <c r="E3194" s="397" t="n"/>
      <c r="F3194" s="397" t="n"/>
      <c r="G3194" s="397" t="n"/>
      <c r="I3194" s="397" t="n"/>
      <c r="J3194" s="397" t="n"/>
      <c r="K3194" s="395">
        <f>DATE(VALUE(LEFT(A3194,4)),VALUE(MID(A3194,5,2)),VALUE(RIGHT(A3194,2)))</f>
        <v/>
      </c>
      <c r="L3194" s="395">
        <f>DATEVALUE(LEFT(F3194,10))</f>
        <v/>
      </c>
      <c r="M3194" s="396">
        <f>TIMEVALUE(MID(F3194,12,8))</f>
        <v/>
      </c>
      <c r="N3194" s="395">
        <f>DATEVALUE(LEFT(G3194,10))</f>
        <v/>
      </c>
      <c r="O3194" s="396">
        <f>TIMEVALUE(MID(G3194,12,8))</f>
        <v/>
      </c>
      <c r="P3194" s="396">
        <f>IFERROR(_xlfn.MINIFS($M:$M,$E:$E,$E3194,$K:$K,$K3194,$M:$M,"&gt;"&amp;$O3194),"")</f>
        <v/>
      </c>
      <c r="Q3194" s="396">
        <f>IF($P3194="","",$P3194-$O3194)</f>
        <v/>
      </c>
    </row>
    <row r="3195" ht="15" customHeight="1" s="231">
      <c r="A3195" s="397" t="n"/>
      <c r="B3195" s="397" t="n"/>
      <c r="C3195" s="397" t="n"/>
      <c r="D3195" s="397" t="n"/>
      <c r="E3195" s="397" t="n"/>
      <c r="F3195" s="397" t="n"/>
      <c r="G3195" s="397" t="n"/>
      <c r="I3195" s="397" t="n"/>
      <c r="J3195" s="397" t="n"/>
      <c r="K3195" s="395">
        <f>DATE(VALUE(LEFT(A3195,4)),VALUE(MID(A3195,5,2)),VALUE(RIGHT(A3195,2)))</f>
        <v/>
      </c>
      <c r="L3195" s="395">
        <f>DATEVALUE(LEFT(F3195,10))</f>
        <v/>
      </c>
      <c r="M3195" s="396">
        <f>TIMEVALUE(MID(F3195,12,8))</f>
        <v/>
      </c>
      <c r="N3195" s="395">
        <f>DATEVALUE(LEFT(G3195,10))</f>
        <v/>
      </c>
      <c r="O3195" s="396">
        <f>TIMEVALUE(MID(G3195,12,8))</f>
        <v/>
      </c>
      <c r="P3195" s="396">
        <f>IFERROR(_xlfn.MINIFS($M:$M,$E:$E,$E3195,$K:$K,$K3195,$M:$M,"&gt;"&amp;$O3195),"")</f>
        <v/>
      </c>
      <c r="Q3195" s="396">
        <f>IF($P3195="","",$P3195-$O3195)</f>
        <v/>
      </c>
    </row>
    <row r="3196" ht="15" customHeight="1" s="231">
      <c r="A3196" s="397" t="n"/>
      <c r="B3196" s="397" t="n"/>
      <c r="C3196" s="397" t="n"/>
      <c r="D3196" s="397" t="n"/>
      <c r="E3196" s="397" t="n"/>
      <c r="F3196" s="397" t="n"/>
      <c r="G3196" s="397" t="n"/>
      <c r="I3196" s="397" t="n"/>
      <c r="J3196" s="397" t="n"/>
      <c r="K3196" s="395">
        <f>DATE(VALUE(LEFT(A3196,4)),VALUE(MID(A3196,5,2)),VALUE(RIGHT(A3196,2)))</f>
        <v/>
      </c>
      <c r="L3196" s="395">
        <f>DATEVALUE(LEFT(F3196,10))</f>
        <v/>
      </c>
      <c r="M3196" s="396">
        <f>TIMEVALUE(MID(F3196,12,8))</f>
        <v/>
      </c>
      <c r="N3196" s="395">
        <f>DATEVALUE(LEFT(G3196,10))</f>
        <v/>
      </c>
      <c r="O3196" s="396">
        <f>TIMEVALUE(MID(G3196,12,8))</f>
        <v/>
      </c>
      <c r="P3196" s="396">
        <f>IFERROR(_xlfn.MINIFS($M:$M,$E:$E,$E3196,$K:$K,$K3196,$M:$M,"&gt;"&amp;$O3196),"")</f>
        <v/>
      </c>
      <c r="Q3196" s="396">
        <f>IF($P3196="","",$P3196-$O3196)</f>
        <v/>
      </c>
    </row>
    <row r="3197" ht="15" customHeight="1" s="231">
      <c r="A3197" s="397" t="n"/>
      <c r="B3197" s="397" t="n"/>
      <c r="C3197" s="397" t="n"/>
      <c r="D3197" s="397" t="n"/>
      <c r="E3197" s="397" t="n"/>
      <c r="F3197" s="397" t="n"/>
      <c r="G3197" s="397" t="n"/>
      <c r="I3197" s="397" t="n"/>
      <c r="J3197" s="397" t="n"/>
      <c r="K3197" s="395">
        <f>DATE(VALUE(LEFT(A3197,4)),VALUE(MID(A3197,5,2)),VALUE(RIGHT(A3197,2)))</f>
        <v/>
      </c>
      <c r="L3197" s="395">
        <f>DATEVALUE(LEFT(F3197,10))</f>
        <v/>
      </c>
      <c r="M3197" s="396">
        <f>TIMEVALUE(MID(F3197,12,8))</f>
        <v/>
      </c>
      <c r="N3197" s="395">
        <f>DATEVALUE(LEFT(G3197,10))</f>
        <v/>
      </c>
      <c r="O3197" s="396">
        <f>TIMEVALUE(MID(G3197,12,8))</f>
        <v/>
      </c>
      <c r="P3197" s="396">
        <f>IFERROR(_xlfn.MINIFS($M:$M,$E:$E,$E3197,$K:$K,$K3197,$M:$M,"&gt;"&amp;$O3197),"")</f>
        <v/>
      </c>
      <c r="Q3197" s="396">
        <f>IF($P3197="","",$P3197-$O3197)</f>
        <v/>
      </c>
    </row>
    <row r="3198" ht="15" customHeight="1" s="231">
      <c r="A3198" s="397" t="n"/>
      <c r="B3198" s="397" t="n"/>
      <c r="C3198" s="397" t="n"/>
      <c r="D3198" s="397" t="n"/>
      <c r="E3198" s="397" t="n"/>
      <c r="F3198" s="397" t="n"/>
      <c r="G3198" s="397" t="n"/>
      <c r="I3198" s="397" t="n"/>
      <c r="J3198" s="397" t="n"/>
      <c r="K3198" s="395">
        <f>DATE(VALUE(LEFT(A3198,4)),VALUE(MID(A3198,5,2)),VALUE(RIGHT(A3198,2)))</f>
        <v/>
      </c>
      <c r="L3198" s="395">
        <f>DATEVALUE(LEFT(F3198,10))</f>
        <v/>
      </c>
      <c r="M3198" s="396">
        <f>TIMEVALUE(MID(F3198,12,8))</f>
        <v/>
      </c>
      <c r="N3198" s="395">
        <f>DATEVALUE(LEFT(G3198,10))</f>
        <v/>
      </c>
      <c r="O3198" s="396">
        <f>TIMEVALUE(MID(G3198,12,8))</f>
        <v/>
      </c>
      <c r="P3198" s="396">
        <f>IFERROR(_xlfn.MINIFS($M:$M,$E:$E,$E3198,$K:$K,$K3198,$M:$M,"&gt;"&amp;$O3198),"")</f>
        <v/>
      </c>
      <c r="Q3198" s="396">
        <f>IF($P3198="","",$P3198-$O3198)</f>
        <v/>
      </c>
    </row>
    <row r="3199" ht="15" customHeight="1" s="231">
      <c r="A3199" s="397" t="n"/>
      <c r="B3199" s="397" t="n"/>
      <c r="C3199" s="397" t="n"/>
      <c r="D3199" s="397" t="n"/>
      <c r="E3199" s="397" t="n"/>
      <c r="F3199" s="397" t="n"/>
      <c r="G3199" s="397" t="n"/>
      <c r="I3199" s="397" t="n"/>
      <c r="J3199" s="397" t="n"/>
      <c r="K3199" s="395">
        <f>DATE(VALUE(LEFT(A3199,4)),VALUE(MID(A3199,5,2)),VALUE(RIGHT(A3199,2)))</f>
        <v/>
      </c>
      <c r="L3199" s="395">
        <f>DATEVALUE(LEFT(F3199,10))</f>
        <v/>
      </c>
      <c r="M3199" s="396">
        <f>TIMEVALUE(MID(F3199,12,8))</f>
        <v/>
      </c>
      <c r="N3199" s="395">
        <f>DATEVALUE(LEFT(G3199,10))</f>
        <v/>
      </c>
      <c r="O3199" s="396">
        <f>TIMEVALUE(MID(G3199,12,8))</f>
        <v/>
      </c>
      <c r="P3199" s="396">
        <f>IFERROR(_xlfn.MINIFS($M:$M,$E:$E,$E3199,$K:$K,$K3199,$M:$M,"&gt;"&amp;$O3199),"")</f>
        <v/>
      </c>
      <c r="Q3199" s="396">
        <f>IF($P3199="","",$P3199-$O3199)</f>
        <v/>
      </c>
    </row>
    <row r="3200" ht="15" customHeight="1" s="231">
      <c r="A3200" s="397" t="n"/>
      <c r="B3200" s="397" t="n"/>
      <c r="C3200" s="397" t="n"/>
      <c r="D3200" s="397" t="n"/>
      <c r="E3200" s="397" t="n"/>
      <c r="F3200" s="397" t="n"/>
      <c r="G3200" s="397" t="n"/>
      <c r="I3200" s="397" t="n"/>
      <c r="J3200" s="397" t="n"/>
      <c r="K3200" s="395">
        <f>DATE(VALUE(LEFT(A3200,4)),VALUE(MID(A3200,5,2)),VALUE(RIGHT(A3200,2)))</f>
        <v/>
      </c>
      <c r="L3200" s="395">
        <f>DATEVALUE(LEFT(F3200,10))</f>
        <v/>
      </c>
      <c r="M3200" s="396">
        <f>TIMEVALUE(MID(F3200,12,8))</f>
        <v/>
      </c>
      <c r="N3200" s="395">
        <f>DATEVALUE(LEFT(G3200,10))</f>
        <v/>
      </c>
      <c r="O3200" s="396">
        <f>TIMEVALUE(MID(G3200,12,8))</f>
        <v/>
      </c>
      <c r="P3200" s="396">
        <f>IFERROR(_xlfn.MINIFS($M:$M,$E:$E,$E3200,$K:$K,$K3200,$M:$M,"&gt;"&amp;$O3200),"")</f>
        <v/>
      </c>
      <c r="Q3200" s="396">
        <f>IF($P3200="","",$P3200-$O3200)</f>
        <v/>
      </c>
    </row>
    <row r="3201" ht="15" customHeight="1" s="231">
      <c r="A3201" s="397" t="n"/>
      <c r="B3201" s="397" t="n"/>
      <c r="C3201" s="397" t="n"/>
      <c r="D3201" s="397" t="n"/>
      <c r="E3201" s="397" t="n"/>
      <c r="F3201" s="397" t="n"/>
      <c r="G3201" s="397" t="n"/>
      <c r="I3201" s="397" t="n"/>
      <c r="J3201" s="397" t="n"/>
      <c r="K3201" s="395">
        <f>DATE(VALUE(LEFT(A3201,4)),VALUE(MID(A3201,5,2)),VALUE(RIGHT(A3201,2)))</f>
        <v/>
      </c>
      <c r="L3201" s="395">
        <f>DATEVALUE(LEFT(F3201,10))</f>
        <v/>
      </c>
      <c r="M3201" s="396">
        <f>TIMEVALUE(MID(F3201,12,8))</f>
        <v/>
      </c>
      <c r="N3201" s="395">
        <f>DATEVALUE(LEFT(G3201,10))</f>
        <v/>
      </c>
      <c r="O3201" s="396">
        <f>TIMEVALUE(MID(G3201,12,8))</f>
        <v/>
      </c>
      <c r="P3201" s="396">
        <f>IFERROR(_xlfn.MINIFS($M:$M,$E:$E,$E3201,$K:$K,$K3201,$M:$M,"&gt;"&amp;$O3201),"")</f>
        <v/>
      </c>
      <c r="Q3201" s="396">
        <f>IF($P3201="","",$P3201-$O3201)</f>
        <v/>
      </c>
    </row>
    <row r="3202" ht="15" customHeight="1" s="231">
      <c r="A3202" s="397" t="n"/>
      <c r="B3202" s="397" t="n"/>
      <c r="C3202" s="397" t="n"/>
      <c r="D3202" s="397" t="n"/>
      <c r="E3202" s="397" t="n"/>
      <c r="F3202" s="397" t="n"/>
      <c r="G3202" s="397" t="n"/>
      <c r="I3202" s="397" t="n"/>
      <c r="J3202" s="397" t="n"/>
      <c r="K3202" s="395">
        <f>DATE(VALUE(LEFT(A3202,4)),VALUE(MID(A3202,5,2)),VALUE(RIGHT(A3202,2)))</f>
        <v/>
      </c>
      <c r="L3202" s="395">
        <f>DATEVALUE(LEFT(F3202,10))</f>
        <v/>
      </c>
      <c r="M3202" s="396">
        <f>TIMEVALUE(MID(F3202,12,8))</f>
        <v/>
      </c>
      <c r="N3202" s="395">
        <f>DATEVALUE(LEFT(G3202,10))</f>
        <v/>
      </c>
      <c r="O3202" s="396">
        <f>TIMEVALUE(MID(G3202,12,8))</f>
        <v/>
      </c>
      <c r="P3202" s="396">
        <f>IFERROR(_xlfn.MINIFS($M:$M,$E:$E,$E3202,$K:$K,$K3202,$M:$M,"&gt;"&amp;$O3202),"")</f>
        <v/>
      </c>
      <c r="Q3202" s="396">
        <f>IF($P3202="","",$P3202-$O3202)</f>
        <v/>
      </c>
    </row>
    <row r="3203" ht="15" customHeight="1" s="231">
      <c r="A3203" s="397" t="n"/>
      <c r="B3203" s="397" t="n"/>
      <c r="C3203" s="397" t="n"/>
      <c r="D3203" s="397" t="n"/>
      <c r="E3203" s="397" t="n"/>
      <c r="F3203" s="397" t="n"/>
      <c r="G3203" s="397" t="n"/>
      <c r="I3203" s="397" t="n"/>
      <c r="J3203" s="397" t="n"/>
      <c r="K3203" s="395">
        <f>DATE(VALUE(LEFT(A3203,4)),VALUE(MID(A3203,5,2)),VALUE(RIGHT(A3203,2)))</f>
        <v/>
      </c>
      <c r="L3203" s="395">
        <f>DATEVALUE(LEFT(F3203,10))</f>
        <v/>
      </c>
      <c r="M3203" s="396">
        <f>TIMEVALUE(MID(F3203,12,8))</f>
        <v/>
      </c>
      <c r="N3203" s="395">
        <f>DATEVALUE(LEFT(G3203,10))</f>
        <v/>
      </c>
      <c r="O3203" s="396">
        <f>TIMEVALUE(MID(G3203,12,8))</f>
        <v/>
      </c>
      <c r="P3203" s="396">
        <f>IFERROR(_xlfn.MINIFS($M:$M,$E:$E,$E3203,$K:$K,$K3203,$M:$M,"&gt;"&amp;$O3203),"")</f>
        <v/>
      </c>
      <c r="Q3203" s="396">
        <f>IF($P3203="","",$P3203-$O3203)</f>
        <v/>
      </c>
    </row>
    <row r="3204" ht="15" customHeight="1" s="231">
      <c r="A3204" s="397" t="n"/>
      <c r="B3204" s="397" t="n"/>
      <c r="C3204" s="397" t="n"/>
      <c r="D3204" s="397" t="n"/>
      <c r="E3204" s="397" t="n"/>
      <c r="F3204" s="397" t="n"/>
      <c r="G3204" s="397" t="n"/>
      <c r="I3204" s="397" t="n"/>
      <c r="J3204" s="397" t="n"/>
      <c r="K3204" s="395">
        <f>DATE(VALUE(LEFT(A3204,4)),VALUE(MID(A3204,5,2)),VALUE(RIGHT(A3204,2)))</f>
        <v/>
      </c>
      <c r="L3204" s="395">
        <f>DATEVALUE(LEFT(F3204,10))</f>
        <v/>
      </c>
      <c r="M3204" s="396">
        <f>TIMEVALUE(MID(F3204,12,8))</f>
        <v/>
      </c>
      <c r="N3204" s="395">
        <f>DATEVALUE(LEFT(G3204,10))</f>
        <v/>
      </c>
      <c r="O3204" s="396">
        <f>TIMEVALUE(MID(G3204,12,8))</f>
        <v/>
      </c>
      <c r="P3204" s="396">
        <f>IFERROR(_xlfn.MINIFS($M:$M,$E:$E,$E3204,$K:$K,$K3204,$M:$M,"&gt;"&amp;$O3204),"")</f>
        <v/>
      </c>
      <c r="Q3204" s="396">
        <f>IF($P3204="","",$P3204-$O3204)</f>
        <v/>
      </c>
    </row>
    <row r="3205" ht="15" customHeight="1" s="231">
      <c r="A3205" s="397" t="n"/>
      <c r="B3205" s="397" t="n"/>
      <c r="C3205" s="397" t="n"/>
      <c r="D3205" s="397" t="n"/>
      <c r="E3205" s="397" t="n"/>
      <c r="F3205" s="397" t="n"/>
      <c r="G3205" s="397" t="n"/>
      <c r="I3205" s="397" t="n"/>
      <c r="J3205" s="397" t="n"/>
      <c r="K3205" s="395">
        <f>DATE(VALUE(LEFT(A3205,4)),VALUE(MID(A3205,5,2)),VALUE(RIGHT(A3205,2)))</f>
        <v/>
      </c>
      <c r="L3205" s="395">
        <f>DATEVALUE(LEFT(F3205,10))</f>
        <v/>
      </c>
      <c r="M3205" s="396">
        <f>TIMEVALUE(MID(F3205,12,8))</f>
        <v/>
      </c>
      <c r="N3205" s="395">
        <f>DATEVALUE(LEFT(G3205,10))</f>
        <v/>
      </c>
      <c r="O3205" s="396">
        <f>TIMEVALUE(MID(G3205,12,8))</f>
        <v/>
      </c>
      <c r="P3205" s="396">
        <f>IFERROR(_xlfn.MINIFS($M:$M,$E:$E,$E3205,$K:$K,$K3205,$M:$M,"&gt;"&amp;$O3205),"")</f>
        <v/>
      </c>
      <c r="Q3205" s="396">
        <f>IF($P3205="","",$P3205-$O3205)</f>
        <v/>
      </c>
    </row>
    <row r="3206" ht="15" customHeight="1" s="231">
      <c r="A3206" s="397" t="n"/>
      <c r="B3206" s="397" t="n"/>
      <c r="C3206" s="397" t="n"/>
      <c r="D3206" s="397" t="n"/>
      <c r="E3206" s="397" t="n"/>
      <c r="F3206" s="397" t="n"/>
      <c r="G3206" s="397" t="n"/>
      <c r="I3206" s="397" t="n"/>
      <c r="J3206" s="397" t="n"/>
      <c r="K3206" s="395">
        <f>DATE(VALUE(LEFT(A3206,4)),VALUE(MID(A3206,5,2)),VALUE(RIGHT(A3206,2)))</f>
        <v/>
      </c>
      <c r="L3206" s="395">
        <f>DATEVALUE(LEFT(F3206,10))</f>
        <v/>
      </c>
      <c r="M3206" s="396">
        <f>TIMEVALUE(MID(F3206,12,8))</f>
        <v/>
      </c>
      <c r="N3206" s="395">
        <f>DATEVALUE(LEFT(G3206,10))</f>
        <v/>
      </c>
      <c r="O3206" s="396">
        <f>TIMEVALUE(MID(G3206,12,8))</f>
        <v/>
      </c>
      <c r="P3206" s="396">
        <f>IFERROR(_xlfn.MINIFS($M:$M,$E:$E,$E3206,$K:$K,$K3206,$M:$M,"&gt;"&amp;$O3206),"")</f>
        <v/>
      </c>
      <c r="Q3206" s="396">
        <f>IF($P3206="","",$P3206-$O3206)</f>
        <v/>
      </c>
    </row>
    <row r="3207" ht="15" customHeight="1" s="231">
      <c r="A3207" s="397" t="n"/>
      <c r="B3207" s="397" t="n"/>
      <c r="C3207" s="397" t="n"/>
      <c r="D3207" s="397" t="n"/>
      <c r="E3207" s="397" t="n"/>
      <c r="F3207" s="397" t="n"/>
      <c r="G3207" s="397" t="n"/>
      <c r="I3207" s="397" t="n"/>
      <c r="J3207" s="397" t="n"/>
      <c r="K3207" s="395">
        <f>DATE(VALUE(LEFT(A3207,4)),VALUE(MID(A3207,5,2)),VALUE(RIGHT(A3207,2)))</f>
        <v/>
      </c>
      <c r="L3207" s="395">
        <f>DATEVALUE(LEFT(F3207,10))</f>
        <v/>
      </c>
      <c r="M3207" s="396">
        <f>TIMEVALUE(MID(F3207,12,8))</f>
        <v/>
      </c>
      <c r="N3207" s="395">
        <f>DATEVALUE(LEFT(G3207,10))</f>
        <v/>
      </c>
      <c r="O3207" s="396">
        <f>TIMEVALUE(MID(G3207,12,8))</f>
        <v/>
      </c>
      <c r="P3207" s="396">
        <f>IFERROR(_xlfn.MINIFS($M:$M,$E:$E,$E3207,$K:$K,$K3207,$M:$M,"&gt;"&amp;$O3207),"")</f>
        <v/>
      </c>
      <c r="Q3207" s="396">
        <f>IF($P3207="","",$P3207-$O3207)</f>
        <v/>
      </c>
    </row>
    <row r="3208" ht="15" customHeight="1" s="231">
      <c r="A3208" s="397" t="n"/>
      <c r="B3208" s="397" t="n"/>
      <c r="C3208" s="397" t="n"/>
      <c r="D3208" s="397" t="n"/>
      <c r="E3208" s="397" t="n"/>
      <c r="F3208" s="397" t="n"/>
      <c r="G3208" s="397" t="n"/>
      <c r="I3208" s="397" t="n"/>
      <c r="J3208" s="397" t="n"/>
      <c r="K3208" s="395">
        <f>DATE(VALUE(LEFT(A3208,4)),VALUE(MID(A3208,5,2)),VALUE(RIGHT(A3208,2)))</f>
        <v/>
      </c>
      <c r="L3208" s="395">
        <f>DATEVALUE(LEFT(F3208,10))</f>
        <v/>
      </c>
      <c r="M3208" s="396">
        <f>TIMEVALUE(MID(F3208,12,8))</f>
        <v/>
      </c>
      <c r="N3208" s="395">
        <f>DATEVALUE(LEFT(G3208,10))</f>
        <v/>
      </c>
      <c r="O3208" s="396">
        <f>TIMEVALUE(MID(G3208,12,8))</f>
        <v/>
      </c>
      <c r="P3208" s="396">
        <f>IFERROR(_xlfn.MINIFS($M:$M,$E:$E,$E3208,$K:$K,$K3208,$M:$M,"&gt;"&amp;$O3208),"")</f>
        <v/>
      </c>
      <c r="Q3208" s="396">
        <f>IF($P3208="","",$P3208-$O3208)</f>
        <v/>
      </c>
    </row>
    <row r="3209" ht="15" customHeight="1" s="231">
      <c r="A3209" s="397" t="n"/>
      <c r="B3209" s="397" t="n"/>
      <c r="C3209" s="397" t="n"/>
      <c r="D3209" s="397" t="n"/>
      <c r="E3209" s="397" t="n"/>
      <c r="F3209" s="397" t="n"/>
      <c r="G3209" s="397" t="n"/>
      <c r="I3209" s="397" t="n"/>
      <c r="J3209" s="397" t="n"/>
      <c r="K3209" s="395">
        <f>DATE(VALUE(LEFT(A3209,4)),VALUE(MID(A3209,5,2)),VALUE(RIGHT(A3209,2)))</f>
        <v/>
      </c>
      <c r="L3209" s="395">
        <f>DATEVALUE(LEFT(F3209,10))</f>
        <v/>
      </c>
      <c r="M3209" s="396">
        <f>TIMEVALUE(MID(F3209,12,8))</f>
        <v/>
      </c>
      <c r="N3209" s="395">
        <f>DATEVALUE(LEFT(G3209,10))</f>
        <v/>
      </c>
      <c r="O3209" s="396">
        <f>TIMEVALUE(MID(G3209,12,8))</f>
        <v/>
      </c>
      <c r="P3209" s="396">
        <f>IFERROR(_xlfn.MINIFS($M:$M,$E:$E,$E3209,$K:$K,$K3209,$M:$M,"&gt;"&amp;$O3209),"")</f>
        <v/>
      </c>
      <c r="Q3209" s="396">
        <f>IF($P3209="","",$P3209-$O3209)</f>
        <v/>
      </c>
    </row>
    <row r="3210" ht="15" customHeight="1" s="231">
      <c r="A3210" s="397" t="n"/>
      <c r="B3210" s="397" t="n"/>
      <c r="C3210" s="397" t="n"/>
      <c r="D3210" s="397" t="n"/>
      <c r="E3210" s="397" t="n"/>
      <c r="F3210" s="397" t="n"/>
      <c r="G3210" s="397" t="n"/>
      <c r="I3210" s="397" t="n"/>
      <c r="J3210" s="397" t="n"/>
      <c r="K3210" s="395">
        <f>DATE(VALUE(LEFT(A3210,4)),VALUE(MID(A3210,5,2)),VALUE(RIGHT(A3210,2)))</f>
        <v/>
      </c>
      <c r="L3210" s="395">
        <f>DATEVALUE(LEFT(F3210,10))</f>
        <v/>
      </c>
      <c r="M3210" s="396">
        <f>TIMEVALUE(MID(F3210,12,8))</f>
        <v/>
      </c>
      <c r="N3210" s="395">
        <f>DATEVALUE(LEFT(G3210,10))</f>
        <v/>
      </c>
      <c r="O3210" s="396">
        <f>TIMEVALUE(MID(G3210,12,8))</f>
        <v/>
      </c>
      <c r="P3210" s="396">
        <f>IFERROR(_xlfn.MINIFS($M:$M,$E:$E,$E3210,$K:$K,$K3210,$M:$M,"&gt;"&amp;$O3210),"")</f>
        <v/>
      </c>
      <c r="Q3210" s="396">
        <f>IF($P3210="","",$P3210-$O3210)</f>
        <v/>
      </c>
    </row>
    <row r="3211" ht="15" customHeight="1" s="231">
      <c r="A3211" s="397" t="n"/>
      <c r="B3211" s="397" t="n"/>
      <c r="C3211" s="397" t="n"/>
      <c r="D3211" s="397" t="n"/>
      <c r="E3211" s="397" t="n"/>
      <c r="F3211" s="397" t="n"/>
      <c r="G3211" s="397" t="n"/>
      <c r="I3211" s="397" t="n"/>
      <c r="J3211" s="397" t="n"/>
      <c r="K3211" s="395">
        <f>DATE(VALUE(LEFT(A3211,4)),VALUE(MID(A3211,5,2)),VALUE(RIGHT(A3211,2)))</f>
        <v/>
      </c>
      <c r="L3211" s="395">
        <f>DATEVALUE(LEFT(F3211,10))</f>
        <v/>
      </c>
      <c r="M3211" s="396">
        <f>TIMEVALUE(MID(F3211,12,8))</f>
        <v/>
      </c>
      <c r="N3211" s="395">
        <f>DATEVALUE(LEFT(G3211,10))</f>
        <v/>
      </c>
      <c r="O3211" s="396">
        <f>TIMEVALUE(MID(G3211,12,8))</f>
        <v/>
      </c>
      <c r="P3211" s="396">
        <f>IFERROR(_xlfn.MINIFS($M:$M,$E:$E,$E3211,$K:$K,$K3211,$M:$M,"&gt;"&amp;$O3211),"")</f>
        <v/>
      </c>
      <c r="Q3211" s="396">
        <f>IF($P3211="","",$P3211-$O3211)</f>
        <v/>
      </c>
    </row>
    <row r="3212" ht="15" customHeight="1" s="231">
      <c r="A3212" s="397" t="n"/>
      <c r="B3212" s="397" t="n"/>
      <c r="C3212" s="397" t="n"/>
      <c r="D3212" s="397" t="n"/>
      <c r="E3212" s="397" t="n"/>
      <c r="F3212" s="397" t="n"/>
      <c r="G3212" s="397" t="n"/>
      <c r="I3212" s="397" t="n"/>
      <c r="J3212" s="397" t="n"/>
      <c r="K3212" s="395">
        <f>DATE(VALUE(LEFT(A3212,4)),VALUE(MID(A3212,5,2)),VALUE(RIGHT(A3212,2)))</f>
        <v/>
      </c>
      <c r="L3212" s="395">
        <f>DATEVALUE(LEFT(F3212,10))</f>
        <v/>
      </c>
      <c r="M3212" s="396">
        <f>TIMEVALUE(MID(F3212,12,8))</f>
        <v/>
      </c>
      <c r="N3212" s="395">
        <f>DATEVALUE(LEFT(G3212,10))</f>
        <v/>
      </c>
      <c r="O3212" s="396">
        <f>TIMEVALUE(MID(G3212,12,8))</f>
        <v/>
      </c>
      <c r="P3212" s="396">
        <f>IFERROR(_xlfn.MINIFS($M:$M,$E:$E,$E3212,$K:$K,$K3212,$M:$M,"&gt;"&amp;$O3212),"")</f>
        <v/>
      </c>
      <c r="Q3212" s="396">
        <f>IF($P3212="","",$P3212-$O3212)</f>
        <v/>
      </c>
    </row>
    <row r="3213" ht="15" customHeight="1" s="231">
      <c r="A3213" s="397" t="n"/>
      <c r="B3213" s="397" t="n"/>
      <c r="C3213" s="397" t="n"/>
      <c r="D3213" s="397" t="n"/>
      <c r="E3213" s="397" t="n"/>
      <c r="F3213" s="397" t="n"/>
      <c r="G3213" s="397" t="n"/>
      <c r="I3213" s="397" t="n"/>
      <c r="J3213" s="397" t="n"/>
      <c r="K3213" s="395">
        <f>DATE(VALUE(LEFT(A3213,4)),VALUE(MID(A3213,5,2)),VALUE(RIGHT(A3213,2)))</f>
        <v/>
      </c>
      <c r="L3213" s="395">
        <f>DATEVALUE(LEFT(F3213,10))</f>
        <v/>
      </c>
      <c r="M3213" s="396">
        <f>TIMEVALUE(MID(F3213,12,8))</f>
        <v/>
      </c>
      <c r="N3213" s="395">
        <f>DATEVALUE(LEFT(G3213,10))</f>
        <v/>
      </c>
      <c r="O3213" s="396">
        <f>TIMEVALUE(MID(G3213,12,8))</f>
        <v/>
      </c>
      <c r="P3213" s="396">
        <f>IFERROR(_xlfn.MINIFS($M:$M,$E:$E,$E3213,$K:$K,$K3213,$M:$M,"&gt;"&amp;$O3213),"")</f>
        <v/>
      </c>
      <c r="Q3213" s="396">
        <f>IF($P3213="","",$P3213-$O3213)</f>
        <v/>
      </c>
    </row>
    <row r="3214" ht="15" customHeight="1" s="231">
      <c r="A3214" s="397" t="n"/>
      <c r="B3214" s="397" t="n"/>
      <c r="C3214" s="397" t="n"/>
      <c r="D3214" s="397" t="n"/>
      <c r="E3214" s="397" t="n"/>
      <c r="F3214" s="397" t="n"/>
      <c r="G3214" s="397" t="n"/>
      <c r="I3214" s="397" t="n"/>
      <c r="J3214" s="397" t="n"/>
      <c r="K3214" s="395">
        <f>DATE(VALUE(LEFT(A3214,4)),VALUE(MID(A3214,5,2)),VALUE(RIGHT(A3214,2)))</f>
        <v/>
      </c>
      <c r="L3214" s="395">
        <f>DATEVALUE(LEFT(F3214,10))</f>
        <v/>
      </c>
      <c r="M3214" s="396">
        <f>TIMEVALUE(MID(F3214,12,8))</f>
        <v/>
      </c>
      <c r="N3214" s="395">
        <f>DATEVALUE(LEFT(G3214,10))</f>
        <v/>
      </c>
      <c r="O3214" s="396">
        <f>TIMEVALUE(MID(G3214,12,8))</f>
        <v/>
      </c>
      <c r="P3214" s="396">
        <f>IFERROR(_xlfn.MINIFS($M:$M,$E:$E,$E3214,$K:$K,$K3214,$M:$M,"&gt;"&amp;$O3214),"")</f>
        <v/>
      </c>
      <c r="Q3214" s="396">
        <f>IF($P3214="","",$P3214-$O3214)</f>
        <v/>
      </c>
    </row>
    <row r="3215" ht="15" customHeight="1" s="231">
      <c r="A3215" s="397" t="n"/>
      <c r="B3215" s="397" t="n"/>
      <c r="C3215" s="397" t="n"/>
      <c r="D3215" s="397" t="n"/>
      <c r="E3215" s="397" t="n"/>
      <c r="F3215" s="397" t="n"/>
      <c r="G3215" s="397" t="n"/>
      <c r="I3215" s="397" t="n"/>
      <c r="J3215" s="397" t="n"/>
      <c r="K3215" s="395">
        <f>DATE(VALUE(LEFT(A3215,4)),VALUE(MID(A3215,5,2)),VALUE(RIGHT(A3215,2)))</f>
        <v/>
      </c>
      <c r="L3215" s="395">
        <f>DATEVALUE(LEFT(F3215,10))</f>
        <v/>
      </c>
      <c r="M3215" s="396">
        <f>TIMEVALUE(MID(F3215,12,8))</f>
        <v/>
      </c>
      <c r="N3215" s="395">
        <f>DATEVALUE(LEFT(G3215,10))</f>
        <v/>
      </c>
      <c r="O3215" s="396">
        <f>TIMEVALUE(MID(G3215,12,8))</f>
        <v/>
      </c>
      <c r="P3215" s="396">
        <f>IFERROR(_xlfn.MINIFS($M:$M,$E:$E,$E3215,$K:$K,$K3215,$M:$M,"&gt;"&amp;$O3215),"")</f>
        <v/>
      </c>
      <c r="Q3215" s="396">
        <f>IF($P3215="","",$P3215-$O3215)</f>
        <v/>
      </c>
    </row>
    <row r="3216" ht="15" customHeight="1" s="231">
      <c r="A3216" s="397" t="n"/>
      <c r="B3216" s="397" t="n"/>
      <c r="C3216" s="397" t="n"/>
      <c r="D3216" s="397" t="n"/>
      <c r="E3216" s="397" t="n"/>
      <c r="F3216" s="397" t="n"/>
      <c r="G3216" s="397" t="n"/>
      <c r="I3216" s="397" t="n"/>
      <c r="J3216" s="397" t="n"/>
      <c r="K3216" s="395">
        <f>DATE(VALUE(LEFT(A3216,4)),VALUE(MID(A3216,5,2)),VALUE(RIGHT(A3216,2)))</f>
        <v/>
      </c>
      <c r="L3216" s="395">
        <f>DATEVALUE(LEFT(F3216,10))</f>
        <v/>
      </c>
      <c r="M3216" s="396">
        <f>TIMEVALUE(MID(F3216,12,8))</f>
        <v/>
      </c>
      <c r="N3216" s="395">
        <f>DATEVALUE(LEFT(G3216,10))</f>
        <v/>
      </c>
      <c r="O3216" s="396">
        <f>TIMEVALUE(MID(G3216,12,8))</f>
        <v/>
      </c>
      <c r="P3216" s="396">
        <f>IFERROR(_xlfn.MINIFS($M:$M,$E:$E,$E3216,$K:$K,$K3216,$M:$M,"&gt;"&amp;$O3216),"")</f>
        <v/>
      </c>
      <c r="Q3216" s="396">
        <f>IF($P3216="","",$P3216-$O3216)</f>
        <v/>
      </c>
    </row>
    <row r="3217" ht="15" customHeight="1" s="231">
      <c r="A3217" s="397" t="n"/>
      <c r="B3217" s="397" t="n"/>
      <c r="C3217" s="397" t="n"/>
      <c r="D3217" s="397" t="n"/>
      <c r="E3217" s="397" t="n"/>
      <c r="F3217" s="397" t="n"/>
      <c r="G3217" s="397" t="n"/>
      <c r="I3217" s="397" t="n"/>
      <c r="J3217" s="397" t="n"/>
      <c r="K3217" s="395">
        <f>DATE(VALUE(LEFT(A3217,4)),VALUE(MID(A3217,5,2)),VALUE(RIGHT(A3217,2)))</f>
        <v/>
      </c>
      <c r="L3217" s="395">
        <f>DATEVALUE(LEFT(F3217,10))</f>
        <v/>
      </c>
      <c r="M3217" s="396">
        <f>TIMEVALUE(MID(F3217,12,8))</f>
        <v/>
      </c>
      <c r="N3217" s="395">
        <f>DATEVALUE(LEFT(G3217,10))</f>
        <v/>
      </c>
      <c r="O3217" s="396">
        <f>TIMEVALUE(MID(G3217,12,8))</f>
        <v/>
      </c>
      <c r="P3217" s="396">
        <f>IFERROR(_xlfn.MINIFS($M:$M,$E:$E,$E3217,$K:$K,$K3217,$M:$M,"&gt;"&amp;$O3217),"")</f>
        <v/>
      </c>
      <c r="Q3217" s="396">
        <f>IF($P3217="","",$P3217-$O3217)</f>
        <v/>
      </c>
    </row>
    <row r="3218" ht="15" customHeight="1" s="231">
      <c r="A3218" s="397" t="n"/>
      <c r="B3218" s="397" t="n"/>
      <c r="C3218" s="397" t="n"/>
      <c r="D3218" s="397" t="n"/>
      <c r="E3218" s="397" t="n"/>
      <c r="F3218" s="397" t="n"/>
      <c r="G3218" s="397" t="n"/>
      <c r="I3218" s="397" t="n"/>
      <c r="J3218" s="397" t="n"/>
      <c r="K3218" s="395">
        <f>DATE(VALUE(LEFT(A3218,4)),VALUE(MID(A3218,5,2)),VALUE(RIGHT(A3218,2)))</f>
        <v/>
      </c>
      <c r="L3218" s="395">
        <f>DATEVALUE(LEFT(F3218,10))</f>
        <v/>
      </c>
      <c r="M3218" s="396">
        <f>TIMEVALUE(MID(F3218,12,8))</f>
        <v/>
      </c>
      <c r="N3218" s="395">
        <f>DATEVALUE(LEFT(G3218,10))</f>
        <v/>
      </c>
      <c r="O3218" s="396">
        <f>TIMEVALUE(MID(G3218,12,8))</f>
        <v/>
      </c>
      <c r="P3218" s="396">
        <f>IFERROR(_xlfn.MINIFS($M:$M,$E:$E,$E3218,$K:$K,$K3218,$M:$M,"&gt;"&amp;$O3218),"")</f>
        <v/>
      </c>
      <c r="Q3218" s="396">
        <f>IF($P3218="","",$P3218-$O3218)</f>
        <v/>
      </c>
    </row>
    <row r="3219" ht="15" customHeight="1" s="231">
      <c r="A3219" s="397" t="n"/>
      <c r="B3219" s="397" t="n"/>
      <c r="C3219" s="397" t="n"/>
      <c r="D3219" s="397" t="n"/>
      <c r="E3219" s="397" t="n"/>
      <c r="F3219" s="397" t="n"/>
      <c r="G3219" s="397" t="n"/>
      <c r="I3219" s="397" t="n"/>
      <c r="J3219" s="397" t="n"/>
      <c r="K3219" s="395">
        <f>DATE(VALUE(LEFT(A3219,4)),VALUE(MID(A3219,5,2)),VALUE(RIGHT(A3219,2)))</f>
        <v/>
      </c>
      <c r="L3219" s="395">
        <f>DATEVALUE(LEFT(F3219,10))</f>
        <v/>
      </c>
      <c r="M3219" s="396">
        <f>TIMEVALUE(MID(F3219,12,8))</f>
        <v/>
      </c>
      <c r="N3219" s="395">
        <f>DATEVALUE(LEFT(G3219,10))</f>
        <v/>
      </c>
      <c r="O3219" s="396">
        <f>TIMEVALUE(MID(G3219,12,8))</f>
        <v/>
      </c>
      <c r="P3219" s="396">
        <f>IFERROR(_xlfn.MINIFS($M:$M,$E:$E,$E3219,$K:$K,$K3219,$M:$M,"&gt;"&amp;$O3219),"")</f>
        <v/>
      </c>
      <c r="Q3219" s="396">
        <f>IF($P3219="","",$P3219-$O3219)</f>
        <v/>
      </c>
    </row>
    <row r="3220" ht="15" customHeight="1" s="231">
      <c r="A3220" s="397" t="n"/>
      <c r="B3220" s="397" t="n"/>
      <c r="C3220" s="397" t="n"/>
      <c r="D3220" s="397" t="n"/>
      <c r="E3220" s="397" t="n"/>
      <c r="F3220" s="397" t="n"/>
      <c r="G3220" s="397" t="n"/>
      <c r="I3220" s="397" t="n"/>
      <c r="J3220" s="397" t="n"/>
      <c r="K3220" s="395">
        <f>DATE(VALUE(LEFT(A3220,4)),VALUE(MID(A3220,5,2)),VALUE(RIGHT(A3220,2)))</f>
        <v/>
      </c>
      <c r="L3220" s="395">
        <f>DATEVALUE(LEFT(F3220,10))</f>
        <v/>
      </c>
      <c r="M3220" s="396">
        <f>TIMEVALUE(MID(F3220,12,8))</f>
        <v/>
      </c>
      <c r="N3220" s="395">
        <f>DATEVALUE(LEFT(G3220,10))</f>
        <v/>
      </c>
      <c r="O3220" s="396">
        <f>TIMEVALUE(MID(G3220,12,8))</f>
        <v/>
      </c>
      <c r="P3220" s="396">
        <f>IFERROR(_xlfn.MINIFS($M:$M,$E:$E,$E3220,$K:$K,$K3220,$M:$M,"&gt;"&amp;$O3220),"")</f>
        <v/>
      </c>
      <c r="Q3220" s="396">
        <f>IF($P3220="","",$P3220-$O3220)</f>
        <v/>
      </c>
    </row>
    <row r="3221" ht="15" customHeight="1" s="231">
      <c r="A3221" s="397" t="n"/>
      <c r="B3221" s="397" t="n"/>
      <c r="C3221" s="397" t="n"/>
      <c r="D3221" s="397" t="n"/>
      <c r="E3221" s="397" t="n"/>
      <c r="F3221" s="397" t="n"/>
      <c r="G3221" s="397" t="n"/>
      <c r="I3221" s="397" t="n"/>
      <c r="J3221" s="397" t="n"/>
      <c r="K3221" s="395">
        <f>DATE(VALUE(LEFT(A3221,4)),VALUE(MID(A3221,5,2)),VALUE(RIGHT(A3221,2)))</f>
        <v/>
      </c>
      <c r="L3221" s="395">
        <f>DATEVALUE(LEFT(F3221,10))</f>
        <v/>
      </c>
      <c r="M3221" s="396">
        <f>TIMEVALUE(MID(F3221,12,8))</f>
        <v/>
      </c>
      <c r="N3221" s="395">
        <f>DATEVALUE(LEFT(G3221,10))</f>
        <v/>
      </c>
      <c r="O3221" s="396">
        <f>TIMEVALUE(MID(G3221,12,8))</f>
        <v/>
      </c>
      <c r="P3221" s="396">
        <f>IFERROR(_xlfn.MINIFS($M:$M,$E:$E,$E3221,$K:$K,$K3221,$M:$M,"&gt;"&amp;$O3221),"")</f>
        <v/>
      </c>
      <c r="Q3221" s="396">
        <f>IF($P3221="","",$P3221-$O3221)</f>
        <v/>
      </c>
    </row>
    <row r="3222" ht="15" customHeight="1" s="231">
      <c r="A3222" s="397" t="n"/>
      <c r="B3222" s="397" t="n"/>
      <c r="C3222" s="397" t="n"/>
      <c r="D3222" s="397" t="n"/>
      <c r="E3222" s="397" t="n"/>
      <c r="F3222" s="397" t="n"/>
      <c r="G3222" s="397" t="n"/>
      <c r="I3222" s="397" t="n"/>
      <c r="J3222" s="397" t="n"/>
      <c r="K3222" s="395">
        <f>DATE(VALUE(LEFT(A3222,4)),VALUE(MID(A3222,5,2)),VALUE(RIGHT(A3222,2)))</f>
        <v/>
      </c>
      <c r="L3222" s="395">
        <f>DATEVALUE(LEFT(F3222,10))</f>
        <v/>
      </c>
      <c r="M3222" s="396">
        <f>TIMEVALUE(MID(F3222,12,8))</f>
        <v/>
      </c>
      <c r="N3222" s="395">
        <f>DATEVALUE(LEFT(G3222,10))</f>
        <v/>
      </c>
      <c r="O3222" s="396">
        <f>TIMEVALUE(MID(G3222,12,8))</f>
        <v/>
      </c>
      <c r="P3222" s="396">
        <f>IFERROR(_xlfn.MINIFS($M:$M,$E:$E,$E3222,$K:$K,$K3222,$M:$M,"&gt;"&amp;$O3222),"")</f>
        <v/>
      </c>
      <c r="Q3222" s="396">
        <f>IF($P3222="","",$P3222-$O3222)</f>
        <v/>
      </c>
    </row>
    <row r="3223" ht="15" customHeight="1" s="231">
      <c r="A3223" s="397" t="n"/>
      <c r="B3223" s="397" t="n"/>
      <c r="C3223" s="397" t="n"/>
      <c r="D3223" s="397" t="n"/>
      <c r="E3223" s="397" t="n"/>
      <c r="F3223" s="397" t="n"/>
      <c r="G3223" s="397" t="n"/>
      <c r="I3223" s="397" t="n"/>
      <c r="J3223" s="397" t="n"/>
      <c r="K3223" s="395">
        <f>DATE(VALUE(LEFT(A3223,4)),VALUE(MID(A3223,5,2)),VALUE(RIGHT(A3223,2)))</f>
        <v/>
      </c>
      <c r="L3223" s="395">
        <f>DATEVALUE(LEFT(F3223,10))</f>
        <v/>
      </c>
      <c r="M3223" s="396">
        <f>TIMEVALUE(MID(F3223,12,8))</f>
        <v/>
      </c>
      <c r="N3223" s="395">
        <f>DATEVALUE(LEFT(G3223,10))</f>
        <v/>
      </c>
      <c r="O3223" s="396">
        <f>TIMEVALUE(MID(G3223,12,8))</f>
        <v/>
      </c>
      <c r="P3223" s="396">
        <f>IFERROR(_xlfn.MINIFS($M:$M,$E:$E,$E3223,$K:$K,$K3223,$M:$M,"&gt;"&amp;$O3223),"")</f>
        <v/>
      </c>
      <c r="Q3223" s="396">
        <f>IF($P3223="","",$P3223-$O3223)</f>
        <v/>
      </c>
    </row>
    <row r="3224" ht="15" customHeight="1" s="231">
      <c r="A3224" s="397" t="n"/>
      <c r="B3224" s="397" t="n"/>
      <c r="C3224" s="397" t="n"/>
      <c r="D3224" s="397" t="n"/>
      <c r="E3224" s="397" t="n"/>
      <c r="F3224" s="397" t="n"/>
      <c r="G3224" s="397" t="n"/>
      <c r="I3224" s="397" t="n"/>
      <c r="J3224" s="397" t="n"/>
      <c r="K3224" s="395">
        <f>DATE(VALUE(LEFT(A3224,4)),VALUE(MID(A3224,5,2)),VALUE(RIGHT(A3224,2)))</f>
        <v/>
      </c>
      <c r="L3224" s="395">
        <f>DATEVALUE(LEFT(F3224,10))</f>
        <v/>
      </c>
      <c r="M3224" s="396">
        <f>TIMEVALUE(MID(F3224,12,8))</f>
        <v/>
      </c>
      <c r="N3224" s="395">
        <f>DATEVALUE(LEFT(G3224,10))</f>
        <v/>
      </c>
      <c r="O3224" s="396">
        <f>TIMEVALUE(MID(G3224,12,8))</f>
        <v/>
      </c>
      <c r="P3224" s="396">
        <f>IFERROR(_xlfn.MINIFS($M:$M,$E:$E,$E3224,$K:$K,$K3224,$M:$M,"&gt;"&amp;$O3224),"")</f>
        <v/>
      </c>
      <c r="Q3224" s="396">
        <f>IF($P3224="","",$P3224-$O3224)</f>
        <v/>
      </c>
    </row>
    <row r="3225" ht="15" customHeight="1" s="231">
      <c r="A3225" s="397" t="n"/>
      <c r="B3225" s="397" t="n"/>
      <c r="C3225" s="397" t="n"/>
      <c r="D3225" s="397" t="n"/>
      <c r="E3225" s="397" t="n"/>
      <c r="F3225" s="397" t="n"/>
      <c r="G3225" s="397" t="n"/>
      <c r="I3225" s="397" t="n"/>
      <c r="J3225" s="397" t="n"/>
      <c r="K3225" s="395">
        <f>DATE(VALUE(LEFT(A3225,4)),VALUE(MID(A3225,5,2)),VALUE(RIGHT(A3225,2)))</f>
        <v/>
      </c>
      <c r="L3225" s="395">
        <f>DATEVALUE(LEFT(F3225,10))</f>
        <v/>
      </c>
      <c r="M3225" s="396">
        <f>TIMEVALUE(MID(F3225,12,8))</f>
        <v/>
      </c>
      <c r="N3225" s="395">
        <f>DATEVALUE(LEFT(G3225,10))</f>
        <v/>
      </c>
      <c r="O3225" s="396">
        <f>TIMEVALUE(MID(G3225,12,8))</f>
        <v/>
      </c>
      <c r="P3225" s="396">
        <f>IFERROR(_xlfn.MINIFS($M:$M,$E:$E,$E3225,$K:$K,$K3225,$M:$M,"&gt;"&amp;$O3225),"")</f>
        <v/>
      </c>
      <c r="Q3225" s="396">
        <f>IF($P3225="","",$P3225-$O3225)</f>
        <v/>
      </c>
    </row>
    <row r="3226" ht="15" customHeight="1" s="231">
      <c r="A3226" s="397" t="n"/>
      <c r="B3226" s="397" t="n"/>
      <c r="C3226" s="397" t="n"/>
      <c r="D3226" s="397" t="n"/>
      <c r="E3226" s="397" t="n"/>
      <c r="F3226" s="397" t="n"/>
      <c r="G3226" s="397" t="n"/>
      <c r="I3226" s="397" t="n"/>
      <c r="J3226" s="397" t="n"/>
      <c r="K3226" s="395">
        <f>DATE(VALUE(LEFT(A3226,4)),VALUE(MID(A3226,5,2)),VALUE(RIGHT(A3226,2)))</f>
        <v/>
      </c>
      <c r="L3226" s="395">
        <f>DATEVALUE(LEFT(F3226,10))</f>
        <v/>
      </c>
      <c r="M3226" s="396">
        <f>TIMEVALUE(MID(F3226,12,8))</f>
        <v/>
      </c>
      <c r="N3226" s="395">
        <f>DATEVALUE(LEFT(G3226,10))</f>
        <v/>
      </c>
      <c r="O3226" s="396">
        <f>TIMEVALUE(MID(G3226,12,8))</f>
        <v/>
      </c>
      <c r="P3226" s="396">
        <f>IFERROR(_xlfn.MINIFS($M:$M,$E:$E,$E3226,$K:$K,$K3226,$M:$M,"&gt;"&amp;$O3226),"")</f>
        <v/>
      </c>
      <c r="Q3226" s="396">
        <f>IF($P3226="","",$P3226-$O3226)</f>
        <v/>
      </c>
    </row>
    <row r="3227" ht="15" customHeight="1" s="231">
      <c r="A3227" s="397" t="n"/>
      <c r="B3227" s="397" t="n"/>
      <c r="C3227" s="397" t="n"/>
      <c r="D3227" s="397" t="n"/>
      <c r="E3227" s="397" t="n"/>
      <c r="F3227" s="397" t="n"/>
      <c r="G3227" s="397" t="n"/>
      <c r="I3227" s="397" t="n"/>
      <c r="J3227" s="397" t="n"/>
      <c r="K3227" s="395">
        <f>DATE(VALUE(LEFT(A3227,4)),VALUE(MID(A3227,5,2)),VALUE(RIGHT(A3227,2)))</f>
        <v/>
      </c>
      <c r="L3227" s="395">
        <f>DATEVALUE(LEFT(F3227,10))</f>
        <v/>
      </c>
      <c r="M3227" s="396">
        <f>TIMEVALUE(MID(F3227,12,8))</f>
        <v/>
      </c>
      <c r="N3227" s="395">
        <f>DATEVALUE(LEFT(G3227,10))</f>
        <v/>
      </c>
      <c r="O3227" s="396">
        <f>TIMEVALUE(MID(G3227,12,8))</f>
        <v/>
      </c>
      <c r="P3227" s="396">
        <f>IFERROR(_xlfn.MINIFS($M:$M,$E:$E,$E3227,$K:$K,$K3227,$M:$M,"&gt;"&amp;$O3227),"")</f>
        <v/>
      </c>
      <c r="Q3227" s="396">
        <f>IF($P3227="","",$P3227-$O3227)</f>
        <v/>
      </c>
    </row>
    <row r="3228" ht="15" customHeight="1" s="231">
      <c r="A3228" s="397" t="n"/>
      <c r="B3228" s="397" t="n"/>
      <c r="C3228" s="397" t="n"/>
      <c r="D3228" s="397" t="n"/>
      <c r="E3228" s="397" t="n"/>
      <c r="F3228" s="397" t="n"/>
      <c r="G3228" s="397" t="n"/>
      <c r="I3228" s="397" t="n"/>
      <c r="J3228" s="397" t="n"/>
      <c r="K3228" s="395">
        <f>DATE(VALUE(LEFT(A3228,4)),VALUE(MID(A3228,5,2)),VALUE(RIGHT(A3228,2)))</f>
        <v/>
      </c>
      <c r="L3228" s="395">
        <f>DATEVALUE(LEFT(F3228,10))</f>
        <v/>
      </c>
      <c r="M3228" s="396">
        <f>TIMEVALUE(MID(F3228,12,8))</f>
        <v/>
      </c>
      <c r="N3228" s="395">
        <f>DATEVALUE(LEFT(G3228,10))</f>
        <v/>
      </c>
      <c r="O3228" s="396">
        <f>TIMEVALUE(MID(G3228,12,8))</f>
        <v/>
      </c>
      <c r="P3228" s="396">
        <f>IFERROR(_xlfn.MINIFS($M:$M,$E:$E,$E3228,$K:$K,$K3228,$M:$M,"&gt;"&amp;$O3228),"")</f>
        <v/>
      </c>
      <c r="Q3228" s="396">
        <f>IF($P3228="","",$P3228-$O3228)</f>
        <v/>
      </c>
    </row>
    <row r="3229" ht="15" customHeight="1" s="231">
      <c r="A3229" s="397" t="n"/>
      <c r="B3229" s="397" t="n"/>
      <c r="C3229" s="397" t="n"/>
      <c r="D3229" s="397" t="n"/>
      <c r="E3229" s="397" t="n"/>
      <c r="F3229" s="397" t="n"/>
      <c r="G3229" s="397" t="n"/>
      <c r="I3229" s="397" t="n"/>
      <c r="J3229" s="397" t="n"/>
      <c r="K3229" s="395">
        <f>DATE(VALUE(LEFT(A3229,4)),VALUE(MID(A3229,5,2)),VALUE(RIGHT(A3229,2)))</f>
        <v/>
      </c>
      <c r="L3229" s="395">
        <f>DATEVALUE(LEFT(F3229,10))</f>
        <v/>
      </c>
      <c r="M3229" s="396">
        <f>TIMEVALUE(MID(F3229,12,8))</f>
        <v/>
      </c>
      <c r="N3229" s="395">
        <f>DATEVALUE(LEFT(G3229,10))</f>
        <v/>
      </c>
      <c r="O3229" s="396">
        <f>TIMEVALUE(MID(G3229,12,8))</f>
        <v/>
      </c>
      <c r="P3229" s="396">
        <f>IFERROR(_xlfn.MINIFS($M:$M,$E:$E,$E3229,$K:$K,$K3229,$M:$M,"&gt;"&amp;$O3229),"")</f>
        <v/>
      </c>
      <c r="Q3229" s="396">
        <f>IF($P3229="","",$P3229-$O3229)</f>
        <v/>
      </c>
    </row>
    <row r="3230" ht="15" customHeight="1" s="231">
      <c r="A3230" s="397" t="n"/>
      <c r="B3230" s="397" t="n"/>
      <c r="C3230" s="397" t="n"/>
      <c r="D3230" s="397" t="n"/>
      <c r="E3230" s="397" t="n"/>
      <c r="F3230" s="397" t="n"/>
      <c r="G3230" s="397" t="n"/>
      <c r="I3230" s="397" t="n"/>
      <c r="J3230" s="397" t="n"/>
      <c r="K3230" s="395">
        <f>DATE(VALUE(LEFT(A3230,4)),VALUE(MID(A3230,5,2)),VALUE(RIGHT(A3230,2)))</f>
        <v/>
      </c>
      <c r="L3230" s="395">
        <f>DATEVALUE(LEFT(F3230,10))</f>
        <v/>
      </c>
      <c r="M3230" s="396">
        <f>TIMEVALUE(MID(F3230,12,8))</f>
        <v/>
      </c>
      <c r="N3230" s="395">
        <f>DATEVALUE(LEFT(G3230,10))</f>
        <v/>
      </c>
      <c r="O3230" s="396">
        <f>TIMEVALUE(MID(G3230,12,8))</f>
        <v/>
      </c>
      <c r="P3230" s="396">
        <f>IFERROR(_xlfn.MINIFS($M:$M,$E:$E,$E3230,$K:$K,$K3230,$M:$M,"&gt;"&amp;$O3230),"")</f>
        <v/>
      </c>
      <c r="Q3230" s="396">
        <f>IF($P3230="","",$P3230-$O3230)</f>
        <v/>
      </c>
    </row>
    <row r="3231" ht="15" customHeight="1" s="231">
      <c r="A3231" s="397" t="n"/>
      <c r="B3231" s="397" t="n"/>
      <c r="C3231" s="397" t="n"/>
      <c r="D3231" s="397" t="n"/>
      <c r="E3231" s="397" t="n"/>
      <c r="F3231" s="397" t="n"/>
      <c r="G3231" s="397" t="n"/>
      <c r="I3231" s="397" t="n"/>
      <c r="J3231" s="397" t="n"/>
      <c r="K3231" s="395">
        <f>DATE(VALUE(LEFT(A3231,4)),VALUE(MID(A3231,5,2)),VALUE(RIGHT(A3231,2)))</f>
        <v/>
      </c>
      <c r="L3231" s="395">
        <f>DATEVALUE(LEFT(F3231,10))</f>
        <v/>
      </c>
      <c r="M3231" s="396">
        <f>TIMEVALUE(MID(F3231,12,8))</f>
        <v/>
      </c>
      <c r="N3231" s="395">
        <f>DATEVALUE(LEFT(G3231,10))</f>
        <v/>
      </c>
      <c r="O3231" s="396">
        <f>TIMEVALUE(MID(G3231,12,8))</f>
        <v/>
      </c>
      <c r="P3231" s="396">
        <f>IFERROR(_xlfn.MINIFS($M:$M,$E:$E,$E3231,$K:$K,$K3231,$M:$M,"&gt;"&amp;$O3231),"")</f>
        <v/>
      </c>
      <c r="Q3231" s="396">
        <f>IF($P3231="","",$P3231-$O3231)</f>
        <v/>
      </c>
    </row>
    <row r="3232" ht="15" customHeight="1" s="231">
      <c r="A3232" s="397" t="n"/>
      <c r="B3232" s="397" t="n"/>
      <c r="C3232" s="397" t="n"/>
      <c r="D3232" s="397" t="n"/>
      <c r="E3232" s="397" t="n"/>
      <c r="F3232" s="397" t="n"/>
      <c r="G3232" s="397" t="n"/>
      <c r="I3232" s="397" t="n"/>
      <c r="J3232" s="397" t="n"/>
      <c r="K3232" s="395">
        <f>DATE(VALUE(LEFT(A3232,4)),VALUE(MID(A3232,5,2)),VALUE(RIGHT(A3232,2)))</f>
        <v/>
      </c>
      <c r="L3232" s="395">
        <f>DATEVALUE(LEFT(F3232,10))</f>
        <v/>
      </c>
      <c r="M3232" s="396">
        <f>TIMEVALUE(MID(F3232,12,8))</f>
        <v/>
      </c>
      <c r="N3232" s="395">
        <f>DATEVALUE(LEFT(G3232,10))</f>
        <v/>
      </c>
      <c r="O3232" s="396">
        <f>TIMEVALUE(MID(G3232,12,8))</f>
        <v/>
      </c>
      <c r="P3232" s="396">
        <f>IFERROR(_xlfn.MINIFS($M:$M,$E:$E,$E3232,$K:$K,$K3232,$M:$M,"&gt;"&amp;$O3232),"")</f>
        <v/>
      </c>
      <c r="Q3232" s="396">
        <f>IF($P3232="","",$P3232-$O3232)</f>
        <v/>
      </c>
    </row>
    <row r="3233" ht="15" customHeight="1" s="231">
      <c r="A3233" s="397" t="n"/>
      <c r="B3233" s="397" t="n"/>
      <c r="C3233" s="397" t="n"/>
      <c r="D3233" s="397" t="n"/>
      <c r="E3233" s="397" t="n"/>
      <c r="F3233" s="397" t="n"/>
      <c r="G3233" s="397" t="n"/>
      <c r="I3233" s="397" t="n"/>
      <c r="J3233" s="397" t="n"/>
      <c r="K3233" s="395">
        <f>DATE(VALUE(LEFT(A3233,4)),VALUE(MID(A3233,5,2)),VALUE(RIGHT(A3233,2)))</f>
        <v/>
      </c>
      <c r="L3233" s="395">
        <f>DATEVALUE(LEFT(F3233,10))</f>
        <v/>
      </c>
      <c r="M3233" s="396">
        <f>TIMEVALUE(MID(F3233,12,8))</f>
        <v/>
      </c>
      <c r="N3233" s="395">
        <f>DATEVALUE(LEFT(G3233,10))</f>
        <v/>
      </c>
      <c r="O3233" s="396">
        <f>TIMEVALUE(MID(G3233,12,8))</f>
        <v/>
      </c>
      <c r="P3233" s="396">
        <f>IFERROR(_xlfn.MINIFS($M:$M,$E:$E,$E3233,$K:$K,$K3233,$M:$M,"&gt;"&amp;$O3233),"")</f>
        <v/>
      </c>
      <c r="Q3233" s="396">
        <f>IF($P3233="","",$P3233-$O3233)</f>
        <v/>
      </c>
    </row>
    <row r="3234" ht="15" customHeight="1" s="231">
      <c r="A3234" s="397" t="n"/>
      <c r="B3234" s="397" t="n"/>
      <c r="C3234" s="397" t="n"/>
      <c r="D3234" s="397" t="n"/>
      <c r="E3234" s="397" t="n"/>
      <c r="F3234" s="397" t="n"/>
      <c r="G3234" s="397" t="n"/>
      <c r="I3234" s="397" t="n"/>
      <c r="J3234" s="397" t="n"/>
      <c r="K3234" s="395">
        <f>DATE(VALUE(LEFT(A3234,4)),VALUE(MID(A3234,5,2)),VALUE(RIGHT(A3234,2)))</f>
        <v/>
      </c>
      <c r="L3234" s="395">
        <f>DATEVALUE(LEFT(F3234,10))</f>
        <v/>
      </c>
      <c r="M3234" s="396">
        <f>TIMEVALUE(MID(F3234,12,8))</f>
        <v/>
      </c>
      <c r="N3234" s="395">
        <f>DATEVALUE(LEFT(G3234,10))</f>
        <v/>
      </c>
      <c r="O3234" s="396">
        <f>TIMEVALUE(MID(G3234,12,8))</f>
        <v/>
      </c>
      <c r="P3234" s="396">
        <f>IFERROR(_xlfn.MINIFS($M:$M,$E:$E,$E3234,$K:$K,$K3234,$M:$M,"&gt;"&amp;$O3234),"")</f>
        <v/>
      </c>
      <c r="Q3234" s="396">
        <f>IF($P3234="","",$P3234-$O3234)</f>
        <v/>
      </c>
    </row>
    <row r="3235" ht="15" customHeight="1" s="231">
      <c r="A3235" s="397" t="n"/>
      <c r="B3235" s="397" t="n"/>
      <c r="C3235" s="397" t="n"/>
      <c r="D3235" s="397" t="n"/>
      <c r="E3235" s="397" t="n"/>
      <c r="F3235" s="397" t="n"/>
      <c r="G3235" s="397" t="n"/>
      <c r="I3235" s="397" t="n"/>
      <c r="J3235" s="397" t="n"/>
      <c r="K3235" s="395">
        <f>DATE(VALUE(LEFT(A3235,4)),VALUE(MID(A3235,5,2)),VALUE(RIGHT(A3235,2)))</f>
        <v/>
      </c>
      <c r="L3235" s="395">
        <f>DATEVALUE(LEFT(F3235,10))</f>
        <v/>
      </c>
      <c r="M3235" s="396">
        <f>TIMEVALUE(MID(F3235,12,8))</f>
        <v/>
      </c>
      <c r="N3235" s="395">
        <f>DATEVALUE(LEFT(G3235,10))</f>
        <v/>
      </c>
      <c r="O3235" s="396">
        <f>TIMEVALUE(MID(G3235,12,8))</f>
        <v/>
      </c>
      <c r="P3235" s="396">
        <f>IFERROR(_xlfn.MINIFS($M:$M,$E:$E,$E3235,$K:$K,$K3235,$M:$M,"&gt;"&amp;$O3235),"")</f>
        <v/>
      </c>
      <c r="Q3235" s="396">
        <f>IF($P3235="","",$P3235-$O3235)</f>
        <v/>
      </c>
    </row>
    <row r="3236" ht="15" customHeight="1" s="231">
      <c r="A3236" s="397" t="n"/>
      <c r="B3236" s="397" t="n"/>
      <c r="C3236" s="397" t="n"/>
      <c r="D3236" s="397" t="n"/>
      <c r="E3236" s="397" t="n"/>
      <c r="F3236" s="397" t="n"/>
      <c r="G3236" s="397" t="n"/>
      <c r="I3236" s="397" t="n"/>
      <c r="J3236" s="397" t="n"/>
      <c r="K3236" s="395">
        <f>DATE(VALUE(LEFT(A3236,4)),VALUE(MID(A3236,5,2)),VALUE(RIGHT(A3236,2)))</f>
        <v/>
      </c>
      <c r="L3236" s="395">
        <f>DATEVALUE(LEFT(F3236,10))</f>
        <v/>
      </c>
      <c r="M3236" s="396">
        <f>TIMEVALUE(MID(F3236,12,8))</f>
        <v/>
      </c>
      <c r="N3236" s="395">
        <f>DATEVALUE(LEFT(G3236,10))</f>
        <v/>
      </c>
      <c r="O3236" s="396">
        <f>TIMEVALUE(MID(G3236,12,8))</f>
        <v/>
      </c>
      <c r="P3236" s="396">
        <f>IFERROR(_xlfn.MINIFS($M:$M,$E:$E,$E3236,$K:$K,$K3236,$M:$M,"&gt;"&amp;$O3236),"")</f>
        <v/>
      </c>
      <c r="Q3236" s="396">
        <f>IF($P3236="","",$P3236-$O3236)</f>
        <v/>
      </c>
    </row>
    <row r="3237" ht="15" customHeight="1" s="231">
      <c r="A3237" s="397" t="n"/>
      <c r="B3237" s="397" t="n"/>
      <c r="C3237" s="397" t="n"/>
      <c r="D3237" s="397" t="n"/>
      <c r="E3237" s="397" t="n"/>
      <c r="F3237" s="397" t="n"/>
      <c r="G3237" s="397" t="n"/>
      <c r="I3237" s="397" t="n"/>
      <c r="J3237" s="397" t="n"/>
      <c r="K3237" s="395">
        <f>DATE(VALUE(LEFT(A3237,4)),VALUE(MID(A3237,5,2)),VALUE(RIGHT(A3237,2)))</f>
        <v/>
      </c>
      <c r="L3237" s="395">
        <f>DATEVALUE(LEFT(F3237,10))</f>
        <v/>
      </c>
      <c r="M3237" s="396">
        <f>TIMEVALUE(MID(F3237,12,8))</f>
        <v/>
      </c>
      <c r="N3237" s="395">
        <f>DATEVALUE(LEFT(G3237,10))</f>
        <v/>
      </c>
      <c r="O3237" s="396">
        <f>TIMEVALUE(MID(G3237,12,8))</f>
        <v/>
      </c>
      <c r="P3237" s="396">
        <f>IFERROR(_xlfn.MINIFS($M:$M,$E:$E,$E3237,$K:$K,$K3237,$M:$M,"&gt;"&amp;$O3237),"")</f>
        <v/>
      </c>
      <c r="Q3237" s="396">
        <f>IF($P3237="","",$P3237-$O3237)</f>
        <v/>
      </c>
    </row>
    <row r="3238" ht="15" customHeight="1" s="231">
      <c r="A3238" s="397" t="n"/>
      <c r="B3238" s="397" t="n"/>
      <c r="C3238" s="397" t="n"/>
      <c r="D3238" s="397" t="n"/>
      <c r="E3238" s="397" t="n"/>
      <c r="F3238" s="397" t="n"/>
      <c r="G3238" s="397" t="n"/>
      <c r="I3238" s="397" t="n"/>
      <c r="J3238" s="397" t="n"/>
      <c r="K3238" s="395">
        <f>DATE(VALUE(LEFT(A3238,4)),VALUE(MID(A3238,5,2)),VALUE(RIGHT(A3238,2)))</f>
        <v/>
      </c>
      <c r="L3238" s="395">
        <f>DATEVALUE(LEFT(F3238,10))</f>
        <v/>
      </c>
      <c r="M3238" s="396">
        <f>TIMEVALUE(MID(F3238,12,8))</f>
        <v/>
      </c>
      <c r="N3238" s="395">
        <f>DATEVALUE(LEFT(G3238,10))</f>
        <v/>
      </c>
      <c r="O3238" s="396">
        <f>TIMEVALUE(MID(G3238,12,8))</f>
        <v/>
      </c>
      <c r="P3238" s="396">
        <f>IFERROR(_xlfn.MINIFS($M:$M,$E:$E,$E3238,$K:$K,$K3238,$M:$M,"&gt;"&amp;$O3238),"")</f>
        <v/>
      </c>
      <c r="Q3238" s="396">
        <f>IF($P3238="","",$P3238-$O3238)</f>
        <v/>
      </c>
    </row>
    <row r="3239" ht="15" customHeight="1" s="231">
      <c r="A3239" s="397" t="n"/>
      <c r="B3239" s="397" t="n"/>
      <c r="C3239" s="397" t="n"/>
      <c r="D3239" s="397" t="n"/>
      <c r="E3239" s="397" t="n"/>
      <c r="F3239" s="397" t="n"/>
      <c r="G3239" s="397" t="n"/>
      <c r="I3239" s="397" t="n"/>
      <c r="J3239" s="397" t="n"/>
      <c r="K3239" s="395">
        <f>DATE(VALUE(LEFT(A3239,4)),VALUE(MID(A3239,5,2)),VALUE(RIGHT(A3239,2)))</f>
        <v/>
      </c>
      <c r="L3239" s="395">
        <f>DATEVALUE(LEFT(F3239,10))</f>
        <v/>
      </c>
      <c r="M3239" s="396">
        <f>TIMEVALUE(MID(F3239,12,8))</f>
        <v/>
      </c>
      <c r="N3239" s="395">
        <f>DATEVALUE(LEFT(G3239,10))</f>
        <v/>
      </c>
      <c r="O3239" s="396">
        <f>TIMEVALUE(MID(G3239,12,8))</f>
        <v/>
      </c>
      <c r="P3239" s="396">
        <f>IFERROR(_xlfn.MINIFS($M:$M,$E:$E,$E3239,$K:$K,$K3239,$M:$M,"&gt;"&amp;$O3239),"")</f>
        <v/>
      </c>
      <c r="Q3239" s="396">
        <f>IF($P3239="","",$P3239-$O3239)</f>
        <v/>
      </c>
    </row>
    <row r="3240" ht="15" customHeight="1" s="231">
      <c r="A3240" s="397" t="n"/>
      <c r="B3240" s="397" t="n"/>
      <c r="C3240" s="397" t="n"/>
      <c r="D3240" s="397" t="n"/>
      <c r="E3240" s="397" t="n"/>
      <c r="F3240" s="397" t="n"/>
      <c r="G3240" s="397" t="n"/>
      <c r="I3240" s="397" t="n"/>
      <c r="J3240" s="397" t="n"/>
      <c r="K3240" s="395">
        <f>DATE(VALUE(LEFT(A3240,4)),VALUE(MID(A3240,5,2)),VALUE(RIGHT(A3240,2)))</f>
        <v/>
      </c>
      <c r="L3240" s="395">
        <f>DATEVALUE(LEFT(F3240,10))</f>
        <v/>
      </c>
      <c r="M3240" s="396">
        <f>TIMEVALUE(MID(F3240,12,8))</f>
        <v/>
      </c>
      <c r="N3240" s="395">
        <f>DATEVALUE(LEFT(G3240,10))</f>
        <v/>
      </c>
      <c r="O3240" s="396">
        <f>TIMEVALUE(MID(G3240,12,8))</f>
        <v/>
      </c>
      <c r="P3240" s="396">
        <f>IFERROR(_xlfn.MINIFS($M:$M,$E:$E,$E3240,$K:$K,$K3240,$M:$M,"&gt;"&amp;$O3240),"")</f>
        <v/>
      </c>
      <c r="Q3240" s="396">
        <f>IF($P3240="","",$P3240-$O3240)</f>
        <v/>
      </c>
    </row>
    <row r="3241" ht="15" customHeight="1" s="231">
      <c r="A3241" s="397" t="n"/>
      <c r="B3241" s="397" t="n"/>
      <c r="C3241" s="397" t="n"/>
      <c r="D3241" s="397" t="n"/>
      <c r="E3241" s="397" t="n"/>
      <c r="F3241" s="397" t="n"/>
      <c r="G3241" s="397" t="n"/>
      <c r="I3241" s="397" t="n"/>
      <c r="J3241" s="397" t="n"/>
      <c r="K3241" s="395">
        <f>DATE(VALUE(LEFT(A3241,4)),VALUE(MID(A3241,5,2)),VALUE(RIGHT(A3241,2)))</f>
        <v/>
      </c>
      <c r="L3241" s="395">
        <f>DATEVALUE(LEFT(F3241,10))</f>
        <v/>
      </c>
      <c r="M3241" s="396">
        <f>TIMEVALUE(MID(F3241,12,8))</f>
        <v/>
      </c>
      <c r="N3241" s="395">
        <f>DATEVALUE(LEFT(G3241,10))</f>
        <v/>
      </c>
      <c r="O3241" s="396">
        <f>TIMEVALUE(MID(G3241,12,8))</f>
        <v/>
      </c>
      <c r="P3241" s="396">
        <f>IFERROR(_xlfn.MINIFS($M:$M,$E:$E,$E3241,$K:$K,$K3241,$M:$M,"&gt;"&amp;$O3241),"")</f>
        <v/>
      </c>
      <c r="Q3241" s="396">
        <f>IF($P3241="","",$P3241-$O3241)</f>
        <v/>
      </c>
    </row>
    <row r="3242" ht="15" customHeight="1" s="231">
      <c r="A3242" s="397" t="n"/>
      <c r="B3242" s="397" t="n"/>
      <c r="C3242" s="397" t="n"/>
      <c r="D3242" s="397" t="n"/>
      <c r="E3242" s="397" t="n"/>
      <c r="F3242" s="397" t="n"/>
      <c r="G3242" s="397" t="n"/>
      <c r="I3242" s="397" t="n"/>
      <c r="J3242" s="397" t="n"/>
      <c r="K3242" s="395">
        <f>DATE(VALUE(LEFT(A3242,4)),VALUE(MID(A3242,5,2)),VALUE(RIGHT(A3242,2)))</f>
        <v/>
      </c>
      <c r="L3242" s="395">
        <f>DATEVALUE(LEFT(F3242,10))</f>
        <v/>
      </c>
      <c r="M3242" s="396">
        <f>TIMEVALUE(MID(F3242,12,8))</f>
        <v/>
      </c>
      <c r="N3242" s="395">
        <f>DATEVALUE(LEFT(G3242,10))</f>
        <v/>
      </c>
      <c r="O3242" s="396">
        <f>TIMEVALUE(MID(G3242,12,8))</f>
        <v/>
      </c>
      <c r="P3242" s="396">
        <f>IFERROR(_xlfn.MINIFS($M:$M,$E:$E,$E3242,$K:$K,$K3242,$M:$M,"&gt;"&amp;$O3242),"")</f>
        <v/>
      </c>
      <c r="Q3242" s="396">
        <f>IF($P3242="","",$P3242-$O3242)</f>
        <v/>
      </c>
    </row>
    <row r="3243" ht="15" customHeight="1" s="231">
      <c r="A3243" s="397" t="n"/>
      <c r="B3243" s="397" t="n"/>
      <c r="C3243" s="397" t="n"/>
      <c r="D3243" s="397" t="n"/>
      <c r="E3243" s="397" t="n"/>
      <c r="F3243" s="397" t="n"/>
      <c r="G3243" s="397" t="n"/>
      <c r="I3243" s="397" t="n"/>
      <c r="J3243" s="397" t="n"/>
      <c r="K3243" s="395">
        <f>DATE(VALUE(LEFT(A3243,4)),VALUE(MID(A3243,5,2)),VALUE(RIGHT(A3243,2)))</f>
        <v/>
      </c>
      <c r="L3243" s="395">
        <f>DATEVALUE(LEFT(F3243,10))</f>
        <v/>
      </c>
      <c r="M3243" s="396">
        <f>TIMEVALUE(MID(F3243,12,8))</f>
        <v/>
      </c>
      <c r="N3243" s="395">
        <f>DATEVALUE(LEFT(G3243,10))</f>
        <v/>
      </c>
      <c r="O3243" s="396">
        <f>TIMEVALUE(MID(G3243,12,8))</f>
        <v/>
      </c>
      <c r="P3243" s="396">
        <f>IFERROR(_xlfn.MINIFS($M:$M,$E:$E,$E3243,$K:$K,$K3243,$M:$M,"&gt;"&amp;$O3243),"")</f>
        <v/>
      </c>
      <c r="Q3243" s="396">
        <f>IF($P3243="","",$P3243-$O3243)</f>
        <v/>
      </c>
    </row>
    <row r="3244" ht="15" customHeight="1" s="231">
      <c r="A3244" s="397" t="n"/>
      <c r="B3244" s="397" t="n"/>
      <c r="C3244" s="397" t="n"/>
      <c r="D3244" s="397" t="n"/>
      <c r="E3244" s="397" t="n"/>
      <c r="F3244" s="397" t="n"/>
      <c r="G3244" s="397" t="n"/>
      <c r="I3244" s="397" t="n"/>
      <c r="J3244" s="397" t="n"/>
      <c r="K3244" s="395">
        <f>DATE(VALUE(LEFT(A3244,4)),VALUE(MID(A3244,5,2)),VALUE(RIGHT(A3244,2)))</f>
        <v/>
      </c>
      <c r="L3244" s="395">
        <f>DATEVALUE(LEFT(F3244,10))</f>
        <v/>
      </c>
      <c r="M3244" s="396">
        <f>TIMEVALUE(MID(F3244,12,8))</f>
        <v/>
      </c>
      <c r="N3244" s="395">
        <f>DATEVALUE(LEFT(G3244,10))</f>
        <v/>
      </c>
      <c r="O3244" s="396">
        <f>TIMEVALUE(MID(G3244,12,8))</f>
        <v/>
      </c>
      <c r="P3244" s="396">
        <f>IFERROR(_xlfn.MINIFS($M:$M,$E:$E,$E3244,$K:$K,$K3244,$M:$M,"&gt;"&amp;$O3244),"")</f>
        <v/>
      </c>
      <c r="Q3244" s="396">
        <f>IF($P3244="","",$P3244-$O3244)</f>
        <v/>
      </c>
    </row>
    <row r="3245" ht="15" customHeight="1" s="231">
      <c r="A3245" s="397" t="n"/>
      <c r="B3245" s="397" t="n"/>
      <c r="C3245" s="397" t="n"/>
      <c r="D3245" s="397" t="n"/>
      <c r="E3245" s="397" t="n"/>
      <c r="F3245" s="397" t="n"/>
      <c r="G3245" s="397" t="n"/>
      <c r="I3245" s="397" t="n"/>
      <c r="J3245" s="397" t="n"/>
      <c r="K3245" s="395">
        <f>DATE(VALUE(LEFT(A3245,4)),VALUE(MID(A3245,5,2)),VALUE(RIGHT(A3245,2)))</f>
        <v/>
      </c>
      <c r="L3245" s="395">
        <f>DATEVALUE(LEFT(F3245,10))</f>
        <v/>
      </c>
      <c r="M3245" s="396">
        <f>TIMEVALUE(MID(F3245,12,8))</f>
        <v/>
      </c>
      <c r="N3245" s="395">
        <f>DATEVALUE(LEFT(G3245,10))</f>
        <v/>
      </c>
      <c r="O3245" s="396">
        <f>TIMEVALUE(MID(G3245,12,8))</f>
        <v/>
      </c>
      <c r="P3245" s="396">
        <f>IFERROR(_xlfn.MINIFS($M:$M,$E:$E,$E3245,$K:$K,$K3245,$M:$M,"&gt;"&amp;$O3245),"")</f>
        <v/>
      </c>
      <c r="Q3245" s="396">
        <f>IF($P3245="","",$P3245-$O3245)</f>
        <v/>
      </c>
    </row>
    <row r="3246" ht="15" customHeight="1" s="231">
      <c r="A3246" s="397" t="n"/>
      <c r="B3246" s="397" t="n"/>
      <c r="C3246" s="397" t="n"/>
      <c r="D3246" s="397" t="n"/>
      <c r="E3246" s="397" t="n"/>
      <c r="F3246" s="397" t="n"/>
      <c r="G3246" s="397" t="n"/>
      <c r="I3246" s="397" t="n"/>
      <c r="J3246" s="397" t="n"/>
      <c r="K3246" s="395">
        <f>DATE(VALUE(LEFT(A3246,4)),VALUE(MID(A3246,5,2)),VALUE(RIGHT(A3246,2)))</f>
        <v/>
      </c>
      <c r="L3246" s="395">
        <f>DATEVALUE(LEFT(F3246,10))</f>
        <v/>
      </c>
      <c r="M3246" s="396">
        <f>TIMEVALUE(MID(F3246,12,8))</f>
        <v/>
      </c>
      <c r="N3246" s="395">
        <f>DATEVALUE(LEFT(G3246,10))</f>
        <v/>
      </c>
      <c r="O3246" s="396">
        <f>TIMEVALUE(MID(G3246,12,8))</f>
        <v/>
      </c>
      <c r="P3246" s="396">
        <f>IFERROR(_xlfn.MINIFS($M:$M,$E:$E,$E3246,$K:$K,$K3246,$M:$M,"&gt;"&amp;$O3246),"")</f>
        <v/>
      </c>
      <c r="Q3246" s="396">
        <f>IF($P3246="","",$P3246-$O3246)</f>
        <v/>
      </c>
    </row>
    <row r="3247" ht="15" customHeight="1" s="231">
      <c r="A3247" s="397" t="n"/>
      <c r="B3247" s="397" t="n"/>
      <c r="C3247" s="397" t="n"/>
      <c r="D3247" s="397" t="n"/>
      <c r="E3247" s="397" t="n"/>
      <c r="F3247" s="397" t="n"/>
      <c r="G3247" s="397" t="n"/>
      <c r="I3247" s="397" t="n"/>
      <c r="J3247" s="397" t="n"/>
      <c r="K3247" s="395">
        <f>DATE(VALUE(LEFT(A3247,4)),VALUE(MID(A3247,5,2)),VALUE(RIGHT(A3247,2)))</f>
        <v/>
      </c>
      <c r="L3247" s="395">
        <f>DATEVALUE(LEFT(F3247,10))</f>
        <v/>
      </c>
      <c r="M3247" s="396">
        <f>TIMEVALUE(MID(F3247,12,8))</f>
        <v/>
      </c>
      <c r="N3247" s="395">
        <f>DATEVALUE(LEFT(G3247,10))</f>
        <v/>
      </c>
      <c r="O3247" s="396">
        <f>TIMEVALUE(MID(G3247,12,8))</f>
        <v/>
      </c>
      <c r="P3247" s="396">
        <f>IFERROR(_xlfn.MINIFS($M:$M,$E:$E,$E3247,$K:$K,$K3247,$M:$M,"&gt;"&amp;$O3247),"")</f>
        <v/>
      </c>
      <c r="Q3247" s="396">
        <f>IF($P3247="","",$P3247-$O3247)</f>
        <v/>
      </c>
    </row>
    <row r="3248" ht="15" customHeight="1" s="231">
      <c r="A3248" s="397" t="n"/>
      <c r="B3248" s="397" t="n"/>
      <c r="C3248" s="397" t="n"/>
      <c r="D3248" s="397" t="n"/>
      <c r="E3248" s="397" t="n"/>
      <c r="F3248" s="397" t="n"/>
      <c r="G3248" s="397" t="n"/>
      <c r="I3248" s="397" t="n"/>
      <c r="J3248" s="397" t="n"/>
      <c r="K3248" s="395">
        <f>DATE(VALUE(LEFT(A3248,4)),VALUE(MID(A3248,5,2)),VALUE(RIGHT(A3248,2)))</f>
        <v/>
      </c>
      <c r="L3248" s="395">
        <f>DATEVALUE(LEFT(F3248,10))</f>
        <v/>
      </c>
      <c r="M3248" s="396">
        <f>TIMEVALUE(MID(F3248,12,8))</f>
        <v/>
      </c>
      <c r="N3248" s="395">
        <f>DATEVALUE(LEFT(G3248,10))</f>
        <v/>
      </c>
      <c r="O3248" s="396">
        <f>TIMEVALUE(MID(G3248,12,8))</f>
        <v/>
      </c>
      <c r="P3248" s="396">
        <f>IFERROR(_xlfn.MINIFS($M:$M,$E:$E,$E3248,$K:$K,$K3248,$M:$M,"&gt;"&amp;$O3248),"")</f>
        <v/>
      </c>
      <c r="Q3248" s="396">
        <f>IF($P3248="","",$P3248-$O3248)</f>
        <v/>
      </c>
    </row>
    <row r="3249" ht="15" customHeight="1" s="231">
      <c r="A3249" s="397" t="n"/>
      <c r="B3249" s="397" t="n"/>
      <c r="C3249" s="397" t="n"/>
      <c r="D3249" s="397" t="n"/>
      <c r="E3249" s="397" t="n"/>
      <c r="F3249" s="397" t="n"/>
      <c r="G3249" s="397" t="n"/>
      <c r="I3249" s="397" t="n"/>
      <c r="J3249" s="397" t="n"/>
      <c r="K3249" s="395">
        <f>DATE(VALUE(LEFT(A3249,4)),VALUE(MID(A3249,5,2)),VALUE(RIGHT(A3249,2)))</f>
        <v/>
      </c>
      <c r="L3249" s="395">
        <f>DATEVALUE(LEFT(F3249,10))</f>
        <v/>
      </c>
      <c r="M3249" s="396">
        <f>TIMEVALUE(MID(F3249,12,8))</f>
        <v/>
      </c>
      <c r="N3249" s="395">
        <f>DATEVALUE(LEFT(G3249,10))</f>
        <v/>
      </c>
      <c r="O3249" s="396">
        <f>TIMEVALUE(MID(G3249,12,8))</f>
        <v/>
      </c>
      <c r="P3249" s="396">
        <f>IFERROR(_xlfn.MINIFS($M:$M,$E:$E,$E3249,$K:$K,$K3249,$M:$M,"&gt;"&amp;$O3249),"")</f>
        <v/>
      </c>
      <c r="Q3249" s="396">
        <f>IF($P3249="","",$P3249-$O3249)</f>
        <v/>
      </c>
    </row>
    <row r="3250" ht="15" customHeight="1" s="231">
      <c r="A3250" s="397" t="n"/>
      <c r="B3250" s="397" t="n"/>
      <c r="C3250" s="397" t="n"/>
      <c r="D3250" s="397" t="n"/>
      <c r="E3250" s="397" t="n"/>
      <c r="F3250" s="397" t="n"/>
      <c r="G3250" s="397" t="n"/>
      <c r="I3250" s="397" t="n"/>
      <c r="J3250" s="397" t="n"/>
      <c r="K3250" s="395">
        <f>DATE(VALUE(LEFT(A3250,4)),VALUE(MID(A3250,5,2)),VALUE(RIGHT(A3250,2)))</f>
        <v/>
      </c>
      <c r="L3250" s="395">
        <f>DATEVALUE(LEFT(F3250,10))</f>
        <v/>
      </c>
      <c r="M3250" s="396">
        <f>TIMEVALUE(MID(F3250,12,8))</f>
        <v/>
      </c>
      <c r="N3250" s="395">
        <f>DATEVALUE(LEFT(G3250,10))</f>
        <v/>
      </c>
      <c r="O3250" s="396">
        <f>TIMEVALUE(MID(G3250,12,8))</f>
        <v/>
      </c>
      <c r="P3250" s="396">
        <f>IFERROR(_xlfn.MINIFS($M:$M,$E:$E,$E3250,$K:$K,$K3250,$M:$M,"&gt;"&amp;$O3250),"")</f>
        <v/>
      </c>
      <c r="Q3250" s="396">
        <f>IF($P3250="","",$P3250-$O3250)</f>
        <v/>
      </c>
    </row>
    <row r="3251" ht="15" customHeight="1" s="231">
      <c r="A3251" s="397" t="n"/>
      <c r="B3251" s="397" t="n"/>
      <c r="C3251" s="397" t="n"/>
      <c r="D3251" s="397" t="n"/>
      <c r="E3251" s="397" t="n"/>
      <c r="F3251" s="397" t="n"/>
      <c r="G3251" s="397" t="n"/>
      <c r="I3251" s="397" t="n"/>
      <c r="J3251" s="397" t="n"/>
      <c r="K3251" s="395">
        <f>DATE(VALUE(LEFT(A3251,4)),VALUE(MID(A3251,5,2)),VALUE(RIGHT(A3251,2)))</f>
        <v/>
      </c>
      <c r="L3251" s="395">
        <f>DATEVALUE(LEFT(F3251,10))</f>
        <v/>
      </c>
      <c r="M3251" s="396">
        <f>TIMEVALUE(MID(F3251,12,8))</f>
        <v/>
      </c>
      <c r="N3251" s="395">
        <f>DATEVALUE(LEFT(G3251,10))</f>
        <v/>
      </c>
      <c r="O3251" s="396">
        <f>TIMEVALUE(MID(G3251,12,8))</f>
        <v/>
      </c>
      <c r="P3251" s="396">
        <f>IFERROR(_xlfn.MINIFS($M:$M,$E:$E,$E3251,$K:$K,$K3251,$M:$M,"&gt;"&amp;$O3251),"")</f>
        <v/>
      </c>
      <c r="Q3251" s="396">
        <f>IF($P3251="","",$P3251-$O3251)</f>
        <v/>
      </c>
    </row>
    <row r="3252" ht="15" customHeight="1" s="231">
      <c r="A3252" s="397" t="n"/>
      <c r="B3252" s="397" t="n"/>
      <c r="C3252" s="397" t="n"/>
      <c r="D3252" s="397" t="n"/>
      <c r="E3252" s="397" t="n"/>
      <c r="F3252" s="397" t="n"/>
      <c r="G3252" s="397" t="n"/>
      <c r="I3252" s="397" t="n"/>
      <c r="J3252" s="397" t="n"/>
      <c r="K3252" s="395">
        <f>DATE(VALUE(LEFT(A3252,4)),VALUE(MID(A3252,5,2)),VALUE(RIGHT(A3252,2)))</f>
        <v/>
      </c>
      <c r="L3252" s="395">
        <f>DATEVALUE(LEFT(F3252,10))</f>
        <v/>
      </c>
      <c r="M3252" s="396">
        <f>TIMEVALUE(MID(F3252,12,8))</f>
        <v/>
      </c>
      <c r="N3252" s="395">
        <f>DATEVALUE(LEFT(G3252,10))</f>
        <v/>
      </c>
      <c r="O3252" s="396">
        <f>TIMEVALUE(MID(G3252,12,8))</f>
        <v/>
      </c>
      <c r="P3252" s="396">
        <f>IFERROR(_xlfn.MINIFS($M:$M,$E:$E,$E3252,$K:$K,$K3252,$M:$M,"&gt;"&amp;$O3252),"")</f>
        <v/>
      </c>
      <c r="Q3252" s="396">
        <f>IF($P3252="","",$P3252-$O3252)</f>
        <v/>
      </c>
    </row>
    <row r="3253" ht="15" customHeight="1" s="231">
      <c r="A3253" s="397" t="n"/>
      <c r="B3253" s="397" t="n"/>
      <c r="C3253" s="397" t="n"/>
      <c r="D3253" s="397" t="n"/>
      <c r="E3253" s="397" t="n"/>
      <c r="F3253" s="397" t="n"/>
      <c r="G3253" s="397" t="n"/>
      <c r="I3253" s="397" t="n"/>
      <c r="J3253" s="397" t="n"/>
      <c r="K3253" s="395">
        <f>DATE(VALUE(LEFT(A3253,4)),VALUE(MID(A3253,5,2)),VALUE(RIGHT(A3253,2)))</f>
        <v/>
      </c>
      <c r="L3253" s="395">
        <f>DATEVALUE(LEFT(F3253,10))</f>
        <v/>
      </c>
      <c r="M3253" s="396">
        <f>TIMEVALUE(MID(F3253,12,8))</f>
        <v/>
      </c>
      <c r="N3253" s="395">
        <f>DATEVALUE(LEFT(G3253,10))</f>
        <v/>
      </c>
      <c r="O3253" s="396">
        <f>TIMEVALUE(MID(G3253,12,8))</f>
        <v/>
      </c>
      <c r="P3253" s="396">
        <f>IFERROR(_xlfn.MINIFS($M:$M,$E:$E,$E3253,$K:$K,$K3253,$M:$M,"&gt;"&amp;$O3253),"")</f>
        <v/>
      </c>
      <c r="Q3253" s="396">
        <f>IF($P3253="","",$P3253-$O3253)</f>
        <v/>
      </c>
    </row>
    <row r="3254" ht="15" customHeight="1" s="231">
      <c r="A3254" s="397" t="n"/>
      <c r="B3254" s="397" t="n"/>
      <c r="C3254" s="397" t="n"/>
      <c r="D3254" s="397" t="n"/>
      <c r="E3254" s="397" t="n"/>
      <c r="F3254" s="397" t="n"/>
      <c r="G3254" s="397" t="n"/>
      <c r="I3254" s="397" t="n"/>
      <c r="J3254" s="397" t="n"/>
      <c r="K3254" s="395">
        <f>DATE(VALUE(LEFT(A3254,4)),VALUE(MID(A3254,5,2)),VALUE(RIGHT(A3254,2)))</f>
        <v/>
      </c>
      <c r="L3254" s="395">
        <f>DATEVALUE(LEFT(F3254,10))</f>
        <v/>
      </c>
      <c r="M3254" s="396">
        <f>TIMEVALUE(MID(F3254,12,8))</f>
        <v/>
      </c>
      <c r="N3254" s="395">
        <f>DATEVALUE(LEFT(G3254,10))</f>
        <v/>
      </c>
      <c r="O3254" s="396">
        <f>TIMEVALUE(MID(G3254,12,8))</f>
        <v/>
      </c>
      <c r="P3254" s="396">
        <f>IFERROR(_xlfn.MINIFS($M:$M,$E:$E,$E3254,$K:$K,$K3254,$M:$M,"&gt;"&amp;$O3254),"")</f>
        <v/>
      </c>
      <c r="Q3254" s="396">
        <f>IF($P3254="","",$P3254-$O3254)</f>
        <v/>
      </c>
    </row>
    <row r="3255" ht="15" customHeight="1" s="231">
      <c r="A3255" s="397" t="n"/>
      <c r="B3255" s="397" t="n"/>
      <c r="C3255" s="397" t="n"/>
      <c r="D3255" s="397" t="n"/>
      <c r="E3255" s="397" t="n"/>
      <c r="F3255" s="397" t="n"/>
      <c r="G3255" s="397" t="n"/>
      <c r="I3255" s="397" t="n"/>
      <c r="J3255" s="397" t="n"/>
      <c r="K3255" s="395">
        <f>DATE(VALUE(LEFT(A3255,4)),VALUE(MID(A3255,5,2)),VALUE(RIGHT(A3255,2)))</f>
        <v/>
      </c>
      <c r="L3255" s="395">
        <f>DATEVALUE(LEFT(F3255,10))</f>
        <v/>
      </c>
      <c r="M3255" s="396">
        <f>TIMEVALUE(MID(F3255,12,8))</f>
        <v/>
      </c>
      <c r="N3255" s="395">
        <f>DATEVALUE(LEFT(G3255,10))</f>
        <v/>
      </c>
      <c r="O3255" s="396">
        <f>TIMEVALUE(MID(G3255,12,8))</f>
        <v/>
      </c>
      <c r="P3255" s="396">
        <f>IFERROR(_xlfn.MINIFS($M:$M,$E:$E,$E3255,$K:$K,$K3255,$M:$M,"&gt;"&amp;$O3255),"")</f>
        <v/>
      </c>
      <c r="Q3255" s="396">
        <f>IF($P3255="","",$P3255-$O3255)</f>
        <v/>
      </c>
    </row>
    <row r="3256" ht="15" customHeight="1" s="231">
      <c r="A3256" s="397" t="n"/>
      <c r="B3256" s="397" t="n"/>
      <c r="C3256" s="397" t="n"/>
      <c r="D3256" s="397" t="n"/>
      <c r="E3256" s="397" t="n"/>
      <c r="F3256" s="397" t="n"/>
      <c r="G3256" s="397" t="n"/>
      <c r="I3256" s="397" t="n"/>
      <c r="J3256" s="397" t="n"/>
      <c r="K3256" s="395">
        <f>DATE(VALUE(LEFT(A3256,4)),VALUE(MID(A3256,5,2)),VALUE(RIGHT(A3256,2)))</f>
        <v/>
      </c>
      <c r="L3256" s="395">
        <f>DATEVALUE(LEFT(F3256,10))</f>
        <v/>
      </c>
      <c r="M3256" s="396">
        <f>TIMEVALUE(MID(F3256,12,8))</f>
        <v/>
      </c>
      <c r="N3256" s="395">
        <f>DATEVALUE(LEFT(G3256,10))</f>
        <v/>
      </c>
      <c r="O3256" s="396">
        <f>TIMEVALUE(MID(G3256,12,8))</f>
        <v/>
      </c>
      <c r="P3256" s="396">
        <f>IFERROR(_xlfn.MINIFS($M:$M,$E:$E,$E3256,$K:$K,$K3256,$M:$M,"&gt;"&amp;$O3256),"")</f>
        <v/>
      </c>
      <c r="Q3256" s="396">
        <f>IF($P3256="","",$P3256-$O3256)</f>
        <v/>
      </c>
    </row>
    <row r="3257" ht="15" customHeight="1" s="231">
      <c r="A3257" s="397" t="n"/>
      <c r="B3257" s="397" t="n"/>
      <c r="C3257" s="397" t="n"/>
      <c r="D3257" s="397" t="n"/>
      <c r="E3257" s="397" t="n"/>
      <c r="F3257" s="397" t="n"/>
      <c r="G3257" s="397" t="n"/>
      <c r="I3257" s="397" t="n"/>
      <c r="J3257" s="397" t="n"/>
      <c r="K3257" s="395">
        <f>DATE(VALUE(LEFT(A3257,4)),VALUE(MID(A3257,5,2)),VALUE(RIGHT(A3257,2)))</f>
        <v/>
      </c>
      <c r="L3257" s="395">
        <f>DATEVALUE(LEFT(F3257,10))</f>
        <v/>
      </c>
      <c r="M3257" s="396">
        <f>TIMEVALUE(MID(F3257,12,8))</f>
        <v/>
      </c>
      <c r="N3257" s="395">
        <f>DATEVALUE(LEFT(G3257,10))</f>
        <v/>
      </c>
      <c r="O3257" s="396">
        <f>TIMEVALUE(MID(G3257,12,8))</f>
        <v/>
      </c>
      <c r="P3257" s="396">
        <f>IFERROR(_xlfn.MINIFS($M:$M,$E:$E,$E3257,$K:$K,$K3257,$M:$M,"&gt;"&amp;$O3257),"")</f>
        <v/>
      </c>
      <c r="Q3257" s="396">
        <f>IF($P3257="","",$P3257-$O3257)</f>
        <v/>
      </c>
    </row>
    <row r="3258" ht="15" customHeight="1" s="231">
      <c r="A3258" s="397" t="n"/>
      <c r="B3258" s="397" t="n"/>
      <c r="C3258" s="397" t="n"/>
      <c r="D3258" s="397" t="n"/>
      <c r="E3258" s="397" t="n"/>
      <c r="F3258" s="397" t="n"/>
      <c r="G3258" s="397" t="n"/>
      <c r="I3258" s="397" t="n"/>
      <c r="J3258" s="397" t="n"/>
      <c r="K3258" s="395">
        <f>DATE(VALUE(LEFT(A3258,4)),VALUE(MID(A3258,5,2)),VALUE(RIGHT(A3258,2)))</f>
        <v/>
      </c>
      <c r="L3258" s="395">
        <f>DATEVALUE(LEFT(F3258,10))</f>
        <v/>
      </c>
      <c r="M3258" s="396">
        <f>TIMEVALUE(MID(F3258,12,8))</f>
        <v/>
      </c>
      <c r="N3258" s="395">
        <f>DATEVALUE(LEFT(G3258,10))</f>
        <v/>
      </c>
      <c r="O3258" s="396">
        <f>TIMEVALUE(MID(G3258,12,8))</f>
        <v/>
      </c>
      <c r="P3258" s="396">
        <f>IFERROR(_xlfn.MINIFS($M:$M,$E:$E,$E3258,$K:$K,$K3258,$M:$M,"&gt;"&amp;$O3258),"")</f>
        <v/>
      </c>
      <c r="Q3258" s="396">
        <f>IF($P3258="","",$P3258-$O3258)</f>
        <v/>
      </c>
    </row>
    <row r="3259" ht="15" customHeight="1" s="231">
      <c r="A3259" s="397" t="n"/>
      <c r="B3259" s="397" t="n"/>
      <c r="C3259" s="397" t="n"/>
      <c r="D3259" s="397" t="n"/>
      <c r="E3259" s="397" t="n"/>
      <c r="F3259" s="397" t="n"/>
      <c r="G3259" s="397" t="n"/>
      <c r="I3259" s="397" t="n"/>
      <c r="J3259" s="397" t="n"/>
      <c r="K3259" s="395">
        <f>DATE(VALUE(LEFT(A3259,4)),VALUE(MID(A3259,5,2)),VALUE(RIGHT(A3259,2)))</f>
        <v/>
      </c>
      <c r="L3259" s="395">
        <f>DATEVALUE(LEFT(F3259,10))</f>
        <v/>
      </c>
      <c r="M3259" s="396">
        <f>TIMEVALUE(MID(F3259,12,8))</f>
        <v/>
      </c>
      <c r="N3259" s="395">
        <f>DATEVALUE(LEFT(G3259,10))</f>
        <v/>
      </c>
      <c r="O3259" s="396">
        <f>TIMEVALUE(MID(G3259,12,8))</f>
        <v/>
      </c>
      <c r="P3259" s="396">
        <f>IFERROR(_xlfn.MINIFS($M:$M,$E:$E,$E3259,$K:$K,$K3259,$M:$M,"&gt;"&amp;$O3259),"")</f>
        <v/>
      </c>
      <c r="Q3259" s="396">
        <f>IF($P3259="","",$P3259-$O3259)</f>
        <v/>
      </c>
    </row>
    <row r="3260" ht="15" customHeight="1" s="231">
      <c r="A3260" s="397" t="n"/>
      <c r="B3260" s="397" t="n"/>
      <c r="C3260" s="397" t="n"/>
      <c r="D3260" s="397" t="n"/>
      <c r="E3260" s="397" t="n"/>
      <c r="F3260" s="397" t="n"/>
      <c r="G3260" s="397" t="n"/>
      <c r="I3260" s="397" t="n"/>
      <c r="J3260" s="397" t="n"/>
      <c r="K3260" s="395">
        <f>DATE(VALUE(LEFT(A3260,4)),VALUE(MID(A3260,5,2)),VALUE(RIGHT(A3260,2)))</f>
        <v/>
      </c>
      <c r="L3260" s="395">
        <f>DATEVALUE(LEFT(F3260,10))</f>
        <v/>
      </c>
      <c r="M3260" s="396">
        <f>TIMEVALUE(MID(F3260,12,8))</f>
        <v/>
      </c>
      <c r="N3260" s="395">
        <f>DATEVALUE(LEFT(G3260,10))</f>
        <v/>
      </c>
      <c r="O3260" s="396">
        <f>TIMEVALUE(MID(G3260,12,8))</f>
        <v/>
      </c>
      <c r="P3260" s="396">
        <f>IFERROR(_xlfn.MINIFS($M:$M,$E:$E,$E3260,$K:$K,$K3260,$M:$M,"&gt;"&amp;$O3260),"")</f>
        <v/>
      </c>
      <c r="Q3260" s="396">
        <f>IF($P3260="","",$P3260-$O3260)</f>
        <v/>
      </c>
    </row>
    <row r="3261" ht="15" customHeight="1" s="231">
      <c r="A3261" s="397" t="n"/>
      <c r="B3261" s="397" t="n"/>
      <c r="C3261" s="397" t="n"/>
      <c r="D3261" s="397" t="n"/>
      <c r="E3261" s="397" t="n"/>
      <c r="F3261" s="397" t="n"/>
      <c r="G3261" s="397" t="n"/>
      <c r="I3261" s="397" t="n"/>
      <c r="J3261" s="397" t="n"/>
      <c r="K3261" s="395">
        <f>DATE(VALUE(LEFT(A3261,4)),VALUE(MID(A3261,5,2)),VALUE(RIGHT(A3261,2)))</f>
        <v/>
      </c>
      <c r="L3261" s="395">
        <f>DATEVALUE(LEFT(F3261,10))</f>
        <v/>
      </c>
      <c r="M3261" s="396">
        <f>TIMEVALUE(MID(F3261,12,8))</f>
        <v/>
      </c>
      <c r="N3261" s="395">
        <f>DATEVALUE(LEFT(G3261,10))</f>
        <v/>
      </c>
      <c r="O3261" s="396">
        <f>TIMEVALUE(MID(G3261,12,8))</f>
        <v/>
      </c>
      <c r="P3261" s="396">
        <f>IFERROR(_xlfn.MINIFS($M:$M,$E:$E,$E3261,$K:$K,$K3261,$M:$M,"&gt;"&amp;$O3261),"")</f>
        <v/>
      </c>
      <c r="Q3261" s="396">
        <f>IF($P3261="","",$P3261-$O3261)</f>
        <v/>
      </c>
    </row>
    <row r="3262" ht="15" customHeight="1" s="231">
      <c r="A3262" s="397" t="n"/>
      <c r="B3262" s="397" t="n"/>
      <c r="C3262" s="397" t="n"/>
      <c r="D3262" s="397" t="n"/>
      <c r="E3262" s="397" t="n"/>
      <c r="F3262" s="397" t="n"/>
      <c r="G3262" s="397" t="n"/>
      <c r="I3262" s="397" t="n"/>
      <c r="J3262" s="397" t="n"/>
      <c r="K3262" s="395">
        <f>DATE(VALUE(LEFT(A3262,4)),VALUE(MID(A3262,5,2)),VALUE(RIGHT(A3262,2)))</f>
        <v/>
      </c>
      <c r="L3262" s="395">
        <f>DATEVALUE(LEFT(F3262,10))</f>
        <v/>
      </c>
      <c r="M3262" s="396">
        <f>TIMEVALUE(MID(F3262,12,8))</f>
        <v/>
      </c>
      <c r="N3262" s="395">
        <f>DATEVALUE(LEFT(G3262,10))</f>
        <v/>
      </c>
      <c r="O3262" s="396">
        <f>TIMEVALUE(MID(G3262,12,8))</f>
        <v/>
      </c>
      <c r="P3262" s="396">
        <f>IFERROR(_xlfn.MINIFS($M:$M,$E:$E,$E3262,$K:$K,$K3262,$M:$M,"&gt;"&amp;$O3262),"")</f>
        <v/>
      </c>
      <c r="Q3262" s="396">
        <f>IF($P3262="","",$P3262-$O3262)</f>
        <v/>
      </c>
    </row>
    <row r="3263" ht="15" customHeight="1" s="231">
      <c r="A3263" s="397" t="n"/>
      <c r="B3263" s="397" t="n"/>
      <c r="C3263" s="397" t="n"/>
      <c r="D3263" s="397" t="n"/>
      <c r="E3263" s="397" t="n"/>
      <c r="F3263" s="397" t="n"/>
      <c r="G3263" s="397" t="n"/>
      <c r="I3263" s="397" t="n"/>
      <c r="J3263" s="397" t="n"/>
      <c r="K3263" s="395">
        <f>DATE(VALUE(LEFT(A3263,4)),VALUE(MID(A3263,5,2)),VALUE(RIGHT(A3263,2)))</f>
        <v/>
      </c>
      <c r="L3263" s="395">
        <f>DATEVALUE(LEFT(F3263,10))</f>
        <v/>
      </c>
      <c r="M3263" s="396">
        <f>TIMEVALUE(MID(F3263,12,8))</f>
        <v/>
      </c>
      <c r="N3263" s="395">
        <f>DATEVALUE(LEFT(G3263,10))</f>
        <v/>
      </c>
      <c r="O3263" s="396">
        <f>TIMEVALUE(MID(G3263,12,8))</f>
        <v/>
      </c>
      <c r="P3263" s="396">
        <f>IFERROR(_xlfn.MINIFS($M:$M,$E:$E,$E3263,$K:$K,$K3263,$M:$M,"&gt;"&amp;$O3263),"")</f>
        <v/>
      </c>
      <c r="Q3263" s="396">
        <f>IF($P3263="","",$P3263-$O3263)</f>
        <v/>
      </c>
    </row>
    <row r="3264" ht="15" customHeight="1" s="231">
      <c r="A3264" s="397" t="n"/>
      <c r="B3264" s="397" t="n"/>
      <c r="C3264" s="397" t="n"/>
      <c r="D3264" s="397" t="n"/>
      <c r="E3264" s="397" t="n"/>
      <c r="F3264" s="397" t="n"/>
      <c r="G3264" s="397" t="n"/>
      <c r="I3264" s="397" t="n"/>
      <c r="J3264" s="397" t="n"/>
      <c r="K3264" s="395">
        <f>DATE(VALUE(LEFT(A3264,4)),VALUE(MID(A3264,5,2)),VALUE(RIGHT(A3264,2)))</f>
        <v/>
      </c>
      <c r="L3264" s="395">
        <f>DATEVALUE(LEFT(F3264,10))</f>
        <v/>
      </c>
      <c r="M3264" s="396">
        <f>TIMEVALUE(MID(F3264,12,8))</f>
        <v/>
      </c>
      <c r="N3264" s="395">
        <f>DATEVALUE(LEFT(G3264,10))</f>
        <v/>
      </c>
      <c r="O3264" s="396">
        <f>TIMEVALUE(MID(G3264,12,8))</f>
        <v/>
      </c>
      <c r="P3264" s="396">
        <f>IFERROR(_xlfn.MINIFS($M:$M,$E:$E,$E3264,$K:$K,$K3264,$M:$M,"&gt;"&amp;$O3264),"")</f>
        <v/>
      </c>
      <c r="Q3264" s="396">
        <f>IF($P3264="","",$P3264-$O3264)</f>
        <v/>
      </c>
    </row>
    <row r="3265" ht="15" customHeight="1" s="231">
      <c r="A3265" s="397" t="n"/>
      <c r="B3265" s="397" t="n"/>
      <c r="C3265" s="397" t="n"/>
      <c r="D3265" s="397" t="n"/>
      <c r="E3265" s="397" t="n"/>
      <c r="F3265" s="397" t="n"/>
      <c r="G3265" s="397" t="n"/>
      <c r="I3265" s="397" t="n"/>
      <c r="J3265" s="397" t="n"/>
      <c r="K3265" s="395">
        <f>DATE(VALUE(LEFT(A3265,4)),VALUE(MID(A3265,5,2)),VALUE(RIGHT(A3265,2)))</f>
        <v/>
      </c>
      <c r="L3265" s="395">
        <f>DATEVALUE(LEFT(F3265,10))</f>
        <v/>
      </c>
      <c r="M3265" s="396">
        <f>TIMEVALUE(MID(F3265,12,8))</f>
        <v/>
      </c>
      <c r="N3265" s="395">
        <f>DATEVALUE(LEFT(G3265,10))</f>
        <v/>
      </c>
      <c r="O3265" s="396">
        <f>TIMEVALUE(MID(G3265,12,8))</f>
        <v/>
      </c>
      <c r="P3265" s="396">
        <f>IFERROR(_xlfn.MINIFS($M:$M,$E:$E,$E3265,$K:$K,$K3265,$M:$M,"&gt;"&amp;$O3265),"")</f>
        <v/>
      </c>
      <c r="Q3265" s="396">
        <f>IF($P3265="","",$P3265-$O3265)</f>
        <v/>
      </c>
    </row>
    <row r="3266" ht="15" customHeight="1" s="231">
      <c r="A3266" s="397" t="n"/>
      <c r="B3266" s="397" t="n"/>
      <c r="C3266" s="397" t="n"/>
      <c r="D3266" s="397" t="n"/>
      <c r="E3266" s="397" t="n"/>
      <c r="F3266" s="397" t="n"/>
      <c r="G3266" s="397" t="n"/>
      <c r="I3266" s="397" t="n"/>
      <c r="J3266" s="397" t="n"/>
      <c r="K3266" s="395">
        <f>DATE(VALUE(LEFT(A3266,4)),VALUE(MID(A3266,5,2)),VALUE(RIGHT(A3266,2)))</f>
        <v/>
      </c>
      <c r="L3266" s="395">
        <f>DATEVALUE(LEFT(F3266,10))</f>
        <v/>
      </c>
      <c r="M3266" s="396">
        <f>TIMEVALUE(MID(F3266,12,8))</f>
        <v/>
      </c>
      <c r="N3266" s="395">
        <f>DATEVALUE(LEFT(G3266,10))</f>
        <v/>
      </c>
      <c r="O3266" s="396">
        <f>TIMEVALUE(MID(G3266,12,8))</f>
        <v/>
      </c>
      <c r="P3266" s="396">
        <f>IFERROR(_xlfn.MINIFS($M:$M,$E:$E,$E3266,$K:$K,$K3266,$M:$M,"&gt;"&amp;$O3266),"")</f>
        <v/>
      </c>
      <c r="Q3266" s="396">
        <f>IF($P3266="","",$P3266-$O3266)</f>
        <v/>
      </c>
    </row>
    <row r="3267" ht="15" customHeight="1" s="231">
      <c r="A3267" s="397" t="n"/>
      <c r="B3267" s="397" t="n"/>
      <c r="C3267" s="397" t="n"/>
      <c r="D3267" s="397" t="n"/>
      <c r="E3267" s="397" t="n"/>
      <c r="F3267" s="397" t="n"/>
      <c r="G3267" s="397" t="n"/>
      <c r="I3267" s="397" t="n"/>
      <c r="J3267" s="397" t="n"/>
      <c r="K3267" s="395">
        <f>DATE(VALUE(LEFT(A3267,4)),VALUE(MID(A3267,5,2)),VALUE(RIGHT(A3267,2)))</f>
        <v/>
      </c>
      <c r="L3267" s="395">
        <f>DATEVALUE(LEFT(F3267,10))</f>
        <v/>
      </c>
      <c r="M3267" s="396">
        <f>TIMEVALUE(MID(F3267,12,8))</f>
        <v/>
      </c>
      <c r="N3267" s="395">
        <f>DATEVALUE(LEFT(G3267,10))</f>
        <v/>
      </c>
      <c r="O3267" s="396">
        <f>TIMEVALUE(MID(G3267,12,8))</f>
        <v/>
      </c>
      <c r="P3267" s="396">
        <f>IFERROR(_xlfn.MINIFS($M:$M,$E:$E,$E3267,$K:$K,$K3267,$M:$M,"&gt;"&amp;$O3267),"")</f>
        <v/>
      </c>
      <c r="Q3267" s="396">
        <f>IF($P3267="","",$P3267-$O3267)</f>
        <v/>
      </c>
    </row>
    <row r="3268" ht="15" customHeight="1" s="231">
      <c r="A3268" s="397" t="n"/>
      <c r="B3268" s="397" t="n"/>
      <c r="C3268" s="397" t="n"/>
      <c r="D3268" s="397" t="n"/>
      <c r="E3268" s="397" t="n"/>
      <c r="F3268" s="397" t="n"/>
      <c r="G3268" s="397" t="n"/>
      <c r="I3268" s="397" t="n"/>
      <c r="J3268" s="397" t="n"/>
      <c r="K3268" s="395">
        <f>DATE(VALUE(LEFT(A3268,4)),VALUE(MID(A3268,5,2)),VALUE(RIGHT(A3268,2)))</f>
        <v/>
      </c>
      <c r="L3268" s="395">
        <f>DATEVALUE(LEFT(F3268,10))</f>
        <v/>
      </c>
      <c r="M3268" s="396">
        <f>TIMEVALUE(MID(F3268,12,8))</f>
        <v/>
      </c>
      <c r="N3268" s="395">
        <f>DATEVALUE(LEFT(G3268,10))</f>
        <v/>
      </c>
      <c r="O3268" s="396">
        <f>TIMEVALUE(MID(G3268,12,8))</f>
        <v/>
      </c>
      <c r="P3268" s="396">
        <f>IFERROR(_xlfn.MINIFS($M:$M,$E:$E,$E3268,$K:$K,$K3268,$M:$M,"&gt;"&amp;$O3268),"")</f>
        <v/>
      </c>
      <c r="Q3268" s="396">
        <f>IF($P3268="","",$P3268-$O3268)</f>
        <v/>
      </c>
    </row>
    <row r="3269" ht="15" customHeight="1" s="231">
      <c r="A3269" s="397" t="n"/>
      <c r="B3269" s="397" t="n"/>
      <c r="C3269" s="397" t="n"/>
      <c r="D3269" s="397" t="n"/>
      <c r="E3269" s="397" t="n"/>
      <c r="F3269" s="397" t="n"/>
      <c r="G3269" s="397" t="n"/>
      <c r="I3269" s="397" t="n"/>
      <c r="J3269" s="397" t="n"/>
      <c r="K3269" s="395">
        <f>DATE(VALUE(LEFT(A3269,4)),VALUE(MID(A3269,5,2)),VALUE(RIGHT(A3269,2)))</f>
        <v/>
      </c>
      <c r="L3269" s="395">
        <f>DATEVALUE(LEFT(F3269,10))</f>
        <v/>
      </c>
      <c r="M3269" s="396">
        <f>TIMEVALUE(MID(F3269,12,8))</f>
        <v/>
      </c>
      <c r="N3269" s="395">
        <f>DATEVALUE(LEFT(G3269,10))</f>
        <v/>
      </c>
      <c r="O3269" s="396">
        <f>TIMEVALUE(MID(G3269,12,8))</f>
        <v/>
      </c>
      <c r="P3269" s="396">
        <f>IFERROR(_xlfn.MINIFS($M:$M,$E:$E,$E3269,$K:$K,$K3269,$M:$M,"&gt;"&amp;$O3269),"")</f>
        <v/>
      </c>
      <c r="Q3269" s="396">
        <f>IF($P3269="","",$P3269-$O3269)</f>
        <v/>
      </c>
    </row>
    <row r="3270" ht="15" customHeight="1" s="231">
      <c r="A3270" s="397" t="n"/>
      <c r="B3270" s="397" t="n"/>
      <c r="C3270" s="397" t="n"/>
      <c r="D3270" s="397" t="n"/>
      <c r="E3270" s="397" t="n"/>
      <c r="F3270" s="397" t="n"/>
      <c r="G3270" s="397" t="n"/>
      <c r="I3270" s="397" t="n"/>
      <c r="J3270" s="397" t="n"/>
      <c r="K3270" s="395">
        <f>DATE(VALUE(LEFT(A3270,4)),VALUE(MID(A3270,5,2)),VALUE(RIGHT(A3270,2)))</f>
        <v/>
      </c>
      <c r="L3270" s="395">
        <f>DATEVALUE(LEFT(F3270,10))</f>
        <v/>
      </c>
      <c r="M3270" s="396">
        <f>TIMEVALUE(MID(F3270,12,8))</f>
        <v/>
      </c>
      <c r="N3270" s="395">
        <f>DATEVALUE(LEFT(G3270,10))</f>
        <v/>
      </c>
      <c r="O3270" s="396">
        <f>TIMEVALUE(MID(G3270,12,8))</f>
        <v/>
      </c>
      <c r="P3270" s="396">
        <f>IFERROR(_xlfn.MINIFS($M:$M,$E:$E,$E3270,$K:$K,$K3270,$M:$M,"&gt;"&amp;$O3270),"")</f>
        <v/>
      </c>
      <c r="Q3270" s="396">
        <f>IF($P3270="","",$P3270-$O3270)</f>
        <v/>
      </c>
    </row>
    <row r="3271" ht="15" customHeight="1" s="231">
      <c r="A3271" s="397" t="n"/>
      <c r="B3271" s="397" t="n"/>
      <c r="C3271" s="397" t="n"/>
      <c r="D3271" s="397" t="n"/>
      <c r="E3271" s="397" t="n"/>
      <c r="F3271" s="397" t="n"/>
      <c r="G3271" s="397" t="n"/>
      <c r="I3271" s="397" t="n"/>
      <c r="J3271" s="397" t="n"/>
      <c r="K3271" s="395">
        <f>DATE(VALUE(LEFT(A3271,4)),VALUE(MID(A3271,5,2)),VALUE(RIGHT(A3271,2)))</f>
        <v/>
      </c>
      <c r="L3271" s="395">
        <f>DATEVALUE(LEFT(F3271,10))</f>
        <v/>
      </c>
      <c r="M3271" s="396">
        <f>TIMEVALUE(MID(F3271,12,8))</f>
        <v/>
      </c>
      <c r="N3271" s="395">
        <f>DATEVALUE(LEFT(G3271,10))</f>
        <v/>
      </c>
      <c r="O3271" s="396">
        <f>TIMEVALUE(MID(G3271,12,8))</f>
        <v/>
      </c>
      <c r="P3271" s="396">
        <f>IFERROR(_xlfn.MINIFS($M:$M,$E:$E,$E3271,$K:$K,$K3271,$M:$M,"&gt;"&amp;$O3271),"")</f>
        <v/>
      </c>
      <c r="Q3271" s="396">
        <f>IF($P3271="","",$P3271-$O3271)</f>
        <v/>
      </c>
    </row>
    <row r="3272" ht="15" customHeight="1" s="231">
      <c r="A3272" s="397" t="n"/>
      <c r="B3272" s="397" t="n"/>
      <c r="C3272" s="397" t="n"/>
      <c r="D3272" s="397" t="n"/>
      <c r="E3272" s="397" t="n"/>
      <c r="F3272" s="397" t="n"/>
      <c r="G3272" s="397" t="n"/>
      <c r="I3272" s="397" t="n"/>
      <c r="J3272" s="397" t="n"/>
      <c r="K3272" s="395">
        <f>DATE(VALUE(LEFT(A3272,4)),VALUE(MID(A3272,5,2)),VALUE(RIGHT(A3272,2)))</f>
        <v/>
      </c>
      <c r="L3272" s="395">
        <f>DATEVALUE(LEFT(F3272,10))</f>
        <v/>
      </c>
      <c r="M3272" s="396">
        <f>TIMEVALUE(MID(F3272,12,8))</f>
        <v/>
      </c>
      <c r="N3272" s="395">
        <f>DATEVALUE(LEFT(G3272,10))</f>
        <v/>
      </c>
      <c r="O3272" s="396">
        <f>TIMEVALUE(MID(G3272,12,8))</f>
        <v/>
      </c>
      <c r="P3272" s="396">
        <f>IFERROR(_xlfn.MINIFS($M:$M,$E:$E,$E3272,$K:$K,$K3272,$M:$M,"&gt;"&amp;$O3272),"")</f>
        <v/>
      </c>
      <c r="Q3272" s="396">
        <f>IF($P3272="","",$P3272-$O3272)</f>
        <v/>
      </c>
    </row>
    <row r="3273" ht="15" customHeight="1" s="231">
      <c r="A3273" s="397" t="n"/>
      <c r="B3273" s="397" t="n"/>
      <c r="C3273" s="397" t="n"/>
      <c r="D3273" s="397" t="n"/>
      <c r="E3273" s="397" t="n"/>
      <c r="F3273" s="397" t="n"/>
      <c r="G3273" s="397" t="n"/>
      <c r="I3273" s="397" t="n"/>
      <c r="J3273" s="397" t="n"/>
      <c r="K3273" s="395">
        <f>DATE(VALUE(LEFT(A3273,4)),VALUE(MID(A3273,5,2)),VALUE(RIGHT(A3273,2)))</f>
        <v/>
      </c>
      <c r="L3273" s="395">
        <f>DATEVALUE(LEFT(F3273,10))</f>
        <v/>
      </c>
      <c r="M3273" s="396">
        <f>TIMEVALUE(MID(F3273,12,8))</f>
        <v/>
      </c>
      <c r="N3273" s="395">
        <f>DATEVALUE(LEFT(G3273,10))</f>
        <v/>
      </c>
      <c r="O3273" s="396">
        <f>TIMEVALUE(MID(G3273,12,8))</f>
        <v/>
      </c>
      <c r="P3273" s="396">
        <f>IFERROR(_xlfn.MINIFS($M:$M,$E:$E,$E3273,$K:$K,$K3273,$M:$M,"&gt;"&amp;$O3273),"")</f>
        <v/>
      </c>
      <c r="Q3273" s="396">
        <f>IF($P3273="","",$P3273-$O3273)</f>
        <v/>
      </c>
    </row>
    <row r="3274" ht="15" customHeight="1" s="231">
      <c r="A3274" s="397" t="n"/>
      <c r="B3274" s="397" t="n"/>
      <c r="C3274" s="397" t="n"/>
      <c r="D3274" s="397" t="n"/>
      <c r="E3274" s="397" t="n"/>
      <c r="F3274" s="397" t="n"/>
      <c r="G3274" s="397" t="n"/>
      <c r="I3274" s="397" t="n"/>
      <c r="J3274" s="397" t="n"/>
      <c r="K3274" s="395">
        <f>DATE(VALUE(LEFT(A3274,4)),VALUE(MID(A3274,5,2)),VALUE(RIGHT(A3274,2)))</f>
        <v/>
      </c>
      <c r="L3274" s="395">
        <f>DATEVALUE(LEFT(F3274,10))</f>
        <v/>
      </c>
      <c r="M3274" s="396">
        <f>TIMEVALUE(MID(F3274,12,8))</f>
        <v/>
      </c>
      <c r="N3274" s="395">
        <f>DATEVALUE(LEFT(G3274,10))</f>
        <v/>
      </c>
      <c r="O3274" s="396">
        <f>TIMEVALUE(MID(G3274,12,8))</f>
        <v/>
      </c>
      <c r="P3274" s="396">
        <f>IFERROR(_xlfn.MINIFS($M:$M,$E:$E,$E3274,$K:$K,$K3274,$M:$M,"&gt;"&amp;$O3274),"")</f>
        <v/>
      </c>
      <c r="Q3274" s="396">
        <f>IF($P3274="","",$P3274-$O3274)</f>
        <v/>
      </c>
    </row>
    <row r="3275" ht="15" customHeight="1" s="231">
      <c r="A3275" s="397" t="n"/>
      <c r="B3275" s="397" t="n"/>
      <c r="C3275" s="397" t="n"/>
      <c r="D3275" s="397" t="n"/>
      <c r="E3275" s="397" t="n"/>
      <c r="F3275" s="397" t="n"/>
      <c r="G3275" s="397" t="n"/>
      <c r="I3275" s="397" t="n"/>
      <c r="J3275" s="397" t="n"/>
      <c r="K3275" s="395">
        <f>DATE(VALUE(LEFT(A3275,4)),VALUE(MID(A3275,5,2)),VALUE(RIGHT(A3275,2)))</f>
        <v/>
      </c>
      <c r="L3275" s="395">
        <f>DATEVALUE(LEFT(F3275,10))</f>
        <v/>
      </c>
      <c r="M3275" s="396">
        <f>TIMEVALUE(MID(F3275,12,8))</f>
        <v/>
      </c>
      <c r="N3275" s="395">
        <f>DATEVALUE(LEFT(G3275,10))</f>
        <v/>
      </c>
      <c r="O3275" s="396">
        <f>TIMEVALUE(MID(G3275,12,8))</f>
        <v/>
      </c>
      <c r="P3275" s="396">
        <f>IFERROR(_xlfn.MINIFS($M:$M,$E:$E,$E3275,$K:$K,$K3275,$M:$M,"&gt;"&amp;$O3275),"")</f>
        <v/>
      </c>
      <c r="Q3275" s="396">
        <f>IF($P3275="","",$P3275-$O3275)</f>
        <v/>
      </c>
    </row>
    <row r="3276" ht="15" customHeight="1" s="231">
      <c r="A3276" s="397" t="n"/>
      <c r="B3276" s="397" t="n"/>
      <c r="C3276" s="397" t="n"/>
      <c r="D3276" s="397" t="n"/>
      <c r="E3276" s="397" t="n"/>
      <c r="F3276" s="397" t="n"/>
      <c r="G3276" s="397" t="n"/>
      <c r="I3276" s="397" t="n"/>
      <c r="J3276" s="397" t="n"/>
      <c r="K3276" s="395">
        <f>DATE(VALUE(LEFT(A3276,4)),VALUE(MID(A3276,5,2)),VALUE(RIGHT(A3276,2)))</f>
        <v/>
      </c>
      <c r="L3276" s="395">
        <f>DATEVALUE(LEFT(F3276,10))</f>
        <v/>
      </c>
      <c r="M3276" s="396">
        <f>TIMEVALUE(MID(F3276,12,8))</f>
        <v/>
      </c>
      <c r="N3276" s="395">
        <f>DATEVALUE(LEFT(G3276,10))</f>
        <v/>
      </c>
      <c r="O3276" s="396">
        <f>TIMEVALUE(MID(G3276,12,8))</f>
        <v/>
      </c>
      <c r="P3276" s="396">
        <f>IFERROR(_xlfn.MINIFS($M:$M,$E:$E,$E3276,$K:$K,$K3276,$M:$M,"&gt;"&amp;$O3276),"")</f>
        <v/>
      </c>
      <c r="Q3276" s="396">
        <f>IF($P3276="","",$P3276-$O3276)</f>
        <v/>
      </c>
    </row>
    <row r="3277" ht="15" customHeight="1" s="231">
      <c r="A3277" s="397" t="n"/>
      <c r="B3277" s="397" t="n"/>
      <c r="C3277" s="397" t="n"/>
      <c r="D3277" s="397" t="n"/>
      <c r="E3277" s="397" t="n"/>
      <c r="F3277" s="397" t="n"/>
      <c r="G3277" s="397" t="n"/>
      <c r="I3277" s="397" t="n"/>
      <c r="J3277" s="397" t="n"/>
      <c r="K3277" s="395">
        <f>DATE(VALUE(LEFT(A3277,4)),VALUE(MID(A3277,5,2)),VALUE(RIGHT(A3277,2)))</f>
        <v/>
      </c>
      <c r="L3277" s="395">
        <f>DATEVALUE(LEFT(F3277,10))</f>
        <v/>
      </c>
      <c r="M3277" s="396">
        <f>TIMEVALUE(MID(F3277,12,8))</f>
        <v/>
      </c>
      <c r="N3277" s="395">
        <f>DATEVALUE(LEFT(G3277,10))</f>
        <v/>
      </c>
      <c r="O3277" s="396">
        <f>TIMEVALUE(MID(G3277,12,8))</f>
        <v/>
      </c>
      <c r="P3277" s="396">
        <f>IFERROR(_xlfn.MINIFS($M:$M,$E:$E,$E3277,$K:$K,$K3277,$M:$M,"&gt;"&amp;$O3277),"")</f>
        <v/>
      </c>
      <c r="Q3277" s="396">
        <f>IF($P3277="","",$P3277-$O3277)</f>
        <v/>
      </c>
    </row>
    <row r="3278" ht="15" customHeight="1" s="231">
      <c r="A3278" s="397" t="n"/>
      <c r="B3278" s="397" t="n"/>
      <c r="C3278" s="397" t="n"/>
      <c r="D3278" s="397" t="n"/>
      <c r="E3278" s="397" t="n"/>
      <c r="F3278" s="397" t="n"/>
      <c r="G3278" s="397" t="n"/>
      <c r="I3278" s="397" t="n"/>
      <c r="J3278" s="397" t="n"/>
      <c r="K3278" s="395">
        <f>DATE(VALUE(LEFT(A3278,4)),VALUE(MID(A3278,5,2)),VALUE(RIGHT(A3278,2)))</f>
        <v/>
      </c>
      <c r="L3278" s="395">
        <f>DATEVALUE(LEFT(F3278,10))</f>
        <v/>
      </c>
      <c r="M3278" s="396">
        <f>TIMEVALUE(MID(F3278,12,8))</f>
        <v/>
      </c>
      <c r="N3278" s="395">
        <f>DATEVALUE(LEFT(G3278,10))</f>
        <v/>
      </c>
      <c r="O3278" s="396">
        <f>TIMEVALUE(MID(G3278,12,8))</f>
        <v/>
      </c>
      <c r="P3278" s="396">
        <f>IFERROR(_xlfn.MINIFS($M:$M,$E:$E,$E3278,$K:$K,$K3278,$M:$M,"&gt;"&amp;$O3278),"")</f>
        <v/>
      </c>
      <c r="Q3278" s="396">
        <f>IF($P3278="","",$P3278-$O3278)</f>
        <v/>
      </c>
    </row>
    <row r="3279" ht="15" customHeight="1" s="231">
      <c r="A3279" s="397" t="n"/>
      <c r="B3279" s="397" t="n"/>
      <c r="C3279" s="397" t="n"/>
      <c r="D3279" s="397" t="n"/>
      <c r="E3279" s="397" t="n"/>
      <c r="F3279" s="397" t="n"/>
      <c r="G3279" s="397" t="n"/>
      <c r="I3279" s="397" t="n"/>
      <c r="J3279" s="397" t="n"/>
      <c r="K3279" s="395">
        <f>DATE(VALUE(LEFT(A3279,4)),VALUE(MID(A3279,5,2)),VALUE(RIGHT(A3279,2)))</f>
        <v/>
      </c>
      <c r="L3279" s="395">
        <f>DATEVALUE(LEFT(F3279,10))</f>
        <v/>
      </c>
      <c r="M3279" s="396">
        <f>TIMEVALUE(MID(F3279,12,8))</f>
        <v/>
      </c>
      <c r="N3279" s="395">
        <f>DATEVALUE(LEFT(G3279,10))</f>
        <v/>
      </c>
      <c r="O3279" s="396">
        <f>TIMEVALUE(MID(G3279,12,8))</f>
        <v/>
      </c>
      <c r="P3279" s="396">
        <f>IFERROR(_xlfn.MINIFS($M:$M,$E:$E,$E3279,$K:$K,$K3279,$M:$M,"&gt;"&amp;$O3279),"")</f>
        <v/>
      </c>
      <c r="Q3279" s="396">
        <f>IF($P3279="","",$P3279-$O3279)</f>
        <v/>
      </c>
    </row>
    <row r="3280" ht="15" customHeight="1" s="231">
      <c r="A3280" s="397" t="n"/>
      <c r="B3280" s="397" t="n"/>
      <c r="C3280" s="397" t="n"/>
      <c r="D3280" s="397" t="n"/>
      <c r="E3280" s="397" t="n"/>
      <c r="F3280" s="397" t="n"/>
      <c r="G3280" s="397" t="n"/>
      <c r="I3280" s="397" t="n"/>
      <c r="J3280" s="397" t="n"/>
      <c r="K3280" s="395">
        <f>DATE(VALUE(LEFT(A3280,4)),VALUE(MID(A3280,5,2)),VALUE(RIGHT(A3280,2)))</f>
        <v/>
      </c>
      <c r="L3280" s="395">
        <f>DATEVALUE(LEFT(F3280,10))</f>
        <v/>
      </c>
      <c r="M3280" s="396">
        <f>TIMEVALUE(MID(F3280,12,8))</f>
        <v/>
      </c>
      <c r="N3280" s="395">
        <f>DATEVALUE(LEFT(G3280,10))</f>
        <v/>
      </c>
      <c r="O3280" s="396">
        <f>TIMEVALUE(MID(G3280,12,8))</f>
        <v/>
      </c>
      <c r="P3280" s="396">
        <f>IFERROR(_xlfn.MINIFS($M:$M,$E:$E,$E3280,$K:$K,$K3280,$M:$M,"&gt;"&amp;$O3280),"")</f>
        <v/>
      </c>
      <c r="Q3280" s="396">
        <f>IF($P3280="","",$P3280-$O3280)</f>
        <v/>
      </c>
    </row>
    <row r="3281" ht="15" customHeight="1" s="231">
      <c r="A3281" s="397" t="n"/>
      <c r="B3281" s="397" t="n"/>
      <c r="C3281" s="397" t="n"/>
      <c r="D3281" s="397" t="n"/>
      <c r="E3281" s="397" t="n"/>
      <c r="F3281" s="397" t="n"/>
      <c r="G3281" s="397" t="n"/>
      <c r="I3281" s="397" t="n"/>
      <c r="J3281" s="397" t="n"/>
      <c r="K3281" s="395">
        <f>DATE(VALUE(LEFT(A3281,4)),VALUE(MID(A3281,5,2)),VALUE(RIGHT(A3281,2)))</f>
        <v/>
      </c>
      <c r="L3281" s="395">
        <f>DATEVALUE(LEFT(F3281,10))</f>
        <v/>
      </c>
      <c r="M3281" s="396">
        <f>TIMEVALUE(MID(F3281,12,8))</f>
        <v/>
      </c>
      <c r="N3281" s="395">
        <f>DATEVALUE(LEFT(G3281,10))</f>
        <v/>
      </c>
      <c r="O3281" s="396">
        <f>TIMEVALUE(MID(G3281,12,8))</f>
        <v/>
      </c>
      <c r="P3281" s="396">
        <f>IFERROR(_xlfn.MINIFS($M:$M,$E:$E,$E3281,$K:$K,$K3281,$M:$M,"&gt;"&amp;$O3281),"")</f>
        <v/>
      </c>
      <c r="Q3281" s="396">
        <f>IF($P3281="","",$P3281-$O3281)</f>
        <v/>
      </c>
    </row>
    <row r="3282" ht="15" customHeight="1" s="231">
      <c r="A3282" s="397" t="n"/>
      <c r="B3282" s="397" t="n"/>
      <c r="C3282" s="397" t="n"/>
      <c r="D3282" s="397" t="n"/>
      <c r="E3282" s="397" t="n"/>
      <c r="F3282" s="397" t="n"/>
      <c r="G3282" s="397" t="n"/>
      <c r="I3282" s="397" t="n"/>
      <c r="J3282" s="397" t="n"/>
      <c r="K3282" s="395">
        <f>DATE(VALUE(LEFT(A3282,4)),VALUE(MID(A3282,5,2)),VALUE(RIGHT(A3282,2)))</f>
        <v/>
      </c>
      <c r="L3282" s="395">
        <f>DATEVALUE(LEFT(F3282,10))</f>
        <v/>
      </c>
      <c r="M3282" s="396">
        <f>TIMEVALUE(MID(F3282,12,8))</f>
        <v/>
      </c>
      <c r="N3282" s="395">
        <f>DATEVALUE(LEFT(G3282,10))</f>
        <v/>
      </c>
      <c r="O3282" s="396">
        <f>TIMEVALUE(MID(G3282,12,8))</f>
        <v/>
      </c>
      <c r="P3282" s="396">
        <f>IFERROR(_xlfn.MINIFS($M:$M,$E:$E,$E3282,$K:$K,$K3282,$M:$M,"&gt;"&amp;$O3282),"")</f>
        <v/>
      </c>
      <c r="Q3282" s="396">
        <f>IF($P3282="","",$P3282-$O3282)</f>
        <v/>
      </c>
    </row>
    <row r="3283" ht="15" customHeight="1" s="231">
      <c r="A3283" s="397" t="n"/>
      <c r="B3283" s="397" t="n"/>
      <c r="C3283" s="397" t="n"/>
      <c r="D3283" s="397" t="n"/>
      <c r="E3283" s="397" t="n"/>
      <c r="F3283" s="397" t="n"/>
      <c r="G3283" s="397" t="n"/>
      <c r="I3283" s="397" t="n"/>
      <c r="J3283" s="397" t="n"/>
      <c r="K3283" s="395">
        <f>DATE(VALUE(LEFT(A3283,4)),VALUE(MID(A3283,5,2)),VALUE(RIGHT(A3283,2)))</f>
        <v/>
      </c>
      <c r="L3283" s="395">
        <f>DATEVALUE(LEFT(F3283,10))</f>
        <v/>
      </c>
      <c r="M3283" s="396">
        <f>TIMEVALUE(MID(F3283,12,8))</f>
        <v/>
      </c>
      <c r="N3283" s="395">
        <f>DATEVALUE(LEFT(G3283,10))</f>
        <v/>
      </c>
      <c r="O3283" s="396">
        <f>TIMEVALUE(MID(G3283,12,8))</f>
        <v/>
      </c>
      <c r="P3283" s="396">
        <f>IFERROR(_xlfn.MINIFS($M:$M,$E:$E,$E3283,$K:$K,$K3283,$M:$M,"&gt;"&amp;$O3283),"")</f>
        <v/>
      </c>
      <c r="Q3283" s="396">
        <f>IF($P3283="","",$P3283-$O3283)</f>
        <v/>
      </c>
    </row>
    <row r="3284" ht="15" customHeight="1" s="231">
      <c r="A3284" s="397" t="n"/>
      <c r="B3284" s="397" t="n"/>
      <c r="C3284" s="397" t="n"/>
      <c r="D3284" s="397" t="n"/>
      <c r="E3284" s="397" t="n"/>
      <c r="F3284" s="397" t="n"/>
      <c r="G3284" s="397" t="n"/>
      <c r="I3284" s="397" t="n"/>
      <c r="J3284" s="397" t="n"/>
      <c r="K3284" s="395">
        <f>DATE(VALUE(LEFT(A3284,4)),VALUE(MID(A3284,5,2)),VALUE(RIGHT(A3284,2)))</f>
        <v/>
      </c>
      <c r="L3284" s="395">
        <f>DATEVALUE(LEFT(F3284,10))</f>
        <v/>
      </c>
      <c r="M3284" s="396">
        <f>TIMEVALUE(MID(F3284,12,8))</f>
        <v/>
      </c>
      <c r="N3284" s="395">
        <f>DATEVALUE(LEFT(G3284,10))</f>
        <v/>
      </c>
      <c r="O3284" s="396">
        <f>TIMEVALUE(MID(G3284,12,8))</f>
        <v/>
      </c>
      <c r="P3284" s="396">
        <f>IFERROR(_xlfn.MINIFS($M:$M,$E:$E,$E3284,$K:$K,$K3284,$M:$M,"&gt;"&amp;$O3284),"")</f>
        <v/>
      </c>
      <c r="Q3284" s="396">
        <f>IF($P3284="","",$P3284-$O3284)</f>
        <v/>
      </c>
    </row>
    <row r="3285" ht="15" customHeight="1" s="231">
      <c r="A3285" s="397" t="n"/>
      <c r="B3285" s="397" t="n"/>
      <c r="C3285" s="397" t="n"/>
      <c r="D3285" s="397" t="n"/>
      <c r="E3285" s="397" t="n"/>
      <c r="F3285" s="397" t="n"/>
      <c r="G3285" s="397" t="n"/>
      <c r="I3285" s="397" t="n"/>
      <c r="J3285" s="397" t="n"/>
      <c r="K3285" s="395">
        <f>DATE(VALUE(LEFT(A3285,4)),VALUE(MID(A3285,5,2)),VALUE(RIGHT(A3285,2)))</f>
        <v/>
      </c>
      <c r="L3285" s="395">
        <f>DATEVALUE(LEFT(F3285,10))</f>
        <v/>
      </c>
      <c r="M3285" s="396">
        <f>TIMEVALUE(MID(F3285,12,8))</f>
        <v/>
      </c>
      <c r="N3285" s="395">
        <f>DATEVALUE(LEFT(G3285,10))</f>
        <v/>
      </c>
      <c r="O3285" s="396">
        <f>TIMEVALUE(MID(G3285,12,8))</f>
        <v/>
      </c>
      <c r="P3285" s="396">
        <f>IFERROR(_xlfn.MINIFS($M:$M,$E:$E,$E3285,$K:$K,$K3285,$M:$M,"&gt;"&amp;$O3285),"")</f>
        <v/>
      </c>
      <c r="Q3285" s="396">
        <f>IF($P3285="","",$P3285-$O3285)</f>
        <v/>
      </c>
    </row>
    <row r="3286" ht="15" customHeight="1" s="231">
      <c r="A3286" s="397" t="n"/>
      <c r="B3286" s="397" t="n"/>
      <c r="C3286" s="397" t="n"/>
      <c r="D3286" s="397" t="n"/>
      <c r="E3286" s="397" t="n"/>
      <c r="F3286" s="397" t="n"/>
      <c r="G3286" s="397" t="n"/>
      <c r="I3286" s="397" t="n"/>
      <c r="J3286" s="397" t="n"/>
      <c r="K3286" s="395">
        <f>DATE(VALUE(LEFT(A3286,4)),VALUE(MID(A3286,5,2)),VALUE(RIGHT(A3286,2)))</f>
        <v/>
      </c>
      <c r="L3286" s="395">
        <f>DATEVALUE(LEFT(F3286,10))</f>
        <v/>
      </c>
      <c r="M3286" s="396">
        <f>TIMEVALUE(MID(F3286,12,8))</f>
        <v/>
      </c>
      <c r="N3286" s="395">
        <f>DATEVALUE(LEFT(G3286,10))</f>
        <v/>
      </c>
      <c r="O3286" s="396">
        <f>TIMEVALUE(MID(G3286,12,8))</f>
        <v/>
      </c>
      <c r="P3286" s="396">
        <f>IFERROR(_xlfn.MINIFS($M:$M,$E:$E,$E3286,$K:$K,$K3286,$M:$M,"&gt;"&amp;$O3286),"")</f>
        <v/>
      </c>
      <c r="Q3286" s="396">
        <f>IF($P3286="","",$P3286-$O3286)</f>
        <v/>
      </c>
    </row>
    <row r="3287" ht="15" customHeight="1" s="231">
      <c r="A3287" s="397" t="n"/>
      <c r="B3287" s="397" t="n"/>
      <c r="C3287" s="397" t="n"/>
      <c r="D3287" s="397" t="n"/>
      <c r="E3287" s="397" t="n"/>
      <c r="F3287" s="397" t="n"/>
      <c r="G3287" s="397" t="n"/>
      <c r="I3287" s="397" t="n"/>
      <c r="J3287" s="397" t="n"/>
      <c r="K3287" s="395">
        <f>DATE(VALUE(LEFT(A3287,4)),VALUE(MID(A3287,5,2)),VALUE(RIGHT(A3287,2)))</f>
        <v/>
      </c>
      <c r="L3287" s="395">
        <f>DATEVALUE(LEFT(F3287,10))</f>
        <v/>
      </c>
      <c r="M3287" s="396">
        <f>TIMEVALUE(MID(F3287,12,8))</f>
        <v/>
      </c>
      <c r="N3287" s="395">
        <f>DATEVALUE(LEFT(G3287,10))</f>
        <v/>
      </c>
      <c r="O3287" s="396">
        <f>TIMEVALUE(MID(G3287,12,8))</f>
        <v/>
      </c>
      <c r="P3287" s="396">
        <f>IFERROR(_xlfn.MINIFS($M:$M,$E:$E,$E3287,$K:$K,$K3287,$M:$M,"&gt;"&amp;$O3287),"")</f>
        <v/>
      </c>
      <c r="Q3287" s="396">
        <f>IF($P3287="","",$P3287-$O3287)</f>
        <v/>
      </c>
    </row>
    <row r="3288" ht="15" customHeight="1" s="231">
      <c r="A3288" s="397" t="n"/>
      <c r="B3288" s="397" t="n"/>
      <c r="C3288" s="397" t="n"/>
      <c r="D3288" s="397" t="n"/>
      <c r="E3288" s="397" t="n"/>
      <c r="F3288" s="397" t="n"/>
      <c r="G3288" s="397" t="n"/>
      <c r="I3288" s="397" t="n"/>
      <c r="J3288" s="397" t="n"/>
      <c r="K3288" s="395">
        <f>DATE(VALUE(LEFT(A3288,4)),VALUE(MID(A3288,5,2)),VALUE(RIGHT(A3288,2)))</f>
        <v/>
      </c>
      <c r="L3288" s="395">
        <f>DATEVALUE(LEFT(F3288,10))</f>
        <v/>
      </c>
      <c r="M3288" s="396">
        <f>TIMEVALUE(MID(F3288,12,8))</f>
        <v/>
      </c>
      <c r="N3288" s="395">
        <f>DATEVALUE(LEFT(G3288,10))</f>
        <v/>
      </c>
      <c r="O3288" s="396">
        <f>TIMEVALUE(MID(G3288,12,8))</f>
        <v/>
      </c>
      <c r="P3288" s="396">
        <f>IFERROR(_xlfn.MINIFS($M:$M,$E:$E,$E3288,$K:$K,$K3288,$M:$M,"&gt;"&amp;$O3288),"")</f>
        <v/>
      </c>
      <c r="Q3288" s="396">
        <f>IF($P3288="","",$P3288-$O3288)</f>
        <v/>
      </c>
    </row>
    <row r="3289" ht="15" customHeight="1" s="231">
      <c r="A3289" s="397" t="n"/>
      <c r="B3289" s="397" t="n"/>
      <c r="C3289" s="397" t="n"/>
      <c r="D3289" s="397" t="n"/>
      <c r="E3289" s="397" t="n"/>
      <c r="F3289" s="397" t="n"/>
      <c r="G3289" s="397" t="n"/>
      <c r="I3289" s="397" t="n"/>
      <c r="J3289" s="397" t="n"/>
      <c r="K3289" s="395">
        <f>DATE(VALUE(LEFT(A3289,4)),VALUE(MID(A3289,5,2)),VALUE(RIGHT(A3289,2)))</f>
        <v/>
      </c>
      <c r="L3289" s="395">
        <f>DATEVALUE(LEFT(F3289,10))</f>
        <v/>
      </c>
      <c r="M3289" s="396">
        <f>TIMEVALUE(MID(F3289,12,8))</f>
        <v/>
      </c>
      <c r="N3289" s="395">
        <f>DATEVALUE(LEFT(G3289,10))</f>
        <v/>
      </c>
      <c r="O3289" s="396">
        <f>TIMEVALUE(MID(G3289,12,8))</f>
        <v/>
      </c>
      <c r="P3289" s="396">
        <f>IFERROR(_xlfn.MINIFS($M:$M,$E:$E,$E3289,$K:$K,$K3289,$M:$M,"&gt;"&amp;$O3289),"")</f>
        <v/>
      </c>
      <c r="Q3289" s="396">
        <f>IF($P3289="","",$P3289-$O3289)</f>
        <v/>
      </c>
    </row>
    <row r="3290" ht="15" customHeight="1" s="231">
      <c r="A3290" s="397" t="n"/>
      <c r="B3290" s="397" t="n"/>
      <c r="C3290" s="397" t="n"/>
      <c r="D3290" s="397" t="n"/>
      <c r="E3290" s="397" t="n"/>
      <c r="F3290" s="397" t="n"/>
      <c r="G3290" s="397" t="n"/>
      <c r="I3290" s="397" t="n"/>
      <c r="J3290" s="397" t="n"/>
      <c r="K3290" s="395">
        <f>DATE(VALUE(LEFT(A3290,4)),VALUE(MID(A3290,5,2)),VALUE(RIGHT(A3290,2)))</f>
        <v/>
      </c>
      <c r="L3290" s="395">
        <f>DATEVALUE(LEFT(F3290,10))</f>
        <v/>
      </c>
      <c r="M3290" s="396">
        <f>TIMEVALUE(MID(F3290,12,8))</f>
        <v/>
      </c>
      <c r="N3290" s="395">
        <f>DATEVALUE(LEFT(G3290,10))</f>
        <v/>
      </c>
      <c r="O3290" s="396">
        <f>TIMEVALUE(MID(G3290,12,8))</f>
        <v/>
      </c>
      <c r="P3290" s="396">
        <f>IFERROR(_xlfn.MINIFS($M:$M,$E:$E,$E3290,$K:$K,$K3290,$M:$M,"&gt;"&amp;$O3290),"")</f>
        <v/>
      </c>
      <c r="Q3290" s="396">
        <f>IF($P3290="","",$P3290-$O3290)</f>
        <v/>
      </c>
    </row>
    <row r="3291" ht="15" customHeight="1" s="231">
      <c r="A3291" s="397" t="n"/>
      <c r="B3291" s="397" t="n"/>
      <c r="C3291" s="397" t="n"/>
      <c r="D3291" s="397" t="n"/>
      <c r="E3291" s="397" t="n"/>
      <c r="F3291" s="397" t="n"/>
      <c r="G3291" s="397" t="n"/>
      <c r="I3291" s="397" t="n"/>
      <c r="J3291" s="397" t="n"/>
      <c r="K3291" s="395">
        <f>DATE(VALUE(LEFT(A3291,4)),VALUE(MID(A3291,5,2)),VALUE(RIGHT(A3291,2)))</f>
        <v/>
      </c>
      <c r="L3291" s="395">
        <f>DATEVALUE(LEFT(F3291,10))</f>
        <v/>
      </c>
      <c r="M3291" s="396">
        <f>TIMEVALUE(MID(F3291,12,8))</f>
        <v/>
      </c>
      <c r="N3291" s="395">
        <f>DATEVALUE(LEFT(G3291,10))</f>
        <v/>
      </c>
      <c r="O3291" s="396">
        <f>TIMEVALUE(MID(G3291,12,8))</f>
        <v/>
      </c>
      <c r="P3291" s="396">
        <f>IFERROR(_xlfn.MINIFS($M:$M,$E:$E,$E3291,$K:$K,$K3291,$M:$M,"&gt;"&amp;$O3291),"")</f>
        <v/>
      </c>
      <c r="Q3291" s="396">
        <f>IF($P3291="","",$P3291-$O3291)</f>
        <v/>
      </c>
    </row>
    <row r="3292" ht="15" customHeight="1" s="231">
      <c r="A3292" s="397" t="n"/>
      <c r="B3292" s="397" t="n"/>
      <c r="C3292" s="397" t="n"/>
      <c r="D3292" s="397" t="n"/>
      <c r="E3292" s="397" t="n"/>
      <c r="F3292" s="397" t="n"/>
      <c r="G3292" s="397" t="n"/>
      <c r="I3292" s="397" t="n"/>
      <c r="J3292" s="397" t="n"/>
      <c r="K3292" s="395">
        <f>DATE(VALUE(LEFT(A3292,4)),VALUE(MID(A3292,5,2)),VALUE(RIGHT(A3292,2)))</f>
        <v/>
      </c>
      <c r="L3292" s="395">
        <f>DATEVALUE(LEFT(F3292,10))</f>
        <v/>
      </c>
      <c r="M3292" s="396">
        <f>TIMEVALUE(MID(F3292,12,8))</f>
        <v/>
      </c>
      <c r="N3292" s="395">
        <f>DATEVALUE(LEFT(G3292,10))</f>
        <v/>
      </c>
      <c r="O3292" s="396">
        <f>TIMEVALUE(MID(G3292,12,8))</f>
        <v/>
      </c>
      <c r="P3292" s="396">
        <f>IFERROR(_xlfn.MINIFS($M:$M,$E:$E,$E3292,$K:$K,$K3292,$M:$M,"&gt;"&amp;$O3292),"")</f>
        <v/>
      </c>
      <c r="Q3292" s="396">
        <f>IF($P3292="","",$P3292-$O3292)</f>
        <v/>
      </c>
    </row>
    <row r="3293" ht="15" customHeight="1" s="231">
      <c r="A3293" s="397" t="n"/>
      <c r="B3293" s="397" t="n"/>
      <c r="C3293" s="397" t="n"/>
      <c r="D3293" s="397" t="n"/>
      <c r="E3293" s="397" t="n"/>
      <c r="F3293" s="397" t="n"/>
      <c r="G3293" s="397" t="n"/>
      <c r="I3293" s="397" t="n"/>
      <c r="J3293" s="397" t="n"/>
      <c r="K3293" s="395">
        <f>DATE(VALUE(LEFT(A3293,4)),VALUE(MID(A3293,5,2)),VALUE(RIGHT(A3293,2)))</f>
        <v/>
      </c>
      <c r="L3293" s="395">
        <f>DATEVALUE(LEFT(F3293,10))</f>
        <v/>
      </c>
      <c r="M3293" s="396">
        <f>TIMEVALUE(MID(F3293,12,8))</f>
        <v/>
      </c>
      <c r="N3293" s="395">
        <f>DATEVALUE(LEFT(G3293,10))</f>
        <v/>
      </c>
      <c r="O3293" s="396">
        <f>TIMEVALUE(MID(G3293,12,8))</f>
        <v/>
      </c>
      <c r="P3293" s="396">
        <f>IFERROR(_xlfn.MINIFS($M:$M,$E:$E,$E3293,$K:$K,$K3293,$M:$M,"&gt;"&amp;$O3293),"")</f>
        <v/>
      </c>
      <c r="Q3293" s="396">
        <f>IF($P3293="","",$P3293-$O3293)</f>
        <v/>
      </c>
    </row>
    <row r="3294" ht="15" customHeight="1" s="231">
      <c r="A3294" s="397" t="n"/>
      <c r="B3294" s="397" t="n"/>
      <c r="C3294" s="397" t="n"/>
      <c r="D3294" s="397" t="n"/>
      <c r="E3294" s="397" t="n"/>
      <c r="F3294" s="397" t="n"/>
      <c r="G3294" s="397" t="n"/>
      <c r="I3294" s="397" t="n"/>
      <c r="J3294" s="397" t="n"/>
      <c r="K3294" s="395">
        <f>DATE(VALUE(LEFT(A3294,4)),VALUE(MID(A3294,5,2)),VALUE(RIGHT(A3294,2)))</f>
        <v/>
      </c>
      <c r="L3294" s="395">
        <f>DATEVALUE(LEFT(F3294,10))</f>
        <v/>
      </c>
      <c r="M3294" s="396">
        <f>TIMEVALUE(MID(F3294,12,8))</f>
        <v/>
      </c>
      <c r="N3294" s="395">
        <f>DATEVALUE(LEFT(G3294,10))</f>
        <v/>
      </c>
      <c r="O3294" s="396">
        <f>TIMEVALUE(MID(G3294,12,8))</f>
        <v/>
      </c>
      <c r="P3294" s="396">
        <f>IFERROR(_xlfn.MINIFS($M:$M,$E:$E,$E3294,$K:$K,$K3294,$M:$M,"&gt;"&amp;$O3294),"")</f>
        <v/>
      </c>
      <c r="Q3294" s="396">
        <f>IF($P3294="","",$P3294-$O3294)</f>
        <v/>
      </c>
    </row>
    <row r="3295" ht="15" customHeight="1" s="231">
      <c r="A3295" s="397" t="n"/>
      <c r="B3295" s="397" t="n"/>
      <c r="C3295" s="397" t="n"/>
      <c r="D3295" s="397" t="n"/>
      <c r="E3295" s="397" t="n"/>
      <c r="F3295" s="397" t="n"/>
      <c r="G3295" s="397" t="n"/>
      <c r="I3295" s="397" t="n"/>
      <c r="J3295" s="397" t="n"/>
      <c r="K3295" s="395">
        <f>DATE(VALUE(LEFT(A3295,4)),VALUE(MID(A3295,5,2)),VALUE(RIGHT(A3295,2)))</f>
        <v/>
      </c>
      <c r="L3295" s="395">
        <f>DATEVALUE(LEFT(F3295,10))</f>
        <v/>
      </c>
      <c r="M3295" s="396">
        <f>TIMEVALUE(MID(F3295,12,8))</f>
        <v/>
      </c>
      <c r="N3295" s="395">
        <f>DATEVALUE(LEFT(G3295,10))</f>
        <v/>
      </c>
      <c r="O3295" s="396">
        <f>TIMEVALUE(MID(G3295,12,8))</f>
        <v/>
      </c>
      <c r="P3295" s="396">
        <f>IFERROR(_xlfn.MINIFS($M:$M,$E:$E,$E3295,$K:$K,$K3295,$M:$M,"&gt;"&amp;$O3295),"")</f>
        <v/>
      </c>
      <c r="Q3295" s="396">
        <f>IF($P3295="","",$P3295-$O3295)</f>
        <v/>
      </c>
    </row>
    <row r="3296" ht="15" customHeight="1" s="231">
      <c r="A3296" s="397" t="n"/>
      <c r="B3296" s="397" t="n"/>
      <c r="C3296" s="397" t="n"/>
      <c r="D3296" s="397" t="n"/>
      <c r="E3296" s="397" t="n"/>
      <c r="F3296" s="397" t="n"/>
      <c r="G3296" s="397" t="n"/>
      <c r="I3296" s="397" t="n"/>
      <c r="J3296" s="397" t="n"/>
      <c r="K3296" s="395">
        <f>DATE(VALUE(LEFT(A3296,4)),VALUE(MID(A3296,5,2)),VALUE(RIGHT(A3296,2)))</f>
        <v/>
      </c>
      <c r="L3296" s="395">
        <f>DATEVALUE(LEFT(F3296,10))</f>
        <v/>
      </c>
      <c r="M3296" s="396">
        <f>TIMEVALUE(MID(F3296,12,8))</f>
        <v/>
      </c>
      <c r="N3296" s="395">
        <f>DATEVALUE(LEFT(G3296,10))</f>
        <v/>
      </c>
      <c r="O3296" s="396">
        <f>TIMEVALUE(MID(G3296,12,8))</f>
        <v/>
      </c>
      <c r="P3296" s="396">
        <f>IFERROR(_xlfn.MINIFS($M:$M,$E:$E,$E3296,$K:$K,$K3296,$M:$M,"&gt;"&amp;$O3296),"")</f>
        <v/>
      </c>
      <c r="Q3296" s="396">
        <f>IF($P3296="","",$P3296-$O3296)</f>
        <v/>
      </c>
    </row>
    <row r="3297" ht="15" customHeight="1" s="231">
      <c r="A3297" s="397" t="n"/>
      <c r="B3297" s="397" t="n"/>
      <c r="C3297" s="397" t="n"/>
      <c r="D3297" s="397" t="n"/>
      <c r="E3297" s="397" t="n"/>
      <c r="F3297" s="397" t="n"/>
      <c r="G3297" s="397" t="n"/>
      <c r="I3297" s="397" t="n"/>
      <c r="J3297" s="397" t="n"/>
      <c r="K3297" s="395">
        <f>DATE(VALUE(LEFT(A3297,4)),VALUE(MID(A3297,5,2)),VALUE(RIGHT(A3297,2)))</f>
        <v/>
      </c>
      <c r="L3297" s="395">
        <f>DATEVALUE(LEFT(F3297,10))</f>
        <v/>
      </c>
      <c r="M3297" s="396">
        <f>TIMEVALUE(MID(F3297,12,8))</f>
        <v/>
      </c>
      <c r="N3297" s="395">
        <f>DATEVALUE(LEFT(G3297,10))</f>
        <v/>
      </c>
      <c r="O3297" s="396">
        <f>TIMEVALUE(MID(G3297,12,8))</f>
        <v/>
      </c>
      <c r="P3297" s="396">
        <f>IFERROR(_xlfn.MINIFS($M:$M,$E:$E,$E3297,$K:$K,$K3297,$M:$M,"&gt;"&amp;$O3297),"")</f>
        <v/>
      </c>
      <c r="Q3297" s="396">
        <f>IF($P3297="","",$P3297-$O3297)</f>
        <v/>
      </c>
    </row>
    <row r="3298" ht="15" customHeight="1" s="231">
      <c r="A3298" s="397" t="n"/>
      <c r="B3298" s="397" t="n"/>
      <c r="C3298" s="397" t="n"/>
      <c r="D3298" s="397" t="n"/>
      <c r="E3298" s="397" t="n"/>
      <c r="F3298" s="397" t="n"/>
      <c r="G3298" s="397" t="n"/>
      <c r="I3298" s="397" t="n"/>
      <c r="J3298" s="397" t="n"/>
      <c r="K3298" s="395">
        <f>DATE(VALUE(LEFT(A3298,4)),VALUE(MID(A3298,5,2)),VALUE(RIGHT(A3298,2)))</f>
        <v/>
      </c>
      <c r="L3298" s="395">
        <f>DATEVALUE(LEFT(F3298,10))</f>
        <v/>
      </c>
      <c r="M3298" s="396">
        <f>TIMEVALUE(MID(F3298,12,8))</f>
        <v/>
      </c>
      <c r="N3298" s="395">
        <f>DATEVALUE(LEFT(G3298,10))</f>
        <v/>
      </c>
      <c r="O3298" s="396">
        <f>TIMEVALUE(MID(G3298,12,8))</f>
        <v/>
      </c>
      <c r="P3298" s="396">
        <f>IFERROR(_xlfn.MINIFS($M:$M,$E:$E,$E3298,$K:$K,$K3298,$M:$M,"&gt;"&amp;$O3298),"")</f>
        <v/>
      </c>
      <c r="Q3298" s="396">
        <f>IF($P3298="","",$P3298-$O3298)</f>
        <v/>
      </c>
    </row>
    <row r="3299" ht="15" customHeight="1" s="231">
      <c r="A3299" s="397" t="n"/>
      <c r="B3299" s="397" t="n"/>
      <c r="C3299" s="397" t="n"/>
      <c r="D3299" s="397" t="n"/>
      <c r="E3299" s="397" t="n"/>
      <c r="F3299" s="397" t="n"/>
      <c r="G3299" s="397" t="n"/>
      <c r="I3299" s="397" t="n"/>
      <c r="J3299" s="397" t="n"/>
      <c r="K3299" s="395">
        <f>DATE(VALUE(LEFT(A3299,4)),VALUE(MID(A3299,5,2)),VALUE(RIGHT(A3299,2)))</f>
        <v/>
      </c>
      <c r="L3299" s="395">
        <f>DATEVALUE(LEFT(F3299,10))</f>
        <v/>
      </c>
      <c r="M3299" s="396">
        <f>TIMEVALUE(MID(F3299,12,8))</f>
        <v/>
      </c>
      <c r="N3299" s="395">
        <f>DATEVALUE(LEFT(G3299,10))</f>
        <v/>
      </c>
      <c r="O3299" s="396">
        <f>TIMEVALUE(MID(G3299,12,8))</f>
        <v/>
      </c>
      <c r="P3299" s="396">
        <f>IFERROR(_xlfn.MINIFS($M:$M,$E:$E,$E3299,$K:$K,$K3299,$M:$M,"&gt;"&amp;$O3299),"")</f>
        <v/>
      </c>
      <c r="Q3299" s="396">
        <f>IF($P3299="","",$P3299-$O3299)</f>
        <v/>
      </c>
    </row>
    <row r="3300" ht="15" customHeight="1" s="231">
      <c r="A3300" s="397" t="n"/>
      <c r="B3300" s="397" t="n"/>
      <c r="C3300" s="397" t="n"/>
      <c r="D3300" s="397" t="n"/>
      <c r="E3300" s="397" t="n"/>
      <c r="F3300" s="397" t="n"/>
      <c r="G3300" s="397" t="n"/>
      <c r="I3300" s="397" t="n"/>
      <c r="J3300" s="397" t="n"/>
      <c r="K3300" s="395">
        <f>DATE(VALUE(LEFT(A3300,4)),VALUE(MID(A3300,5,2)),VALUE(RIGHT(A3300,2)))</f>
        <v/>
      </c>
      <c r="L3300" s="395">
        <f>DATEVALUE(LEFT(F3300,10))</f>
        <v/>
      </c>
      <c r="M3300" s="396">
        <f>TIMEVALUE(MID(F3300,12,8))</f>
        <v/>
      </c>
      <c r="N3300" s="395">
        <f>DATEVALUE(LEFT(G3300,10))</f>
        <v/>
      </c>
      <c r="O3300" s="396">
        <f>TIMEVALUE(MID(G3300,12,8))</f>
        <v/>
      </c>
      <c r="P3300" s="396">
        <f>IFERROR(_xlfn.MINIFS($M:$M,$E:$E,$E3300,$K:$K,$K3300,$M:$M,"&gt;"&amp;$O3300),"")</f>
        <v/>
      </c>
      <c r="Q3300" s="396">
        <f>IF($P3300="","",$P3300-$O3300)</f>
        <v/>
      </c>
    </row>
    <row r="3301" ht="15" customHeight="1" s="231">
      <c r="A3301" s="397" t="n"/>
      <c r="B3301" s="397" t="n"/>
      <c r="C3301" s="397" t="n"/>
      <c r="D3301" s="397" t="n"/>
      <c r="E3301" s="397" t="n"/>
      <c r="F3301" s="397" t="n"/>
      <c r="G3301" s="397" t="n"/>
      <c r="I3301" s="397" t="n"/>
      <c r="J3301" s="397" t="n"/>
      <c r="K3301" s="395">
        <f>DATE(VALUE(LEFT(A3301,4)),VALUE(MID(A3301,5,2)),VALUE(RIGHT(A3301,2)))</f>
        <v/>
      </c>
      <c r="L3301" s="395">
        <f>DATEVALUE(LEFT(F3301,10))</f>
        <v/>
      </c>
      <c r="M3301" s="396">
        <f>TIMEVALUE(MID(F3301,12,8))</f>
        <v/>
      </c>
      <c r="N3301" s="395">
        <f>DATEVALUE(LEFT(G3301,10))</f>
        <v/>
      </c>
      <c r="O3301" s="396">
        <f>TIMEVALUE(MID(G3301,12,8))</f>
        <v/>
      </c>
      <c r="P3301" s="396">
        <f>IFERROR(_xlfn.MINIFS($M:$M,$E:$E,$E3301,$K:$K,$K3301,$M:$M,"&gt;"&amp;$O3301),"")</f>
        <v/>
      </c>
      <c r="Q3301" s="396">
        <f>IF($P3301="","",$P3301-$O3301)</f>
        <v/>
      </c>
    </row>
    <row r="3302" ht="15" customHeight="1" s="231">
      <c r="A3302" s="397" t="n"/>
      <c r="B3302" s="397" t="n"/>
      <c r="C3302" s="397" t="n"/>
      <c r="D3302" s="397" t="n"/>
      <c r="E3302" s="397" t="n"/>
      <c r="F3302" s="397" t="n"/>
      <c r="G3302" s="397" t="n"/>
      <c r="I3302" s="397" t="n"/>
      <c r="J3302" s="397" t="n"/>
      <c r="K3302" s="395">
        <f>DATE(VALUE(LEFT(A3302,4)),VALUE(MID(A3302,5,2)),VALUE(RIGHT(A3302,2)))</f>
        <v/>
      </c>
      <c r="L3302" s="395">
        <f>DATEVALUE(LEFT(F3302,10))</f>
        <v/>
      </c>
      <c r="M3302" s="396">
        <f>TIMEVALUE(MID(F3302,12,8))</f>
        <v/>
      </c>
      <c r="N3302" s="395">
        <f>DATEVALUE(LEFT(G3302,10))</f>
        <v/>
      </c>
      <c r="O3302" s="396">
        <f>TIMEVALUE(MID(G3302,12,8))</f>
        <v/>
      </c>
      <c r="P3302" s="396">
        <f>IFERROR(_xlfn.MINIFS($M:$M,$E:$E,$E3302,$K:$K,$K3302,$M:$M,"&gt;"&amp;$O3302),"")</f>
        <v/>
      </c>
      <c r="Q3302" s="396">
        <f>IF($P3302="","",$P3302-$O3302)</f>
        <v/>
      </c>
    </row>
    <row r="3303" ht="15" customHeight="1" s="231">
      <c r="A3303" s="397" t="n"/>
      <c r="B3303" s="397" t="n"/>
      <c r="C3303" s="397" t="n"/>
      <c r="D3303" s="397" t="n"/>
      <c r="E3303" s="397" t="n"/>
      <c r="F3303" s="397" t="n"/>
      <c r="G3303" s="397" t="n"/>
      <c r="I3303" s="397" t="n"/>
      <c r="J3303" s="397" t="n"/>
      <c r="K3303" s="395">
        <f>DATE(VALUE(LEFT(A3303,4)),VALUE(MID(A3303,5,2)),VALUE(RIGHT(A3303,2)))</f>
        <v/>
      </c>
      <c r="L3303" s="395">
        <f>DATEVALUE(LEFT(F3303,10))</f>
        <v/>
      </c>
      <c r="M3303" s="396">
        <f>TIMEVALUE(MID(F3303,12,8))</f>
        <v/>
      </c>
      <c r="N3303" s="395">
        <f>DATEVALUE(LEFT(G3303,10))</f>
        <v/>
      </c>
      <c r="O3303" s="396">
        <f>TIMEVALUE(MID(G3303,12,8))</f>
        <v/>
      </c>
      <c r="P3303" s="396">
        <f>IFERROR(_xlfn.MINIFS($M:$M,$E:$E,$E3303,$K:$K,$K3303,$M:$M,"&gt;"&amp;$O3303),"")</f>
        <v/>
      </c>
      <c r="Q3303" s="396">
        <f>IF($P3303="","",$P3303-$O3303)</f>
        <v/>
      </c>
    </row>
    <row r="3304" ht="15" customHeight="1" s="231">
      <c r="A3304" s="397" t="n"/>
      <c r="B3304" s="397" t="n"/>
      <c r="C3304" s="397" t="n"/>
      <c r="D3304" s="397" t="n"/>
      <c r="E3304" s="397" t="n"/>
      <c r="F3304" s="397" t="n"/>
      <c r="G3304" s="397" t="n"/>
      <c r="I3304" s="397" t="n"/>
      <c r="J3304" s="397" t="n"/>
      <c r="K3304" s="395">
        <f>DATE(VALUE(LEFT(A3304,4)),VALUE(MID(A3304,5,2)),VALUE(RIGHT(A3304,2)))</f>
        <v/>
      </c>
      <c r="L3304" s="395">
        <f>DATEVALUE(LEFT(F3304,10))</f>
        <v/>
      </c>
      <c r="M3304" s="396">
        <f>TIMEVALUE(MID(F3304,12,8))</f>
        <v/>
      </c>
      <c r="N3304" s="395">
        <f>DATEVALUE(LEFT(G3304,10))</f>
        <v/>
      </c>
      <c r="O3304" s="396">
        <f>TIMEVALUE(MID(G3304,12,8))</f>
        <v/>
      </c>
      <c r="P3304" s="396">
        <f>IFERROR(_xlfn.MINIFS($M:$M,$E:$E,$E3304,$K:$K,$K3304,$M:$M,"&gt;"&amp;$O3304),"")</f>
        <v/>
      </c>
      <c r="Q3304" s="396">
        <f>IF($P3304="","",$P3304-$O3304)</f>
        <v/>
      </c>
    </row>
    <row r="3305" ht="15" customHeight="1" s="231">
      <c r="A3305" s="397" t="n"/>
      <c r="B3305" s="397" t="n"/>
      <c r="C3305" s="397" t="n"/>
      <c r="D3305" s="397" t="n"/>
      <c r="E3305" s="397" t="n"/>
      <c r="F3305" s="397" t="n"/>
      <c r="G3305" s="397" t="n"/>
      <c r="I3305" s="397" t="n"/>
      <c r="J3305" s="397" t="n"/>
      <c r="K3305" s="395">
        <f>DATE(VALUE(LEFT(A3305,4)),VALUE(MID(A3305,5,2)),VALUE(RIGHT(A3305,2)))</f>
        <v/>
      </c>
      <c r="L3305" s="395">
        <f>DATEVALUE(LEFT(F3305,10))</f>
        <v/>
      </c>
      <c r="M3305" s="396">
        <f>TIMEVALUE(MID(F3305,12,8))</f>
        <v/>
      </c>
      <c r="N3305" s="395">
        <f>DATEVALUE(LEFT(G3305,10))</f>
        <v/>
      </c>
      <c r="O3305" s="396">
        <f>TIMEVALUE(MID(G3305,12,8))</f>
        <v/>
      </c>
      <c r="P3305" s="396">
        <f>IFERROR(_xlfn.MINIFS($M:$M,$E:$E,$E3305,$K:$K,$K3305,$M:$M,"&gt;"&amp;$O3305),"")</f>
        <v/>
      </c>
      <c r="Q3305" s="396">
        <f>IF($P3305="","",$P3305-$O3305)</f>
        <v/>
      </c>
    </row>
    <row r="3306" ht="15" customHeight="1" s="231">
      <c r="A3306" s="397" t="n"/>
      <c r="B3306" s="397" t="n"/>
      <c r="C3306" s="397" t="n"/>
      <c r="D3306" s="397" t="n"/>
      <c r="E3306" s="397" t="n"/>
      <c r="F3306" s="397" t="n"/>
      <c r="G3306" s="397" t="n"/>
      <c r="I3306" s="397" t="n"/>
      <c r="J3306" s="397" t="n"/>
      <c r="K3306" s="395">
        <f>DATE(VALUE(LEFT(A3306,4)),VALUE(MID(A3306,5,2)),VALUE(RIGHT(A3306,2)))</f>
        <v/>
      </c>
      <c r="L3306" s="395">
        <f>DATEVALUE(LEFT(F3306,10))</f>
        <v/>
      </c>
      <c r="M3306" s="396">
        <f>TIMEVALUE(MID(F3306,12,8))</f>
        <v/>
      </c>
      <c r="N3306" s="395">
        <f>DATEVALUE(LEFT(G3306,10))</f>
        <v/>
      </c>
      <c r="O3306" s="396">
        <f>TIMEVALUE(MID(G3306,12,8))</f>
        <v/>
      </c>
      <c r="P3306" s="396">
        <f>IFERROR(_xlfn.MINIFS($M:$M,$E:$E,$E3306,$K:$K,$K3306,$M:$M,"&gt;"&amp;$O3306),"")</f>
        <v/>
      </c>
      <c r="Q3306" s="396">
        <f>IF($P3306="","",$P3306-$O3306)</f>
        <v/>
      </c>
    </row>
    <row r="3307" ht="15" customHeight="1" s="231">
      <c r="A3307" s="397" t="n"/>
      <c r="B3307" s="397" t="n"/>
      <c r="C3307" s="397" t="n"/>
      <c r="D3307" s="397" t="n"/>
      <c r="E3307" s="397" t="n"/>
      <c r="F3307" s="397" t="n"/>
      <c r="G3307" s="397" t="n"/>
      <c r="I3307" s="397" t="n"/>
      <c r="J3307" s="397" t="n"/>
      <c r="K3307" s="395">
        <f>DATE(VALUE(LEFT(A3307,4)),VALUE(MID(A3307,5,2)),VALUE(RIGHT(A3307,2)))</f>
        <v/>
      </c>
      <c r="L3307" s="395">
        <f>DATEVALUE(LEFT(F3307,10))</f>
        <v/>
      </c>
      <c r="M3307" s="396">
        <f>TIMEVALUE(MID(F3307,12,8))</f>
        <v/>
      </c>
      <c r="N3307" s="395">
        <f>DATEVALUE(LEFT(G3307,10))</f>
        <v/>
      </c>
      <c r="O3307" s="396">
        <f>TIMEVALUE(MID(G3307,12,8))</f>
        <v/>
      </c>
      <c r="P3307" s="396">
        <f>IFERROR(_xlfn.MINIFS($M:$M,$E:$E,$E3307,$K:$K,$K3307,$M:$M,"&gt;"&amp;$O3307),"")</f>
        <v/>
      </c>
      <c r="Q3307" s="396">
        <f>IF($P3307="","",$P3307-$O3307)</f>
        <v/>
      </c>
    </row>
    <row r="3308" ht="15" customHeight="1" s="231">
      <c r="A3308" s="397" t="n"/>
      <c r="B3308" s="397" t="n"/>
      <c r="C3308" s="397" t="n"/>
      <c r="D3308" s="397" t="n"/>
      <c r="E3308" s="397" t="n"/>
      <c r="F3308" s="397" t="n"/>
      <c r="G3308" s="397" t="n"/>
      <c r="I3308" s="397" t="n"/>
      <c r="J3308" s="397" t="n"/>
      <c r="K3308" s="395">
        <f>DATE(VALUE(LEFT(A3308,4)),VALUE(MID(A3308,5,2)),VALUE(RIGHT(A3308,2)))</f>
        <v/>
      </c>
      <c r="L3308" s="395">
        <f>DATEVALUE(LEFT(F3308,10))</f>
        <v/>
      </c>
      <c r="M3308" s="396">
        <f>TIMEVALUE(MID(F3308,12,8))</f>
        <v/>
      </c>
      <c r="N3308" s="395">
        <f>DATEVALUE(LEFT(G3308,10))</f>
        <v/>
      </c>
      <c r="O3308" s="396">
        <f>TIMEVALUE(MID(G3308,12,8))</f>
        <v/>
      </c>
      <c r="P3308" s="396">
        <f>IFERROR(_xlfn.MINIFS($M:$M,$E:$E,$E3308,$K:$K,$K3308,$M:$M,"&gt;"&amp;$O3308),"")</f>
        <v/>
      </c>
      <c r="Q3308" s="396">
        <f>IF($P3308="","",$P3308-$O3308)</f>
        <v/>
      </c>
    </row>
    <row r="3309" ht="15" customHeight="1" s="231">
      <c r="A3309" s="397" t="n"/>
      <c r="B3309" s="397" t="n"/>
      <c r="C3309" s="397" t="n"/>
      <c r="D3309" s="397" t="n"/>
      <c r="E3309" s="397" t="n"/>
      <c r="F3309" s="397" t="n"/>
      <c r="G3309" s="397" t="n"/>
      <c r="I3309" s="397" t="n"/>
      <c r="J3309" s="397" t="n"/>
      <c r="K3309" s="395">
        <f>DATE(VALUE(LEFT(A3309,4)),VALUE(MID(A3309,5,2)),VALUE(RIGHT(A3309,2)))</f>
        <v/>
      </c>
      <c r="L3309" s="395">
        <f>DATEVALUE(LEFT(F3309,10))</f>
        <v/>
      </c>
      <c r="M3309" s="396">
        <f>TIMEVALUE(MID(F3309,12,8))</f>
        <v/>
      </c>
      <c r="N3309" s="395">
        <f>DATEVALUE(LEFT(G3309,10))</f>
        <v/>
      </c>
      <c r="O3309" s="396">
        <f>TIMEVALUE(MID(G3309,12,8))</f>
        <v/>
      </c>
      <c r="P3309" s="396">
        <f>IFERROR(_xlfn.MINIFS($M:$M,$E:$E,$E3309,$K:$K,$K3309,$M:$M,"&gt;"&amp;$O3309),"")</f>
        <v/>
      </c>
      <c r="Q3309" s="396">
        <f>IF($P3309="","",$P3309-$O3309)</f>
        <v/>
      </c>
    </row>
    <row r="3310" ht="15" customHeight="1" s="231">
      <c r="A3310" s="397" t="n"/>
      <c r="B3310" s="397" t="n"/>
      <c r="C3310" s="397" t="n"/>
      <c r="D3310" s="397" t="n"/>
      <c r="E3310" s="397" t="n"/>
      <c r="F3310" s="397" t="n"/>
      <c r="G3310" s="397" t="n"/>
      <c r="I3310" s="397" t="n"/>
      <c r="J3310" s="397" t="n"/>
      <c r="K3310" s="395">
        <f>DATE(VALUE(LEFT(A3310,4)),VALUE(MID(A3310,5,2)),VALUE(RIGHT(A3310,2)))</f>
        <v/>
      </c>
      <c r="L3310" s="395">
        <f>DATEVALUE(LEFT(F3310,10))</f>
        <v/>
      </c>
      <c r="M3310" s="396">
        <f>TIMEVALUE(MID(F3310,12,8))</f>
        <v/>
      </c>
      <c r="N3310" s="395">
        <f>DATEVALUE(LEFT(G3310,10))</f>
        <v/>
      </c>
      <c r="O3310" s="396">
        <f>TIMEVALUE(MID(G3310,12,8))</f>
        <v/>
      </c>
      <c r="P3310" s="396">
        <f>IFERROR(_xlfn.MINIFS($M:$M,$E:$E,$E3310,$K:$K,$K3310,$M:$M,"&gt;"&amp;$O3310),"")</f>
        <v/>
      </c>
      <c r="Q3310" s="396">
        <f>IF($P3310="","",$P3310-$O3310)</f>
        <v/>
      </c>
    </row>
    <row r="3311" ht="15" customHeight="1" s="231">
      <c r="A3311" s="397" t="n"/>
      <c r="B3311" s="397" t="n"/>
      <c r="C3311" s="397" t="n"/>
      <c r="D3311" s="397" t="n"/>
      <c r="E3311" s="397" t="n"/>
      <c r="F3311" s="397" t="n"/>
      <c r="G3311" s="397" t="n"/>
      <c r="I3311" s="397" t="n"/>
      <c r="J3311" s="397" t="n"/>
      <c r="K3311" s="395">
        <f>DATE(VALUE(LEFT(A3311,4)),VALUE(MID(A3311,5,2)),VALUE(RIGHT(A3311,2)))</f>
        <v/>
      </c>
      <c r="L3311" s="395">
        <f>DATEVALUE(LEFT(F3311,10))</f>
        <v/>
      </c>
      <c r="M3311" s="396">
        <f>TIMEVALUE(MID(F3311,12,8))</f>
        <v/>
      </c>
      <c r="N3311" s="395">
        <f>DATEVALUE(LEFT(G3311,10))</f>
        <v/>
      </c>
      <c r="O3311" s="396">
        <f>TIMEVALUE(MID(G3311,12,8))</f>
        <v/>
      </c>
      <c r="P3311" s="396">
        <f>IFERROR(_xlfn.MINIFS($M:$M,$E:$E,$E3311,$K:$K,$K3311,$M:$M,"&gt;"&amp;$O3311),"")</f>
        <v/>
      </c>
      <c r="Q3311" s="396">
        <f>IF($P3311="","",$P3311-$O3311)</f>
        <v/>
      </c>
    </row>
    <row r="3312" ht="15" customHeight="1" s="231">
      <c r="A3312" s="397" t="n"/>
      <c r="B3312" s="397" t="n"/>
      <c r="C3312" s="397" t="n"/>
      <c r="D3312" s="397" t="n"/>
      <c r="E3312" s="397" t="n"/>
      <c r="F3312" s="397" t="n"/>
      <c r="G3312" s="397" t="n"/>
      <c r="I3312" s="397" t="n"/>
      <c r="J3312" s="397" t="n"/>
      <c r="K3312" s="395">
        <f>DATE(VALUE(LEFT(A3312,4)),VALUE(MID(A3312,5,2)),VALUE(RIGHT(A3312,2)))</f>
        <v/>
      </c>
      <c r="L3312" s="395">
        <f>DATEVALUE(LEFT(F3312,10))</f>
        <v/>
      </c>
      <c r="M3312" s="396">
        <f>TIMEVALUE(MID(F3312,12,8))</f>
        <v/>
      </c>
      <c r="N3312" s="395">
        <f>DATEVALUE(LEFT(G3312,10))</f>
        <v/>
      </c>
      <c r="O3312" s="396">
        <f>TIMEVALUE(MID(G3312,12,8))</f>
        <v/>
      </c>
      <c r="P3312" s="396">
        <f>IFERROR(_xlfn.MINIFS($M:$M,$E:$E,$E3312,$K:$K,$K3312,$M:$M,"&gt;"&amp;$O3312),"")</f>
        <v/>
      </c>
      <c r="Q3312" s="396">
        <f>IF($P3312="","",$P3312-$O3312)</f>
        <v/>
      </c>
    </row>
    <row r="3313" ht="15" customHeight="1" s="231">
      <c r="A3313" s="397" t="n"/>
      <c r="B3313" s="397" t="n"/>
      <c r="C3313" s="397" t="n"/>
      <c r="D3313" s="397" t="n"/>
      <c r="E3313" s="397" t="n"/>
      <c r="F3313" s="397" t="n"/>
      <c r="G3313" s="397" t="n"/>
      <c r="I3313" s="397" t="n"/>
      <c r="J3313" s="397" t="n"/>
      <c r="K3313" s="395">
        <f>DATE(VALUE(LEFT(A3313,4)),VALUE(MID(A3313,5,2)),VALUE(RIGHT(A3313,2)))</f>
        <v/>
      </c>
      <c r="L3313" s="395">
        <f>DATEVALUE(LEFT(F3313,10))</f>
        <v/>
      </c>
      <c r="M3313" s="396">
        <f>TIMEVALUE(MID(F3313,12,8))</f>
        <v/>
      </c>
      <c r="N3313" s="395">
        <f>DATEVALUE(LEFT(G3313,10))</f>
        <v/>
      </c>
      <c r="O3313" s="396">
        <f>TIMEVALUE(MID(G3313,12,8))</f>
        <v/>
      </c>
      <c r="P3313" s="396">
        <f>IFERROR(_xlfn.MINIFS($M:$M,$E:$E,$E3313,$K:$K,$K3313,$M:$M,"&gt;"&amp;$O3313),"")</f>
        <v/>
      </c>
      <c r="Q3313" s="396">
        <f>IF($P3313="","",$P3313-$O3313)</f>
        <v/>
      </c>
    </row>
    <row r="3314" ht="15" customHeight="1" s="231">
      <c r="A3314" s="397" t="n"/>
      <c r="B3314" s="397" t="n"/>
      <c r="C3314" s="397" t="n"/>
      <c r="D3314" s="397" t="n"/>
      <c r="E3314" s="397" t="n"/>
      <c r="F3314" s="397" t="n"/>
      <c r="G3314" s="397" t="n"/>
      <c r="I3314" s="397" t="n"/>
      <c r="J3314" s="397" t="n"/>
      <c r="K3314" s="395">
        <f>DATE(VALUE(LEFT(A3314,4)),VALUE(MID(A3314,5,2)),VALUE(RIGHT(A3314,2)))</f>
        <v/>
      </c>
      <c r="L3314" s="395">
        <f>DATEVALUE(LEFT(F3314,10))</f>
        <v/>
      </c>
      <c r="M3314" s="396">
        <f>TIMEVALUE(MID(F3314,12,8))</f>
        <v/>
      </c>
      <c r="N3314" s="395">
        <f>DATEVALUE(LEFT(G3314,10))</f>
        <v/>
      </c>
      <c r="O3314" s="396">
        <f>TIMEVALUE(MID(G3314,12,8))</f>
        <v/>
      </c>
      <c r="P3314" s="396">
        <f>IFERROR(_xlfn.MINIFS($M:$M,$E:$E,$E3314,$K:$K,$K3314,$M:$M,"&gt;"&amp;$O3314),"")</f>
        <v/>
      </c>
      <c r="Q3314" s="396">
        <f>IF($P3314="","",$P3314-$O3314)</f>
        <v/>
      </c>
    </row>
    <row r="3315" ht="15" customHeight="1" s="231">
      <c r="A3315" s="397" t="n"/>
      <c r="B3315" s="397" t="n"/>
      <c r="C3315" s="397" t="n"/>
      <c r="D3315" s="397" t="n"/>
      <c r="E3315" s="397" t="n"/>
      <c r="F3315" s="397" t="n"/>
      <c r="G3315" s="397" t="n"/>
      <c r="I3315" s="397" t="n"/>
      <c r="J3315" s="397" t="n"/>
      <c r="K3315" s="395">
        <f>DATE(VALUE(LEFT(A3315,4)),VALUE(MID(A3315,5,2)),VALUE(RIGHT(A3315,2)))</f>
        <v/>
      </c>
      <c r="L3315" s="395">
        <f>DATEVALUE(LEFT(F3315,10))</f>
        <v/>
      </c>
      <c r="M3315" s="396">
        <f>TIMEVALUE(MID(F3315,12,8))</f>
        <v/>
      </c>
      <c r="N3315" s="395">
        <f>DATEVALUE(LEFT(G3315,10))</f>
        <v/>
      </c>
      <c r="O3315" s="396">
        <f>TIMEVALUE(MID(G3315,12,8))</f>
        <v/>
      </c>
      <c r="P3315" s="396">
        <f>IFERROR(_xlfn.MINIFS($M:$M,$E:$E,$E3315,$K:$K,$K3315,$M:$M,"&gt;"&amp;$O3315),"")</f>
        <v/>
      </c>
      <c r="Q3315" s="396">
        <f>IF($P3315="","",$P3315-$O3315)</f>
        <v/>
      </c>
    </row>
    <row r="3316" ht="15" customHeight="1" s="231">
      <c r="A3316" s="397" t="n"/>
      <c r="B3316" s="397" t="n"/>
      <c r="C3316" s="397" t="n"/>
      <c r="D3316" s="397" t="n"/>
      <c r="E3316" s="397" t="n"/>
      <c r="F3316" s="397" t="n"/>
      <c r="G3316" s="397" t="n"/>
      <c r="I3316" s="397" t="n"/>
      <c r="J3316" s="397" t="n"/>
      <c r="K3316" s="395">
        <f>DATE(VALUE(LEFT(A3316,4)),VALUE(MID(A3316,5,2)),VALUE(RIGHT(A3316,2)))</f>
        <v/>
      </c>
      <c r="L3316" s="395">
        <f>DATEVALUE(LEFT(F3316,10))</f>
        <v/>
      </c>
      <c r="M3316" s="396">
        <f>TIMEVALUE(MID(F3316,12,8))</f>
        <v/>
      </c>
      <c r="N3316" s="395">
        <f>DATEVALUE(LEFT(G3316,10))</f>
        <v/>
      </c>
      <c r="O3316" s="396">
        <f>TIMEVALUE(MID(G3316,12,8))</f>
        <v/>
      </c>
      <c r="P3316" s="396">
        <f>IFERROR(_xlfn.MINIFS($M:$M,$E:$E,$E3316,$K:$K,$K3316,$M:$M,"&gt;"&amp;$O3316),"")</f>
        <v/>
      </c>
      <c r="Q3316" s="396">
        <f>IF($P3316="","",$P3316-$O3316)</f>
        <v/>
      </c>
    </row>
    <row r="3317" ht="15" customHeight="1" s="231">
      <c r="A3317" s="397" t="n"/>
      <c r="B3317" s="397" t="n"/>
      <c r="C3317" s="397" t="n"/>
      <c r="D3317" s="397" t="n"/>
      <c r="E3317" s="397" t="n"/>
      <c r="F3317" s="397" t="n"/>
      <c r="G3317" s="397" t="n"/>
      <c r="I3317" s="397" t="n"/>
      <c r="J3317" s="397" t="n"/>
      <c r="K3317" s="395">
        <f>DATE(VALUE(LEFT(A3317,4)),VALUE(MID(A3317,5,2)),VALUE(RIGHT(A3317,2)))</f>
        <v/>
      </c>
      <c r="L3317" s="395">
        <f>DATEVALUE(LEFT(F3317,10))</f>
        <v/>
      </c>
      <c r="M3317" s="396">
        <f>TIMEVALUE(MID(F3317,12,8))</f>
        <v/>
      </c>
      <c r="N3317" s="395">
        <f>DATEVALUE(LEFT(G3317,10))</f>
        <v/>
      </c>
      <c r="O3317" s="396">
        <f>TIMEVALUE(MID(G3317,12,8))</f>
        <v/>
      </c>
      <c r="P3317" s="396">
        <f>IFERROR(_xlfn.MINIFS($M:$M,$E:$E,$E3317,$K:$K,$K3317,$M:$M,"&gt;"&amp;$O3317),"")</f>
        <v/>
      </c>
      <c r="Q3317" s="396">
        <f>IF($P3317="","",$P3317-$O3317)</f>
        <v/>
      </c>
    </row>
    <row r="3318" ht="15" customHeight="1" s="231">
      <c r="A3318" s="397" t="n"/>
      <c r="B3318" s="397" t="n"/>
      <c r="C3318" s="397" t="n"/>
      <c r="D3318" s="397" t="n"/>
      <c r="E3318" s="397" t="n"/>
      <c r="F3318" s="397" t="n"/>
      <c r="G3318" s="397" t="n"/>
      <c r="I3318" s="397" t="n"/>
      <c r="J3318" s="397" t="n"/>
      <c r="K3318" s="395">
        <f>DATE(VALUE(LEFT(A3318,4)),VALUE(MID(A3318,5,2)),VALUE(RIGHT(A3318,2)))</f>
        <v/>
      </c>
      <c r="L3318" s="395">
        <f>DATEVALUE(LEFT(F3318,10))</f>
        <v/>
      </c>
      <c r="M3318" s="396">
        <f>TIMEVALUE(MID(F3318,12,8))</f>
        <v/>
      </c>
      <c r="N3318" s="395">
        <f>DATEVALUE(LEFT(G3318,10))</f>
        <v/>
      </c>
      <c r="O3318" s="396">
        <f>TIMEVALUE(MID(G3318,12,8))</f>
        <v/>
      </c>
      <c r="P3318" s="396">
        <f>IFERROR(_xlfn.MINIFS($M:$M,$E:$E,$E3318,$K:$K,$K3318,$M:$M,"&gt;"&amp;$O3318),"")</f>
        <v/>
      </c>
      <c r="Q3318" s="396">
        <f>IF($P3318="","",$P3318-$O3318)</f>
        <v/>
      </c>
    </row>
    <row r="3319" ht="15" customHeight="1" s="231">
      <c r="A3319" s="397" t="n"/>
      <c r="B3319" s="397" t="n"/>
      <c r="C3319" s="397" t="n"/>
      <c r="D3319" s="397" t="n"/>
      <c r="E3319" s="397" t="n"/>
      <c r="F3319" s="397" t="n"/>
      <c r="G3319" s="397" t="n"/>
      <c r="I3319" s="397" t="n"/>
      <c r="J3319" s="397" t="n"/>
      <c r="K3319" s="395">
        <f>DATE(VALUE(LEFT(A3319,4)),VALUE(MID(A3319,5,2)),VALUE(RIGHT(A3319,2)))</f>
        <v/>
      </c>
      <c r="L3319" s="395">
        <f>DATEVALUE(LEFT(F3319,10))</f>
        <v/>
      </c>
      <c r="M3319" s="396">
        <f>TIMEVALUE(MID(F3319,12,8))</f>
        <v/>
      </c>
      <c r="N3319" s="395">
        <f>DATEVALUE(LEFT(G3319,10))</f>
        <v/>
      </c>
      <c r="O3319" s="396">
        <f>TIMEVALUE(MID(G3319,12,8))</f>
        <v/>
      </c>
      <c r="P3319" s="396">
        <f>IFERROR(_xlfn.MINIFS($M:$M,$E:$E,$E3319,$K:$K,$K3319,$M:$M,"&gt;"&amp;$O3319),"")</f>
        <v/>
      </c>
      <c r="Q3319" s="396">
        <f>IF($P3319="","",$P3319-$O3319)</f>
        <v/>
      </c>
    </row>
    <row r="3320" ht="15" customHeight="1" s="231">
      <c r="A3320" s="397" t="n"/>
      <c r="B3320" s="397" t="n"/>
      <c r="C3320" s="397" t="n"/>
      <c r="D3320" s="397" t="n"/>
      <c r="E3320" s="397" t="n"/>
      <c r="F3320" s="397" t="n"/>
      <c r="G3320" s="397" t="n"/>
      <c r="I3320" s="397" t="n"/>
      <c r="J3320" s="397" t="n"/>
      <c r="K3320" s="395">
        <f>DATE(VALUE(LEFT(A3320,4)),VALUE(MID(A3320,5,2)),VALUE(RIGHT(A3320,2)))</f>
        <v/>
      </c>
      <c r="L3320" s="395">
        <f>DATEVALUE(LEFT(F3320,10))</f>
        <v/>
      </c>
      <c r="M3320" s="396">
        <f>TIMEVALUE(MID(F3320,12,8))</f>
        <v/>
      </c>
      <c r="N3320" s="395">
        <f>DATEVALUE(LEFT(G3320,10))</f>
        <v/>
      </c>
      <c r="O3320" s="396">
        <f>TIMEVALUE(MID(G3320,12,8))</f>
        <v/>
      </c>
      <c r="P3320" s="396">
        <f>IFERROR(_xlfn.MINIFS($M:$M,$E:$E,$E3320,$K:$K,$K3320,$M:$M,"&gt;"&amp;$O3320),"")</f>
        <v/>
      </c>
      <c r="Q3320" s="396">
        <f>IF($P3320="","",$P3320-$O3320)</f>
        <v/>
      </c>
    </row>
    <row r="3321" ht="15" customHeight="1" s="231">
      <c r="A3321" s="397" t="n"/>
      <c r="B3321" s="397" t="n"/>
      <c r="C3321" s="397" t="n"/>
      <c r="D3321" s="397" t="n"/>
      <c r="E3321" s="397" t="n"/>
      <c r="F3321" s="397" t="n"/>
      <c r="G3321" s="397" t="n"/>
      <c r="I3321" s="397" t="n"/>
      <c r="J3321" s="397" t="n"/>
      <c r="K3321" s="395">
        <f>DATE(VALUE(LEFT(A3321,4)),VALUE(MID(A3321,5,2)),VALUE(RIGHT(A3321,2)))</f>
        <v/>
      </c>
      <c r="L3321" s="395">
        <f>DATEVALUE(LEFT(F3321,10))</f>
        <v/>
      </c>
      <c r="M3321" s="396">
        <f>TIMEVALUE(MID(F3321,12,8))</f>
        <v/>
      </c>
      <c r="N3321" s="395">
        <f>DATEVALUE(LEFT(G3321,10))</f>
        <v/>
      </c>
      <c r="O3321" s="396">
        <f>TIMEVALUE(MID(G3321,12,8))</f>
        <v/>
      </c>
      <c r="P3321" s="396">
        <f>IFERROR(_xlfn.MINIFS($M:$M,$E:$E,$E3321,$K:$K,$K3321,$M:$M,"&gt;"&amp;$O3321),"")</f>
        <v/>
      </c>
      <c r="Q3321" s="396">
        <f>IF($P3321="","",$P3321-$O3321)</f>
        <v/>
      </c>
    </row>
    <row r="3322" ht="15" customHeight="1" s="231">
      <c r="A3322" s="397" t="n"/>
      <c r="B3322" s="397" t="n"/>
      <c r="C3322" s="397" t="n"/>
      <c r="D3322" s="397" t="n"/>
      <c r="E3322" s="397" t="n"/>
      <c r="F3322" s="397" t="n"/>
      <c r="G3322" s="397" t="n"/>
      <c r="I3322" s="397" t="n"/>
      <c r="J3322" s="397" t="n"/>
      <c r="K3322" s="395">
        <f>DATE(VALUE(LEFT(A3322,4)),VALUE(MID(A3322,5,2)),VALUE(RIGHT(A3322,2)))</f>
        <v/>
      </c>
      <c r="L3322" s="395">
        <f>DATEVALUE(LEFT(F3322,10))</f>
        <v/>
      </c>
      <c r="M3322" s="396">
        <f>TIMEVALUE(MID(F3322,12,8))</f>
        <v/>
      </c>
      <c r="N3322" s="395">
        <f>DATEVALUE(LEFT(G3322,10))</f>
        <v/>
      </c>
      <c r="O3322" s="396">
        <f>TIMEVALUE(MID(G3322,12,8))</f>
        <v/>
      </c>
      <c r="P3322" s="396">
        <f>IFERROR(_xlfn.MINIFS($M:$M,$E:$E,$E3322,$K:$K,$K3322,$M:$M,"&gt;"&amp;$O3322),"")</f>
        <v/>
      </c>
      <c r="Q3322" s="396">
        <f>IF($P3322="","",$P3322-$O3322)</f>
        <v/>
      </c>
    </row>
    <row r="3323" ht="15" customHeight="1" s="231">
      <c r="A3323" s="397" t="n"/>
      <c r="B3323" s="397" t="n"/>
      <c r="C3323" s="397" t="n"/>
      <c r="D3323" s="397" t="n"/>
      <c r="E3323" s="397" t="n"/>
      <c r="F3323" s="397" t="n"/>
      <c r="G3323" s="397" t="n"/>
      <c r="I3323" s="397" t="n"/>
      <c r="J3323" s="397" t="n"/>
      <c r="K3323" s="395">
        <f>DATE(VALUE(LEFT(A3323,4)),VALUE(MID(A3323,5,2)),VALUE(RIGHT(A3323,2)))</f>
        <v/>
      </c>
      <c r="L3323" s="395">
        <f>DATEVALUE(LEFT(F3323,10))</f>
        <v/>
      </c>
      <c r="M3323" s="396">
        <f>TIMEVALUE(MID(F3323,12,8))</f>
        <v/>
      </c>
      <c r="N3323" s="395">
        <f>DATEVALUE(LEFT(G3323,10))</f>
        <v/>
      </c>
      <c r="O3323" s="396">
        <f>TIMEVALUE(MID(G3323,12,8))</f>
        <v/>
      </c>
      <c r="P3323" s="396">
        <f>IFERROR(_xlfn.MINIFS($M:$M,$E:$E,$E3323,$K:$K,$K3323,$M:$M,"&gt;"&amp;$O3323),"")</f>
        <v/>
      </c>
      <c r="Q3323" s="396">
        <f>IF($P3323="","",$P3323-$O3323)</f>
        <v/>
      </c>
    </row>
    <row r="3324" ht="15" customHeight="1" s="231">
      <c r="A3324" s="397" t="n"/>
      <c r="B3324" s="397" t="n"/>
      <c r="C3324" s="397" t="n"/>
      <c r="D3324" s="397" t="n"/>
      <c r="E3324" s="397" t="n"/>
      <c r="F3324" s="397" t="n"/>
      <c r="G3324" s="397" t="n"/>
      <c r="I3324" s="397" t="n"/>
      <c r="J3324" s="397" t="n"/>
      <c r="K3324" s="395">
        <f>DATE(VALUE(LEFT(A3324,4)),VALUE(MID(A3324,5,2)),VALUE(RIGHT(A3324,2)))</f>
        <v/>
      </c>
      <c r="L3324" s="395">
        <f>DATEVALUE(LEFT(F3324,10))</f>
        <v/>
      </c>
      <c r="M3324" s="396">
        <f>TIMEVALUE(MID(F3324,12,8))</f>
        <v/>
      </c>
      <c r="N3324" s="395">
        <f>DATEVALUE(LEFT(G3324,10))</f>
        <v/>
      </c>
      <c r="O3324" s="396">
        <f>TIMEVALUE(MID(G3324,12,8))</f>
        <v/>
      </c>
      <c r="P3324" s="396">
        <f>IFERROR(_xlfn.MINIFS($M:$M,$E:$E,$E3324,$K:$K,$K3324,$M:$M,"&gt;"&amp;$O3324),"")</f>
        <v/>
      </c>
      <c r="Q3324" s="396">
        <f>IF($P3324="","",$P3324-$O3324)</f>
        <v/>
      </c>
    </row>
    <row r="3325" ht="15" customHeight="1" s="231">
      <c r="A3325" s="397" t="n"/>
      <c r="B3325" s="397" t="n"/>
      <c r="C3325" s="397" t="n"/>
      <c r="D3325" s="397" t="n"/>
      <c r="E3325" s="397" t="n"/>
      <c r="F3325" s="397" t="n"/>
      <c r="G3325" s="397" t="n"/>
      <c r="I3325" s="397" t="n"/>
      <c r="J3325" s="397" t="n"/>
      <c r="K3325" s="395">
        <f>DATE(VALUE(LEFT(A3325,4)),VALUE(MID(A3325,5,2)),VALUE(RIGHT(A3325,2)))</f>
        <v/>
      </c>
      <c r="L3325" s="395">
        <f>DATEVALUE(LEFT(F3325,10))</f>
        <v/>
      </c>
      <c r="M3325" s="396">
        <f>TIMEVALUE(MID(F3325,12,8))</f>
        <v/>
      </c>
      <c r="N3325" s="395">
        <f>DATEVALUE(LEFT(G3325,10))</f>
        <v/>
      </c>
      <c r="O3325" s="396">
        <f>TIMEVALUE(MID(G3325,12,8))</f>
        <v/>
      </c>
      <c r="P3325" s="396">
        <f>IFERROR(_xlfn.MINIFS($M:$M,$E:$E,$E3325,$K:$K,$K3325,$M:$M,"&gt;"&amp;$O3325),"")</f>
        <v/>
      </c>
      <c r="Q3325" s="396">
        <f>IF($P3325="","",$P3325-$O3325)</f>
        <v/>
      </c>
    </row>
    <row r="3326" ht="15" customHeight="1" s="231">
      <c r="A3326" s="397" t="n"/>
      <c r="B3326" s="397" t="n"/>
      <c r="C3326" s="397" t="n"/>
      <c r="D3326" s="397" t="n"/>
      <c r="E3326" s="397" t="n"/>
      <c r="F3326" s="397" t="n"/>
      <c r="G3326" s="397" t="n"/>
      <c r="I3326" s="397" t="n"/>
      <c r="J3326" s="397" t="n"/>
      <c r="K3326" s="395">
        <f>DATE(VALUE(LEFT(A3326,4)),VALUE(MID(A3326,5,2)),VALUE(RIGHT(A3326,2)))</f>
        <v/>
      </c>
      <c r="L3326" s="395">
        <f>DATEVALUE(LEFT(F3326,10))</f>
        <v/>
      </c>
      <c r="M3326" s="396">
        <f>TIMEVALUE(MID(F3326,12,8))</f>
        <v/>
      </c>
      <c r="N3326" s="395">
        <f>DATEVALUE(LEFT(G3326,10))</f>
        <v/>
      </c>
      <c r="O3326" s="396">
        <f>TIMEVALUE(MID(G3326,12,8))</f>
        <v/>
      </c>
      <c r="P3326" s="396">
        <f>IFERROR(_xlfn.MINIFS($M:$M,$E:$E,$E3326,$K:$K,$K3326,$M:$M,"&gt;"&amp;$O3326),"")</f>
        <v/>
      </c>
      <c r="Q3326" s="396">
        <f>IF($P3326="","",$P3326-$O3326)</f>
        <v/>
      </c>
    </row>
    <row r="3327" ht="15" customHeight="1" s="231">
      <c r="A3327" s="397" t="n"/>
      <c r="B3327" s="397" t="n"/>
      <c r="C3327" s="397" t="n"/>
      <c r="D3327" s="397" t="n"/>
      <c r="E3327" s="397" t="n"/>
      <c r="F3327" s="397" t="n"/>
      <c r="G3327" s="397" t="n"/>
      <c r="I3327" s="397" t="n"/>
      <c r="J3327" s="397" t="n"/>
      <c r="K3327" s="395">
        <f>DATE(VALUE(LEFT(A3327,4)),VALUE(MID(A3327,5,2)),VALUE(RIGHT(A3327,2)))</f>
        <v/>
      </c>
      <c r="L3327" s="395">
        <f>DATEVALUE(LEFT(F3327,10))</f>
        <v/>
      </c>
      <c r="M3327" s="396">
        <f>TIMEVALUE(MID(F3327,12,8))</f>
        <v/>
      </c>
      <c r="N3327" s="395">
        <f>DATEVALUE(LEFT(G3327,10))</f>
        <v/>
      </c>
      <c r="O3327" s="396">
        <f>TIMEVALUE(MID(G3327,12,8))</f>
        <v/>
      </c>
      <c r="P3327" s="396">
        <f>IFERROR(_xlfn.MINIFS($M:$M,$E:$E,$E3327,$K:$K,$K3327,$M:$M,"&gt;"&amp;$O3327),"")</f>
        <v/>
      </c>
      <c r="Q3327" s="396">
        <f>IF($P3327="","",$P3327-$O3327)</f>
        <v/>
      </c>
    </row>
    <row r="3328" ht="15" customHeight="1" s="231">
      <c r="A3328" s="397" t="n"/>
      <c r="B3328" s="397" t="n"/>
      <c r="C3328" s="397" t="n"/>
      <c r="D3328" s="397" t="n"/>
      <c r="E3328" s="397" t="n"/>
      <c r="F3328" s="397" t="n"/>
      <c r="G3328" s="397" t="n"/>
      <c r="I3328" s="397" t="n"/>
      <c r="J3328" s="397" t="n"/>
      <c r="K3328" s="395">
        <f>DATE(VALUE(LEFT(A3328,4)),VALUE(MID(A3328,5,2)),VALUE(RIGHT(A3328,2)))</f>
        <v/>
      </c>
      <c r="L3328" s="395">
        <f>DATEVALUE(LEFT(F3328,10))</f>
        <v/>
      </c>
      <c r="M3328" s="396">
        <f>TIMEVALUE(MID(F3328,12,8))</f>
        <v/>
      </c>
      <c r="N3328" s="395">
        <f>DATEVALUE(LEFT(G3328,10))</f>
        <v/>
      </c>
      <c r="O3328" s="396">
        <f>TIMEVALUE(MID(G3328,12,8))</f>
        <v/>
      </c>
      <c r="P3328" s="396">
        <f>IFERROR(_xlfn.MINIFS($M:$M,$E:$E,$E3328,$K:$K,$K3328,$M:$M,"&gt;"&amp;$O3328),"")</f>
        <v/>
      </c>
      <c r="Q3328" s="396">
        <f>IF($P3328="","",$P3328-$O3328)</f>
        <v/>
      </c>
    </row>
    <row r="3329" ht="15" customHeight="1" s="231">
      <c r="A3329" s="397" t="n"/>
      <c r="B3329" s="397" t="n"/>
      <c r="C3329" s="397" t="n"/>
      <c r="D3329" s="397" t="n"/>
      <c r="E3329" s="397" t="n"/>
      <c r="F3329" s="397" t="n"/>
      <c r="G3329" s="397" t="n"/>
      <c r="I3329" s="397" t="n"/>
      <c r="J3329" s="397" t="n"/>
      <c r="K3329" s="395">
        <f>DATE(VALUE(LEFT(A3329,4)),VALUE(MID(A3329,5,2)),VALUE(RIGHT(A3329,2)))</f>
        <v/>
      </c>
      <c r="L3329" s="395">
        <f>DATEVALUE(LEFT(F3329,10))</f>
        <v/>
      </c>
      <c r="M3329" s="396">
        <f>TIMEVALUE(MID(F3329,12,8))</f>
        <v/>
      </c>
      <c r="N3329" s="395">
        <f>DATEVALUE(LEFT(G3329,10))</f>
        <v/>
      </c>
      <c r="O3329" s="396">
        <f>TIMEVALUE(MID(G3329,12,8))</f>
        <v/>
      </c>
      <c r="P3329" s="396">
        <f>IFERROR(_xlfn.MINIFS($M:$M,$E:$E,$E3329,$K:$K,$K3329,$M:$M,"&gt;"&amp;$O3329),"")</f>
        <v/>
      </c>
      <c r="Q3329" s="396">
        <f>IF($P3329="","",$P3329-$O3329)</f>
        <v/>
      </c>
    </row>
    <row r="3330" ht="15" customHeight="1" s="231">
      <c r="A3330" s="397" t="n"/>
      <c r="B3330" s="397" t="n"/>
      <c r="C3330" s="397" t="n"/>
      <c r="D3330" s="397" t="n"/>
      <c r="E3330" s="397" t="n"/>
      <c r="F3330" s="397" t="n"/>
      <c r="G3330" s="397" t="n"/>
      <c r="I3330" s="397" t="n"/>
      <c r="J3330" s="397" t="n"/>
      <c r="K3330" s="395">
        <f>DATE(VALUE(LEFT(A3330,4)),VALUE(MID(A3330,5,2)),VALUE(RIGHT(A3330,2)))</f>
        <v/>
      </c>
      <c r="L3330" s="395">
        <f>DATEVALUE(LEFT(F3330,10))</f>
        <v/>
      </c>
      <c r="M3330" s="396">
        <f>TIMEVALUE(MID(F3330,12,8))</f>
        <v/>
      </c>
      <c r="N3330" s="395">
        <f>DATEVALUE(LEFT(G3330,10))</f>
        <v/>
      </c>
      <c r="O3330" s="396">
        <f>TIMEVALUE(MID(G3330,12,8))</f>
        <v/>
      </c>
      <c r="P3330" s="396">
        <f>IFERROR(_xlfn.MINIFS($M:$M,$E:$E,$E3330,$K:$K,$K3330,$M:$M,"&gt;"&amp;$O3330),"")</f>
        <v/>
      </c>
      <c r="Q3330" s="396">
        <f>IF($P3330="","",$P3330-$O3330)</f>
        <v/>
      </c>
    </row>
    <row r="3331" ht="15" customHeight="1" s="231">
      <c r="A3331" s="397" t="n"/>
      <c r="B3331" s="397" t="n"/>
      <c r="C3331" s="397" t="n"/>
      <c r="D3331" s="397" t="n"/>
      <c r="E3331" s="397" t="n"/>
      <c r="F3331" s="397" t="n"/>
      <c r="G3331" s="397" t="n"/>
      <c r="I3331" s="397" t="n"/>
      <c r="J3331" s="397" t="n"/>
      <c r="K3331" s="395">
        <f>DATE(VALUE(LEFT(A3331,4)),VALUE(MID(A3331,5,2)),VALUE(RIGHT(A3331,2)))</f>
        <v/>
      </c>
      <c r="L3331" s="395">
        <f>DATEVALUE(LEFT(F3331,10))</f>
        <v/>
      </c>
      <c r="M3331" s="396">
        <f>TIMEVALUE(MID(F3331,12,8))</f>
        <v/>
      </c>
      <c r="N3331" s="395">
        <f>DATEVALUE(LEFT(G3331,10))</f>
        <v/>
      </c>
      <c r="O3331" s="396">
        <f>TIMEVALUE(MID(G3331,12,8))</f>
        <v/>
      </c>
      <c r="P3331" s="396">
        <f>IFERROR(_xlfn.MINIFS($M:$M,$E:$E,$E3331,$K:$K,$K3331,$M:$M,"&gt;"&amp;$O3331),"")</f>
        <v/>
      </c>
      <c r="Q3331" s="396">
        <f>IF($P3331="","",$P3331-$O3331)</f>
        <v/>
      </c>
    </row>
    <row r="3332" ht="15" customHeight="1" s="231">
      <c r="A3332" s="397" t="n"/>
      <c r="B3332" s="397" t="n"/>
      <c r="C3332" s="397" t="n"/>
      <c r="D3332" s="397" t="n"/>
      <c r="E3332" s="397" t="n"/>
      <c r="F3332" s="397" t="n"/>
      <c r="G3332" s="397" t="n"/>
      <c r="I3332" s="397" t="n"/>
      <c r="J3332" s="397" t="n"/>
      <c r="K3332" s="395">
        <f>DATE(VALUE(LEFT(A3332,4)),VALUE(MID(A3332,5,2)),VALUE(RIGHT(A3332,2)))</f>
        <v/>
      </c>
      <c r="L3332" s="395">
        <f>DATEVALUE(LEFT(F3332,10))</f>
        <v/>
      </c>
      <c r="M3332" s="396">
        <f>TIMEVALUE(MID(F3332,12,8))</f>
        <v/>
      </c>
      <c r="N3332" s="395">
        <f>DATEVALUE(LEFT(G3332,10))</f>
        <v/>
      </c>
      <c r="O3332" s="396">
        <f>TIMEVALUE(MID(G3332,12,8))</f>
        <v/>
      </c>
      <c r="P3332" s="396">
        <f>IFERROR(_xlfn.MINIFS($M:$M,$E:$E,$E3332,$K:$K,$K3332,$M:$M,"&gt;"&amp;$O3332),"")</f>
        <v/>
      </c>
      <c r="Q3332" s="396">
        <f>IF($P3332="","",$P3332-$O3332)</f>
        <v/>
      </c>
    </row>
    <row r="3333" ht="15" customHeight="1" s="231">
      <c r="A3333" s="397" t="n"/>
      <c r="B3333" s="397" t="n"/>
      <c r="C3333" s="397" t="n"/>
      <c r="D3333" s="397" t="n"/>
      <c r="E3333" s="397" t="n"/>
      <c r="F3333" s="397" t="n"/>
      <c r="G3333" s="397" t="n"/>
      <c r="I3333" s="397" t="n"/>
      <c r="J3333" s="397" t="n"/>
      <c r="K3333" s="395">
        <f>DATE(VALUE(LEFT(A3333,4)),VALUE(MID(A3333,5,2)),VALUE(RIGHT(A3333,2)))</f>
        <v/>
      </c>
      <c r="L3333" s="395">
        <f>DATEVALUE(LEFT(F3333,10))</f>
        <v/>
      </c>
      <c r="M3333" s="396">
        <f>TIMEVALUE(MID(F3333,12,8))</f>
        <v/>
      </c>
      <c r="N3333" s="395">
        <f>DATEVALUE(LEFT(G3333,10))</f>
        <v/>
      </c>
      <c r="O3333" s="396">
        <f>TIMEVALUE(MID(G3333,12,8))</f>
        <v/>
      </c>
      <c r="P3333" s="396">
        <f>IFERROR(_xlfn.MINIFS($M:$M,$E:$E,$E3333,$K:$K,$K3333,$M:$M,"&gt;"&amp;$O3333),"")</f>
        <v/>
      </c>
      <c r="Q3333" s="396">
        <f>IF($P3333="","",$P3333-$O3333)</f>
        <v/>
      </c>
    </row>
    <row r="3334" ht="15" customHeight="1" s="231">
      <c r="A3334" s="397" t="n"/>
      <c r="B3334" s="397" t="n"/>
      <c r="C3334" s="397" t="n"/>
      <c r="D3334" s="397" t="n"/>
      <c r="E3334" s="397" t="n"/>
      <c r="F3334" s="397" t="n"/>
      <c r="G3334" s="397" t="n"/>
      <c r="I3334" s="397" t="n"/>
      <c r="J3334" s="397" t="n"/>
      <c r="K3334" s="395">
        <f>DATE(VALUE(LEFT(A3334,4)),VALUE(MID(A3334,5,2)),VALUE(RIGHT(A3334,2)))</f>
        <v/>
      </c>
      <c r="L3334" s="395">
        <f>DATEVALUE(LEFT(F3334,10))</f>
        <v/>
      </c>
      <c r="M3334" s="396">
        <f>TIMEVALUE(MID(F3334,12,8))</f>
        <v/>
      </c>
      <c r="N3334" s="395">
        <f>DATEVALUE(LEFT(G3334,10))</f>
        <v/>
      </c>
      <c r="O3334" s="396">
        <f>TIMEVALUE(MID(G3334,12,8))</f>
        <v/>
      </c>
      <c r="P3334" s="396">
        <f>IFERROR(_xlfn.MINIFS($M:$M,$E:$E,$E3334,$K:$K,$K3334,$M:$M,"&gt;"&amp;$O3334),"")</f>
        <v/>
      </c>
      <c r="Q3334" s="396">
        <f>IF($P3334="","",$P3334-$O3334)</f>
        <v/>
      </c>
    </row>
    <row r="3335" ht="15" customHeight="1" s="231">
      <c r="A3335" s="397" t="n"/>
      <c r="B3335" s="397" t="n"/>
      <c r="C3335" s="397" t="n"/>
      <c r="D3335" s="397" t="n"/>
      <c r="E3335" s="397" t="n"/>
      <c r="F3335" s="397" t="n"/>
      <c r="G3335" s="397" t="n"/>
      <c r="I3335" s="397" t="n"/>
      <c r="J3335" s="397" t="n"/>
      <c r="K3335" s="395">
        <f>DATE(VALUE(LEFT(A3335,4)),VALUE(MID(A3335,5,2)),VALUE(RIGHT(A3335,2)))</f>
        <v/>
      </c>
      <c r="L3335" s="395">
        <f>DATEVALUE(LEFT(F3335,10))</f>
        <v/>
      </c>
      <c r="M3335" s="396">
        <f>TIMEVALUE(MID(F3335,12,8))</f>
        <v/>
      </c>
      <c r="N3335" s="395">
        <f>DATEVALUE(LEFT(G3335,10))</f>
        <v/>
      </c>
      <c r="O3335" s="396">
        <f>TIMEVALUE(MID(G3335,12,8))</f>
        <v/>
      </c>
      <c r="P3335" s="396">
        <f>IFERROR(_xlfn.MINIFS($M:$M,$E:$E,$E3335,$K:$K,$K3335,$M:$M,"&gt;"&amp;$O3335),"")</f>
        <v/>
      </c>
      <c r="Q3335" s="396">
        <f>IF($P3335="","",$P3335-$O3335)</f>
        <v/>
      </c>
    </row>
    <row r="3336" ht="15" customHeight="1" s="231">
      <c r="A3336" s="397" t="n"/>
      <c r="B3336" s="397" t="n"/>
      <c r="C3336" s="397" t="n"/>
      <c r="D3336" s="397" t="n"/>
      <c r="E3336" s="397" t="n"/>
      <c r="F3336" s="397" t="n"/>
      <c r="G3336" s="397" t="n"/>
      <c r="I3336" s="397" t="n"/>
      <c r="J3336" s="397" t="n"/>
      <c r="K3336" s="395">
        <f>DATE(VALUE(LEFT(A3336,4)),VALUE(MID(A3336,5,2)),VALUE(RIGHT(A3336,2)))</f>
        <v/>
      </c>
      <c r="L3336" s="395">
        <f>DATEVALUE(LEFT(F3336,10))</f>
        <v/>
      </c>
      <c r="M3336" s="396">
        <f>TIMEVALUE(MID(F3336,12,8))</f>
        <v/>
      </c>
      <c r="N3336" s="395">
        <f>DATEVALUE(LEFT(G3336,10))</f>
        <v/>
      </c>
      <c r="O3336" s="396">
        <f>TIMEVALUE(MID(G3336,12,8))</f>
        <v/>
      </c>
      <c r="P3336" s="396">
        <f>IFERROR(_xlfn.MINIFS($M:$M,$E:$E,$E3336,$K:$K,$K3336,$M:$M,"&gt;"&amp;$O3336),"")</f>
        <v/>
      </c>
      <c r="Q3336" s="396">
        <f>IF($P3336="","",$P3336-$O3336)</f>
        <v/>
      </c>
    </row>
    <row r="3337" ht="15" customHeight="1" s="231">
      <c r="A3337" s="397" t="n"/>
      <c r="B3337" s="397" t="n"/>
      <c r="C3337" s="397" t="n"/>
      <c r="D3337" s="397" t="n"/>
      <c r="E3337" s="397" t="n"/>
      <c r="F3337" s="397" t="n"/>
      <c r="G3337" s="397" t="n"/>
      <c r="I3337" s="397" t="n"/>
      <c r="J3337" s="397" t="n"/>
      <c r="K3337" s="395">
        <f>DATE(VALUE(LEFT(A3337,4)),VALUE(MID(A3337,5,2)),VALUE(RIGHT(A3337,2)))</f>
        <v/>
      </c>
      <c r="L3337" s="395">
        <f>DATEVALUE(LEFT(F3337,10))</f>
        <v/>
      </c>
      <c r="M3337" s="396">
        <f>TIMEVALUE(MID(F3337,12,8))</f>
        <v/>
      </c>
      <c r="N3337" s="395">
        <f>DATEVALUE(LEFT(G3337,10))</f>
        <v/>
      </c>
      <c r="O3337" s="396">
        <f>TIMEVALUE(MID(G3337,12,8))</f>
        <v/>
      </c>
      <c r="P3337" s="396">
        <f>IFERROR(_xlfn.MINIFS($M:$M,$E:$E,$E3337,$K:$K,$K3337,$M:$M,"&gt;"&amp;$O3337),"")</f>
        <v/>
      </c>
      <c r="Q3337" s="396">
        <f>IF($P3337="","",$P3337-$O3337)</f>
        <v/>
      </c>
    </row>
    <row r="3338" ht="15" customHeight="1" s="231">
      <c r="A3338" s="397" t="n"/>
      <c r="B3338" s="397" t="n"/>
      <c r="C3338" s="397" t="n"/>
      <c r="D3338" s="397" t="n"/>
      <c r="E3338" s="397" t="n"/>
      <c r="F3338" s="397" t="n"/>
      <c r="G3338" s="397" t="n"/>
      <c r="I3338" s="397" t="n"/>
      <c r="J3338" s="397" t="n"/>
      <c r="K3338" s="395">
        <f>DATE(VALUE(LEFT(A3338,4)),VALUE(MID(A3338,5,2)),VALUE(RIGHT(A3338,2)))</f>
        <v/>
      </c>
      <c r="L3338" s="395">
        <f>DATEVALUE(LEFT(F3338,10))</f>
        <v/>
      </c>
      <c r="M3338" s="396">
        <f>TIMEVALUE(MID(F3338,12,8))</f>
        <v/>
      </c>
      <c r="N3338" s="395">
        <f>DATEVALUE(LEFT(G3338,10))</f>
        <v/>
      </c>
      <c r="O3338" s="396">
        <f>TIMEVALUE(MID(G3338,12,8))</f>
        <v/>
      </c>
      <c r="P3338" s="396">
        <f>IFERROR(_xlfn.MINIFS($M:$M,$E:$E,$E3338,$K:$K,$K3338,$M:$M,"&gt;"&amp;$O3338),"")</f>
        <v/>
      </c>
      <c r="Q3338" s="396">
        <f>IF($P3338="","",$P3338-$O3338)</f>
        <v/>
      </c>
    </row>
    <row r="3339" ht="15" customHeight="1" s="231">
      <c r="A3339" s="397" t="n"/>
      <c r="B3339" s="397" t="n"/>
      <c r="C3339" s="397" t="n"/>
      <c r="D3339" s="397" t="n"/>
      <c r="E3339" s="397" t="n"/>
      <c r="F3339" s="397" t="n"/>
      <c r="G3339" s="397" t="n"/>
      <c r="I3339" s="397" t="n"/>
      <c r="J3339" s="397" t="n"/>
      <c r="K3339" s="395">
        <f>DATE(VALUE(LEFT(A3339,4)),VALUE(MID(A3339,5,2)),VALUE(RIGHT(A3339,2)))</f>
        <v/>
      </c>
      <c r="L3339" s="395">
        <f>DATEVALUE(LEFT(F3339,10))</f>
        <v/>
      </c>
      <c r="M3339" s="396">
        <f>TIMEVALUE(MID(F3339,12,8))</f>
        <v/>
      </c>
      <c r="N3339" s="395">
        <f>DATEVALUE(LEFT(G3339,10))</f>
        <v/>
      </c>
      <c r="O3339" s="396">
        <f>TIMEVALUE(MID(G3339,12,8))</f>
        <v/>
      </c>
      <c r="P3339" s="396">
        <f>IFERROR(_xlfn.MINIFS($M:$M,$E:$E,$E3339,$K:$K,$K3339,$M:$M,"&gt;"&amp;$O3339),"")</f>
        <v/>
      </c>
      <c r="Q3339" s="396">
        <f>IF($P3339="","",$P3339-$O3339)</f>
        <v/>
      </c>
    </row>
    <row r="3340" ht="15" customHeight="1" s="231">
      <c r="A3340" s="397" t="n"/>
      <c r="B3340" s="397" t="n"/>
      <c r="C3340" s="397" t="n"/>
      <c r="D3340" s="397" t="n"/>
      <c r="E3340" s="397" t="n"/>
      <c r="F3340" s="397" t="n"/>
      <c r="G3340" s="397" t="n"/>
      <c r="I3340" s="397" t="n"/>
      <c r="J3340" s="397" t="n"/>
      <c r="K3340" s="395">
        <f>DATE(VALUE(LEFT(A3340,4)),VALUE(MID(A3340,5,2)),VALUE(RIGHT(A3340,2)))</f>
        <v/>
      </c>
      <c r="L3340" s="395">
        <f>DATEVALUE(LEFT(F3340,10))</f>
        <v/>
      </c>
      <c r="M3340" s="396">
        <f>TIMEVALUE(MID(F3340,12,8))</f>
        <v/>
      </c>
      <c r="N3340" s="395">
        <f>DATEVALUE(LEFT(G3340,10))</f>
        <v/>
      </c>
      <c r="O3340" s="396">
        <f>TIMEVALUE(MID(G3340,12,8))</f>
        <v/>
      </c>
      <c r="P3340" s="396">
        <f>IFERROR(_xlfn.MINIFS($M:$M,$E:$E,$E3340,$K:$K,$K3340,$M:$M,"&gt;"&amp;$O3340),"")</f>
        <v/>
      </c>
      <c r="Q3340" s="396">
        <f>IF($P3340="","",$P3340-$O3340)</f>
        <v/>
      </c>
    </row>
    <row r="3341" ht="15" customHeight="1" s="231">
      <c r="A3341" s="397" t="n"/>
      <c r="B3341" s="397" t="n"/>
      <c r="C3341" s="397" t="n"/>
      <c r="D3341" s="397" t="n"/>
      <c r="E3341" s="397" t="n"/>
      <c r="F3341" s="397" t="n"/>
      <c r="G3341" s="397" t="n"/>
      <c r="I3341" s="397" t="n"/>
      <c r="J3341" s="397" t="n"/>
      <c r="K3341" s="395">
        <f>DATE(VALUE(LEFT(A3341,4)),VALUE(MID(A3341,5,2)),VALUE(RIGHT(A3341,2)))</f>
        <v/>
      </c>
      <c r="L3341" s="395">
        <f>DATEVALUE(LEFT(F3341,10))</f>
        <v/>
      </c>
      <c r="M3341" s="396">
        <f>TIMEVALUE(MID(F3341,12,8))</f>
        <v/>
      </c>
      <c r="N3341" s="395">
        <f>DATEVALUE(LEFT(G3341,10))</f>
        <v/>
      </c>
      <c r="O3341" s="396">
        <f>TIMEVALUE(MID(G3341,12,8))</f>
        <v/>
      </c>
      <c r="P3341" s="396">
        <f>IFERROR(_xlfn.MINIFS($M:$M,$E:$E,$E3341,$K:$K,$K3341,$M:$M,"&gt;"&amp;$O3341),"")</f>
        <v/>
      </c>
      <c r="Q3341" s="396">
        <f>IF($P3341="","",$P3341-$O3341)</f>
        <v/>
      </c>
    </row>
    <row r="3342" ht="15" customHeight="1" s="231">
      <c r="A3342" s="397" t="n"/>
      <c r="B3342" s="397" t="n"/>
      <c r="C3342" s="397" t="n"/>
      <c r="D3342" s="397" t="n"/>
      <c r="E3342" s="397" t="n"/>
      <c r="F3342" s="397" t="n"/>
      <c r="G3342" s="397" t="n"/>
      <c r="I3342" s="397" t="n"/>
      <c r="J3342" s="397" t="n"/>
      <c r="K3342" s="395">
        <f>DATE(VALUE(LEFT(A3342,4)),VALUE(MID(A3342,5,2)),VALUE(RIGHT(A3342,2)))</f>
        <v/>
      </c>
      <c r="L3342" s="395">
        <f>DATEVALUE(LEFT(F3342,10))</f>
        <v/>
      </c>
      <c r="M3342" s="396">
        <f>TIMEVALUE(MID(F3342,12,8))</f>
        <v/>
      </c>
      <c r="N3342" s="395">
        <f>DATEVALUE(LEFT(G3342,10))</f>
        <v/>
      </c>
      <c r="O3342" s="396">
        <f>TIMEVALUE(MID(G3342,12,8))</f>
        <v/>
      </c>
      <c r="P3342" s="396">
        <f>IFERROR(_xlfn.MINIFS($M:$M,$E:$E,$E3342,$K:$K,$K3342,$M:$M,"&gt;"&amp;$O3342),"")</f>
        <v/>
      </c>
      <c r="Q3342" s="396">
        <f>IF($P3342="","",$P3342-$O3342)</f>
        <v/>
      </c>
    </row>
    <row r="3343" ht="15" customHeight="1" s="231">
      <c r="A3343" s="397" t="n"/>
      <c r="B3343" s="397" t="n"/>
      <c r="C3343" s="397" t="n"/>
      <c r="D3343" s="397" t="n"/>
      <c r="E3343" s="397" t="n"/>
      <c r="F3343" s="397" t="n"/>
      <c r="G3343" s="397" t="n"/>
      <c r="I3343" s="397" t="n"/>
      <c r="J3343" s="397" t="n"/>
      <c r="K3343" s="395">
        <f>DATE(VALUE(LEFT(A3343,4)),VALUE(MID(A3343,5,2)),VALUE(RIGHT(A3343,2)))</f>
        <v/>
      </c>
      <c r="L3343" s="395">
        <f>DATEVALUE(LEFT(F3343,10))</f>
        <v/>
      </c>
      <c r="M3343" s="396">
        <f>TIMEVALUE(MID(F3343,12,8))</f>
        <v/>
      </c>
      <c r="N3343" s="395">
        <f>DATEVALUE(LEFT(G3343,10))</f>
        <v/>
      </c>
      <c r="O3343" s="396">
        <f>TIMEVALUE(MID(G3343,12,8))</f>
        <v/>
      </c>
      <c r="P3343" s="396">
        <f>IFERROR(_xlfn.MINIFS($M:$M,$E:$E,$E3343,$K:$K,$K3343,$M:$M,"&gt;"&amp;$O3343),"")</f>
        <v/>
      </c>
      <c r="Q3343" s="396">
        <f>IF($P3343="","",$P3343-$O3343)</f>
        <v/>
      </c>
    </row>
    <row r="3344" ht="15" customHeight="1" s="231">
      <c r="A3344" s="397" t="n"/>
      <c r="B3344" s="397" t="n"/>
      <c r="C3344" s="397" t="n"/>
      <c r="D3344" s="397" t="n"/>
      <c r="E3344" s="397" t="n"/>
      <c r="F3344" s="397" t="n"/>
      <c r="G3344" s="397" t="n"/>
      <c r="I3344" s="397" t="n"/>
      <c r="J3344" s="397" t="n"/>
      <c r="K3344" s="395">
        <f>DATE(VALUE(LEFT(A3344,4)),VALUE(MID(A3344,5,2)),VALUE(RIGHT(A3344,2)))</f>
        <v/>
      </c>
      <c r="L3344" s="395">
        <f>DATEVALUE(LEFT(F3344,10))</f>
        <v/>
      </c>
      <c r="M3344" s="396">
        <f>TIMEVALUE(MID(F3344,12,8))</f>
        <v/>
      </c>
      <c r="N3344" s="395">
        <f>DATEVALUE(LEFT(G3344,10))</f>
        <v/>
      </c>
      <c r="O3344" s="396">
        <f>TIMEVALUE(MID(G3344,12,8))</f>
        <v/>
      </c>
      <c r="P3344" s="396">
        <f>IFERROR(_xlfn.MINIFS($M:$M,$E:$E,$E3344,$K:$K,$K3344,$M:$M,"&gt;"&amp;$O3344),"")</f>
        <v/>
      </c>
      <c r="Q3344" s="396">
        <f>IF($P3344="","",$P3344-$O3344)</f>
        <v/>
      </c>
    </row>
    <row r="3345" ht="15" customHeight="1" s="231">
      <c r="A3345" s="397" t="n"/>
      <c r="B3345" s="397" t="n"/>
      <c r="C3345" s="397" t="n"/>
      <c r="D3345" s="397" t="n"/>
      <c r="E3345" s="397" t="n"/>
      <c r="F3345" s="397" t="n"/>
      <c r="G3345" s="397" t="n"/>
      <c r="I3345" s="397" t="n"/>
      <c r="J3345" s="397" t="n"/>
      <c r="K3345" s="395">
        <f>DATE(VALUE(LEFT(A3345,4)),VALUE(MID(A3345,5,2)),VALUE(RIGHT(A3345,2)))</f>
        <v/>
      </c>
      <c r="L3345" s="395">
        <f>DATEVALUE(LEFT(F3345,10))</f>
        <v/>
      </c>
      <c r="M3345" s="396">
        <f>TIMEVALUE(MID(F3345,12,8))</f>
        <v/>
      </c>
      <c r="N3345" s="395">
        <f>DATEVALUE(LEFT(G3345,10))</f>
        <v/>
      </c>
      <c r="O3345" s="396">
        <f>TIMEVALUE(MID(G3345,12,8))</f>
        <v/>
      </c>
      <c r="P3345" s="396">
        <f>IFERROR(_xlfn.MINIFS($M:$M,$E:$E,$E3345,$K:$K,$K3345,$M:$M,"&gt;"&amp;$O3345),"")</f>
        <v/>
      </c>
      <c r="Q3345" s="396">
        <f>IF($P3345="","",$P3345-$O3345)</f>
        <v/>
      </c>
    </row>
    <row r="3346" ht="15" customHeight="1" s="231">
      <c r="A3346" s="397" t="n"/>
      <c r="B3346" s="397" t="n"/>
      <c r="C3346" s="397" t="n"/>
      <c r="D3346" s="397" t="n"/>
      <c r="E3346" s="397" t="n"/>
      <c r="F3346" s="397" t="n"/>
      <c r="G3346" s="397" t="n"/>
      <c r="I3346" s="397" t="n"/>
      <c r="J3346" s="397" t="n"/>
      <c r="K3346" s="395">
        <f>DATE(VALUE(LEFT(A3346,4)),VALUE(MID(A3346,5,2)),VALUE(RIGHT(A3346,2)))</f>
        <v/>
      </c>
      <c r="L3346" s="395">
        <f>DATEVALUE(LEFT(F3346,10))</f>
        <v/>
      </c>
      <c r="M3346" s="396">
        <f>TIMEVALUE(MID(F3346,12,8))</f>
        <v/>
      </c>
      <c r="N3346" s="395">
        <f>DATEVALUE(LEFT(G3346,10))</f>
        <v/>
      </c>
      <c r="O3346" s="396">
        <f>TIMEVALUE(MID(G3346,12,8))</f>
        <v/>
      </c>
      <c r="P3346" s="396">
        <f>IFERROR(_xlfn.MINIFS($M:$M,$E:$E,$E3346,$K:$K,$K3346,$M:$M,"&gt;"&amp;$O3346),"")</f>
        <v/>
      </c>
      <c r="Q3346" s="396">
        <f>IF($P3346="","",$P3346-$O3346)</f>
        <v/>
      </c>
    </row>
    <row r="3347" ht="15" customHeight="1" s="231">
      <c r="A3347" s="397" t="n"/>
      <c r="B3347" s="397" t="n"/>
      <c r="C3347" s="397" t="n"/>
      <c r="D3347" s="397" t="n"/>
      <c r="E3347" s="397" t="n"/>
      <c r="F3347" s="397" t="n"/>
      <c r="G3347" s="397" t="n"/>
      <c r="I3347" s="397" t="n"/>
      <c r="J3347" s="397" t="n"/>
      <c r="K3347" s="395">
        <f>DATE(VALUE(LEFT(A3347,4)),VALUE(MID(A3347,5,2)),VALUE(RIGHT(A3347,2)))</f>
        <v/>
      </c>
      <c r="L3347" s="395">
        <f>DATEVALUE(LEFT(F3347,10))</f>
        <v/>
      </c>
      <c r="M3347" s="396">
        <f>TIMEVALUE(MID(F3347,12,8))</f>
        <v/>
      </c>
      <c r="N3347" s="395">
        <f>DATEVALUE(LEFT(G3347,10))</f>
        <v/>
      </c>
      <c r="O3347" s="396">
        <f>TIMEVALUE(MID(G3347,12,8))</f>
        <v/>
      </c>
      <c r="P3347" s="396">
        <f>IFERROR(_xlfn.MINIFS($M:$M,$E:$E,$E3347,$K:$K,$K3347,$M:$M,"&gt;"&amp;$O3347),"")</f>
        <v/>
      </c>
      <c r="Q3347" s="396">
        <f>IF($P3347="","",$P3347-$O3347)</f>
        <v/>
      </c>
    </row>
    <row r="3348" ht="15" customHeight="1" s="231">
      <c r="A3348" s="397" t="n"/>
      <c r="B3348" s="397" t="n"/>
      <c r="C3348" s="397" t="n"/>
      <c r="D3348" s="397" t="n"/>
      <c r="E3348" s="397" t="n"/>
      <c r="F3348" s="397" t="n"/>
      <c r="G3348" s="397" t="n"/>
      <c r="I3348" s="397" t="n"/>
      <c r="J3348" s="397" t="n"/>
      <c r="K3348" s="395">
        <f>DATE(VALUE(LEFT(A3348,4)),VALUE(MID(A3348,5,2)),VALUE(RIGHT(A3348,2)))</f>
        <v/>
      </c>
      <c r="L3348" s="395">
        <f>DATEVALUE(LEFT(F3348,10))</f>
        <v/>
      </c>
      <c r="M3348" s="396">
        <f>TIMEVALUE(MID(F3348,12,8))</f>
        <v/>
      </c>
      <c r="N3348" s="395">
        <f>DATEVALUE(LEFT(G3348,10))</f>
        <v/>
      </c>
      <c r="O3348" s="396">
        <f>TIMEVALUE(MID(G3348,12,8))</f>
        <v/>
      </c>
      <c r="P3348" s="396">
        <f>IFERROR(_xlfn.MINIFS($M:$M,$E:$E,$E3348,$K:$K,$K3348,$M:$M,"&gt;"&amp;$O3348),"")</f>
        <v/>
      </c>
      <c r="Q3348" s="396">
        <f>IF($P3348="","",$P3348-$O3348)</f>
        <v/>
      </c>
    </row>
    <row r="3349" ht="15" customHeight="1" s="231">
      <c r="A3349" s="397" t="n"/>
      <c r="B3349" s="397" t="n"/>
      <c r="C3349" s="397" t="n"/>
      <c r="D3349" s="397" t="n"/>
      <c r="E3349" s="397" t="n"/>
      <c r="F3349" s="397" t="n"/>
      <c r="G3349" s="397" t="n"/>
      <c r="I3349" s="397" t="n"/>
      <c r="J3349" s="397" t="n"/>
      <c r="K3349" s="395">
        <f>DATE(VALUE(LEFT(A3349,4)),VALUE(MID(A3349,5,2)),VALUE(RIGHT(A3349,2)))</f>
        <v/>
      </c>
      <c r="L3349" s="395">
        <f>DATEVALUE(LEFT(F3349,10))</f>
        <v/>
      </c>
      <c r="M3349" s="396">
        <f>TIMEVALUE(MID(F3349,12,8))</f>
        <v/>
      </c>
      <c r="N3349" s="395">
        <f>DATEVALUE(LEFT(G3349,10))</f>
        <v/>
      </c>
      <c r="O3349" s="396">
        <f>TIMEVALUE(MID(G3349,12,8))</f>
        <v/>
      </c>
      <c r="P3349" s="396">
        <f>IFERROR(_xlfn.MINIFS($M:$M,$E:$E,$E3349,$K:$K,$K3349,$M:$M,"&gt;"&amp;$O3349),"")</f>
        <v/>
      </c>
      <c r="Q3349" s="396">
        <f>IF($P3349="","",$P3349-$O3349)</f>
        <v/>
      </c>
    </row>
    <row r="3350" ht="15" customHeight="1" s="231">
      <c r="A3350" s="397" t="n"/>
      <c r="B3350" s="397" t="n"/>
      <c r="C3350" s="397" t="n"/>
      <c r="D3350" s="397" t="n"/>
      <c r="E3350" s="397" t="n"/>
      <c r="F3350" s="397" t="n"/>
      <c r="G3350" s="397" t="n"/>
      <c r="I3350" s="397" t="n"/>
      <c r="J3350" s="397" t="n"/>
      <c r="K3350" s="395">
        <f>DATE(VALUE(LEFT(A3350,4)),VALUE(MID(A3350,5,2)),VALUE(RIGHT(A3350,2)))</f>
        <v/>
      </c>
      <c r="L3350" s="395">
        <f>DATEVALUE(LEFT(F3350,10))</f>
        <v/>
      </c>
      <c r="M3350" s="396">
        <f>TIMEVALUE(MID(F3350,12,8))</f>
        <v/>
      </c>
      <c r="N3350" s="395">
        <f>DATEVALUE(LEFT(G3350,10))</f>
        <v/>
      </c>
      <c r="O3350" s="396">
        <f>TIMEVALUE(MID(G3350,12,8))</f>
        <v/>
      </c>
      <c r="P3350" s="396">
        <f>IFERROR(_xlfn.MINIFS($M:$M,$E:$E,$E3350,$K:$K,$K3350,$M:$M,"&gt;"&amp;$O3350),"")</f>
        <v/>
      </c>
      <c r="Q3350" s="396">
        <f>IF($P3350="","",$P3350-$O3350)</f>
        <v/>
      </c>
    </row>
    <row r="3351" ht="15" customHeight="1" s="231">
      <c r="A3351" s="397" t="n"/>
      <c r="B3351" s="397" t="n"/>
      <c r="C3351" s="397" t="n"/>
      <c r="D3351" s="397" t="n"/>
      <c r="E3351" s="397" t="n"/>
      <c r="F3351" s="397" t="n"/>
      <c r="G3351" s="397" t="n"/>
      <c r="I3351" s="397" t="n"/>
      <c r="J3351" s="397" t="n"/>
      <c r="K3351" s="395">
        <f>DATE(VALUE(LEFT(A3351,4)),VALUE(MID(A3351,5,2)),VALUE(RIGHT(A3351,2)))</f>
        <v/>
      </c>
      <c r="L3351" s="395">
        <f>DATEVALUE(LEFT(F3351,10))</f>
        <v/>
      </c>
      <c r="M3351" s="396">
        <f>TIMEVALUE(MID(F3351,12,8))</f>
        <v/>
      </c>
      <c r="N3351" s="395">
        <f>DATEVALUE(LEFT(G3351,10))</f>
        <v/>
      </c>
      <c r="O3351" s="396">
        <f>TIMEVALUE(MID(G3351,12,8))</f>
        <v/>
      </c>
      <c r="P3351" s="396">
        <f>IFERROR(_xlfn.MINIFS($M:$M,$E:$E,$E3351,$K:$K,$K3351,$M:$M,"&gt;"&amp;$O3351),"")</f>
        <v/>
      </c>
      <c r="Q3351" s="396">
        <f>IF($P3351="","",$P3351-$O3351)</f>
        <v/>
      </c>
    </row>
    <row r="3352" ht="15" customHeight="1" s="231">
      <c r="A3352" s="397" t="n"/>
      <c r="B3352" s="397" t="n"/>
      <c r="C3352" s="397" t="n"/>
      <c r="D3352" s="397" t="n"/>
      <c r="E3352" s="397" t="n"/>
      <c r="F3352" s="397" t="n"/>
      <c r="G3352" s="397" t="n"/>
      <c r="I3352" s="397" t="n"/>
      <c r="J3352" s="397" t="n"/>
      <c r="K3352" s="395">
        <f>DATE(VALUE(LEFT(A3352,4)),VALUE(MID(A3352,5,2)),VALUE(RIGHT(A3352,2)))</f>
        <v/>
      </c>
      <c r="L3352" s="395">
        <f>DATEVALUE(LEFT(F3352,10))</f>
        <v/>
      </c>
      <c r="M3352" s="396">
        <f>TIMEVALUE(MID(F3352,12,8))</f>
        <v/>
      </c>
      <c r="N3352" s="395">
        <f>DATEVALUE(LEFT(G3352,10))</f>
        <v/>
      </c>
      <c r="O3352" s="396">
        <f>TIMEVALUE(MID(G3352,12,8))</f>
        <v/>
      </c>
      <c r="P3352" s="396">
        <f>IFERROR(_xlfn.MINIFS($M:$M,$E:$E,$E3352,$K:$K,$K3352,$M:$M,"&gt;"&amp;$O3352),"")</f>
        <v/>
      </c>
      <c r="Q3352" s="396">
        <f>IF($P3352="","",$P3352-$O3352)</f>
        <v/>
      </c>
    </row>
    <row r="3353" ht="15" customHeight="1" s="231">
      <c r="A3353" s="397" t="n"/>
      <c r="B3353" s="397" t="n"/>
      <c r="C3353" s="397" t="n"/>
      <c r="D3353" s="397" t="n"/>
      <c r="E3353" s="397" t="n"/>
      <c r="F3353" s="397" t="n"/>
      <c r="G3353" s="397" t="n"/>
      <c r="I3353" s="397" t="n"/>
      <c r="J3353" s="397" t="n"/>
      <c r="K3353" s="395">
        <f>DATE(VALUE(LEFT(A3353,4)),VALUE(MID(A3353,5,2)),VALUE(RIGHT(A3353,2)))</f>
        <v/>
      </c>
      <c r="L3353" s="395">
        <f>DATEVALUE(LEFT(F3353,10))</f>
        <v/>
      </c>
      <c r="M3353" s="396">
        <f>TIMEVALUE(MID(F3353,12,8))</f>
        <v/>
      </c>
      <c r="N3353" s="395">
        <f>DATEVALUE(LEFT(G3353,10))</f>
        <v/>
      </c>
      <c r="O3353" s="396">
        <f>TIMEVALUE(MID(G3353,12,8))</f>
        <v/>
      </c>
      <c r="P3353" s="396">
        <f>IFERROR(_xlfn.MINIFS($M:$M,$E:$E,$E3353,$K:$K,$K3353,$M:$M,"&gt;"&amp;$O3353),"")</f>
        <v/>
      </c>
      <c r="Q3353" s="396">
        <f>IF($P3353="","",$P3353-$O3353)</f>
        <v/>
      </c>
    </row>
    <row r="3354" ht="15" customHeight="1" s="231">
      <c r="A3354" s="397" t="n"/>
      <c r="B3354" s="397" t="n"/>
      <c r="C3354" s="397" t="n"/>
      <c r="D3354" s="397" t="n"/>
      <c r="E3354" s="397" t="n"/>
      <c r="F3354" s="397" t="n"/>
      <c r="G3354" s="397" t="n"/>
      <c r="I3354" s="397" t="n"/>
      <c r="J3354" s="397" t="n"/>
      <c r="K3354" s="395">
        <f>DATE(VALUE(LEFT(A3354,4)),VALUE(MID(A3354,5,2)),VALUE(RIGHT(A3354,2)))</f>
        <v/>
      </c>
      <c r="L3354" s="395">
        <f>DATEVALUE(LEFT(F3354,10))</f>
        <v/>
      </c>
      <c r="M3354" s="396">
        <f>TIMEVALUE(MID(F3354,12,8))</f>
        <v/>
      </c>
      <c r="N3354" s="395">
        <f>DATEVALUE(LEFT(G3354,10))</f>
        <v/>
      </c>
      <c r="O3354" s="396">
        <f>TIMEVALUE(MID(G3354,12,8))</f>
        <v/>
      </c>
      <c r="P3354" s="396">
        <f>IFERROR(_xlfn.MINIFS($M:$M,$E:$E,$E3354,$K:$K,$K3354,$M:$M,"&gt;"&amp;$O3354),"")</f>
        <v/>
      </c>
      <c r="Q3354" s="396">
        <f>IF($P3354="","",$P3354-$O3354)</f>
        <v/>
      </c>
    </row>
    <row r="3355" ht="15" customHeight="1" s="231">
      <c r="A3355" s="397" t="n"/>
      <c r="B3355" s="397" t="n"/>
      <c r="C3355" s="397" t="n"/>
      <c r="D3355" s="397" t="n"/>
      <c r="E3355" s="397" t="n"/>
      <c r="F3355" s="397" t="n"/>
      <c r="G3355" s="397" t="n"/>
      <c r="I3355" s="397" t="n"/>
      <c r="J3355" s="397" t="n"/>
      <c r="K3355" s="395">
        <f>DATE(VALUE(LEFT(A3355,4)),VALUE(MID(A3355,5,2)),VALUE(RIGHT(A3355,2)))</f>
        <v/>
      </c>
      <c r="L3355" s="395">
        <f>DATEVALUE(LEFT(F3355,10))</f>
        <v/>
      </c>
      <c r="M3355" s="396">
        <f>TIMEVALUE(MID(F3355,12,8))</f>
        <v/>
      </c>
      <c r="N3355" s="395">
        <f>DATEVALUE(LEFT(G3355,10))</f>
        <v/>
      </c>
      <c r="O3355" s="396">
        <f>TIMEVALUE(MID(G3355,12,8))</f>
        <v/>
      </c>
      <c r="P3355" s="396">
        <f>IFERROR(_xlfn.MINIFS($M:$M,$E:$E,$E3355,$K:$K,$K3355,$M:$M,"&gt;"&amp;$O3355),"")</f>
        <v/>
      </c>
      <c r="Q3355" s="396">
        <f>IF($P3355="","",$P3355-$O3355)</f>
        <v/>
      </c>
    </row>
    <row r="3356" ht="15" customHeight="1" s="231">
      <c r="A3356" s="397" t="n"/>
      <c r="B3356" s="397" t="n"/>
      <c r="C3356" s="397" t="n"/>
      <c r="D3356" s="397" t="n"/>
      <c r="E3356" s="397" t="n"/>
      <c r="F3356" s="397" t="n"/>
      <c r="G3356" s="397" t="n"/>
      <c r="I3356" s="397" t="n"/>
      <c r="J3356" s="397" t="n"/>
      <c r="K3356" s="395">
        <f>DATE(VALUE(LEFT(A3356,4)),VALUE(MID(A3356,5,2)),VALUE(RIGHT(A3356,2)))</f>
        <v/>
      </c>
      <c r="L3356" s="395">
        <f>DATEVALUE(LEFT(F3356,10))</f>
        <v/>
      </c>
      <c r="M3356" s="396">
        <f>TIMEVALUE(MID(F3356,12,8))</f>
        <v/>
      </c>
      <c r="N3356" s="395">
        <f>DATEVALUE(LEFT(G3356,10))</f>
        <v/>
      </c>
      <c r="O3356" s="396">
        <f>TIMEVALUE(MID(G3356,12,8))</f>
        <v/>
      </c>
      <c r="P3356" s="396">
        <f>IFERROR(_xlfn.MINIFS($M:$M,$E:$E,$E3356,$K:$K,$K3356,$M:$M,"&gt;"&amp;$O3356),"")</f>
        <v/>
      </c>
      <c r="Q3356" s="396">
        <f>IF($P3356="","",$P3356-$O3356)</f>
        <v/>
      </c>
    </row>
    <row r="3357" ht="15" customHeight="1" s="231">
      <c r="A3357" s="397" t="n"/>
      <c r="B3357" s="397" t="n"/>
      <c r="C3357" s="397" t="n"/>
      <c r="D3357" s="397" t="n"/>
      <c r="E3357" s="397" t="n"/>
      <c r="F3357" s="397" t="n"/>
      <c r="G3357" s="397" t="n"/>
      <c r="I3357" s="397" t="n"/>
      <c r="J3357" s="397" t="n"/>
      <c r="K3357" s="395">
        <f>DATE(VALUE(LEFT(A3357,4)),VALUE(MID(A3357,5,2)),VALUE(RIGHT(A3357,2)))</f>
        <v/>
      </c>
      <c r="L3357" s="395">
        <f>DATEVALUE(LEFT(F3357,10))</f>
        <v/>
      </c>
      <c r="M3357" s="396">
        <f>TIMEVALUE(MID(F3357,12,8))</f>
        <v/>
      </c>
      <c r="N3357" s="395">
        <f>DATEVALUE(LEFT(G3357,10))</f>
        <v/>
      </c>
      <c r="O3357" s="396">
        <f>TIMEVALUE(MID(G3357,12,8))</f>
        <v/>
      </c>
      <c r="P3357" s="396">
        <f>IFERROR(_xlfn.MINIFS($M:$M,$E:$E,$E3357,$K:$K,$K3357,$M:$M,"&gt;"&amp;$O3357),"")</f>
        <v/>
      </c>
      <c r="Q3357" s="396">
        <f>IF($P3357="","",$P3357-$O3357)</f>
        <v/>
      </c>
    </row>
    <row r="3358" ht="15" customHeight="1" s="231">
      <c r="A3358" s="397" t="n"/>
      <c r="B3358" s="397" t="n"/>
      <c r="C3358" s="397" t="n"/>
      <c r="D3358" s="397" t="n"/>
      <c r="E3358" s="397" t="n"/>
      <c r="F3358" s="397" t="n"/>
      <c r="G3358" s="397" t="n"/>
      <c r="I3358" s="397" t="n"/>
      <c r="J3358" s="397" t="n"/>
      <c r="K3358" s="395">
        <f>DATE(VALUE(LEFT(A3358,4)),VALUE(MID(A3358,5,2)),VALUE(RIGHT(A3358,2)))</f>
        <v/>
      </c>
      <c r="L3358" s="395">
        <f>DATEVALUE(LEFT(F3358,10))</f>
        <v/>
      </c>
      <c r="M3358" s="396">
        <f>TIMEVALUE(MID(F3358,12,8))</f>
        <v/>
      </c>
      <c r="N3358" s="395">
        <f>DATEVALUE(LEFT(G3358,10))</f>
        <v/>
      </c>
      <c r="O3358" s="396">
        <f>TIMEVALUE(MID(G3358,12,8))</f>
        <v/>
      </c>
      <c r="P3358" s="396">
        <f>IFERROR(_xlfn.MINIFS($M:$M,$E:$E,$E3358,$K:$K,$K3358,$M:$M,"&gt;"&amp;$O3358),"")</f>
        <v/>
      </c>
      <c r="Q3358" s="396">
        <f>IF($P3358="","",$P3358-$O3358)</f>
        <v/>
      </c>
    </row>
    <row r="3359" ht="15" customHeight="1" s="231">
      <c r="A3359" s="397" t="n"/>
      <c r="B3359" s="397" t="n"/>
      <c r="C3359" s="397" t="n"/>
      <c r="D3359" s="397" t="n"/>
      <c r="E3359" s="397" t="n"/>
      <c r="F3359" s="397" t="n"/>
      <c r="G3359" s="397" t="n"/>
      <c r="I3359" s="397" t="n"/>
      <c r="J3359" s="397" t="n"/>
      <c r="K3359" s="395">
        <f>DATE(VALUE(LEFT(A3359,4)),VALUE(MID(A3359,5,2)),VALUE(RIGHT(A3359,2)))</f>
        <v/>
      </c>
      <c r="L3359" s="395">
        <f>DATEVALUE(LEFT(F3359,10))</f>
        <v/>
      </c>
      <c r="M3359" s="396">
        <f>TIMEVALUE(MID(F3359,12,8))</f>
        <v/>
      </c>
      <c r="N3359" s="395">
        <f>DATEVALUE(LEFT(G3359,10))</f>
        <v/>
      </c>
      <c r="O3359" s="396">
        <f>TIMEVALUE(MID(G3359,12,8))</f>
        <v/>
      </c>
      <c r="P3359" s="396">
        <f>IFERROR(_xlfn.MINIFS($M:$M,$E:$E,$E3359,$K:$K,$K3359,$M:$M,"&gt;"&amp;$O3359),"")</f>
        <v/>
      </c>
      <c r="Q3359" s="396">
        <f>IF($P3359="","",$P3359-$O3359)</f>
        <v/>
      </c>
    </row>
    <row r="3360" ht="15" customHeight="1" s="231">
      <c r="A3360" s="397" t="n"/>
      <c r="B3360" s="397" t="n"/>
      <c r="C3360" s="397" t="n"/>
      <c r="D3360" s="397" t="n"/>
      <c r="E3360" s="397" t="n"/>
      <c r="F3360" s="397" t="n"/>
      <c r="G3360" s="397" t="n"/>
      <c r="I3360" s="397" t="n"/>
      <c r="J3360" s="397" t="n"/>
      <c r="K3360" s="395">
        <f>DATE(VALUE(LEFT(A3360,4)),VALUE(MID(A3360,5,2)),VALUE(RIGHT(A3360,2)))</f>
        <v/>
      </c>
      <c r="L3360" s="395">
        <f>DATEVALUE(LEFT(F3360,10))</f>
        <v/>
      </c>
      <c r="M3360" s="396">
        <f>TIMEVALUE(MID(F3360,12,8))</f>
        <v/>
      </c>
      <c r="N3360" s="395">
        <f>DATEVALUE(LEFT(G3360,10))</f>
        <v/>
      </c>
      <c r="O3360" s="396">
        <f>TIMEVALUE(MID(G3360,12,8))</f>
        <v/>
      </c>
      <c r="P3360" s="396">
        <f>IFERROR(_xlfn.MINIFS($M:$M,$E:$E,$E3360,$K:$K,$K3360,$M:$M,"&gt;"&amp;$O3360),"")</f>
        <v/>
      </c>
      <c r="Q3360" s="396">
        <f>IF($P3360="","",$P3360-$O3360)</f>
        <v/>
      </c>
    </row>
    <row r="3361" ht="15" customHeight="1" s="231">
      <c r="A3361" s="397" t="n"/>
      <c r="B3361" s="397" t="n"/>
      <c r="C3361" s="397" t="n"/>
      <c r="D3361" s="397" t="n"/>
      <c r="E3361" s="397" t="n"/>
      <c r="F3361" s="397" t="n"/>
      <c r="G3361" s="397" t="n"/>
      <c r="I3361" s="397" t="n"/>
      <c r="J3361" s="397" t="n"/>
      <c r="K3361" s="395">
        <f>DATE(VALUE(LEFT(A3361,4)),VALUE(MID(A3361,5,2)),VALUE(RIGHT(A3361,2)))</f>
        <v/>
      </c>
      <c r="L3361" s="395">
        <f>DATEVALUE(LEFT(F3361,10))</f>
        <v/>
      </c>
      <c r="M3361" s="396">
        <f>TIMEVALUE(MID(F3361,12,8))</f>
        <v/>
      </c>
      <c r="N3361" s="395">
        <f>DATEVALUE(LEFT(G3361,10))</f>
        <v/>
      </c>
      <c r="O3361" s="396">
        <f>TIMEVALUE(MID(G3361,12,8))</f>
        <v/>
      </c>
      <c r="P3361" s="396">
        <f>IFERROR(_xlfn.MINIFS($M:$M,$E:$E,$E3361,$K:$K,$K3361,$M:$M,"&gt;"&amp;$O3361),"")</f>
        <v/>
      </c>
      <c r="Q3361" s="396">
        <f>IF($P3361="","",$P3361-$O3361)</f>
        <v/>
      </c>
    </row>
    <row r="3362" ht="15" customHeight="1" s="231">
      <c r="A3362" s="397" t="n"/>
      <c r="B3362" s="397" t="n"/>
      <c r="C3362" s="397" t="n"/>
      <c r="D3362" s="397" t="n"/>
      <c r="E3362" s="397" t="n"/>
      <c r="F3362" s="397" t="n"/>
      <c r="G3362" s="397" t="n"/>
      <c r="I3362" s="397" t="n"/>
      <c r="J3362" s="397" t="n"/>
      <c r="K3362" s="395">
        <f>DATE(VALUE(LEFT(A3362,4)),VALUE(MID(A3362,5,2)),VALUE(RIGHT(A3362,2)))</f>
        <v/>
      </c>
      <c r="L3362" s="395">
        <f>DATEVALUE(LEFT(F3362,10))</f>
        <v/>
      </c>
      <c r="M3362" s="396">
        <f>TIMEVALUE(MID(F3362,12,8))</f>
        <v/>
      </c>
      <c r="N3362" s="395">
        <f>DATEVALUE(LEFT(G3362,10))</f>
        <v/>
      </c>
      <c r="O3362" s="396">
        <f>TIMEVALUE(MID(G3362,12,8))</f>
        <v/>
      </c>
      <c r="P3362" s="396">
        <f>IFERROR(_xlfn.MINIFS($M:$M,$E:$E,$E3362,$K:$K,$K3362,$M:$M,"&gt;"&amp;$O3362),"")</f>
        <v/>
      </c>
      <c r="Q3362" s="396">
        <f>IF($P3362="","",$P3362-$O3362)</f>
        <v/>
      </c>
    </row>
    <row r="3363" ht="15" customHeight="1" s="231">
      <c r="A3363" s="397" t="n"/>
      <c r="B3363" s="397" t="n"/>
      <c r="C3363" s="397" t="n"/>
      <c r="D3363" s="397" t="n"/>
      <c r="E3363" s="397" t="n"/>
      <c r="F3363" s="397" t="n"/>
      <c r="G3363" s="397" t="n"/>
      <c r="I3363" s="397" t="n"/>
      <c r="J3363" s="397" t="n"/>
      <c r="K3363" s="395">
        <f>DATE(VALUE(LEFT(A3363,4)),VALUE(MID(A3363,5,2)),VALUE(RIGHT(A3363,2)))</f>
        <v/>
      </c>
      <c r="L3363" s="395">
        <f>DATEVALUE(LEFT(F3363,10))</f>
        <v/>
      </c>
      <c r="M3363" s="396">
        <f>TIMEVALUE(MID(F3363,12,8))</f>
        <v/>
      </c>
      <c r="N3363" s="395">
        <f>DATEVALUE(LEFT(G3363,10))</f>
        <v/>
      </c>
      <c r="O3363" s="396">
        <f>TIMEVALUE(MID(G3363,12,8))</f>
        <v/>
      </c>
      <c r="P3363" s="396">
        <f>IFERROR(_xlfn.MINIFS($M:$M,$E:$E,$E3363,$K:$K,$K3363,$M:$M,"&gt;"&amp;$O3363),"")</f>
        <v/>
      </c>
      <c r="Q3363" s="396">
        <f>IF($P3363="","",$P3363-$O3363)</f>
        <v/>
      </c>
    </row>
    <row r="3364" ht="15" customHeight="1" s="231">
      <c r="A3364" s="397" t="n"/>
      <c r="B3364" s="397" t="n"/>
      <c r="C3364" s="397" t="n"/>
      <c r="D3364" s="397" t="n"/>
      <c r="E3364" s="397" t="n"/>
      <c r="F3364" s="397" t="n"/>
      <c r="G3364" s="397" t="n"/>
      <c r="I3364" s="397" t="n"/>
      <c r="J3364" s="397" t="n"/>
      <c r="K3364" s="395">
        <f>DATE(VALUE(LEFT(A3364,4)),VALUE(MID(A3364,5,2)),VALUE(RIGHT(A3364,2)))</f>
        <v/>
      </c>
      <c r="L3364" s="395">
        <f>DATEVALUE(LEFT(F3364,10))</f>
        <v/>
      </c>
      <c r="M3364" s="396">
        <f>TIMEVALUE(MID(F3364,12,8))</f>
        <v/>
      </c>
      <c r="N3364" s="395">
        <f>DATEVALUE(LEFT(G3364,10))</f>
        <v/>
      </c>
      <c r="O3364" s="396">
        <f>TIMEVALUE(MID(G3364,12,8))</f>
        <v/>
      </c>
      <c r="P3364" s="396">
        <f>IFERROR(_xlfn.MINIFS($M:$M,$E:$E,$E3364,$K:$K,$K3364,$M:$M,"&gt;"&amp;$O3364),"")</f>
        <v/>
      </c>
      <c r="Q3364" s="396">
        <f>IF($P3364="","",$P3364-$O3364)</f>
        <v/>
      </c>
    </row>
    <row r="3365" ht="15" customHeight="1" s="231">
      <c r="A3365" s="397" t="n"/>
      <c r="B3365" s="397" t="n"/>
      <c r="C3365" s="397" t="n"/>
      <c r="D3365" s="397" t="n"/>
      <c r="E3365" s="397" t="n"/>
      <c r="F3365" s="397" t="n"/>
      <c r="G3365" s="397" t="n"/>
      <c r="I3365" s="397" t="n"/>
      <c r="J3365" s="397" t="n"/>
      <c r="K3365" s="395">
        <f>DATE(VALUE(LEFT(A3365,4)),VALUE(MID(A3365,5,2)),VALUE(RIGHT(A3365,2)))</f>
        <v/>
      </c>
      <c r="L3365" s="395">
        <f>DATEVALUE(LEFT(F3365,10))</f>
        <v/>
      </c>
      <c r="M3365" s="396">
        <f>TIMEVALUE(MID(F3365,12,8))</f>
        <v/>
      </c>
      <c r="N3365" s="395">
        <f>DATEVALUE(LEFT(G3365,10))</f>
        <v/>
      </c>
      <c r="O3365" s="396">
        <f>TIMEVALUE(MID(G3365,12,8))</f>
        <v/>
      </c>
      <c r="P3365" s="396">
        <f>IFERROR(_xlfn.MINIFS($M:$M,$E:$E,$E3365,$K:$K,$K3365,$M:$M,"&gt;"&amp;$O3365),"")</f>
        <v/>
      </c>
      <c r="Q3365" s="396">
        <f>IF($P3365="","",$P3365-$O3365)</f>
        <v/>
      </c>
    </row>
    <row r="3366" ht="15" customHeight="1" s="231">
      <c r="A3366" s="397" t="n"/>
      <c r="B3366" s="397" t="n"/>
      <c r="C3366" s="397" t="n"/>
      <c r="D3366" s="397" t="n"/>
      <c r="E3366" s="397" t="n"/>
      <c r="F3366" s="397" t="n"/>
      <c r="G3366" s="397" t="n"/>
      <c r="I3366" s="397" t="n"/>
      <c r="J3366" s="397" t="n"/>
      <c r="K3366" s="395">
        <f>DATE(VALUE(LEFT(A3366,4)),VALUE(MID(A3366,5,2)),VALUE(RIGHT(A3366,2)))</f>
        <v/>
      </c>
      <c r="L3366" s="395">
        <f>DATEVALUE(LEFT(F3366,10))</f>
        <v/>
      </c>
      <c r="M3366" s="396">
        <f>TIMEVALUE(MID(F3366,12,8))</f>
        <v/>
      </c>
      <c r="N3366" s="395">
        <f>DATEVALUE(LEFT(G3366,10))</f>
        <v/>
      </c>
      <c r="O3366" s="396">
        <f>TIMEVALUE(MID(G3366,12,8))</f>
        <v/>
      </c>
      <c r="P3366" s="396">
        <f>IFERROR(_xlfn.MINIFS($M:$M,$E:$E,$E3366,$K:$K,$K3366,$M:$M,"&gt;"&amp;$O3366),"")</f>
        <v/>
      </c>
      <c r="Q3366" s="396">
        <f>IF($P3366="","",$P3366-$O3366)</f>
        <v/>
      </c>
    </row>
    <row r="3367" ht="15" customHeight="1" s="231">
      <c r="A3367" s="397" t="n"/>
      <c r="B3367" s="397" t="n"/>
      <c r="C3367" s="397" t="n"/>
      <c r="D3367" s="397" t="n"/>
      <c r="E3367" s="397" t="n"/>
      <c r="F3367" s="397" t="n"/>
      <c r="G3367" s="397" t="n"/>
      <c r="I3367" s="397" t="n"/>
      <c r="J3367" s="397" t="n"/>
      <c r="K3367" s="395">
        <f>DATE(VALUE(LEFT(A3367,4)),VALUE(MID(A3367,5,2)),VALUE(RIGHT(A3367,2)))</f>
        <v/>
      </c>
      <c r="L3367" s="395">
        <f>DATEVALUE(LEFT(F3367,10))</f>
        <v/>
      </c>
      <c r="M3367" s="396">
        <f>TIMEVALUE(MID(F3367,12,8))</f>
        <v/>
      </c>
      <c r="N3367" s="395">
        <f>DATEVALUE(LEFT(G3367,10))</f>
        <v/>
      </c>
      <c r="O3367" s="396">
        <f>TIMEVALUE(MID(G3367,12,8))</f>
        <v/>
      </c>
      <c r="P3367" s="396">
        <f>IFERROR(_xlfn.MINIFS($M:$M,$E:$E,$E3367,$K:$K,$K3367,$M:$M,"&gt;"&amp;$O3367),"")</f>
        <v/>
      </c>
      <c r="Q3367" s="396">
        <f>IF($P3367="","",$P3367-$O3367)</f>
        <v/>
      </c>
    </row>
    <row r="3368" ht="15" customHeight="1" s="231">
      <c r="A3368" s="397" t="n"/>
      <c r="B3368" s="397" t="n"/>
      <c r="C3368" s="397" t="n"/>
      <c r="D3368" s="397" t="n"/>
      <c r="E3368" s="397" t="n"/>
      <c r="F3368" s="397" t="n"/>
      <c r="G3368" s="397" t="n"/>
      <c r="I3368" s="397" t="n"/>
      <c r="J3368" s="397" t="n"/>
      <c r="K3368" s="395">
        <f>DATE(VALUE(LEFT(A3368,4)),VALUE(MID(A3368,5,2)),VALUE(RIGHT(A3368,2)))</f>
        <v/>
      </c>
      <c r="L3368" s="395">
        <f>DATEVALUE(LEFT(F3368,10))</f>
        <v/>
      </c>
      <c r="M3368" s="396">
        <f>TIMEVALUE(MID(F3368,12,8))</f>
        <v/>
      </c>
      <c r="N3368" s="395">
        <f>DATEVALUE(LEFT(G3368,10))</f>
        <v/>
      </c>
      <c r="O3368" s="396">
        <f>TIMEVALUE(MID(G3368,12,8))</f>
        <v/>
      </c>
      <c r="P3368" s="396">
        <f>IFERROR(_xlfn.MINIFS($M:$M,$E:$E,$E3368,$K:$K,$K3368,$M:$M,"&gt;"&amp;$O3368),"")</f>
        <v/>
      </c>
      <c r="Q3368" s="396">
        <f>IF($P3368="","",$P3368-$O3368)</f>
        <v/>
      </c>
    </row>
    <row r="3369" ht="15" customHeight="1" s="231">
      <c r="A3369" s="397" t="n"/>
      <c r="B3369" s="397" t="n"/>
      <c r="C3369" s="397" t="n"/>
      <c r="D3369" s="397" t="n"/>
      <c r="E3369" s="397" t="n"/>
      <c r="F3369" s="397" t="n"/>
      <c r="G3369" s="397" t="n"/>
      <c r="I3369" s="397" t="n"/>
      <c r="J3369" s="397" t="n"/>
      <c r="K3369" s="395">
        <f>DATE(VALUE(LEFT(A3369,4)),VALUE(MID(A3369,5,2)),VALUE(RIGHT(A3369,2)))</f>
        <v/>
      </c>
      <c r="L3369" s="395">
        <f>DATEVALUE(LEFT(F3369,10))</f>
        <v/>
      </c>
      <c r="M3369" s="396">
        <f>TIMEVALUE(MID(F3369,12,8))</f>
        <v/>
      </c>
      <c r="N3369" s="395">
        <f>DATEVALUE(LEFT(G3369,10))</f>
        <v/>
      </c>
      <c r="O3369" s="396">
        <f>TIMEVALUE(MID(G3369,12,8))</f>
        <v/>
      </c>
      <c r="P3369" s="396">
        <f>IFERROR(_xlfn.MINIFS($M:$M,$E:$E,$E3369,$K:$K,$K3369,$M:$M,"&gt;"&amp;$O3369),"")</f>
        <v/>
      </c>
      <c r="Q3369" s="396">
        <f>IF($P3369="","",$P3369-$O3369)</f>
        <v/>
      </c>
    </row>
    <row r="3370" ht="15" customHeight="1" s="231">
      <c r="A3370" s="397" t="n"/>
      <c r="B3370" s="397" t="n"/>
      <c r="C3370" s="397" t="n"/>
      <c r="D3370" s="397" t="n"/>
      <c r="E3370" s="397" t="n"/>
      <c r="F3370" s="397" t="n"/>
      <c r="G3370" s="397" t="n"/>
      <c r="I3370" s="397" t="n"/>
      <c r="J3370" s="397" t="n"/>
      <c r="K3370" s="395">
        <f>DATE(VALUE(LEFT(A3370,4)),VALUE(MID(A3370,5,2)),VALUE(RIGHT(A3370,2)))</f>
        <v/>
      </c>
      <c r="L3370" s="395">
        <f>DATEVALUE(LEFT(F3370,10))</f>
        <v/>
      </c>
      <c r="M3370" s="396">
        <f>TIMEVALUE(MID(F3370,12,8))</f>
        <v/>
      </c>
      <c r="N3370" s="395">
        <f>DATEVALUE(LEFT(G3370,10))</f>
        <v/>
      </c>
      <c r="O3370" s="396">
        <f>TIMEVALUE(MID(G3370,12,8))</f>
        <v/>
      </c>
      <c r="P3370" s="396">
        <f>IFERROR(_xlfn.MINIFS($M:$M,$E:$E,$E3370,$K:$K,$K3370,$M:$M,"&gt;"&amp;$O3370),"")</f>
        <v/>
      </c>
      <c r="Q3370" s="396">
        <f>IF($P3370="","",$P3370-$O3370)</f>
        <v/>
      </c>
    </row>
    <row r="3371" ht="15" customHeight="1" s="231">
      <c r="A3371" s="397" t="n"/>
      <c r="B3371" s="397" t="n"/>
      <c r="C3371" s="397" t="n"/>
      <c r="D3371" s="397" t="n"/>
      <c r="E3371" s="397" t="n"/>
      <c r="F3371" s="397" t="n"/>
      <c r="G3371" s="397" t="n"/>
      <c r="I3371" s="397" t="n"/>
      <c r="J3371" s="397" t="n"/>
      <c r="K3371" s="395">
        <f>DATE(VALUE(LEFT(A3371,4)),VALUE(MID(A3371,5,2)),VALUE(RIGHT(A3371,2)))</f>
        <v/>
      </c>
      <c r="L3371" s="395">
        <f>DATEVALUE(LEFT(F3371,10))</f>
        <v/>
      </c>
      <c r="M3371" s="396">
        <f>TIMEVALUE(MID(F3371,12,8))</f>
        <v/>
      </c>
      <c r="N3371" s="395">
        <f>DATEVALUE(LEFT(G3371,10))</f>
        <v/>
      </c>
      <c r="O3371" s="396">
        <f>TIMEVALUE(MID(G3371,12,8))</f>
        <v/>
      </c>
      <c r="P3371" s="396">
        <f>IFERROR(_xlfn.MINIFS($M:$M,$E:$E,$E3371,$K:$K,$K3371,$M:$M,"&gt;"&amp;$O3371),"")</f>
        <v/>
      </c>
      <c r="Q3371" s="396">
        <f>IF($P3371="","",$P3371-$O3371)</f>
        <v/>
      </c>
    </row>
    <row r="3372" ht="15" customHeight="1" s="231">
      <c r="A3372" s="397" t="n"/>
      <c r="B3372" s="397" t="n"/>
      <c r="C3372" s="397" t="n"/>
      <c r="D3372" s="397" t="n"/>
      <c r="E3372" s="397" t="n"/>
      <c r="F3372" s="397" t="n"/>
      <c r="G3372" s="397" t="n"/>
      <c r="I3372" s="397" t="n"/>
      <c r="J3372" s="397" t="n"/>
      <c r="K3372" s="395">
        <f>DATE(VALUE(LEFT(A3372,4)),VALUE(MID(A3372,5,2)),VALUE(RIGHT(A3372,2)))</f>
        <v/>
      </c>
      <c r="L3372" s="395">
        <f>DATEVALUE(LEFT(F3372,10))</f>
        <v/>
      </c>
      <c r="M3372" s="396">
        <f>TIMEVALUE(MID(F3372,12,8))</f>
        <v/>
      </c>
      <c r="N3372" s="395">
        <f>DATEVALUE(LEFT(G3372,10))</f>
        <v/>
      </c>
      <c r="O3372" s="396">
        <f>TIMEVALUE(MID(G3372,12,8))</f>
        <v/>
      </c>
      <c r="P3372" s="396">
        <f>IFERROR(_xlfn.MINIFS($M:$M,$E:$E,$E3372,$K:$K,$K3372,$M:$M,"&gt;"&amp;$O3372),"")</f>
        <v/>
      </c>
      <c r="Q3372" s="396">
        <f>IF($P3372="","",$P3372-$O3372)</f>
        <v/>
      </c>
    </row>
    <row r="3373" ht="15" customHeight="1" s="231">
      <c r="A3373" s="397" t="n"/>
      <c r="B3373" s="397" t="n"/>
      <c r="C3373" s="397" t="n"/>
      <c r="D3373" s="397" t="n"/>
      <c r="E3373" s="397" t="n"/>
      <c r="F3373" s="397" t="n"/>
      <c r="G3373" s="397" t="n"/>
      <c r="I3373" s="397" t="n"/>
      <c r="J3373" s="397" t="n"/>
      <c r="K3373" s="395">
        <f>DATE(VALUE(LEFT(A3373,4)),VALUE(MID(A3373,5,2)),VALUE(RIGHT(A3373,2)))</f>
        <v/>
      </c>
      <c r="L3373" s="395">
        <f>DATEVALUE(LEFT(F3373,10))</f>
        <v/>
      </c>
      <c r="M3373" s="396">
        <f>TIMEVALUE(MID(F3373,12,8))</f>
        <v/>
      </c>
      <c r="N3373" s="395">
        <f>DATEVALUE(LEFT(G3373,10))</f>
        <v/>
      </c>
      <c r="O3373" s="396">
        <f>TIMEVALUE(MID(G3373,12,8))</f>
        <v/>
      </c>
      <c r="P3373" s="396">
        <f>IFERROR(_xlfn.MINIFS($M:$M,$E:$E,$E3373,$K:$K,$K3373,$M:$M,"&gt;"&amp;$O3373),"")</f>
        <v/>
      </c>
      <c r="Q3373" s="396">
        <f>IF($P3373="","",$P3373-$O3373)</f>
        <v/>
      </c>
    </row>
    <row r="3374" ht="15" customHeight="1" s="231">
      <c r="A3374" s="397" t="n"/>
      <c r="B3374" s="397" t="n"/>
      <c r="C3374" s="397" t="n"/>
      <c r="D3374" s="397" t="n"/>
      <c r="E3374" s="397" t="n"/>
      <c r="F3374" s="397" t="n"/>
      <c r="G3374" s="397" t="n"/>
      <c r="I3374" s="397" t="n"/>
      <c r="J3374" s="397" t="n"/>
      <c r="K3374" s="395">
        <f>DATE(VALUE(LEFT(A3374,4)),VALUE(MID(A3374,5,2)),VALUE(RIGHT(A3374,2)))</f>
        <v/>
      </c>
      <c r="L3374" s="395">
        <f>DATEVALUE(LEFT(F3374,10))</f>
        <v/>
      </c>
      <c r="M3374" s="396">
        <f>TIMEVALUE(MID(F3374,12,8))</f>
        <v/>
      </c>
      <c r="N3374" s="395">
        <f>DATEVALUE(LEFT(G3374,10))</f>
        <v/>
      </c>
      <c r="O3374" s="396">
        <f>TIMEVALUE(MID(G3374,12,8))</f>
        <v/>
      </c>
      <c r="P3374" s="396">
        <f>IFERROR(_xlfn.MINIFS($M:$M,$E:$E,$E3374,$K:$K,$K3374,$M:$M,"&gt;"&amp;$O3374),"")</f>
        <v/>
      </c>
      <c r="Q3374" s="396">
        <f>IF($P3374="","",$P3374-$O3374)</f>
        <v/>
      </c>
    </row>
    <row r="3375" ht="15" customHeight="1" s="231">
      <c r="A3375" s="397" t="n"/>
      <c r="B3375" s="397" t="n"/>
      <c r="C3375" s="397" t="n"/>
      <c r="D3375" s="397" t="n"/>
      <c r="E3375" s="397" t="n"/>
      <c r="F3375" s="397" t="n"/>
      <c r="G3375" s="397" t="n"/>
      <c r="I3375" s="397" t="n"/>
      <c r="J3375" s="397" t="n"/>
      <c r="K3375" s="395">
        <f>DATE(VALUE(LEFT(A3375,4)),VALUE(MID(A3375,5,2)),VALUE(RIGHT(A3375,2)))</f>
        <v/>
      </c>
      <c r="L3375" s="395">
        <f>DATEVALUE(LEFT(F3375,10))</f>
        <v/>
      </c>
      <c r="M3375" s="396">
        <f>TIMEVALUE(MID(F3375,12,8))</f>
        <v/>
      </c>
      <c r="N3375" s="395">
        <f>DATEVALUE(LEFT(G3375,10))</f>
        <v/>
      </c>
      <c r="O3375" s="396">
        <f>TIMEVALUE(MID(G3375,12,8))</f>
        <v/>
      </c>
      <c r="P3375" s="396">
        <f>IFERROR(_xlfn.MINIFS($M:$M,$E:$E,$E3375,$K:$K,$K3375,$M:$M,"&gt;"&amp;$O3375),"")</f>
        <v/>
      </c>
      <c r="Q3375" s="396">
        <f>IF($P3375="","",$P3375-$O3375)</f>
        <v/>
      </c>
    </row>
    <row r="3376" ht="15" customHeight="1" s="231">
      <c r="A3376" s="397" t="n"/>
      <c r="B3376" s="397" t="n"/>
      <c r="C3376" s="397" t="n"/>
      <c r="D3376" s="397" t="n"/>
      <c r="E3376" s="397" t="n"/>
      <c r="F3376" s="397" t="n"/>
      <c r="G3376" s="397" t="n"/>
      <c r="I3376" s="397" t="n"/>
      <c r="J3376" s="397" t="n"/>
      <c r="K3376" s="395">
        <f>DATE(VALUE(LEFT(A3376,4)),VALUE(MID(A3376,5,2)),VALUE(RIGHT(A3376,2)))</f>
        <v/>
      </c>
      <c r="L3376" s="395">
        <f>DATEVALUE(LEFT(F3376,10))</f>
        <v/>
      </c>
      <c r="M3376" s="396">
        <f>TIMEVALUE(MID(F3376,12,8))</f>
        <v/>
      </c>
      <c r="N3376" s="395">
        <f>DATEVALUE(LEFT(G3376,10))</f>
        <v/>
      </c>
      <c r="O3376" s="396">
        <f>TIMEVALUE(MID(G3376,12,8))</f>
        <v/>
      </c>
      <c r="P3376" s="396">
        <f>IFERROR(_xlfn.MINIFS($M:$M,$E:$E,$E3376,$K:$K,$K3376,$M:$M,"&gt;"&amp;$O3376),"")</f>
        <v/>
      </c>
      <c r="Q3376" s="396">
        <f>IF($P3376="","",$P3376-$O3376)</f>
        <v/>
      </c>
    </row>
    <row r="3377" ht="15" customHeight="1" s="231">
      <c r="A3377" s="397" t="n"/>
      <c r="B3377" s="397" t="n"/>
      <c r="C3377" s="397" t="n"/>
      <c r="D3377" s="397" t="n"/>
      <c r="E3377" s="397" t="n"/>
      <c r="F3377" s="397" t="n"/>
      <c r="G3377" s="397" t="n"/>
      <c r="I3377" s="397" t="n"/>
      <c r="J3377" s="397" t="n"/>
      <c r="K3377" s="395">
        <f>DATE(VALUE(LEFT(A3377,4)),VALUE(MID(A3377,5,2)),VALUE(RIGHT(A3377,2)))</f>
        <v/>
      </c>
      <c r="L3377" s="395">
        <f>DATEVALUE(LEFT(F3377,10))</f>
        <v/>
      </c>
      <c r="M3377" s="396">
        <f>TIMEVALUE(MID(F3377,12,8))</f>
        <v/>
      </c>
      <c r="N3377" s="395">
        <f>DATEVALUE(LEFT(G3377,10))</f>
        <v/>
      </c>
      <c r="O3377" s="396">
        <f>TIMEVALUE(MID(G3377,12,8))</f>
        <v/>
      </c>
      <c r="P3377" s="396">
        <f>IFERROR(_xlfn.MINIFS($M:$M,$E:$E,$E3377,$K:$K,$K3377,$M:$M,"&gt;"&amp;$O3377),"")</f>
        <v/>
      </c>
      <c r="Q3377" s="396">
        <f>IF($P3377="","",$P3377-$O3377)</f>
        <v/>
      </c>
    </row>
    <row r="3378" ht="15" customHeight="1" s="231">
      <c r="K3378" s="395">
        <f>DATE(VALUE(LEFT(A3378,4)),VALUE(MID(A3378,5,2)),VALUE(RIGHT(A3378,2)))</f>
        <v/>
      </c>
      <c r="L3378" s="395">
        <f>DATEVALUE(LEFT(F3378,10))</f>
        <v/>
      </c>
      <c r="M3378" s="396">
        <f>TIMEVALUE(MID(F3378,12,8))</f>
        <v/>
      </c>
      <c r="N3378" s="395">
        <f>DATEVALUE(LEFT(G3378,10))</f>
        <v/>
      </c>
      <c r="O3378" s="396">
        <f>TIMEVALUE(MID(G3378,12,8))</f>
        <v/>
      </c>
      <c r="P3378" s="396">
        <f>IFERROR(_xlfn.MINIFS($M:$M,$E:$E,$E3378,$K:$K,$K3378,$M:$M,"&gt;"&amp;$O3378),"")</f>
        <v/>
      </c>
      <c r="Q3378" s="396">
        <f>IF($P3378="","",$P3378-$O3378)</f>
        <v/>
      </c>
    </row>
    <row r="3379" ht="15" customHeight="1" s="231">
      <c r="K3379" s="395">
        <f>DATE(VALUE(LEFT(A3379,4)),VALUE(MID(A3379,5,2)),VALUE(RIGHT(A3379,2)))</f>
        <v/>
      </c>
      <c r="L3379" s="395">
        <f>DATEVALUE(LEFT(F3379,10))</f>
        <v/>
      </c>
      <c r="M3379" s="396">
        <f>TIMEVALUE(MID(F3379,12,8))</f>
        <v/>
      </c>
      <c r="N3379" s="395">
        <f>DATEVALUE(LEFT(G3379,10))</f>
        <v/>
      </c>
      <c r="O3379" s="396">
        <f>TIMEVALUE(MID(G3379,12,8))</f>
        <v/>
      </c>
      <c r="P3379" s="396">
        <f>IFERROR(_xlfn.MINIFS($M:$M,$E:$E,$E3379,$K:$K,$K3379,$M:$M,"&gt;"&amp;$O3379),"")</f>
        <v/>
      </c>
      <c r="Q3379" s="396">
        <f>IF($P3379="","",$P3379-$O3379)</f>
        <v/>
      </c>
    </row>
    <row r="3380" ht="15" customHeight="1" s="231">
      <c r="K3380" s="395">
        <f>DATE(VALUE(LEFT(A3380,4)),VALUE(MID(A3380,5,2)),VALUE(RIGHT(A3380,2)))</f>
        <v/>
      </c>
      <c r="L3380" s="395">
        <f>DATEVALUE(LEFT(F3380,10))</f>
        <v/>
      </c>
      <c r="M3380" s="396">
        <f>TIMEVALUE(MID(F3380,12,8))</f>
        <v/>
      </c>
      <c r="N3380" s="395">
        <f>DATEVALUE(LEFT(G3380,10))</f>
        <v/>
      </c>
      <c r="O3380" s="396">
        <f>TIMEVALUE(MID(G3380,12,8))</f>
        <v/>
      </c>
      <c r="P3380" s="396">
        <f>IFERROR(_xlfn.MINIFS($M:$M,$E:$E,$E3380,$K:$K,$K3380,$M:$M,"&gt;"&amp;$O3380),"")</f>
        <v/>
      </c>
      <c r="Q3380" s="396">
        <f>IF($P3380="","",$P3380-$O3380)</f>
        <v/>
      </c>
    </row>
    <row r="3381" ht="15" customHeight="1" s="231">
      <c r="K3381" s="395">
        <f>DATE(VALUE(LEFT(A3381,4)),VALUE(MID(A3381,5,2)),VALUE(RIGHT(A3381,2)))</f>
        <v/>
      </c>
      <c r="L3381" s="395">
        <f>DATEVALUE(LEFT(F3381,10))</f>
        <v/>
      </c>
      <c r="M3381" s="396">
        <f>TIMEVALUE(MID(F3381,12,8))</f>
        <v/>
      </c>
      <c r="N3381" s="395">
        <f>DATEVALUE(LEFT(G3381,10))</f>
        <v/>
      </c>
      <c r="O3381" s="396">
        <f>TIMEVALUE(MID(G3381,12,8))</f>
        <v/>
      </c>
      <c r="P3381" s="396">
        <f>IFERROR(_xlfn.MINIFS($M:$M,$E:$E,$E3381,$K:$K,$K3381,$M:$M,"&gt;"&amp;$O3381),"")</f>
        <v/>
      </c>
      <c r="Q3381" s="396">
        <f>IF($P3381="","",$P3381-$O3381)</f>
        <v/>
      </c>
    </row>
    <row r="3382" ht="15" customHeight="1" s="231">
      <c r="K3382" s="395">
        <f>DATE(VALUE(LEFT(A3382,4)),VALUE(MID(A3382,5,2)),VALUE(RIGHT(A3382,2)))</f>
        <v/>
      </c>
      <c r="L3382" s="395">
        <f>DATEVALUE(LEFT(F3382,10))</f>
        <v/>
      </c>
      <c r="M3382" s="396">
        <f>TIMEVALUE(MID(F3382,12,8))</f>
        <v/>
      </c>
      <c r="N3382" s="395">
        <f>DATEVALUE(LEFT(G3382,10))</f>
        <v/>
      </c>
      <c r="O3382" s="396">
        <f>TIMEVALUE(MID(G3382,12,8))</f>
        <v/>
      </c>
      <c r="P3382" s="396">
        <f>IFERROR(_xlfn.MINIFS($M:$M,$E:$E,$E3382,$K:$K,$K3382,$M:$M,"&gt;"&amp;$O3382),"")</f>
        <v/>
      </c>
      <c r="Q3382" s="396">
        <f>IF($P3382="","",$P3382-$O3382)</f>
        <v/>
      </c>
    </row>
    <row r="3383" ht="15" customHeight="1" s="231">
      <c r="K3383" s="395">
        <f>DATE(VALUE(LEFT(A3383,4)),VALUE(MID(A3383,5,2)),VALUE(RIGHT(A3383,2)))</f>
        <v/>
      </c>
      <c r="L3383" s="395">
        <f>DATEVALUE(LEFT(F3383,10))</f>
        <v/>
      </c>
      <c r="M3383" s="396">
        <f>TIMEVALUE(MID(F3383,12,8))</f>
        <v/>
      </c>
      <c r="N3383" s="395">
        <f>DATEVALUE(LEFT(G3383,10))</f>
        <v/>
      </c>
      <c r="O3383" s="396">
        <f>TIMEVALUE(MID(G3383,12,8))</f>
        <v/>
      </c>
      <c r="P3383" s="396">
        <f>IFERROR(_xlfn.MINIFS($M:$M,$E:$E,$E3383,$K:$K,$K3383,$M:$M,"&gt;"&amp;$O3383),"")</f>
        <v/>
      </c>
      <c r="Q3383" s="396">
        <f>IF($P3383="","",$P3383-$O3383)</f>
        <v/>
      </c>
    </row>
    <row r="3384" ht="15" customHeight="1" s="231">
      <c r="K3384" s="395">
        <f>DATE(VALUE(LEFT(A3384,4)),VALUE(MID(A3384,5,2)),VALUE(RIGHT(A3384,2)))</f>
        <v/>
      </c>
      <c r="L3384" s="395">
        <f>DATEVALUE(LEFT(F3384,10))</f>
        <v/>
      </c>
      <c r="M3384" s="396">
        <f>TIMEVALUE(MID(F3384,12,8))</f>
        <v/>
      </c>
      <c r="N3384" s="395">
        <f>DATEVALUE(LEFT(G3384,10))</f>
        <v/>
      </c>
      <c r="O3384" s="396">
        <f>TIMEVALUE(MID(G3384,12,8))</f>
        <v/>
      </c>
      <c r="P3384" s="396">
        <f>IFERROR(_xlfn.MINIFS($M:$M,$E:$E,$E3384,$K:$K,$K3384,$M:$M,"&gt;"&amp;$O3384),"")</f>
        <v/>
      </c>
      <c r="Q3384" s="396">
        <f>IF($P3384="","",$P3384-$O3384)</f>
        <v/>
      </c>
    </row>
    <row r="3385" ht="15" customHeight="1" s="231">
      <c r="K3385" s="395">
        <f>DATE(VALUE(LEFT(A3385,4)),VALUE(MID(A3385,5,2)),VALUE(RIGHT(A3385,2)))</f>
        <v/>
      </c>
      <c r="L3385" s="395">
        <f>DATEVALUE(LEFT(F3385,10))</f>
        <v/>
      </c>
      <c r="M3385" s="396">
        <f>TIMEVALUE(MID(F3385,12,8))</f>
        <v/>
      </c>
      <c r="N3385" s="395">
        <f>DATEVALUE(LEFT(G3385,10))</f>
        <v/>
      </c>
      <c r="O3385" s="396">
        <f>TIMEVALUE(MID(G3385,12,8))</f>
        <v/>
      </c>
      <c r="P3385" s="396">
        <f>IFERROR(_xlfn.MINIFS($M:$M,$E:$E,$E3385,$K:$K,$K3385,$M:$M,"&gt;"&amp;$O3385),"")</f>
        <v/>
      </c>
      <c r="Q3385" s="396">
        <f>IF($P3385="","",$P3385-$O3385)</f>
        <v/>
      </c>
    </row>
    <row r="3386" ht="15" customHeight="1" s="231">
      <c r="K3386" s="395">
        <f>DATE(VALUE(LEFT(A3386,4)),VALUE(MID(A3386,5,2)),VALUE(RIGHT(A3386,2)))</f>
        <v/>
      </c>
      <c r="L3386" s="395">
        <f>DATEVALUE(LEFT(F3386,10))</f>
        <v/>
      </c>
      <c r="M3386" s="396">
        <f>TIMEVALUE(MID(F3386,12,8))</f>
        <v/>
      </c>
      <c r="N3386" s="395">
        <f>DATEVALUE(LEFT(G3386,10))</f>
        <v/>
      </c>
      <c r="O3386" s="396">
        <f>TIMEVALUE(MID(G3386,12,8))</f>
        <v/>
      </c>
      <c r="P3386" s="396">
        <f>IFERROR(_xlfn.MINIFS($M:$M,$E:$E,$E3386,$K:$K,$K3386,$M:$M,"&gt;"&amp;$O3386),"")</f>
        <v/>
      </c>
      <c r="Q3386" s="396">
        <f>IF($P3386="","",$P3386-$O3386)</f>
        <v/>
      </c>
    </row>
    <row r="3387" ht="15" customHeight="1" s="231">
      <c r="K3387" s="395">
        <f>DATE(VALUE(LEFT(A3387,4)),VALUE(MID(A3387,5,2)),VALUE(RIGHT(A3387,2)))</f>
        <v/>
      </c>
      <c r="L3387" s="395">
        <f>DATEVALUE(LEFT(F3387,10))</f>
        <v/>
      </c>
      <c r="M3387" s="396">
        <f>TIMEVALUE(MID(F3387,12,8))</f>
        <v/>
      </c>
      <c r="N3387" s="395">
        <f>DATEVALUE(LEFT(G3387,10))</f>
        <v/>
      </c>
      <c r="O3387" s="396">
        <f>TIMEVALUE(MID(G3387,12,8))</f>
        <v/>
      </c>
      <c r="P3387" s="396">
        <f>IFERROR(_xlfn.MINIFS($M:$M,$E:$E,$E3387,$K:$K,$K3387,$M:$M,"&gt;"&amp;$O3387),"")</f>
        <v/>
      </c>
      <c r="Q3387" s="396">
        <f>IF($P3387="","",$P3387-$O3387)</f>
        <v/>
      </c>
    </row>
    <row r="3388" ht="15" customHeight="1" s="231">
      <c r="K3388" s="395">
        <f>DATE(VALUE(LEFT(A3388,4)),VALUE(MID(A3388,5,2)),VALUE(RIGHT(A3388,2)))</f>
        <v/>
      </c>
      <c r="L3388" s="395">
        <f>DATEVALUE(LEFT(F3388,10))</f>
        <v/>
      </c>
      <c r="M3388" s="396">
        <f>TIMEVALUE(MID(F3388,12,8))</f>
        <v/>
      </c>
      <c r="N3388" s="395">
        <f>DATEVALUE(LEFT(G3388,10))</f>
        <v/>
      </c>
      <c r="O3388" s="396">
        <f>TIMEVALUE(MID(G3388,12,8))</f>
        <v/>
      </c>
      <c r="P3388" s="396">
        <f>IFERROR(_xlfn.MINIFS($M:$M,$E:$E,$E3388,$K:$K,$K3388,$M:$M,"&gt;"&amp;$O3388),"")</f>
        <v/>
      </c>
      <c r="Q3388" s="396">
        <f>IF($P3388="","",$P3388-$O3388)</f>
        <v/>
      </c>
    </row>
    <row r="3389" ht="15" customHeight="1" s="231">
      <c r="K3389" s="395">
        <f>DATE(VALUE(LEFT(A3389,4)),VALUE(MID(A3389,5,2)),VALUE(RIGHT(A3389,2)))</f>
        <v/>
      </c>
      <c r="L3389" s="395">
        <f>DATEVALUE(LEFT(F3389,10))</f>
        <v/>
      </c>
      <c r="M3389" s="396">
        <f>TIMEVALUE(MID(F3389,12,8))</f>
        <v/>
      </c>
      <c r="N3389" s="395">
        <f>DATEVALUE(LEFT(G3389,10))</f>
        <v/>
      </c>
      <c r="O3389" s="396">
        <f>TIMEVALUE(MID(G3389,12,8))</f>
        <v/>
      </c>
      <c r="P3389" s="396">
        <f>IFERROR(_xlfn.MINIFS($M:$M,$E:$E,$E3389,$K:$K,$K3389,$M:$M,"&gt;"&amp;$O3389),"")</f>
        <v/>
      </c>
      <c r="Q3389" s="396">
        <f>IF($P3389="","",$P3389-$O3389)</f>
        <v/>
      </c>
    </row>
    <row r="3390" ht="15" customHeight="1" s="231">
      <c r="K3390" s="395">
        <f>DATE(VALUE(LEFT(A3390,4)),VALUE(MID(A3390,5,2)),VALUE(RIGHT(A3390,2)))</f>
        <v/>
      </c>
      <c r="L3390" s="395">
        <f>DATEVALUE(LEFT(F3390,10))</f>
        <v/>
      </c>
      <c r="M3390" s="396">
        <f>TIMEVALUE(MID(F3390,12,8))</f>
        <v/>
      </c>
      <c r="N3390" s="395">
        <f>DATEVALUE(LEFT(G3390,10))</f>
        <v/>
      </c>
      <c r="O3390" s="396">
        <f>TIMEVALUE(MID(G3390,12,8))</f>
        <v/>
      </c>
      <c r="P3390" s="396">
        <f>IFERROR(_xlfn.MINIFS($M:$M,$E:$E,$E3390,$K:$K,$K3390,$M:$M,"&gt;"&amp;$O3390),"")</f>
        <v/>
      </c>
      <c r="Q3390" s="396">
        <f>IF($P3390="","",$P3390-$O3390)</f>
        <v/>
      </c>
    </row>
    <row r="3391" ht="15" customHeight="1" s="231">
      <c r="K3391" s="395">
        <f>DATE(VALUE(LEFT(A3391,4)),VALUE(MID(A3391,5,2)),VALUE(RIGHT(A3391,2)))</f>
        <v/>
      </c>
      <c r="L3391" s="395">
        <f>DATEVALUE(LEFT(F3391,10))</f>
        <v/>
      </c>
      <c r="M3391" s="396">
        <f>TIMEVALUE(MID(F3391,12,8))</f>
        <v/>
      </c>
      <c r="N3391" s="395">
        <f>DATEVALUE(LEFT(G3391,10))</f>
        <v/>
      </c>
      <c r="O3391" s="396">
        <f>TIMEVALUE(MID(G3391,12,8))</f>
        <v/>
      </c>
      <c r="P3391" s="396">
        <f>IFERROR(_xlfn.MINIFS($M:$M,$E:$E,$E3391,$K:$K,$K3391,$M:$M,"&gt;"&amp;$O3391),"")</f>
        <v/>
      </c>
      <c r="Q3391" s="396">
        <f>IF($P3391="","",$P3391-$O3391)</f>
        <v/>
      </c>
    </row>
    <row r="3392" ht="15" customHeight="1" s="231">
      <c r="K3392" s="395">
        <f>DATE(VALUE(LEFT(A3392,4)),VALUE(MID(A3392,5,2)),VALUE(RIGHT(A3392,2)))</f>
        <v/>
      </c>
      <c r="L3392" s="395">
        <f>DATEVALUE(LEFT(F3392,10))</f>
        <v/>
      </c>
      <c r="M3392" s="396">
        <f>TIMEVALUE(MID(F3392,12,8))</f>
        <v/>
      </c>
      <c r="N3392" s="395">
        <f>DATEVALUE(LEFT(G3392,10))</f>
        <v/>
      </c>
      <c r="O3392" s="396">
        <f>TIMEVALUE(MID(G3392,12,8))</f>
        <v/>
      </c>
      <c r="P3392" s="396">
        <f>IFERROR(_xlfn.MINIFS($M:$M,$E:$E,$E3392,$K:$K,$K3392,$M:$M,"&gt;"&amp;$O3392),"")</f>
        <v/>
      </c>
      <c r="Q3392" s="396">
        <f>IF($P3392="","",$P3392-$O3392)</f>
        <v/>
      </c>
    </row>
    <row r="3393" ht="15" customHeight="1" s="231">
      <c r="K3393" s="395">
        <f>DATE(VALUE(LEFT(A3393,4)),VALUE(MID(A3393,5,2)),VALUE(RIGHT(A3393,2)))</f>
        <v/>
      </c>
      <c r="L3393" s="395">
        <f>DATEVALUE(LEFT(F3393,10))</f>
        <v/>
      </c>
      <c r="M3393" s="396">
        <f>TIMEVALUE(MID(F3393,12,8))</f>
        <v/>
      </c>
      <c r="N3393" s="395">
        <f>DATEVALUE(LEFT(G3393,10))</f>
        <v/>
      </c>
      <c r="O3393" s="396">
        <f>TIMEVALUE(MID(G3393,12,8))</f>
        <v/>
      </c>
      <c r="P3393" s="396">
        <f>IFERROR(_xlfn.MINIFS($M:$M,$E:$E,$E3393,$K:$K,$K3393,$M:$M,"&gt;"&amp;$O3393),"")</f>
        <v/>
      </c>
      <c r="Q3393" s="396">
        <f>IF($P3393="","",$P3393-$O3393)</f>
        <v/>
      </c>
    </row>
    <row r="3394" ht="15" customHeight="1" s="231">
      <c r="K3394" s="395">
        <f>DATE(VALUE(LEFT(A3394,4)),VALUE(MID(A3394,5,2)),VALUE(RIGHT(A3394,2)))</f>
        <v/>
      </c>
      <c r="L3394" s="395">
        <f>DATEVALUE(LEFT(F3394,10))</f>
        <v/>
      </c>
      <c r="M3394" s="396">
        <f>TIMEVALUE(MID(F3394,12,8))</f>
        <v/>
      </c>
      <c r="N3394" s="395">
        <f>DATEVALUE(LEFT(G3394,10))</f>
        <v/>
      </c>
      <c r="O3394" s="396">
        <f>TIMEVALUE(MID(G3394,12,8))</f>
        <v/>
      </c>
      <c r="P3394" s="396">
        <f>IFERROR(_xlfn.MINIFS($M:$M,$E:$E,$E3394,$K:$K,$K3394,$M:$M,"&gt;"&amp;$O3394),"")</f>
        <v/>
      </c>
      <c r="Q3394" s="396">
        <f>IF($P3394="","",$P3394-$O3394)</f>
        <v/>
      </c>
    </row>
    <row r="3395" ht="15" customHeight="1" s="231">
      <c r="K3395" s="395">
        <f>DATE(VALUE(LEFT(A3395,4)),VALUE(MID(A3395,5,2)),VALUE(RIGHT(A3395,2)))</f>
        <v/>
      </c>
      <c r="L3395" s="395">
        <f>DATEVALUE(LEFT(F3395,10))</f>
        <v/>
      </c>
      <c r="M3395" s="396">
        <f>TIMEVALUE(MID(F3395,12,8))</f>
        <v/>
      </c>
      <c r="N3395" s="395">
        <f>DATEVALUE(LEFT(G3395,10))</f>
        <v/>
      </c>
      <c r="O3395" s="396">
        <f>TIMEVALUE(MID(G3395,12,8))</f>
        <v/>
      </c>
      <c r="P3395" s="396">
        <f>IFERROR(_xlfn.MINIFS($M:$M,$E:$E,$E3395,$K:$K,$K3395,$M:$M,"&gt;"&amp;$O3395),"")</f>
        <v/>
      </c>
      <c r="Q3395" s="396">
        <f>IF($P3395="","",$P3395-$O3395)</f>
        <v/>
      </c>
    </row>
    <row r="3396" ht="15" customHeight="1" s="231">
      <c r="K3396" s="395">
        <f>DATE(VALUE(LEFT(A3396,4)),VALUE(MID(A3396,5,2)),VALUE(RIGHT(A3396,2)))</f>
        <v/>
      </c>
      <c r="L3396" s="395">
        <f>DATEVALUE(LEFT(F3396,10))</f>
        <v/>
      </c>
      <c r="M3396" s="396">
        <f>TIMEVALUE(MID(F3396,12,8))</f>
        <v/>
      </c>
      <c r="N3396" s="395">
        <f>DATEVALUE(LEFT(G3396,10))</f>
        <v/>
      </c>
      <c r="O3396" s="396">
        <f>TIMEVALUE(MID(G3396,12,8))</f>
        <v/>
      </c>
      <c r="P3396" s="396">
        <f>IFERROR(_xlfn.MINIFS($M:$M,$E:$E,$E3396,$K:$K,$K3396,$M:$M,"&gt;"&amp;$O3396),"")</f>
        <v/>
      </c>
      <c r="Q3396" s="396">
        <f>IF($P3396="","",$P3396-$O3396)</f>
        <v/>
      </c>
    </row>
    <row r="3397" ht="15" customHeight="1" s="231">
      <c r="K3397" s="395">
        <f>DATE(VALUE(LEFT(A3397,4)),VALUE(MID(A3397,5,2)),VALUE(RIGHT(A3397,2)))</f>
        <v/>
      </c>
      <c r="L3397" s="395">
        <f>DATEVALUE(LEFT(F3397,10))</f>
        <v/>
      </c>
      <c r="M3397" s="396">
        <f>TIMEVALUE(MID(F3397,12,8))</f>
        <v/>
      </c>
      <c r="N3397" s="395">
        <f>DATEVALUE(LEFT(G3397,10))</f>
        <v/>
      </c>
      <c r="O3397" s="396">
        <f>TIMEVALUE(MID(G3397,12,8))</f>
        <v/>
      </c>
      <c r="P3397" s="396">
        <f>IFERROR(_xlfn.MINIFS($M:$M,$E:$E,$E3397,$K:$K,$K3397,$M:$M,"&gt;"&amp;$O3397),"")</f>
        <v/>
      </c>
      <c r="Q3397" s="396">
        <f>IF($P3397="","",$P3397-$O3397)</f>
        <v/>
      </c>
    </row>
    <row r="3398" ht="15" customHeight="1" s="231">
      <c r="K3398" s="395">
        <f>DATE(VALUE(LEFT(A3398,4)),VALUE(MID(A3398,5,2)),VALUE(RIGHT(A3398,2)))</f>
        <v/>
      </c>
      <c r="L3398" s="395">
        <f>DATEVALUE(LEFT(F3398,10))</f>
        <v/>
      </c>
      <c r="M3398" s="396">
        <f>TIMEVALUE(MID(F3398,12,8))</f>
        <v/>
      </c>
      <c r="N3398" s="395">
        <f>DATEVALUE(LEFT(G3398,10))</f>
        <v/>
      </c>
      <c r="O3398" s="396">
        <f>TIMEVALUE(MID(G3398,12,8))</f>
        <v/>
      </c>
      <c r="P3398" s="396">
        <f>IFERROR(_xlfn.MINIFS($M:$M,$E:$E,$E3398,$K:$K,$K3398,$M:$M,"&gt;"&amp;$O3398),"")</f>
        <v/>
      </c>
      <c r="Q3398" s="396">
        <f>IF($P3398="","",$P3398-$O3398)</f>
        <v/>
      </c>
    </row>
    <row r="3399" ht="15" customHeight="1" s="231">
      <c r="K3399" s="395">
        <f>DATE(VALUE(LEFT(A3399,4)),VALUE(MID(A3399,5,2)),VALUE(RIGHT(A3399,2)))</f>
        <v/>
      </c>
      <c r="L3399" s="395">
        <f>DATEVALUE(LEFT(F3399,10))</f>
        <v/>
      </c>
      <c r="M3399" s="396">
        <f>TIMEVALUE(MID(F3399,12,8))</f>
        <v/>
      </c>
      <c r="N3399" s="395">
        <f>DATEVALUE(LEFT(G3399,10))</f>
        <v/>
      </c>
      <c r="O3399" s="396">
        <f>TIMEVALUE(MID(G3399,12,8))</f>
        <v/>
      </c>
      <c r="P3399" s="396">
        <f>IFERROR(_xlfn.MINIFS($M:$M,$E:$E,$E3399,$K:$K,$K3399,$M:$M,"&gt;"&amp;$O3399),"")</f>
        <v/>
      </c>
      <c r="Q3399" s="396">
        <f>IF($P3399="","",$P3399-$O3399)</f>
        <v/>
      </c>
    </row>
    <row r="3400" ht="15" customHeight="1" s="231">
      <c r="K3400" s="395">
        <f>DATE(VALUE(LEFT(A3400,4)),VALUE(MID(A3400,5,2)),VALUE(RIGHT(A3400,2)))</f>
        <v/>
      </c>
      <c r="L3400" s="395">
        <f>DATEVALUE(LEFT(F3400,10))</f>
        <v/>
      </c>
      <c r="M3400" s="396">
        <f>TIMEVALUE(MID(F3400,12,8))</f>
        <v/>
      </c>
      <c r="N3400" s="395">
        <f>DATEVALUE(LEFT(G3400,10))</f>
        <v/>
      </c>
      <c r="O3400" s="396">
        <f>TIMEVALUE(MID(G3400,12,8))</f>
        <v/>
      </c>
      <c r="P3400" s="396">
        <f>IFERROR(_xlfn.MINIFS($M:$M,$E:$E,$E3400,$K:$K,$K3400,$M:$M,"&gt;"&amp;$O3400),"")</f>
        <v/>
      </c>
      <c r="Q3400" s="396">
        <f>IF($P3400="","",$P3400-$O3400)</f>
        <v/>
      </c>
    </row>
    <row r="3401" ht="15" customHeight="1" s="231">
      <c r="K3401" s="395">
        <f>DATE(VALUE(LEFT(A3401,4)),VALUE(MID(A3401,5,2)),VALUE(RIGHT(A3401,2)))</f>
        <v/>
      </c>
      <c r="L3401" s="395">
        <f>DATEVALUE(LEFT(F3401,10))</f>
        <v/>
      </c>
      <c r="M3401" s="396">
        <f>TIMEVALUE(MID(F3401,12,8))</f>
        <v/>
      </c>
      <c r="N3401" s="395">
        <f>DATEVALUE(LEFT(G3401,10))</f>
        <v/>
      </c>
      <c r="O3401" s="396">
        <f>TIMEVALUE(MID(G3401,12,8))</f>
        <v/>
      </c>
      <c r="P3401" s="396">
        <f>IFERROR(_xlfn.MINIFS($M:$M,$E:$E,$E3401,$K:$K,$K3401,$M:$M,"&gt;"&amp;$O3401),"")</f>
        <v/>
      </c>
      <c r="Q3401" s="396">
        <f>IF($P3401="","",$P3401-$O3401)</f>
        <v/>
      </c>
    </row>
    <row r="3402" ht="15" customHeight="1" s="231">
      <c r="K3402" s="395">
        <f>DATE(VALUE(LEFT(A3402,4)),VALUE(MID(A3402,5,2)),VALUE(RIGHT(A3402,2)))</f>
        <v/>
      </c>
      <c r="L3402" s="395">
        <f>DATEVALUE(LEFT(F3402,10))</f>
        <v/>
      </c>
      <c r="M3402" s="396">
        <f>TIMEVALUE(MID(F3402,12,8))</f>
        <v/>
      </c>
      <c r="N3402" s="395">
        <f>DATEVALUE(LEFT(G3402,10))</f>
        <v/>
      </c>
      <c r="O3402" s="396">
        <f>TIMEVALUE(MID(G3402,12,8))</f>
        <v/>
      </c>
      <c r="P3402" s="396">
        <f>IFERROR(_xlfn.MINIFS($M:$M,$E:$E,$E3402,$K:$K,$K3402,$M:$M,"&gt;"&amp;$O3402),"")</f>
        <v/>
      </c>
      <c r="Q3402" s="396">
        <f>IF($P3402="","",$P3402-$O3402)</f>
        <v/>
      </c>
    </row>
    <row r="3403" ht="15" customHeight="1" s="231">
      <c r="K3403" s="395">
        <f>DATE(VALUE(LEFT(A3403,4)),VALUE(MID(A3403,5,2)),VALUE(RIGHT(A3403,2)))</f>
        <v/>
      </c>
      <c r="L3403" s="395">
        <f>DATEVALUE(LEFT(F3403,10))</f>
        <v/>
      </c>
      <c r="M3403" s="396">
        <f>TIMEVALUE(MID(F3403,12,8))</f>
        <v/>
      </c>
      <c r="N3403" s="395">
        <f>DATEVALUE(LEFT(G3403,10))</f>
        <v/>
      </c>
      <c r="O3403" s="396">
        <f>TIMEVALUE(MID(G3403,12,8))</f>
        <v/>
      </c>
      <c r="P3403" s="396">
        <f>IFERROR(_xlfn.MINIFS($M:$M,$E:$E,$E3403,$K:$K,$K3403,$M:$M,"&gt;"&amp;$O3403),"")</f>
        <v/>
      </c>
      <c r="Q3403" s="396">
        <f>IF($P3403="","",$P3403-$O3403)</f>
        <v/>
      </c>
    </row>
    <row r="3404" ht="15" customHeight="1" s="231">
      <c r="K3404" s="395">
        <f>DATE(VALUE(LEFT(A3404,4)),VALUE(MID(A3404,5,2)),VALUE(RIGHT(A3404,2)))</f>
        <v/>
      </c>
      <c r="L3404" s="395">
        <f>DATEVALUE(LEFT(F3404,10))</f>
        <v/>
      </c>
      <c r="M3404" s="396">
        <f>TIMEVALUE(MID(F3404,12,8))</f>
        <v/>
      </c>
      <c r="N3404" s="395">
        <f>DATEVALUE(LEFT(G3404,10))</f>
        <v/>
      </c>
      <c r="O3404" s="396">
        <f>TIMEVALUE(MID(G3404,12,8))</f>
        <v/>
      </c>
      <c r="P3404" s="396">
        <f>IFERROR(_xlfn.MINIFS($M:$M,$E:$E,$E3404,$K:$K,$K3404,$M:$M,"&gt;"&amp;$O3404),"")</f>
        <v/>
      </c>
      <c r="Q3404" s="396">
        <f>IF($P3404="","",$P3404-$O3404)</f>
        <v/>
      </c>
    </row>
    <row r="3405" ht="15" customHeight="1" s="231">
      <c r="K3405" s="395">
        <f>DATE(VALUE(LEFT(A3405,4)),VALUE(MID(A3405,5,2)),VALUE(RIGHT(A3405,2)))</f>
        <v/>
      </c>
      <c r="L3405" s="395">
        <f>DATEVALUE(LEFT(F3405,10))</f>
        <v/>
      </c>
      <c r="M3405" s="396">
        <f>TIMEVALUE(MID(F3405,12,8))</f>
        <v/>
      </c>
      <c r="N3405" s="395">
        <f>DATEVALUE(LEFT(G3405,10))</f>
        <v/>
      </c>
      <c r="O3405" s="396">
        <f>TIMEVALUE(MID(G3405,12,8))</f>
        <v/>
      </c>
      <c r="P3405" s="396">
        <f>IFERROR(_xlfn.MINIFS($M:$M,$E:$E,$E3405,$K:$K,$K3405,$M:$M,"&gt;"&amp;$O3405),"")</f>
        <v/>
      </c>
      <c r="Q3405" s="396">
        <f>IF($P3405="","",$P3405-$O3405)</f>
        <v/>
      </c>
    </row>
    <row r="3406" ht="15" customHeight="1" s="231">
      <c r="K3406" s="395">
        <f>DATE(VALUE(LEFT(A3406,4)),VALUE(MID(A3406,5,2)),VALUE(RIGHT(A3406,2)))</f>
        <v/>
      </c>
      <c r="L3406" s="395">
        <f>DATEVALUE(LEFT(F3406,10))</f>
        <v/>
      </c>
      <c r="M3406" s="396">
        <f>TIMEVALUE(MID(F3406,12,8))</f>
        <v/>
      </c>
      <c r="N3406" s="395">
        <f>DATEVALUE(LEFT(G3406,10))</f>
        <v/>
      </c>
      <c r="O3406" s="396">
        <f>TIMEVALUE(MID(G3406,12,8))</f>
        <v/>
      </c>
      <c r="P3406" s="396">
        <f>IFERROR(_xlfn.MINIFS($M:$M,$E:$E,$E3406,$K:$K,$K3406,$M:$M,"&gt;"&amp;$O3406),"")</f>
        <v/>
      </c>
      <c r="Q3406" s="396">
        <f>IF($P3406="","",$P3406-$O3406)</f>
        <v/>
      </c>
    </row>
    <row r="3407" ht="15" customHeight="1" s="231">
      <c r="K3407" s="395">
        <f>DATE(VALUE(LEFT(A3407,4)),VALUE(MID(A3407,5,2)),VALUE(RIGHT(A3407,2)))</f>
        <v/>
      </c>
      <c r="L3407" s="395">
        <f>DATEVALUE(LEFT(F3407,10))</f>
        <v/>
      </c>
      <c r="M3407" s="396">
        <f>TIMEVALUE(MID(F3407,12,8))</f>
        <v/>
      </c>
      <c r="N3407" s="395">
        <f>DATEVALUE(LEFT(G3407,10))</f>
        <v/>
      </c>
      <c r="O3407" s="396">
        <f>TIMEVALUE(MID(G3407,12,8))</f>
        <v/>
      </c>
      <c r="P3407" s="396">
        <f>IFERROR(_xlfn.MINIFS($M:$M,$E:$E,$E3407,$K:$K,$K3407,$M:$M,"&gt;"&amp;$O3407),"")</f>
        <v/>
      </c>
      <c r="Q3407" s="396">
        <f>IF($P3407="","",$P3407-$O3407)</f>
        <v/>
      </c>
    </row>
    <row r="3408" ht="15" customHeight="1" s="231">
      <c r="K3408" s="395">
        <f>DATE(VALUE(LEFT(A3408,4)),VALUE(MID(A3408,5,2)),VALUE(RIGHT(A3408,2)))</f>
        <v/>
      </c>
      <c r="L3408" s="395">
        <f>DATEVALUE(LEFT(F3408,10))</f>
        <v/>
      </c>
      <c r="M3408" s="396">
        <f>TIMEVALUE(MID(F3408,12,8))</f>
        <v/>
      </c>
      <c r="N3408" s="395">
        <f>DATEVALUE(LEFT(G3408,10))</f>
        <v/>
      </c>
      <c r="O3408" s="396">
        <f>TIMEVALUE(MID(G3408,12,8))</f>
        <v/>
      </c>
      <c r="P3408" s="396">
        <f>IFERROR(_xlfn.MINIFS($M:$M,$E:$E,$E3408,$K:$K,$K3408,$M:$M,"&gt;"&amp;$O3408),"")</f>
        <v/>
      </c>
      <c r="Q3408" s="396">
        <f>IF($P3408="","",$P3408-$O3408)</f>
        <v/>
      </c>
    </row>
    <row r="3409" ht="15" customHeight="1" s="231">
      <c r="K3409" s="395">
        <f>DATE(VALUE(LEFT(A3409,4)),VALUE(MID(A3409,5,2)),VALUE(RIGHT(A3409,2)))</f>
        <v/>
      </c>
      <c r="L3409" s="395">
        <f>DATEVALUE(LEFT(F3409,10))</f>
        <v/>
      </c>
      <c r="M3409" s="396">
        <f>TIMEVALUE(MID(F3409,12,8))</f>
        <v/>
      </c>
      <c r="N3409" s="395">
        <f>DATEVALUE(LEFT(G3409,10))</f>
        <v/>
      </c>
      <c r="O3409" s="396">
        <f>TIMEVALUE(MID(G3409,12,8))</f>
        <v/>
      </c>
      <c r="P3409" s="396">
        <f>IFERROR(_xlfn.MINIFS($M:$M,$E:$E,$E3409,$K:$K,$K3409,$M:$M,"&gt;"&amp;$O3409),"")</f>
        <v/>
      </c>
      <c r="Q3409" s="396">
        <f>IF($P3409="","",$P3409-$O3409)</f>
        <v/>
      </c>
    </row>
    <row r="3410" ht="15" customHeight="1" s="231">
      <c r="K3410" s="395">
        <f>DATE(VALUE(LEFT(A3410,4)),VALUE(MID(A3410,5,2)),VALUE(RIGHT(A3410,2)))</f>
        <v/>
      </c>
      <c r="L3410" s="395">
        <f>DATEVALUE(LEFT(F3410,10))</f>
        <v/>
      </c>
      <c r="M3410" s="396">
        <f>TIMEVALUE(MID(F3410,12,8))</f>
        <v/>
      </c>
      <c r="N3410" s="395">
        <f>DATEVALUE(LEFT(G3410,10))</f>
        <v/>
      </c>
      <c r="O3410" s="396">
        <f>TIMEVALUE(MID(G3410,12,8))</f>
        <v/>
      </c>
      <c r="P3410" s="396">
        <f>IFERROR(_xlfn.MINIFS($M:$M,$E:$E,$E3410,$K:$K,$K3410,$M:$M,"&gt;"&amp;$O3410),"")</f>
        <v/>
      </c>
      <c r="Q3410" s="396">
        <f>IF($P3410="","",$P3410-$O3410)</f>
        <v/>
      </c>
    </row>
    <row r="3411" ht="15" customHeight="1" s="231">
      <c r="K3411" s="395">
        <f>DATE(VALUE(LEFT(A3411,4)),VALUE(MID(A3411,5,2)),VALUE(RIGHT(A3411,2)))</f>
        <v/>
      </c>
      <c r="L3411" s="395">
        <f>DATEVALUE(LEFT(F3411,10))</f>
        <v/>
      </c>
      <c r="M3411" s="396">
        <f>TIMEVALUE(MID(F3411,12,8))</f>
        <v/>
      </c>
      <c r="N3411" s="395">
        <f>DATEVALUE(LEFT(G3411,10))</f>
        <v/>
      </c>
      <c r="O3411" s="396">
        <f>TIMEVALUE(MID(G3411,12,8))</f>
        <v/>
      </c>
      <c r="P3411" s="396">
        <f>IFERROR(_xlfn.MINIFS($M:$M,$E:$E,$E3411,$K:$K,$K3411,$M:$M,"&gt;"&amp;$O3411),"")</f>
        <v/>
      </c>
      <c r="Q3411" s="396">
        <f>IF($P3411="","",$P3411-$O3411)</f>
        <v/>
      </c>
    </row>
    <row r="3412" ht="15" customHeight="1" s="231">
      <c r="K3412" s="395">
        <f>DATE(VALUE(LEFT(A3412,4)),VALUE(MID(A3412,5,2)),VALUE(RIGHT(A3412,2)))</f>
        <v/>
      </c>
      <c r="L3412" s="395">
        <f>DATEVALUE(LEFT(F3412,10))</f>
        <v/>
      </c>
      <c r="M3412" s="396">
        <f>TIMEVALUE(MID(F3412,12,8))</f>
        <v/>
      </c>
      <c r="N3412" s="395">
        <f>DATEVALUE(LEFT(G3412,10))</f>
        <v/>
      </c>
      <c r="O3412" s="396">
        <f>TIMEVALUE(MID(G3412,12,8))</f>
        <v/>
      </c>
      <c r="P3412" s="396">
        <f>IFERROR(_xlfn.MINIFS($M:$M,$E:$E,$E3412,$K:$K,$K3412,$M:$M,"&gt;"&amp;$O3412),"")</f>
        <v/>
      </c>
      <c r="Q3412" s="396">
        <f>IF($P3412="","",$P3412-$O3412)</f>
        <v/>
      </c>
    </row>
    <row r="3413" ht="15" customHeight="1" s="231">
      <c r="K3413" s="395">
        <f>DATE(VALUE(LEFT(A3413,4)),VALUE(MID(A3413,5,2)),VALUE(RIGHT(A3413,2)))</f>
        <v/>
      </c>
      <c r="L3413" s="395">
        <f>DATEVALUE(LEFT(F3413,10))</f>
        <v/>
      </c>
      <c r="M3413" s="396">
        <f>TIMEVALUE(MID(F3413,12,8))</f>
        <v/>
      </c>
      <c r="N3413" s="395">
        <f>DATEVALUE(LEFT(G3413,10))</f>
        <v/>
      </c>
      <c r="O3413" s="396">
        <f>TIMEVALUE(MID(G3413,12,8))</f>
        <v/>
      </c>
      <c r="P3413" s="396">
        <f>IFERROR(_xlfn.MINIFS($M:$M,$E:$E,$E3413,$K:$K,$K3413,$M:$M,"&gt;"&amp;$O3413),"")</f>
        <v/>
      </c>
      <c r="Q3413" s="396">
        <f>IF($P3413="","",$P3413-$O3413)</f>
        <v/>
      </c>
    </row>
    <row r="3414" ht="15" customHeight="1" s="231">
      <c r="K3414" s="395">
        <f>DATE(VALUE(LEFT(A3414,4)),VALUE(MID(A3414,5,2)),VALUE(RIGHT(A3414,2)))</f>
        <v/>
      </c>
      <c r="L3414" s="395">
        <f>DATEVALUE(LEFT(F3414,10))</f>
        <v/>
      </c>
      <c r="M3414" s="396">
        <f>TIMEVALUE(MID(F3414,12,8))</f>
        <v/>
      </c>
      <c r="N3414" s="395">
        <f>DATEVALUE(LEFT(G3414,10))</f>
        <v/>
      </c>
      <c r="O3414" s="396">
        <f>TIMEVALUE(MID(G3414,12,8))</f>
        <v/>
      </c>
      <c r="P3414" s="396">
        <f>IFERROR(_xlfn.MINIFS($M:$M,$E:$E,$E3414,$K:$K,$K3414,$M:$M,"&gt;"&amp;$O3414),"")</f>
        <v/>
      </c>
      <c r="Q3414" s="396">
        <f>IF($P3414="","",$P3414-$O3414)</f>
        <v/>
      </c>
    </row>
    <row r="3415" ht="15" customHeight="1" s="231">
      <c r="K3415" s="395">
        <f>DATE(VALUE(LEFT(A3415,4)),VALUE(MID(A3415,5,2)),VALUE(RIGHT(A3415,2)))</f>
        <v/>
      </c>
      <c r="L3415" s="395">
        <f>DATEVALUE(LEFT(F3415,10))</f>
        <v/>
      </c>
      <c r="M3415" s="396">
        <f>TIMEVALUE(MID(F3415,12,8))</f>
        <v/>
      </c>
      <c r="N3415" s="395">
        <f>DATEVALUE(LEFT(G3415,10))</f>
        <v/>
      </c>
      <c r="O3415" s="396">
        <f>TIMEVALUE(MID(G3415,12,8))</f>
        <v/>
      </c>
      <c r="P3415" s="396">
        <f>IFERROR(_xlfn.MINIFS($M:$M,$E:$E,$E3415,$K:$K,$K3415,$M:$M,"&gt;"&amp;$O3415),"")</f>
        <v/>
      </c>
      <c r="Q3415" s="396">
        <f>IF($P3415="","",$P3415-$O3415)</f>
        <v/>
      </c>
    </row>
    <row r="3416" ht="15" customHeight="1" s="231">
      <c r="K3416" s="395">
        <f>DATE(VALUE(LEFT(A3416,4)),VALUE(MID(A3416,5,2)),VALUE(RIGHT(A3416,2)))</f>
        <v/>
      </c>
      <c r="L3416" s="395">
        <f>DATEVALUE(LEFT(F3416,10))</f>
        <v/>
      </c>
      <c r="M3416" s="396">
        <f>TIMEVALUE(MID(F3416,12,8))</f>
        <v/>
      </c>
      <c r="N3416" s="395">
        <f>DATEVALUE(LEFT(G3416,10))</f>
        <v/>
      </c>
      <c r="O3416" s="396">
        <f>TIMEVALUE(MID(G3416,12,8))</f>
        <v/>
      </c>
      <c r="P3416" s="396">
        <f>IFERROR(_xlfn.MINIFS($M:$M,$E:$E,$E3416,$K:$K,$K3416,$M:$M,"&gt;"&amp;$O3416),"")</f>
        <v/>
      </c>
      <c r="Q3416" s="396">
        <f>IF($P3416="","",$P3416-$O3416)</f>
        <v/>
      </c>
    </row>
    <row r="3417" ht="15" customHeight="1" s="231">
      <c r="K3417" s="395">
        <f>DATE(VALUE(LEFT(A3417,4)),VALUE(MID(A3417,5,2)),VALUE(RIGHT(A3417,2)))</f>
        <v/>
      </c>
      <c r="L3417" s="395">
        <f>DATEVALUE(LEFT(F3417,10))</f>
        <v/>
      </c>
      <c r="M3417" s="396">
        <f>TIMEVALUE(MID(F3417,12,8))</f>
        <v/>
      </c>
      <c r="N3417" s="395">
        <f>DATEVALUE(LEFT(G3417,10))</f>
        <v/>
      </c>
      <c r="O3417" s="396">
        <f>TIMEVALUE(MID(G3417,12,8))</f>
        <v/>
      </c>
      <c r="P3417" s="396">
        <f>IFERROR(_xlfn.MINIFS($M:$M,$E:$E,$E3417,$K:$K,$K3417,$M:$M,"&gt;"&amp;$O3417),"")</f>
        <v/>
      </c>
      <c r="Q3417" s="396">
        <f>IF($P3417="","",$P3417-$O3417)</f>
        <v/>
      </c>
    </row>
    <row r="3418" ht="15" customHeight="1" s="231">
      <c r="K3418" s="395">
        <f>DATE(VALUE(LEFT(A3418,4)),VALUE(MID(A3418,5,2)),VALUE(RIGHT(A3418,2)))</f>
        <v/>
      </c>
      <c r="L3418" s="395">
        <f>DATEVALUE(LEFT(F3418,10))</f>
        <v/>
      </c>
      <c r="M3418" s="396">
        <f>TIMEVALUE(MID(F3418,12,8))</f>
        <v/>
      </c>
      <c r="N3418" s="395">
        <f>DATEVALUE(LEFT(G3418,10))</f>
        <v/>
      </c>
      <c r="O3418" s="396">
        <f>TIMEVALUE(MID(G3418,12,8))</f>
        <v/>
      </c>
      <c r="P3418" s="396">
        <f>IFERROR(_xlfn.MINIFS($M:$M,$E:$E,$E3418,$K:$K,$K3418,$M:$M,"&gt;"&amp;$O3418),"")</f>
        <v/>
      </c>
      <c r="Q3418" s="396">
        <f>IF($P3418="","",$P3418-$O3418)</f>
        <v/>
      </c>
    </row>
    <row r="3419" ht="15" customHeight="1" s="231">
      <c r="K3419" s="395">
        <f>DATE(VALUE(LEFT(A3419,4)),VALUE(MID(A3419,5,2)),VALUE(RIGHT(A3419,2)))</f>
        <v/>
      </c>
      <c r="L3419" s="395">
        <f>DATEVALUE(LEFT(F3419,10))</f>
        <v/>
      </c>
      <c r="M3419" s="396">
        <f>TIMEVALUE(MID(F3419,12,8))</f>
        <v/>
      </c>
      <c r="N3419" s="395">
        <f>DATEVALUE(LEFT(G3419,10))</f>
        <v/>
      </c>
      <c r="O3419" s="396">
        <f>TIMEVALUE(MID(G3419,12,8))</f>
        <v/>
      </c>
      <c r="P3419" s="396">
        <f>IFERROR(_xlfn.MINIFS($M:$M,$E:$E,$E3419,$K:$K,$K3419,$M:$M,"&gt;"&amp;$O3419),"")</f>
        <v/>
      </c>
      <c r="Q3419" s="396">
        <f>IF($P3419="","",$P3419-$O3419)</f>
        <v/>
      </c>
    </row>
    <row r="3420" ht="15" customHeight="1" s="231">
      <c r="K3420" s="395">
        <f>DATE(VALUE(LEFT(A3420,4)),VALUE(MID(A3420,5,2)),VALUE(RIGHT(A3420,2)))</f>
        <v/>
      </c>
      <c r="L3420" s="395">
        <f>DATEVALUE(LEFT(F3420,10))</f>
        <v/>
      </c>
      <c r="M3420" s="396">
        <f>TIMEVALUE(MID(F3420,12,8))</f>
        <v/>
      </c>
      <c r="N3420" s="395">
        <f>DATEVALUE(LEFT(G3420,10))</f>
        <v/>
      </c>
      <c r="O3420" s="396">
        <f>TIMEVALUE(MID(G3420,12,8))</f>
        <v/>
      </c>
      <c r="P3420" s="396">
        <f>IFERROR(_xlfn.MINIFS($M:$M,$E:$E,$E3420,$K:$K,$K3420,$M:$M,"&gt;"&amp;$O3420),"")</f>
        <v/>
      </c>
      <c r="Q3420" s="396">
        <f>IF($P3420="","",$P3420-$O3420)</f>
        <v/>
      </c>
    </row>
    <row r="3421" ht="15" customHeight="1" s="231">
      <c r="K3421" s="395">
        <f>DATE(VALUE(LEFT(A3421,4)),VALUE(MID(A3421,5,2)),VALUE(RIGHT(A3421,2)))</f>
        <v/>
      </c>
      <c r="L3421" s="395">
        <f>DATEVALUE(LEFT(F3421,10))</f>
        <v/>
      </c>
      <c r="M3421" s="396">
        <f>TIMEVALUE(MID(F3421,12,8))</f>
        <v/>
      </c>
      <c r="N3421" s="395">
        <f>DATEVALUE(LEFT(G3421,10))</f>
        <v/>
      </c>
      <c r="O3421" s="396">
        <f>TIMEVALUE(MID(G3421,12,8))</f>
        <v/>
      </c>
      <c r="P3421" s="396">
        <f>IFERROR(_xlfn.MINIFS($M:$M,$E:$E,$E3421,$K:$K,$K3421,$M:$M,"&gt;"&amp;$O3421),"")</f>
        <v/>
      </c>
      <c r="Q3421" s="396">
        <f>IF($P3421="","",$P3421-$O3421)</f>
        <v/>
      </c>
    </row>
    <row r="3422" ht="15" customHeight="1" s="231">
      <c r="K3422" s="395">
        <f>DATE(VALUE(LEFT(A3422,4)),VALUE(MID(A3422,5,2)),VALUE(RIGHT(A3422,2)))</f>
        <v/>
      </c>
      <c r="L3422" s="395">
        <f>DATEVALUE(LEFT(F3422,10))</f>
        <v/>
      </c>
      <c r="M3422" s="396">
        <f>TIMEVALUE(MID(F3422,12,8))</f>
        <v/>
      </c>
      <c r="N3422" s="395">
        <f>DATEVALUE(LEFT(G3422,10))</f>
        <v/>
      </c>
      <c r="O3422" s="396">
        <f>TIMEVALUE(MID(G3422,12,8))</f>
        <v/>
      </c>
      <c r="P3422" s="396">
        <f>IFERROR(_xlfn.MINIFS($M:$M,$E:$E,$E3422,$K:$K,$K3422,$M:$M,"&gt;"&amp;$O3422),"")</f>
        <v/>
      </c>
      <c r="Q3422" s="396">
        <f>IF($P3422="","",$P3422-$O3422)</f>
        <v/>
      </c>
    </row>
    <row r="3423" ht="15" customHeight="1" s="231">
      <c r="K3423" s="395">
        <f>DATE(VALUE(LEFT(A3423,4)),VALUE(MID(A3423,5,2)),VALUE(RIGHT(A3423,2)))</f>
        <v/>
      </c>
      <c r="L3423" s="395">
        <f>DATEVALUE(LEFT(F3423,10))</f>
        <v/>
      </c>
      <c r="M3423" s="396">
        <f>TIMEVALUE(MID(F3423,12,8))</f>
        <v/>
      </c>
      <c r="N3423" s="395">
        <f>DATEVALUE(LEFT(G3423,10))</f>
        <v/>
      </c>
      <c r="O3423" s="396">
        <f>TIMEVALUE(MID(G3423,12,8))</f>
        <v/>
      </c>
      <c r="P3423" s="396">
        <f>IFERROR(_xlfn.MINIFS($M:$M,$E:$E,$E3423,$K:$K,$K3423,$M:$M,"&gt;"&amp;$O3423),"")</f>
        <v/>
      </c>
      <c r="Q3423" s="396">
        <f>IF($P3423="","",$P3423-$O3423)</f>
        <v/>
      </c>
    </row>
    <row r="3424" ht="15" customHeight="1" s="231">
      <c r="K3424" s="395">
        <f>DATE(VALUE(LEFT(A3424,4)),VALUE(MID(A3424,5,2)),VALUE(RIGHT(A3424,2)))</f>
        <v/>
      </c>
      <c r="L3424" s="395">
        <f>DATEVALUE(LEFT(F3424,10))</f>
        <v/>
      </c>
      <c r="M3424" s="396">
        <f>TIMEVALUE(MID(F3424,12,8))</f>
        <v/>
      </c>
      <c r="N3424" s="395">
        <f>DATEVALUE(LEFT(G3424,10))</f>
        <v/>
      </c>
      <c r="O3424" s="396">
        <f>TIMEVALUE(MID(G3424,12,8))</f>
        <v/>
      </c>
      <c r="P3424" s="396">
        <f>IFERROR(_xlfn.MINIFS($M:$M,$E:$E,$E3424,$K:$K,$K3424,$M:$M,"&gt;"&amp;$O3424),"")</f>
        <v/>
      </c>
      <c r="Q3424" s="396">
        <f>IF($P3424="","",$P3424-$O3424)</f>
        <v/>
      </c>
    </row>
    <row r="3425" ht="15" customHeight="1" s="231">
      <c r="K3425" s="395">
        <f>DATE(VALUE(LEFT(A3425,4)),VALUE(MID(A3425,5,2)),VALUE(RIGHT(A3425,2)))</f>
        <v/>
      </c>
      <c r="L3425" s="395">
        <f>DATEVALUE(LEFT(F3425,10))</f>
        <v/>
      </c>
      <c r="M3425" s="396">
        <f>TIMEVALUE(MID(F3425,12,8))</f>
        <v/>
      </c>
      <c r="N3425" s="395">
        <f>DATEVALUE(LEFT(G3425,10))</f>
        <v/>
      </c>
      <c r="O3425" s="396">
        <f>TIMEVALUE(MID(G3425,12,8))</f>
        <v/>
      </c>
      <c r="P3425" s="396">
        <f>IFERROR(_xlfn.MINIFS($M:$M,$E:$E,$E3425,$K:$K,$K3425,$M:$M,"&gt;"&amp;$O3425),"")</f>
        <v/>
      </c>
      <c r="Q3425" s="396">
        <f>IF($P3425="","",$P3425-$O3425)</f>
        <v/>
      </c>
    </row>
    <row r="3426" ht="15" customHeight="1" s="231">
      <c r="K3426" s="395">
        <f>DATE(VALUE(LEFT(A3426,4)),VALUE(MID(A3426,5,2)),VALUE(RIGHT(A3426,2)))</f>
        <v/>
      </c>
      <c r="L3426" s="395">
        <f>DATEVALUE(LEFT(F3426,10))</f>
        <v/>
      </c>
      <c r="M3426" s="396">
        <f>TIMEVALUE(MID(F3426,12,8))</f>
        <v/>
      </c>
      <c r="N3426" s="395">
        <f>DATEVALUE(LEFT(G3426,10))</f>
        <v/>
      </c>
      <c r="O3426" s="396">
        <f>TIMEVALUE(MID(G3426,12,8))</f>
        <v/>
      </c>
      <c r="P3426" s="396">
        <f>IFERROR(_xlfn.MINIFS($M:$M,$E:$E,$E3426,$K:$K,$K3426,$M:$M,"&gt;"&amp;$O3426),"")</f>
        <v/>
      </c>
      <c r="Q3426" s="396">
        <f>IF($P3426="","",$P3426-$O3426)</f>
        <v/>
      </c>
    </row>
    <row r="3427" ht="15" customHeight="1" s="231">
      <c r="K3427" s="395">
        <f>DATE(VALUE(LEFT(A3427,4)),VALUE(MID(A3427,5,2)),VALUE(RIGHT(A3427,2)))</f>
        <v/>
      </c>
      <c r="L3427" s="395">
        <f>DATEVALUE(LEFT(F3427,10))</f>
        <v/>
      </c>
      <c r="M3427" s="396">
        <f>TIMEVALUE(MID(F3427,12,8))</f>
        <v/>
      </c>
      <c r="N3427" s="395">
        <f>DATEVALUE(LEFT(G3427,10))</f>
        <v/>
      </c>
      <c r="O3427" s="396">
        <f>TIMEVALUE(MID(G3427,12,8))</f>
        <v/>
      </c>
      <c r="P3427" s="396">
        <f>IFERROR(_xlfn.MINIFS($M:$M,$E:$E,$E3427,$K:$K,$K3427,$M:$M,"&gt;"&amp;$O3427),"")</f>
        <v/>
      </c>
      <c r="Q3427" s="396">
        <f>IF($P3427="","",$P3427-$O3427)</f>
        <v/>
      </c>
    </row>
    <row r="3428" ht="15" customHeight="1" s="231">
      <c r="K3428" s="395">
        <f>DATE(VALUE(LEFT(A3428,4)),VALUE(MID(A3428,5,2)),VALUE(RIGHT(A3428,2)))</f>
        <v/>
      </c>
      <c r="L3428" s="395">
        <f>DATEVALUE(LEFT(F3428,10))</f>
        <v/>
      </c>
      <c r="M3428" s="396">
        <f>TIMEVALUE(MID(F3428,12,8))</f>
        <v/>
      </c>
      <c r="N3428" s="395">
        <f>DATEVALUE(LEFT(G3428,10))</f>
        <v/>
      </c>
      <c r="O3428" s="396">
        <f>TIMEVALUE(MID(G3428,12,8))</f>
        <v/>
      </c>
      <c r="P3428" s="396">
        <f>IFERROR(_xlfn.MINIFS($M:$M,$E:$E,$E3428,$K:$K,$K3428,$M:$M,"&gt;"&amp;$O3428),"")</f>
        <v/>
      </c>
      <c r="Q3428" s="396">
        <f>IF($P3428="","",$P3428-$O3428)</f>
        <v/>
      </c>
    </row>
    <row r="3429" ht="15" customHeight="1" s="231">
      <c r="K3429" s="395">
        <f>DATE(VALUE(LEFT(A3429,4)),VALUE(MID(A3429,5,2)),VALUE(RIGHT(A3429,2)))</f>
        <v/>
      </c>
      <c r="L3429" s="395">
        <f>DATEVALUE(LEFT(F3429,10))</f>
        <v/>
      </c>
      <c r="M3429" s="396">
        <f>TIMEVALUE(MID(F3429,12,8))</f>
        <v/>
      </c>
      <c r="N3429" s="395">
        <f>DATEVALUE(LEFT(G3429,10))</f>
        <v/>
      </c>
      <c r="O3429" s="396">
        <f>TIMEVALUE(MID(G3429,12,8))</f>
        <v/>
      </c>
      <c r="P3429" s="396">
        <f>IFERROR(_xlfn.MINIFS($M:$M,$E:$E,$E3429,$K:$K,$K3429,$M:$M,"&gt;"&amp;$O3429),"")</f>
        <v/>
      </c>
      <c r="Q3429" s="396">
        <f>IF($P3429="","",$P3429-$O3429)</f>
        <v/>
      </c>
    </row>
    <row r="3430" ht="15" customHeight="1" s="231">
      <c r="K3430" s="395">
        <f>DATE(VALUE(LEFT(A3430,4)),VALUE(MID(A3430,5,2)),VALUE(RIGHT(A3430,2)))</f>
        <v/>
      </c>
      <c r="L3430" s="395">
        <f>DATEVALUE(LEFT(F3430,10))</f>
        <v/>
      </c>
      <c r="M3430" s="396">
        <f>TIMEVALUE(MID(F3430,12,8))</f>
        <v/>
      </c>
      <c r="N3430" s="395">
        <f>DATEVALUE(LEFT(G3430,10))</f>
        <v/>
      </c>
      <c r="O3430" s="396">
        <f>TIMEVALUE(MID(G3430,12,8))</f>
        <v/>
      </c>
      <c r="P3430" s="396">
        <f>IFERROR(_xlfn.MINIFS($M:$M,$E:$E,$E3430,$K:$K,$K3430,$M:$M,"&gt;"&amp;$O3430),"")</f>
        <v/>
      </c>
      <c r="Q3430" s="396">
        <f>IF($P3430="","",$P3430-$O3430)</f>
        <v/>
      </c>
    </row>
    <row r="3431" ht="15" customHeight="1" s="231">
      <c r="K3431" s="395">
        <f>DATE(VALUE(LEFT(A3431,4)),VALUE(MID(A3431,5,2)),VALUE(RIGHT(A3431,2)))</f>
        <v/>
      </c>
      <c r="L3431" s="395">
        <f>DATEVALUE(LEFT(F3431,10))</f>
        <v/>
      </c>
      <c r="M3431" s="396">
        <f>TIMEVALUE(MID(F3431,12,8))</f>
        <v/>
      </c>
      <c r="N3431" s="395">
        <f>DATEVALUE(LEFT(G3431,10))</f>
        <v/>
      </c>
      <c r="O3431" s="396">
        <f>TIMEVALUE(MID(G3431,12,8))</f>
        <v/>
      </c>
      <c r="P3431" s="396">
        <f>IFERROR(_xlfn.MINIFS($M:$M,$E:$E,$E3431,$K:$K,$K3431,$M:$M,"&gt;"&amp;$O3431),"")</f>
        <v/>
      </c>
      <c r="Q3431" s="396">
        <f>IF($P3431="","",$P3431-$O3431)</f>
        <v/>
      </c>
    </row>
    <row r="3432" ht="15" customHeight="1" s="231">
      <c r="K3432" s="395">
        <f>DATE(VALUE(LEFT(A3432,4)),VALUE(MID(A3432,5,2)),VALUE(RIGHT(A3432,2)))</f>
        <v/>
      </c>
      <c r="L3432" s="395">
        <f>DATEVALUE(LEFT(F3432,10))</f>
        <v/>
      </c>
      <c r="M3432" s="396">
        <f>TIMEVALUE(MID(F3432,12,8))</f>
        <v/>
      </c>
      <c r="N3432" s="395">
        <f>DATEVALUE(LEFT(G3432,10))</f>
        <v/>
      </c>
      <c r="O3432" s="396">
        <f>TIMEVALUE(MID(G3432,12,8))</f>
        <v/>
      </c>
      <c r="P3432" s="396">
        <f>IFERROR(_xlfn.MINIFS($M:$M,$E:$E,$E3432,$K:$K,$K3432,$M:$M,"&gt;"&amp;$O3432),"")</f>
        <v/>
      </c>
      <c r="Q3432" s="396">
        <f>IF($P3432="","",$P3432-$O3432)</f>
        <v/>
      </c>
    </row>
    <row r="3433" ht="15" customHeight="1" s="231">
      <c r="K3433" s="395">
        <f>DATE(VALUE(LEFT(A3433,4)),VALUE(MID(A3433,5,2)),VALUE(RIGHT(A3433,2)))</f>
        <v/>
      </c>
      <c r="L3433" s="395">
        <f>DATEVALUE(LEFT(F3433,10))</f>
        <v/>
      </c>
      <c r="M3433" s="396">
        <f>TIMEVALUE(MID(F3433,12,8))</f>
        <v/>
      </c>
      <c r="N3433" s="395">
        <f>DATEVALUE(LEFT(G3433,10))</f>
        <v/>
      </c>
      <c r="O3433" s="396">
        <f>TIMEVALUE(MID(G3433,12,8))</f>
        <v/>
      </c>
      <c r="P3433" s="396">
        <f>IFERROR(_xlfn.MINIFS($M:$M,$E:$E,$E3433,$K:$K,$K3433,$M:$M,"&gt;"&amp;$O3433),"")</f>
        <v/>
      </c>
      <c r="Q3433" s="396">
        <f>IF($P3433="","",$P3433-$O3433)</f>
        <v/>
      </c>
    </row>
    <row r="3434" ht="15" customHeight="1" s="231">
      <c r="K3434" s="395">
        <f>DATE(VALUE(LEFT(A3434,4)),VALUE(MID(A3434,5,2)),VALUE(RIGHT(A3434,2)))</f>
        <v/>
      </c>
      <c r="L3434" s="395">
        <f>DATEVALUE(LEFT(F3434,10))</f>
        <v/>
      </c>
      <c r="M3434" s="396">
        <f>TIMEVALUE(MID(F3434,12,8))</f>
        <v/>
      </c>
      <c r="N3434" s="395">
        <f>DATEVALUE(LEFT(G3434,10))</f>
        <v/>
      </c>
      <c r="O3434" s="396">
        <f>TIMEVALUE(MID(G3434,12,8))</f>
        <v/>
      </c>
      <c r="P3434" s="396">
        <f>IFERROR(_xlfn.MINIFS($M:$M,$E:$E,$E3434,$K:$K,$K3434,$M:$M,"&gt;"&amp;$O3434),"")</f>
        <v/>
      </c>
      <c r="Q3434" s="396">
        <f>IF($P3434="","",$P3434-$O3434)</f>
        <v/>
      </c>
    </row>
    <row r="3435" ht="15" customHeight="1" s="231">
      <c r="K3435" s="395">
        <f>DATE(VALUE(LEFT(A3435,4)),VALUE(MID(A3435,5,2)),VALUE(RIGHT(A3435,2)))</f>
        <v/>
      </c>
      <c r="L3435" s="395">
        <f>DATEVALUE(LEFT(F3435,10))</f>
        <v/>
      </c>
      <c r="M3435" s="396">
        <f>TIMEVALUE(MID(F3435,12,8))</f>
        <v/>
      </c>
      <c r="N3435" s="395">
        <f>DATEVALUE(LEFT(G3435,10))</f>
        <v/>
      </c>
      <c r="O3435" s="396">
        <f>TIMEVALUE(MID(G3435,12,8))</f>
        <v/>
      </c>
      <c r="P3435" s="396">
        <f>IFERROR(_xlfn.MINIFS($M:$M,$E:$E,$E3435,$K:$K,$K3435,$M:$M,"&gt;"&amp;$O3435),"")</f>
        <v/>
      </c>
      <c r="Q3435" s="396">
        <f>IF($P3435="","",$P3435-$O3435)</f>
        <v/>
      </c>
    </row>
    <row r="3436" ht="15" customHeight="1" s="231">
      <c r="K3436" s="395">
        <f>DATE(VALUE(LEFT(A3436,4)),VALUE(MID(A3436,5,2)),VALUE(RIGHT(A3436,2)))</f>
        <v/>
      </c>
      <c r="L3436" s="395">
        <f>DATEVALUE(LEFT(F3436,10))</f>
        <v/>
      </c>
      <c r="M3436" s="396">
        <f>TIMEVALUE(MID(F3436,12,8))</f>
        <v/>
      </c>
      <c r="N3436" s="395">
        <f>DATEVALUE(LEFT(G3436,10))</f>
        <v/>
      </c>
      <c r="O3436" s="396">
        <f>TIMEVALUE(MID(G3436,12,8))</f>
        <v/>
      </c>
      <c r="P3436" s="396">
        <f>IFERROR(_xlfn.MINIFS($M:$M,$E:$E,$E3436,$K:$K,$K3436,$M:$M,"&gt;"&amp;$O3436),"")</f>
        <v/>
      </c>
      <c r="Q3436" s="396">
        <f>IF($P3436="","",$P3436-$O3436)</f>
        <v/>
      </c>
    </row>
    <row r="3437" ht="15" customHeight="1" s="231">
      <c r="K3437" s="395">
        <f>DATE(VALUE(LEFT(A3437,4)),VALUE(MID(A3437,5,2)),VALUE(RIGHT(A3437,2)))</f>
        <v/>
      </c>
      <c r="L3437" s="395">
        <f>DATEVALUE(LEFT(F3437,10))</f>
        <v/>
      </c>
      <c r="M3437" s="396">
        <f>TIMEVALUE(MID(F3437,12,8))</f>
        <v/>
      </c>
      <c r="N3437" s="395">
        <f>DATEVALUE(LEFT(G3437,10))</f>
        <v/>
      </c>
      <c r="O3437" s="396">
        <f>TIMEVALUE(MID(G3437,12,8))</f>
        <v/>
      </c>
      <c r="P3437" s="396">
        <f>IFERROR(_xlfn.MINIFS($M:$M,$E:$E,$E3437,$K:$K,$K3437,$M:$M,"&gt;"&amp;$O3437),"")</f>
        <v/>
      </c>
      <c r="Q3437" s="396">
        <f>IF($P3437="","",$P3437-$O3437)</f>
        <v/>
      </c>
    </row>
    <row r="3438" ht="15" customHeight="1" s="231">
      <c r="K3438" s="395">
        <f>DATE(VALUE(LEFT(A3438,4)),VALUE(MID(A3438,5,2)),VALUE(RIGHT(A3438,2)))</f>
        <v/>
      </c>
      <c r="L3438" s="395">
        <f>DATEVALUE(LEFT(F3438,10))</f>
        <v/>
      </c>
      <c r="M3438" s="396">
        <f>TIMEVALUE(MID(F3438,12,8))</f>
        <v/>
      </c>
      <c r="N3438" s="395">
        <f>DATEVALUE(LEFT(G3438,10))</f>
        <v/>
      </c>
      <c r="O3438" s="396">
        <f>TIMEVALUE(MID(G3438,12,8))</f>
        <v/>
      </c>
      <c r="P3438" s="396">
        <f>IFERROR(_xlfn.MINIFS($M:$M,$E:$E,$E3438,$K:$K,$K3438,$M:$M,"&gt;"&amp;$O3438),"")</f>
        <v/>
      </c>
      <c r="Q3438" s="396">
        <f>IF($P3438="","",$P3438-$O3438)</f>
        <v/>
      </c>
    </row>
    <row r="3439" ht="15" customHeight="1" s="231">
      <c r="K3439" s="395">
        <f>DATE(VALUE(LEFT(A3439,4)),VALUE(MID(A3439,5,2)),VALUE(RIGHT(A3439,2)))</f>
        <v/>
      </c>
      <c r="L3439" s="395">
        <f>DATEVALUE(LEFT(F3439,10))</f>
        <v/>
      </c>
      <c r="M3439" s="396">
        <f>TIMEVALUE(MID(F3439,12,8))</f>
        <v/>
      </c>
      <c r="N3439" s="395">
        <f>DATEVALUE(LEFT(G3439,10))</f>
        <v/>
      </c>
      <c r="O3439" s="396">
        <f>TIMEVALUE(MID(G3439,12,8))</f>
        <v/>
      </c>
      <c r="P3439" s="396">
        <f>IFERROR(_xlfn.MINIFS($M:$M,$E:$E,$E3439,$K:$K,$K3439,$M:$M,"&gt;"&amp;$O3439),"")</f>
        <v/>
      </c>
      <c r="Q3439" s="396">
        <f>IF($P3439="","",$P3439-$O3439)</f>
        <v/>
      </c>
    </row>
    <row r="3440" ht="15" customHeight="1" s="231">
      <c r="K3440" s="395">
        <f>DATE(VALUE(LEFT(A3440,4)),VALUE(MID(A3440,5,2)),VALUE(RIGHT(A3440,2)))</f>
        <v/>
      </c>
      <c r="L3440" s="395">
        <f>DATEVALUE(LEFT(F3440,10))</f>
        <v/>
      </c>
      <c r="M3440" s="396">
        <f>TIMEVALUE(MID(F3440,12,8))</f>
        <v/>
      </c>
      <c r="N3440" s="395">
        <f>DATEVALUE(LEFT(G3440,10))</f>
        <v/>
      </c>
      <c r="O3440" s="396">
        <f>TIMEVALUE(MID(G3440,12,8))</f>
        <v/>
      </c>
      <c r="P3440" s="396">
        <f>IFERROR(_xlfn.MINIFS($M:$M,$E:$E,$E3440,$K:$K,$K3440,$M:$M,"&gt;"&amp;$O3440),"")</f>
        <v/>
      </c>
      <c r="Q3440" s="396">
        <f>IF($P3440="","",$P3440-$O3440)</f>
        <v/>
      </c>
    </row>
    <row r="3441" ht="15" customHeight="1" s="231">
      <c r="K3441" s="395">
        <f>DATE(VALUE(LEFT(A3441,4)),VALUE(MID(A3441,5,2)),VALUE(RIGHT(A3441,2)))</f>
        <v/>
      </c>
      <c r="L3441" s="395">
        <f>DATEVALUE(LEFT(F3441,10))</f>
        <v/>
      </c>
      <c r="M3441" s="396">
        <f>TIMEVALUE(MID(F3441,12,8))</f>
        <v/>
      </c>
      <c r="N3441" s="395">
        <f>DATEVALUE(LEFT(G3441,10))</f>
        <v/>
      </c>
      <c r="O3441" s="396">
        <f>TIMEVALUE(MID(G3441,12,8))</f>
        <v/>
      </c>
      <c r="P3441" s="396">
        <f>IFERROR(_xlfn.MINIFS($M:$M,$E:$E,$E3441,$K:$K,$K3441,$M:$M,"&gt;"&amp;$O3441),"")</f>
        <v/>
      </c>
      <c r="Q3441" s="396">
        <f>IF($P3441="","",$P3441-$O3441)</f>
        <v/>
      </c>
    </row>
    <row r="3442" ht="15" customHeight="1" s="231">
      <c r="K3442" s="395">
        <f>DATE(VALUE(LEFT(A3442,4)),VALUE(MID(A3442,5,2)),VALUE(RIGHT(A3442,2)))</f>
        <v/>
      </c>
      <c r="L3442" s="395">
        <f>DATEVALUE(LEFT(F3442,10))</f>
        <v/>
      </c>
      <c r="M3442" s="396">
        <f>TIMEVALUE(MID(F3442,12,8))</f>
        <v/>
      </c>
      <c r="N3442" s="395">
        <f>DATEVALUE(LEFT(G3442,10))</f>
        <v/>
      </c>
      <c r="O3442" s="396">
        <f>TIMEVALUE(MID(G3442,12,8))</f>
        <v/>
      </c>
      <c r="P3442" s="396">
        <f>IFERROR(_xlfn.MINIFS($M:$M,$E:$E,$E3442,$K:$K,$K3442,$M:$M,"&gt;"&amp;$O3442),"")</f>
        <v/>
      </c>
      <c r="Q3442" s="396">
        <f>IF($P3442="","",$P3442-$O3442)</f>
        <v/>
      </c>
    </row>
    <row r="3443" ht="15" customHeight="1" s="231">
      <c r="K3443" s="395">
        <f>DATE(VALUE(LEFT(A3443,4)),VALUE(MID(A3443,5,2)),VALUE(RIGHT(A3443,2)))</f>
        <v/>
      </c>
      <c r="L3443" s="395">
        <f>DATEVALUE(LEFT(F3443,10))</f>
        <v/>
      </c>
      <c r="M3443" s="396">
        <f>TIMEVALUE(MID(F3443,12,8))</f>
        <v/>
      </c>
      <c r="N3443" s="395">
        <f>DATEVALUE(LEFT(G3443,10))</f>
        <v/>
      </c>
      <c r="O3443" s="396">
        <f>TIMEVALUE(MID(G3443,12,8))</f>
        <v/>
      </c>
      <c r="P3443" s="396">
        <f>IFERROR(_xlfn.MINIFS($M:$M,$E:$E,$E3443,$K:$K,$K3443,$M:$M,"&gt;"&amp;$O3443),"")</f>
        <v/>
      </c>
      <c r="Q3443" s="396">
        <f>IF($P3443="","",$P3443-$O3443)</f>
        <v/>
      </c>
    </row>
    <row r="3444" ht="15" customHeight="1" s="231">
      <c r="K3444" s="395">
        <f>DATE(VALUE(LEFT(A3444,4)),VALUE(MID(A3444,5,2)),VALUE(RIGHT(A3444,2)))</f>
        <v/>
      </c>
      <c r="L3444" s="395">
        <f>DATEVALUE(LEFT(F3444,10))</f>
        <v/>
      </c>
      <c r="M3444" s="396">
        <f>TIMEVALUE(MID(F3444,12,8))</f>
        <v/>
      </c>
      <c r="N3444" s="395">
        <f>DATEVALUE(LEFT(G3444,10))</f>
        <v/>
      </c>
      <c r="O3444" s="396">
        <f>TIMEVALUE(MID(G3444,12,8))</f>
        <v/>
      </c>
      <c r="P3444" s="396">
        <f>IFERROR(_xlfn.MINIFS($M:$M,$E:$E,$E3444,$K:$K,$K3444,$M:$M,"&gt;"&amp;$O3444),"")</f>
        <v/>
      </c>
      <c r="Q3444" s="396">
        <f>IF($P3444="","",$P3444-$O3444)</f>
        <v/>
      </c>
    </row>
    <row r="3445" ht="15" customHeight="1" s="231">
      <c r="K3445" s="395">
        <f>DATE(VALUE(LEFT(A3445,4)),VALUE(MID(A3445,5,2)),VALUE(RIGHT(A3445,2)))</f>
        <v/>
      </c>
      <c r="L3445" s="395">
        <f>DATEVALUE(LEFT(F3445,10))</f>
        <v/>
      </c>
      <c r="M3445" s="396">
        <f>TIMEVALUE(MID(F3445,12,8))</f>
        <v/>
      </c>
      <c r="N3445" s="395">
        <f>DATEVALUE(LEFT(G3445,10))</f>
        <v/>
      </c>
      <c r="O3445" s="396">
        <f>TIMEVALUE(MID(G3445,12,8))</f>
        <v/>
      </c>
      <c r="P3445" s="396">
        <f>IFERROR(_xlfn.MINIFS($M:$M,$E:$E,$E3445,$K:$K,$K3445,$M:$M,"&gt;"&amp;$O3445),"")</f>
        <v/>
      </c>
      <c r="Q3445" s="396">
        <f>IF($P3445="","",$P3445-$O3445)</f>
        <v/>
      </c>
    </row>
    <row r="3446" ht="15" customHeight="1" s="231">
      <c r="K3446" s="395">
        <f>DATE(VALUE(LEFT(A3446,4)),VALUE(MID(A3446,5,2)),VALUE(RIGHT(A3446,2)))</f>
        <v/>
      </c>
      <c r="L3446" s="395">
        <f>DATEVALUE(LEFT(F3446,10))</f>
        <v/>
      </c>
      <c r="M3446" s="396">
        <f>TIMEVALUE(MID(F3446,12,8))</f>
        <v/>
      </c>
      <c r="N3446" s="395">
        <f>DATEVALUE(LEFT(G3446,10))</f>
        <v/>
      </c>
      <c r="O3446" s="396">
        <f>TIMEVALUE(MID(G3446,12,8))</f>
        <v/>
      </c>
      <c r="P3446" s="396">
        <f>IFERROR(_xlfn.MINIFS($M:$M,$E:$E,$E3446,$K:$K,$K3446,$M:$M,"&gt;"&amp;$O3446),"")</f>
        <v/>
      </c>
      <c r="Q3446" s="396">
        <f>IF($P3446="","",$P3446-$O3446)</f>
        <v/>
      </c>
    </row>
    <row r="3447" ht="15" customHeight="1" s="231">
      <c r="K3447" s="395">
        <f>DATE(VALUE(LEFT(A3447,4)),VALUE(MID(A3447,5,2)),VALUE(RIGHT(A3447,2)))</f>
        <v/>
      </c>
      <c r="L3447" s="395">
        <f>DATEVALUE(LEFT(F3447,10))</f>
        <v/>
      </c>
      <c r="M3447" s="396">
        <f>TIMEVALUE(MID(F3447,12,8))</f>
        <v/>
      </c>
      <c r="N3447" s="395">
        <f>DATEVALUE(LEFT(G3447,10))</f>
        <v/>
      </c>
      <c r="O3447" s="396">
        <f>TIMEVALUE(MID(G3447,12,8))</f>
        <v/>
      </c>
      <c r="P3447" s="396">
        <f>IFERROR(_xlfn.MINIFS($M:$M,$E:$E,$E3447,$K:$K,$K3447,$M:$M,"&gt;"&amp;$O3447),"")</f>
        <v/>
      </c>
      <c r="Q3447" s="396">
        <f>IF($P3447="","",$P3447-$O3447)</f>
        <v/>
      </c>
    </row>
    <row r="3448" ht="15" customHeight="1" s="231">
      <c r="K3448" s="395">
        <f>DATE(VALUE(LEFT(A3448,4)),VALUE(MID(A3448,5,2)),VALUE(RIGHT(A3448,2)))</f>
        <v/>
      </c>
      <c r="L3448" s="395">
        <f>DATEVALUE(LEFT(F3448,10))</f>
        <v/>
      </c>
      <c r="M3448" s="396">
        <f>TIMEVALUE(MID(F3448,12,8))</f>
        <v/>
      </c>
      <c r="N3448" s="395">
        <f>DATEVALUE(LEFT(G3448,10))</f>
        <v/>
      </c>
      <c r="O3448" s="396">
        <f>TIMEVALUE(MID(G3448,12,8))</f>
        <v/>
      </c>
      <c r="P3448" s="396">
        <f>IFERROR(_xlfn.MINIFS($M:$M,$E:$E,$E3448,$K:$K,$K3448,$M:$M,"&gt;"&amp;$O3448),"")</f>
        <v/>
      </c>
      <c r="Q3448" s="396">
        <f>IF($P3448="","",$P3448-$O3448)</f>
        <v/>
      </c>
    </row>
    <row r="3449" ht="15" customHeight="1" s="231">
      <c r="K3449" s="395">
        <f>DATE(VALUE(LEFT(A3449,4)),VALUE(MID(A3449,5,2)),VALUE(RIGHT(A3449,2)))</f>
        <v/>
      </c>
      <c r="L3449" s="395">
        <f>DATEVALUE(LEFT(F3449,10))</f>
        <v/>
      </c>
      <c r="M3449" s="396">
        <f>TIMEVALUE(MID(F3449,12,8))</f>
        <v/>
      </c>
      <c r="N3449" s="395">
        <f>DATEVALUE(LEFT(G3449,10))</f>
        <v/>
      </c>
      <c r="O3449" s="396">
        <f>TIMEVALUE(MID(G3449,12,8))</f>
        <v/>
      </c>
      <c r="P3449" s="396">
        <f>IFERROR(_xlfn.MINIFS($M:$M,$E:$E,$E3449,$K:$K,$K3449,$M:$M,"&gt;"&amp;$O3449),"")</f>
        <v/>
      </c>
      <c r="Q3449" s="396">
        <f>IF($P3449="","",$P3449-$O3449)</f>
        <v/>
      </c>
    </row>
    <row r="3450" ht="15" customHeight="1" s="231">
      <c r="K3450" s="395">
        <f>DATE(VALUE(LEFT(A3450,4)),VALUE(MID(A3450,5,2)),VALUE(RIGHT(A3450,2)))</f>
        <v/>
      </c>
      <c r="L3450" s="395">
        <f>DATEVALUE(LEFT(F3450,10))</f>
        <v/>
      </c>
      <c r="M3450" s="396">
        <f>TIMEVALUE(MID(F3450,12,8))</f>
        <v/>
      </c>
      <c r="N3450" s="395">
        <f>DATEVALUE(LEFT(G3450,10))</f>
        <v/>
      </c>
      <c r="O3450" s="396">
        <f>TIMEVALUE(MID(G3450,12,8))</f>
        <v/>
      </c>
      <c r="P3450" s="396">
        <f>IFERROR(_xlfn.MINIFS($M:$M,$E:$E,$E3450,$K:$K,$K3450,$M:$M,"&gt;"&amp;$O3450),"")</f>
        <v/>
      </c>
      <c r="Q3450" s="396">
        <f>IF($P3450="","",$P3450-$O3450)</f>
        <v/>
      </c>
    </row>
    <row r="3451" ht="15" customHeight="1" s="231">
      <c r="K3451" s="395">
        <f>DATE(VALUE(LEFT(A3451,4)),VALUE(MID(A3451,5,2)),VALUE(RIGHT(A3451,2)))</f>
        <v/>
      </c>
      <c r="L3451" s="395">
        <f>DATEVALUE(LEFT(F3451,10))</f>
        <v/>
      </c>
      <c r="M3451" s="396">
        <f>TIMEVALUE(MID(F3451,12,8))</f>
        <v/>
      </c>
      <c r="N3451" s="395">
        <f>DATEVALUE(LEFT(G3451,10))</f>
        <v/>
      </c>
      <c r="O3451" s="396">
        <f>TIMEVALUE(MID(G3451,12,8))</f>
        <v/>
      </c>
      <c r="P3451" s="396">
        <f>IFERROR(_xlfn.MINIFS($M:$M,$E:$E,$E3451,$K:$K,$K3451,$M:$M,"&gt;"&amp;$O3451),"")</f>
        <v/>
      </c>
      <c r="Q3451" s="396">
        <f>IF($P3451="","",$P3451-$O3451)</f>
        <v/>
      </c>
    </row>
    <row r="3452" ht="15" customHeight="1" s="231">
      <c r="K3452" s="395">
        <f>DATE(VALUE(LEFT(A3452,4)),VALUE(MID(A3452,5,2)),VALUE(RIGHT(A3452,2)))</f>
        <v/>
      </c>
      <c r="L3452" s="395">
        <f>DATEVALUE(LEFT(F3452,10))</f>
        <v/>
      </c>
      <c r="M3452" s="396">
        <f>TIMEVALUE(MID(F3452,12,8))</f>
        <v/>
      </c>
      <c r="N3452" s="395">
        <f>DATEVALUE(LEFT(G3452,10))</f>
        <v/>
      </c>
      <c r="O3452" s="396">
        <f>TIMEVALUE(MID(G3452,12,8))</f>
        <v/>
      </c>
      <c r="P3452" s="396">
        <f>IFERROR(_xlfn.MINIFS($M:$M,$E:$E,$E3452,$K:$K,$K3452,$M:$M,"&gt;"&amp;$O3452),"")</f>
        <v/>
      </c>
      <c r="Q3452" s="396">
        <f>IF($P3452="","",$P3452-$O3452)</f>
        <v/>
      </c>
    </row>
    <row r="3453" ht="15" customHeight="1" s="231">
      <c r="K3453" s="395">
        <f>DATE(VALUE(LEFT(A3453,4)),VALUE(MID(A3453,5,2)),VALUE(RIGHT(A3453,2)))</f>
        <v/>
      </c>
      <c r="L3453" s="395">
        <f>DATEVALUE(LEFT(F3453,10))</f>
        <v/>
      </c>
      <c r="M3453" s="396">
        <f>TIMEVALUE(MID(F3453,12,8))</f>
        <v/>
      </c>
      <c r="N3453" s="395">
        <f>DATEVALUE(LEFT(G3453,10))</f>
        <v/>
      </c>
      <c r="O3453" s="396">
        <f>TIMEVALUE(MID(G3453,12,8))</f>
        <v/>
      </c>
      <c r="P3453" s="396">
        <f>IFERROR(_xlfn.MINIFS($M:$M,$E:$E,$E3453,$K:$K,$K3453,$M:$M,"&gt;"&amp;$O3453),"")</f>
        <v/>
      </c>
      <c r="Q3453" s="396">
        <f>IF($P3453="","",$P3453-$O3453)</f>
        <v/>
      </c>
    </row>
    <row r="3454" ht="15" customHeight="1" s="231">
      <c r="K3454" s="395">
        <f>DATE(VALUE(LEFT(A3454,4)),VALUE(MID(A3454,5,2)),VALUE(RIGHT(A3454,2)))</f>
        <v/>
      </c>
      <c r="L3454" s="395">
        <f>DATEVALUE(LEFT(F3454,10))</f>
        <v/>
      </c>
      <c r="M3454" s="396">
        <f>TIMEVALUE(MID(F3454,12,8))</f>
        <v/>
      </c>
      <c r="N3454" s="395">
        <f>DATEVALUE(LEFT(G3454,10))</f>
        <v/>
      </c>
      <c r="O3454" s="396">
        <f>TIMEVALUE(MID(G3454,12,8))</f>
        <v/>
      </c>
      <c r="P3454" s="396">
        <f>IFERROR(_xlfn.MINIFS($M:$M,$E:$E,$E3454,$K:$K,$K3454,$M:$M,"&gt;"&amp;$O3454),"")</f>
        <v/>
      </c>
      <c r="Q3454" s="396">
        <f>IF($P3454="","",$P3454-$O3454)</f>
        <v/>
      </c>
    </row>
    <row r="3455" ht="15" customHeight="1" s="231">
      <c r="K3455" s="395">
        <f>DATE(VALUE(LEFT(A3455,4)),VALUE(MID(A3455,5,2)),VALUE(RIGHT(A3455,2)))</f>
        <v/>
      </c>
      <c r="L3455" s="395">
        <f>DATEVALUE(LEFT(F3455,10))</f>
        <v/>
      </c>
      <c r="M3455" s="396">
        <f>TIMEVALUE(MID(F3455,12,8))</f>
        <v/>
      </c>
      <c r="N3455" s="395">
        <f>DATEVALUE(LEFT(G3455,10))</f>
        <v/>
      </c>
      <c r="O3455" s="396">
        <f>TIMEVALUE(MID(G3455,12,8))</f>
        <v/>
      </c>
      <c r="P3455" s="396">
        <f>IFERROR(_xlfn.MINIFS($M:$M,$E:$E,$E3455,$K:$K,$K3455,$M:$M,"&gt;"&amp;$O3455),"")</f>
        <v/>
      </c>
      <c r="Q3455" s="396">
        <f>IF($P3455="","",$P3455-$O3455)</f>
        <v/>
      </c>
    </row>
    <row r="3456" ht="15" customHeight="1" s="231">
      <c r="K3456" s="395">
        <f>DATE(VALUE(LEFT(A3456,4)),VALUE(MID(A3456,5,2)),VALUE(RIGHT(A3456,2)))</f>
        <v/>
      </c>
      <c r="L3456" s="395">
        <f>DATEVALUE(LEFT(F3456,10))</f>
        <v/>
      </c>
      <c r="M3456" s="396">
        <f>TIMEVALUE(MID(F3456,12,8))</f>
        <v/>
      </c>
      <c r="N3456" s="395">
        <f>DATEVALUE(LEFT(G3456,10))</f>
        <v/>
      </c>
      <c r="O3456" s="396">
        <f>TIMEVALUE(MID(G3456,12,8))</f>
        <v/>
      </c>
      <c r="P3456" s="396">
        <f>IFERROR(_xlfn.MINIFS($M:$M,$E:$E,$E3456,$K:$K,$K3456,$M:$M,"&gt;"&amp;$O3456),"")</f>
        <v/>
      </c>
      <c r="Q3456" s="396">
        <f>IF($P3456="","",$P3456-$O3456)</f>
        <v/>
      </c>
    </row>
    <row r="3457" ht="15" customHeight="1" s="231">
      <c r="K3457" s="395">
        <f>DATE(VALUE(LEFT(A3457,4)),VALUE(MID(A3457,5,2)),VALUE(RIGHT(A3457,2)))</f>
        <v/>
      </c>
      <c r="L3457" s="395">
        <f>DATEVALUE(LEFT(F3457,10))</f>
        <v/>
      </c>
      <c r="M3457" s="396">
        <f>TIMEVALUE(MID(F3457,12,8))</f>
        <v/>
      </c>
      <c r="N3457" s="395">
        <f>DATEVALUE(LEFT(G3457,10))</f>
        <v/>
      </c>
      <c r="O3457" s="396">
        <f>TIMEVALUE(MID(G3457,12,8))</f>
        <v/>
      </c>
      <c r="P3457" s="396">
        <f>IFERROR(_xlfn.MINIFS($M:$M,$E:$E,$E3457,$K:$K,$K3457,$M:$M,"&gt;"&amp;$O3457),"")</f>
        <v/>
      </c>
      <c r="Q3457" s="396">
        <f>IF($P3457="","",$P3457-$O3457)</f>
        <v/>
      </c>
    </row>
    <row r="3458" ht="15" customHeight="1" s="231">
      <c r="K3458" s="395">
        <f>DATE(VALUE(LEFT(A3458,4)),VALUE(MID(A3458,5,2)),VALUE(RIGHT(A3458,2)))</f>
        <v/>
      </c>
      <c r="L3458" s="395">
        <f>DATEVALUE(LEFT(F3458,10))</f>
        <v/>
      </c>
      <c r="M3458" s="396">
        <f>TIMEVALUE(MID(F3458,12,8))</f>
        <v/>
      </c>
      <c r="N3458" s="395">
        <f>DATEVALUE(LEFT(G3458,10))</f>
        <v/>
      </c>
      <c r="O3458" s="396">
        <f>TIMEVALUE(MID(G3458,12,8))</f>
        <v/>
      </c>
      <c r="P3458" s="396">
        <f>IFERROR(_xlfn.MINIFS($M:$M,$E:$E,$E3458,$K:$K,$K3458,$M:$M,"&gt;"&amp;$O3458),"")</f>
        <v/>
      </c>
      <c r="Q3458" s="396">
        <f>IF($P3458="","",$P3458-$O3458)</f>
        <v/>
      </c>
    </row>
    <row r="3459" ht="15" customHeight="1" s="231">
      <c r="K3459" s="395">
        <f>DATE(VALUE(LEFT(A3459,4)),VALUE(MID(A3459,5,2)),VALUE(RIGHT(A3459,2)))</f>
        <v/>
      </c>
      <c r="L3459" s="395">
        <f>DATEVALUE(LEFT(F3459,10))</f>
        <v/>
      </c>
      <c r="M3459" s="396">
        <f>TIMEVALUE(MID(F3459,12,8))</f>
        <v/>
      </c>
      <c r="N3459" s="395">
        <f>DATEVALUE(LEFT(G3459,10))</f>
        <v/>
      </c>
      <c r="O3459" s="396">
        <f>TIMEVALUE(MID(G3459,12,8))</f>
        <v/>
      </c>
      <c r="P3459" s="396">
        <f>IFERROR(_xlfn.MINIFS($M:$M,$E:$E,$E3459,$K:$K,$K3459,$M:$M,"&gt;"&amp;$O3459),"")</f>
        <v/>
      </c>
      <c r="Q3459" s="396">
        <f>IF($P3459="","",$P3459-$O3459)</f>
        <v/>
      </c>
    </row>
    <row r="3460" ht="15" customHeight="1" s="231">
      <c r="K3460" s="395">
        <f>DATE(VALUE(LEFT(A3460,4)),VALUE(MID(A3460,5,2)),VALUE(RIGHT(A3460,2)))</f>
        <v/>
      </c>
      <c r="L3460" s="395">
        <f>DATEVALUE(LEFT(F3460,10))</f>
        <v/>
      </c>
      <c r="M3460" s="396">
        <f>TIMEVALUE(MID(F3460,12,8))</f>
        <v/>
      </c>
      <c r="N3460" s="395">
        <f>DATEVALUE(LEFT(G3460,10))</f>
        <v/>
      </c>
      <c r="O3460" s="396">
        <f>TIMEVALUE(MID(G3460,12,8))</f>
        <v/>
      </c>
      <c r="P3460" s="396">
        <f>IFERROR(_xlfn.MINIFS($M:$M,$E:$E,$E3460,$K:$K,$K3460,$M:$M,"&gt;"&amp;$O3460),"")</f>
        <v/>
      </c>
      <c r="Q3460" s="396">
        <f>IF($P3460="","",$P3460-$O3460)</f>
        <v/>
      </c>
    </row>
    <row r="3461" ht="15" customHeight="1" s="231">
      <c r="K3461" s="395">
        <f>DATE(VALUE(LEFT(A3461,4)),VALUE(MID(A3461,5,2)),VALUE(RIGHT(A3461,2)))</f>
        <v/>
      </c>
      <c r="L3461" s="395">
        <f>DATEVALUE(LEFT(F3461,10))</f>
        <v/>
      </c>
      <c r="M3461" s="396">
        <f>TIMEVALUE(MID(F3461,12,8))</f>
        <v/>
      </c>
      <c r="N3461" s="395">
        <f>DATEVALUE(LEFT(G3461,10))</f>
        <v/>
      </c>
      <c r="O3461" s="396">
        <f>TIMEVALUE(MID(G3461,12,8))</f>
        <v/>
      </c>
      <c r="P3461" s="396">
        <f>IFERROR(_xlfn.MINIFS($M:$M,$E:$E,$E3461,$K:$K,$K3461,$M:$M,"&gt;"&amp;$O3461),"")</f>
        <v/>
      </c>
      <c r="Q3461" s="396">
        <f>IF($P3461="","",$P3461-$O3461)</f>
        <v/>
      </c>
    </row>
    <row r="3462" ht="15" customHeight="1" s="231">
      <c r="K3462" s="395">
        <f>DATE(VALUE(LEFT(A3462,4)),VALUE(MID(A3462,5,2)),VALUE(RIGHT(A3462,2)))</f>
        <v/>
      </c>
      <c r="L3462" s="395">
        <f>DATEVALUE(LEFT(F3462,10))</f>
        <v/>
      </c>
      <c r="M3462" s="396">
        <f>TIMEVALUE(MID(F3462,12,8))</f>
        <v/>
      </c>
      <c r="N3462" s="395">
        <f>DATEVALUE(LEFT(G3462,10))</f>
        <v/>
      </c>
      <c r="O3462" s="396">
        <f>TIMEVALUE(MID(G3462,12,8))</f>
        <v/>
      </c>
      <c r="P3462" s="396">
        <f>IFERROR(_xlfn.MINIFS($M:$M,$E:$E,$E3462,$K:$K,$K3462,$M:$M,"&gt;"&amp;$O3462),"")</f>
        <v/>
      </c>
      <c r="Q3462" s="396">
        <f>IF($P3462="","",$P3462-$O3462)</f>
        <v/>
      </c>
    </row>
    <row r="3463" ht="15" customHeight="1" s="231">
      <c r="K3463" s="395">
        <f>DATE(VALUE(LEFT(A3463,4)),VALUE(MID(A3463,5,2)),VALUE(RIGHT(A3463,2)))</f>
        <v/>
      </c>
      <c r="L3463" s="395">
        <f>DATEVALUE(LEFT(F3463,10))</f>
        <v/>
      </c>
      <c r="M3463" s="396">
        <f>TIMEVALUE(MID(F3463,12,8))</f>
        <v/>
      </c>
      <c r="N3463" s="395">
        <f>DATEVALUE(LEFT(G3463,10))</f>
        <v/>
      </c>
      <c r="O3463" s="396">
        <f>TIMEVALUE(MID(G3463,12,8))</f>
        <v/>
      </c>
      <c r="P3463" s="396">
        <f>IFERROR(_xlfn.MINIFS($M:$M,$E:$E,$E3463,$K:$K,$K3463,$M:$M,"&gt;"&amp;$O3463),"")</f>
        <v/>
      </c>
      <c r="Q3463" s="396">
        <f>IF($P3463="","",$P3463-$O3463)</f>
        <v/>
      </c>
    </row>
    <row r="3464" ht="15" customHeight="1" s="231">
      <c r="K3464" s="395">
        <f>DATE(VALUE(LEFT(A3464,4)),VALUE(MID(A3464,5,2)),VALUE(RIGHT(A3464,2)))</f>
        <v/>
      </c>
      <c r="L3464" s="395">
        <f>DATEVALUE(LEFT(F3464,10))</f>
        <v/>
      </c>
      <c r="M3464" s="396">
        <f>TIMEVALUE(MID(F3464,12,8))</f>
        <v/>
      </c>
      <c r="N3464" s="395">
        <f>DATEVALUE(LEFT(G3464,10))</f>
        <v/>
      </c>
      <c r="O3464" s="396">
        <f>TIMEVALUE(MID(G3464,12,8))</f>
        <v/>
      </c>
      <c r="P3464" s="396">
        <f>IFERROR(_xlfn.MINIFS($M:$M,$E:$E,$E3464,$K:$K,$K3464,$M:$M,"&gt;"&amp;$O3464),"")</f>
        <v/>
      </c>
      <c r="Q3464" s="396">
        <f>IF($P3464="","",$P3464-$O3464)</f>
        <v/>
      </c>
    </row>
    <row r="3465" ht="15" customHeight="1" s="231">
      <c r="K3465" s="395">
        <f>DATE(VALUE(LEFT(A3465,4)),VALUE(MID(A3465,5,2)),VALUE(RIGHT(A3465,2)))</f>
        <v/>
      </c>
      <c r="L3465" s="395">
        <f>DATEVALUE(LEFT(F3465,10))</f>
        <v/>
      </c>
      <c r="M3465" s="396">
        <f>TIMEVALUE(MID(F3465,12,8))</f>
        <v/>
      </c>
      <c r="N3465" s="395">
        <f>DATEVALUE(LEFT(G3465,10))</f>
        <v/>
      </c>
      <c r="O3465" s="396">
        <f>TIMEVALUE(MID(G3465,12,8))</f>
        <v/>
      </c>
      <c r="P3465" s="396">
        <f>IFERROR(_xlfn.MINIFS($M:$M,$E:$E,$E3465,$K:$K,$K3465,$M:$M,"&gt;"&amp;$O3465),"")</f>
        <v/>
      </c>
      <c r="Q3465" s="396">
        <f>IF($P3465="","",$P3465-$O3465)</f>
        <v/>
      </c>
    </row>
    <row r="3466" ht="15" customHeight="1" s="231">
      <c r="K3466" s="395">
        <f>DATE(VALUE(LEFT(A3466,4)),VALUE(MID(A3466,5,2)),VALUE(RIGHT(A3466,2)))</f>
        <v/>
      </c>
      <c r="L3466" s="395">
        <f>DATEVALUE(LEFT(F3466,10))</f>
        <v/>
      </c>
      <c r="M3466" s="396">
        <f>TIMEVALUE(MID(F3466,12,8))</f>
        <v/>
      </c>
      <c r="N3466" s="395">
        <f>DATEVALUE(LEFT(G3466,10))</f>
        <v/>
      </c>
      <c r="O3466" s="396">
        <f>TIMEVALUE(MID(G3466,12,8))</f>
        <v/>
      </c>
      <c r="P3466" s="396">
        <f>IFERROR(_xlfn.MINIFS($M:$M,$E:$E,$E3466,$K:$K,$K3466,$M:$M,"&gt;"&amp;$O3466),"")</f>
        <v/>
      </c>
      <c r="Q3466" s="396">
        <f>IF($P3466="","",$P3466-$O3466)</f>
        <v/>
      </c>
    </row>
    <row r="3467" ht="15" customHeight="1" s="231">
      <c r="K3467" s="395">
        <f>DATE(VALUE(LEFT(A3467,4)),VALUE(MID(A3467,5,2)),VALUE(RIGHT(A3467,2)))</f>
        <v/>
      </c>
      <c r="L3467" s="395">
        <f>DATEVALUE(LEFT(F3467,10))</f>
        <v/>
      </c>
      <c r="M3467" s="396">
        <f>TIMEVALUE(MID(F3467,12,8))</f>
        <v/>
      </c>
      <c r="N3467" s="395">
        <f>DATEVALUE(LEFT(G3467,10))</f>
        <v/>
      </c>
      <c r="O3467" s="396">
        <f>TIMEVALUE(MID(G3467,12,8))</f>
        <v/>
      </c>
      <c r="P3467" s="396">
        <f>IFERROR(_xlfn.MINIFS($M:$M,$E:$E,$E3467,$K:$K,$K3467,$M:$M,"&gt;"&amp;$O3467),"")</f>
        <v/>
      </c>
      <c r="Q3467" s="396">
        <f>IF($P3467="","",$P3467-$O3467)</f>
        <v/>
      </c>
    </row>
    <row r="3468" ht="15" customHeight="1" s="231">
      <c r="K3468" s="395">
        <f>DATE(VALUE(LEFT(A3468,4)),VALUE(MID(A3468,5,2)),VALUE(RIGHT(A3468,2)))</f>
        <v/>
      </c>
      <c r="L3468" s="395">
        <f>DATEVALUE(LEFT(F3468,10))</f>
        <v/>
      </c>
      <c r="M3468" s="396">
        <f>TIMEVALUE(MID(F3468,12,8))</f>
        <v/>
      </c>
      <c r="N3468" s="395">
        <f>DATEVALUE(LEFT(G3468,10))</f>
        <v/>
      </c>
      <c r="O3468" s="396">
        <f>TIMEVALUE(MID(G3468,12,8))</f>
        <v/>
      </c>
      <c r="P3468" s="396">
        <f>IFERROR(_xlfn.MINIFS($M:$M,$E:$E,$E3468,$K:$K,$K3468,$M:$M,"&gt;"&amp;$O3468),"")</f>
        <v/>
      </c>
      <c r="Q3468" s="396">
        <f>IF($P3468="","",$P3468-$O3468)</f>
        <v/>
      </c>
    </row>
    <row r="3469" ht="15" customHeight="1" s="231">
      <c r="K3469" s="395">
        <f>DATE(VALUE(LEFT(A3469,4)),VALUE(MID(A3469,5,2)),VALUE(RIGHT(A3469,2)))</f>
        <v/>
      </c>
      <c r="L3469" s="395">
        <f>DATEVALUE(LEFT(F3469,10))</f>
        <v/>
      </c>
      <c r="M3469" s="396">
        <f>TIMEVALUE(MID(F3469,12,8))</f>
        <v/>
      </c>
      <c r="N3469" s="395">
        <f>DATEVALUE(LEFT(G3469,10))</f>
        <v/>
      </c>
      <c r="O3469" s="396">
        <f>TIMEVALUE(MID(G3469,12,8))</f>
        <v/>
      </c>
      <c r="P3469" s="396">
        <f>IFERROR(_xlfn.MINIFS($M:$M,$E:$E,$E3469,$K:$K,$K3469,$M:$M,"&gt;"&amp;$O3469),"")</f>
        <v/>
      </c>
      <c r="Q3469" s="396">
        <f>IF($P3469="","",$P3469-$O3469)</f>
        <v/>
      </c>
    </row>
    <row r="3470" ht="15" customHeight="1" s="231">
      <c r="K3470" s="395">
        <f>DATE(VALUE(LEFT(A3470,4)),VALUE(MID(A3470,5,2)),VALUE(RIGHT(A3470,2)))</f>
        <v/>
      </c>
      <c r="L3470" s="395">
        <f>DATEVALUE(LEFT(F3470,10))</f>
        <v/>
      </c>
      <c r="M3470" s="396">
        <f>TIMEVALUE(MID(F3470,12,8))</f>
        <v/>
      </c>
      <c r="N3470" s="395">
        <f>DATEVALUE(LEFT(G3470,10))</f>
        <v/>
      </c>
      <c r="O3470" s="396">
        <f>TIMEVALUE(MID(G3470,12,8))</f>
        <v/>
      </c>
      <c r="P3470" s="396">
        <f>IFERROR(_xlfn.MINIFS($M:$M,$E:$E,$E3470,$K:$K,$K3470,$M:$M,"&gt;"&amp;$O3470),"")</f>
        <v/>
      </c>
      <c r="Q3470" s="396">
        <f>IF($P3470="","",$P3470-$O3470)</f>
        <v/>
      </c>
    </row>
    <row r="3471" ht="15" customHeight="1" s="231">
      <c r="K3471" s="395">
        <f>DATE(VALUE(LEFT(A3471,4)),VALUE(MID(A3471,5,2)),VALUE(RIGHT(A3471,2)))</f>
        <v/>
      </c>
      <c r="L3471" s="395">
        <f>DATEVALUE(LEFT(F3471,10))</f>
        <v/>
      </c>
      <c r="M3471" s="396">
        <f>TIMEVALUE(MID(F3471,12,8))</f>
        <v/>
      </c>
      <c r="N3471" s="395">
        <f>DATEVALUE(LEFT(G3471,10))</f>
        <v/>
      </c>
      <c r="O3471" s="396">
        <f>TIMEVALUE(MID(G3471,12,8))</f>
        <v/>
      </c>
      <c r="P3471" s="396">
        <f>IFERROR(_xlfn.MINIFS($M:$M,$E:$E,$E3471,$K:$K,$K3471,$M:$M,"&gt;"&amp;$O3471),"")</f>
        <v/>
      </c>
      <c r="Q3471" s="396">
        <f>IF($P3471="","",$P3471-$O3471)</f>
        <v/>
      </c>
    </row>
    <row r="3472" ht="15" customHeight="1" s="231">
      <c r="K3472" s="395">
        <f>DATE(VALUE(LEFT(A3472,4)),VALUE(MID(A3472,5,2)),VALUE(RIGHT(A3472,2)))</f>
        <v/>
      </c>
      <c r="L3472" s="395">
        <f>DATEVALUE(LEFT(F3472,10))</f>
        <v/>
      </c>
      <c r="M3472" s="396">
        <f>TIMEVALUE(MID(F3472,12,8))</f>
        <v/>
      </c>
      <c r="N3472" s="395">
        <f>DATEVALUE(LEFT(G3472,10))</f>
        <v/>
      </c>
      <c r="O3472" s="396">
        <f>TIMEVALUE(MID(G3472,12,8))</f>
        <v/>
      </c>
      <c r="P3472" s="396">
        <f>IFERROR(_xlfn.MINIFS($M:$M,$E:$E,$E3472,$K:$K,$K3472,$M:$M,"&gt;"&amp;$O3472),"")</f>
        <v/>
      </c>
      <c r="Q3472" s="396">
        <f>IF($P3472="","",$P3472-$O3472)</f>
        <v/>
      </c>
    </row>
    <row r="3473" ht="15" customHeight="1" s="231">
      <c r="K3473" s="395">
        <f>DATE(VALUE(LEFT(A3473,4)),VALUE(MID(A3473,5,2)),VALUE(RIGHT(A3473,2)))</f>
        <v/>
      </c>
      <c r="L3473" s="395">
        <f>DATEVALUE(LEFT(F3473,10))</f>
        <v/>
      </c>
      <c r="M3473" s="396">
        <f>TIMEVALUE(MID(F3473,12,8))</f>
        <v/>
      </c>
      <c r="N3473" s="395">
        <f>DATEVALUE(LEFT(G3473,10))</f>
        <v/>
      </c>
      <c r="O3473" s="396">
        <f>TIMEVALUE(MID(G3473,12,8))</f>
        <v/>
      </c>
      <c r="P3473" s="396">
        <f>IFERROR(_xlfn.MINIFS($M:$M,$E:$E,$E3473,$K:$K,$K3473,$M:$M,"&gt;"&amp;$O3473),"")</f>
        <v/>
      </c>
      <c r="Q3473" s="396">
        <f>IF($P3473="","",$P3473-$O3473)</f>
        <v/>
      </c>
    </row>
    <row r="3474" ht="15" customHeight="1" s="231">
      <c r="K3474" s="395">
        <f>DATE(VALUE(LEFT(A3474,4)),VALUE(MID(A3474,5,2)),VALUE(RIGHT(A3474,2)))</f>
        <v/>
      </c>
      <c r="L3474" s="395">
        <f>DATEVALUE(LEFT(F3474,10))</f>
        <v/>
      </c>
      <c r="M3474" s="396">
        <f>TIMEVALUE(MID(F3474,12,8))</f>
        <v/>
      </c>
      <c r="N3474" s="395">
        <f>DATEVALUE(LEFT(G3474,10))</f>
        <v/>
      </c>
      <c r="O3474" s="396">
        <f>TIMEVALUE(MID(G3474,12,8))</f>
        <v/>
      </c>
      <c r="P3474" s="396">
        <f>IFERROR(_xlfn.MINIFS($M:$M,$E:$E,$E3474,$K:$K,$K3474,$M:$M,"&gt;"&amp;$O3474),"")</f>
        <v/>
      </c>
      <c r="Q3474" s="396">
        <f>IF($P3474="","",$P3474-$O3474)</f>
        <v/>
      </c>
    </row>
    <row r="3475" ht="15" customHeight="1" s="231">
      <c r="K3475" s="395">
        <f>DATE(VALUE(LEFT(A3475,4)),VALUE(MID(A3475,5,2)),VALUE(RIGHT(A3475,2)))</f>
        <v/>
      </c>
      <c r="L3475" s="395">
        <f>DATEVALUE(LEFT(F3475,10))</f>
        <v/>
      </c>
      <c r="M3475" s="396">
        <f>TIMEVALUE(MID(F3475,12,8))</f>
        <v/>
      </c>
      <c r="N3475" s="395">
        <f>DATEVALUE(LEFT(G3475,10))</f>
        <v/>
      </c>
      <c r="O3475" s="396">
        <f>TIMEVALUE(MID(G3475,12,8))</f>
        <v/>
      </c>
      <c r="P3475" s="396">
        <f>IFERROR(_xlfn.MINIFS($M:$M,$E:$E,$E3475,$K:$K,$K3475,$M:$M,"&gt;"&amp;$O3475),"")</f>
        <v/>
      </c>
      <c r="Q3475" s="396">
        <f>IF($P3475="","",$P3475-$O3475)</f>
        <v/>
      </c>
    </row>
    <row r="3476" ht="15" customHeight="1" s="231">
      <c r="K3476" s="395">
        <f>DATE(VALUE(LEFT(A3476,4)),VALUE(MID(A3476,5,2)),VALUE(RIGHT(A3476,2)))</f>
        <v/>
      </c>
      <c r="L3476" s="395">
        <f>DATEVALUE(LEFT(F3476,10))</f>
        <v/>
      </c>
      <c r="M3476" s="396">
        <f>TIMEVALUE(MID(F3476,12,8))</f>
        <v/>
      </c>
      <c r="N3476" s="395">
        <f>DATEVALUE(LEFT(G3476,10))</f>
        <v/>
      </c>
      <c r="O3476" s="396">
        <f>TIMEVALUE(MID(G3476,12,8))</f>
        <v/>
      </c>
      <c r="P3476" s="396">
        <f>IFERROR(_xlfn.MINIFS($M:$M,$E:$E,$E3476,$K:$K,$K3476,$M:$M,"&gt;"&amp;$O3476),"")</f>
        <v/>
      </c>
      <c r="Q3476" s="396">
        <f>IF($P3476="","",$P3476-$O3476)</f>
        <v/>
      </c>
    </row>
    <row r="3477" ht="15" customHeight="1" s="231">
      <c r="K3477" s="395">
        <f>DATE(VALUE(LEFT(A3477,4)),VALUE(MID(A3477,5,2)),VALUE(RIGHT(A3477,2)))</f>
        <v/>
      </c>
      <c r="L3477" s="395">
        <f>DATEVALUE(LEFT(F3477,10))</f>
        <v/>
      </c>
      <c r="M3477" s="396">
        <f>TIMEVALUE(MID(F3477,12,8))</f>
        <v/>
      </c>
      <c r="N3477" s="395">
        <f>DATEVALUE(LEFT(G3477,10))</f>
        <v/>
      </c>
      <c r="O3477" s="396">
        <f>TIMEVALUE(MID(G3477,12,8))</f>
        <v/>
      </c>
      <c r="P3477" s="396">
        <f>IFERROR(_xlfn.MINIFS($M:$M,$E:$E,$E3477,$K:$K,$K3477,$M:$M,"&gt;"&amp;$O3477),"")</f>
        <v/>
      </c>
      <c r="Q3477" s="396">
        <f>IF($P3477="","",$P3477-$O3477)</f>
        <v/>
      </c>
    </row>
    <row r="3478" ht="15" customHeight="1" s="231">
      <c r="K3478" s="395">
        <f>DATE(VALUE(LEFT(A3478,4)),VALUE(MID(A3478,5,2)),VALUE(RIGHT(A3478,2)))</f>
        <v/>
      </c>
      <c r="L3478" s="395">
        <f>DATEVALUE(LEFT(F3478,10))</f>
        <v/>
      </c>
      <c r="M3478" s="396">
        <f>TIMEVALUE(MID(F3478,12,8))</f>
        <v/>
      </c>
      <c r="N3478" s="395">
        <f>DATEVALUE(LEFT(G3478,10))</f>
        <v/>
      </c>
      <c r="O3478" s="396">
        <f>TIMEVALUE(MID(G3478,12,8))</f>
        <v/>
      </c>
      <c r="P3478" s="396">
        <f>IFERROR(_xlfn.MINIFS($M:$M,$E:$E,$E3478,$K:$K,$K3478,$M:$M,"&gt;"&amp;$O3478),"")</f>
        <v/>
      </c>
      <c r="Q3478" s="396">
        <f>IF($P3478="","",$P3478-$O3478)</f>
        <v/>
      </c>
    </row>
    <row r="3479" ht="15" customHeight="1" s="231">
      <c r="K3479" s="395">
        <f>DATE(VALUE(LEFT(A3479,4)),VALUE(MID(A3479,5,2)),VALUE(RIGHT(A3479,2)))</f>
        <v/>
      </c>
      <c r="L3479" s="395">
        <f>DATEVALUE(LEFT(F3479,10))</f>
        <v/>
      </c>
      <c r="M3479" s="396">
        <f>TIMEVALUE(MID(F3479,12,8))</f>
        <v/>
      </c>
      <c r="N3479" s="395">
        <f>DATEVALUE(LEFT(G3479,10))</f>
        <v/>
      </c>
      <c r="O3479" s="396">
        <f>TIMEVALUE(MID(G3479,12,8))</f>
        <v/>
      </c>
      <c r="P3479" s="396">
        <f>IFERROR(_xlfn.MINIFS($M:$M,$E:$E,$E3479,$K:$K,$K3479,$M:$M,"&gt;"&amp;$O3479),"")</f>
        <v/>
      </c>
      <c r="Q3479" s="396">
        <f>IF($P3479="","",$P3479-$O3479)</f>
        <v/>
      </c>
    </row>
    <row r="3480" ht="15" customHeight="1" s="231">
      <c r="K3480" s="395">
        <f>DATE(VALUE(LEFT(A3480,4)),VALUE(MID(A3480,5,2)),VALUE(RIGHT(A3480,2)))</f>
        <v/>
      </c>
      <c r="L3480" s="395">
        <f>DATEVALUE(LEFT(F3480,10))</f>
        <v/>
      </c>
      <c r="M3480" s="396">
        <f>TIMEVALUE(MID(F3480,12,8))</f>
        <v/>
      </c>
      <c r="N3480" s="395">
        <f>DATEVALUE(LEFT(G3480,10))</f>
        <v/>
      </c>
      <c r="O3480" s="396">
        <f>TIMEVALUE(MID(G3480,12,8))</f>
        <v/>
      </c>
      <c r="P3480" s="396">
        <f>IFERROR(_xlfn.MINIFS($M:$M,$E:$E,$E3480,$K:$K,$K3480,$M:$M,"&gt;"&amp;$O3480),"")</f>
        <v/>
      </c>
      <c r="Q3480" s="396">
        <f>IF($P3480="","",$P3480-$O3480)</f>
        <v/>
      </c>
    </row>
    <row r="3481" ht="15" customHeight="1" s="231">
      <c r="K3481" s="395">
        <f>DATE(VALUE(LEFT(A3481,4)),VALUE(MID(A3481,5,2)),VALUE(RIGHT(A3481,2)))</f>
        <v/>
      </c>
      <c r="L3481" s="395">
        <f>DATEVALUE(LEFT(F3481,10))</f>
        <v/>
      </c>
      <c r="M3481" s="396">
        <f>TIMEVALUE(MID(F3481,12,8))</f>
        <v/>
      </c>
      <c r="N3481" s="395">
        <f>DATEVALUE(LEFT(G3481,10))</f>
        <v/>
      </c>
      <c r="O3481" s="396">
        <f>TIMEVALUE(MID(G3481,12,8))</f>
        <v/>
      </c>
      <c r="P3481" s="396">
        <f>IFERROR(_xlfn.MINIFS($M:$M,$E:$E,$E3481,$K:$K,$K3481,$M:$M,"&gt;"&amp;$O3481),"")</f>
        <v/>
      </c>
      <c r="Q3481" s="396">
        <f>IF($P3481="","",$P3481-$O3481)</f>
        <v/>
      </c>
    </row>
    <row r="3482" ht="15" customHeight="1" s="231">
      <c r="K3482" s="395">
        <f>DATE(VALUE(LEFT(A3482,4)),VALUE(MID(A3482,5,2)),VALUE(RIGHT(A3482,2)))</f>
        <v/>
      </c>
      <c r="L3482" s="395">
        <f>DATEVALUE(LEFT(F3482,10))</f>
        <v/>
      </c>
      <c r="M3482" s="396">
        <f>TIMEVALUE(MID(F3482,12,8))</f>
        <v/>
      </c>
      <c r="N3482" s="395">
        <f>DATEVALUE(LEFT(G3482,10))</f>
        <v/>
      </c>
      <c r="O3482" s="396">
        <f>TIMEVALUE(MID(G3482,12,8))</f>
        <v/>
      </c>
      <c r="P3482" s="396">
        <f>IFERROR(_xlfn.MINIFS($M:$M,$E:$E,$E3482,$K:$K,$K3482,$M:$M,"&gt;"&amp;$O3482),"")</f>
        <v/>
      </c>
      <c r="Q3482" s="396">
        <f>IF($P3482="","",$P3482-$O3482)</f>
        <v/>
      </c>
    </row>
    <row r="3483" ht="15" customHeight="1" s="231">
      <c r="K3483" s="395">
        <f>DATE(VALUE(LEFT(A3483,4)),VALUE(MID(A3483,5,2)),VALUE(RIGHT(A3483,2)))</f>
        <v/>
      </c>
      <c r="L3483" s="395">
        <f>DATEVALUE(LEFT(F3483,10))</f>
        <v/>
      </c>
      <c r="M3483" s="396">
        <f>TIMEVALUE(MID(F3483,12,8))</f>
        <v/>
      </c>
      <c r="N3483" s="395">
        <f>DATEVALUE(LEFT(G3483,10))</f>
        <v/>
      </c>
      <c r="O3483" s="396">
        <f>TIMEVALUE(MID(G3483,12,8))</f>
        <v/>
      </c>
      <c r="P3483" s="396">
        <f>IFERROR(_xlfn.MINIFS($M:$M,$E:$E,$E3483,$K:$K,$K3483,$M:$M,"&gt;"&amp;$O3483),"")</f>
        <v/>
      </c>
      <c r="Q3483" s="396">
        <f>IF($P3483="","",$P3483-$O3483)</f>
        <v/>
      </c>
    </row>
    <row r="3484" ht="15" customHeight="1" s="231">
      <c r="K3484" s="395">
        <f>DATE(VALUE(LEFT(A3484,4)),VALUE(MID(A3484,5,2)),VALUE(RIGHT(A3484,2)))</f>
        <v/>
      </c>
      <c r="L3484" s="395">
        <f>DATEVALUE(LEFT(F3484,10))</f>
        <v/>
      </c>
      <c r="M3484" s="396">
        <f>TIMEVALUE(MID(F3484,12,8))</f>
        <v/>
      </c>
      <c r="N3484" s="395">
        <f>DATEVALUE(LEFT(G3484,10))</f>
        <v/>
      </c>
      <c r="O3484" s="396">
        <f>TIMEVALUE(MID(G3484,12,8))</f>
        <v/>
      </c>
      <c r="P3484" s="396">
        <f>IFERROR(_xlfn.MINIFS($M:$M,$E:$E,$E3484,$K:$K,$K3484,$M:$M,"&gt;"&amp;$O3484),"")</f>
        <v/>
      </c>
      <c r="Q3484" s="396">
        <f>IF($P3484="","",$P3484-$O3484)</f>
        <v/>
      </c>
    </row>
    <row r="3485" ht="15" customHeight="1" s="231">
      <c r="K3485" s="395">
        <f>DATE(VALUE(LEFT(A3485,4)),VALUE(MID(A3485,5,2)),VALUE(RIGHT(A3485,2)))</f>
        <v/>
      </c>
      <c r="L3485" s="395">
        <f>DATEVALUE(LEFT(F3485,10))</f>
        <v/>
      </c>
      <c r="M3485" s="396">
        <f>TIMEVALUE(MID(F3485,12,8))</f>
        <v/>
      </c>
      <c r="N3485" s="395">
        <f>DATEVALUE(LEFT(G3485,10))</f>
        <v/>
      </c>
      <c r="O3485" s="396">
        <f>TIMEVALUE(MID(G3485,12,8))</f>
        <v/>
      </c>
      <c r="P3485" s="396">
        <f>IFERROR(_xlfn.MINIFS($M:$M,$E:$E,$E3485,$K:$K,$K3485,$M:$M,"&gt;"&amp;$O3485),"")</f>
        <v/>
      </c>
      <c r="Q3485" s="396">
        <f>IF($P3485="","",$P3485-$O3485)</f>
        <v/>
      </c>
    </row>
    <row r="3486" ht="15" customHeight="1" s="231">
      <c r="K3486" s="395">
        <f>DATE(VALUE(LEFT(A3486,4)),VALUE(MID(A3486,5,2)),VALUE(RIGHT(A3486,2)))</f>
        <v/>
      </c>
      <c r="L3486" s="395">
        <f>DATEVALUE(LEFT(F3486,10))</f>
        <v/>
      </c>
      <c r="M3486" s="396">
        <f>TIMEVALUE(MID(F3486,12,8))</f>
        <v/>
      </c>
      <c r="N3486" s="395">
        <f>DATEVALUE(LEFT(G3486,10))</f>
        <v/>
      </c>
      <c r="O3486" s="396">
        <f>TIMEVALUE(MID(G3486,12,8))</f>
        <v/>
      </c>
      <c r="P3486" s="396">
        <f>IFERROR(_xlfn.MINIFS($M:$M,$E:$E,$E3486,$K:$K,$K3486,$M:$M,"&gt;"&amp;$O3486),"")</f>
        <v/>
      </c>
      <c r="Q3486" s="396">
        <f>IF($P3486="","",$P3486-$O3486)</f>
        <v/>
      </c>
    </row>
    <row r="3487" ht="15" customHeight="1" s="231">
      <c r="K3487" s="395">
        <f>DATE(VALUE(LEFT(A3487,4)),VALUE(MID(A3487,5,2)),VALUE(RIGHT(A3487,2)))</f>
        <v/>
      </c>
      <c r="L3487" s="395">
        <f>DATEVALUE(LEFT(F3487,10))</f>
        <v/>
      </c>
      <c r="M3487" s="396">
        <f>TIMEVALUE(MID(F3487,12,8))</f>
        <v/>
      </c>
      <c r="N3487" s="395">
        <f>DATEVALUE(LEFT(G3487,10))</f>
        <v/>
      </c>
      <c r="O3487" s="396">
        <f>TIMEVALUE(MID(G3487,12,8))</f>
        <v/>
      </c>
      <c r="P3487" s="396">
        <f>IFERROR(_xlfn.MINIFS($M:$M,$E:$E,$E3487,$K:$K,$K3487,$M:$M,"&gt;"&amp;$O3487),"")</f>
        <v/>
      </c>
      <c r="Q3487" s="396">
        <f>IF($P3487="","",$P3487-$O3487)</f>
        <v/>
      </c>
    </row>
    <row r="3488" ht="15" customHeight="1" s="231">
      <c r="K3488" s="395">
        <f>DATE(VALUE(LEFT(A3488,4)),VALUE(MID(A3488,5,2)),VALUE(RIGHT(A3488,2)))</f>
        <v/>
      </c>
      <c r="L3488" s="395">
        <f>DATEVALUE(LEFT(F3488,10))</f>
        <v/>
      </c>
      <c r="M3488" s="396">
        <f>TIMEVALUE(MID(F3488,12,8))</f>
        <v/>
      </c>
      <c r="N3488" s="395">
        <f>DATEVALUE(LEFT(G3488,10))</f>
        <v/>
      </c>
      <c r="O3488" s="396">
        <f>TIMEVALUE(MID(G3488,12,8))</f>
        <v/>
      </c>
      <c r="P3488" s="396">
        <f>IFERROR(_xlfn.MINIFS($M:$M,$E:$E,$E3488,$K:$K,$K3488,$M:$M,"&gt;"&amp;$O3488),"")</f>
        <v/>
      </c>
      <c r="Q3488" s="396">
        <f>IF($P3488="","",$P3488-$O3488)</f>
        <v/>
      </c>
    </row>
    <row r="3489" ht="15" customHeight="1" s="231">
      <c r="K3489" s="395">
        <f>DATE(VALUE(LEFT(A3489,4)),VALUE(MID(A3489,5,2)),VALUE(RIGHT(A3489,2)))</f>
        <v/>
      </c>
      <c r="L3489" s="395">
        <f>DATEVALUE(LEFT(F3489,10))</f>
        <v/>
      </c>
      <c r="M3489" s="396">
        <f>TIMEVALUE(MID(F3489,12,8))</f>
        <v/>
      </c>
      <c r="N3489" s="395">
        <f>DATEVALUE(LEFT(G3489,10))</f>
        <v/>
      </c>
      <c r="O3489" s="396">
        <f>TIMEVALUE(MID(G3489,12,8))</f>
        <v/>
      </c>
      <c r="P3489" s="396">
        <f>IFERROR(_xlfn.MINIFS($M:$M,$E:$E,$E3489,$K:$K,$K3489,$M:$M,"&gt;"&amp;$O3489),"")</f>
        <v/>
      </c>
      <c r="Q3489" s="396">
        <f>IF($P3489="","",$P3489-$O3489)</f>
        <v/>
      </c>
    </row>
    <row r="3490" ht="15" customHeight="1" s="231">
      <c r="K3490" s="395">
        <f>DATE(VALUE(LEFT(A3490,4)),VALUE(MID(A3490,5,2)),VALUE(RIGHT(A3490,2)))</f>
        <v/>
      </c>
      <c r="L3490" s="395">
        <f>DATEVALUE(LEFT(F3490,10))</f>
        <v/>
      </c>
      <c r="M3490" s="396">
        <f>TIMEVALUE(MID(F3490,12,8))</f>
        <v/>
      </c>
      <c r="N3490" s="395">
        <f>DATEVALUE(LEFT(G3490,10))</f>
        <v/>
      </c>
      <c r="O3490" s="396">
        <f>TIMEVALUE(MID(G3490,12,8))</f>
        <v/>
      </c>
      <c r="P3490" s="396">
        <f>IFERROR(_xlfn.MINIFS($M:$M,$E:$E,$E3490,$K:$K,$K3490,$M:$M,"&gt;"&amp;$O3490),"")</f>
        <v/>
      </c>
      <c r="Q3490" s="396">
        <f>IF($P3490="","",$P3490-$O3490)</f>
        <v/>
      </c>
    </row>
    <row r="3491" ht="15" customHeight="1" s="231">
      <c r="K3491" s="395">
        <f>DATE(VALUE(LEFT(A3491,4)),VALUE(MID(A3491,5,2)),VALUE(RIGHT(A3491,2)))</f>
        <v/>
      </c>
      <c r="L3491" s="395">
        <f>DATEVALUE(LEFT(F3491,10))</f>
        <v/>
      </c>
      <c r="M3491" s="396">
        <f>TIMEVALUE(MID(F3491,12,8))</f>
        <v/>
      </c>
      <c r="N3491" s="395">
        <f>DATEVALUE(LEFT(G3491,10))</f>
        <v/>
      </c>
      <c r="O3491" s="396">
        <f>TIMEVALUE(MID(G3491,12,8))</f>
        <v/>
      </c>
      <c r="P3491" s="396">
        <f>IFERROR(_xlfn.MINIFS($M:$M,$E:$E,$E3491,$K:$K,$K3491,$M:$M,"&gt;"&amp;$O3491),"")</f>
        <v/>
      </c>
      <c r="Q3491" s="396">
        <f>IF($P3491="","",$P3491-$O3491)</f>
        <v/>
      </c>
    </row>
    <row r="3492" ht="15" customHeight="1" s="231">
      <c r="K3492" s="395">
        <f>DATE(VALUE(LEFT(A3492,4)),VALUE(MID(A3492,5,2)),VALUE(RIGHT(A3492,2)))</f>
        <v/>
      </c>
      <c r="L3492" s="395">
        <f>DATEVALUE(LEFT(F3492,10))</f>
        <v/>
      </c>
      <c r="M3492" s="396">
        <f>TIMEVALUE(MID(F3492,12,8))</f>
        <v/>
      </c>
      <c r="N3492" s="395">
        <f>DATEVALUE(LEFT(G3492,10))</f>
        <v/>
      </c>
      <c r="O3492" s="396">
        <f>TIMEVALUE(MID(G3492,12,8))</f>
        <v/>
      </c>
      <c r="P3492" s="396">
        <f>IFERROR(_xlfn.MINIFS($M:$M,$E:$E,$E3492,$K:$K,$K3492,$M:$M,"&gt;"&amp;$O3492),"")</f>
        <v/>
      </c>
      <c r="Q3492" s="396">
        <f>IF($P3492="","",$P3492-$O3492)</f>
        <v/>
      </c>
    </row>
    <row r="3493" ht="15" customHeight="1" s="231">
      <c r="K3493" s="395">
        <f>DATE(VALUE(LEFT(A3493,4)),VALUE(MID(A3493,5,2)),VALUE(RIGHT(A3493,2)))</f>
        <v/>
      </c>
      <c r="L3493" s="395">
        <f>DATEVALUE(LEFT(F3493,10))</f>
        <v/>
      </c>
      <c r="M3493" s="396">
        <f>TIMEVALUE(MID(F3493,12,8))</f>
        <v/>
      </c>
      <c r="N3493" s="395">
        <f>DATEVALUE(LEFT(G3493,10))</f>
        <v/>
      </c>
      <c r="O3493" s="396">
        <f>TIMEVALUE(MID(G3493,12,8))</f>
        <v/>
      </c>
      <c r="P3493" s="396">
        <f>IFERROR(_xlfn.MINIFS($M:$M,$E:$E,$E3493,$K:$K,$K3493,$M:$M,"&gt;"&amp;$O3493),"")</f>
        <v/>
      </c>
      <c r="Q3493" s="396">
        <f>IF($P3493="","",$P3493-$O3493)</f>
        <v/>
      </c>
    </row>
    <row r="3494" ht="15" customHeight="1" s="231">
      <c r="K3494" s="395">
        <f>DATE(VALUE(LEFT(A3494,4)),VALUE(MID(A3494,5,2)),VALUE(RIGHT(A3494,2)))</f>
        <v/>
      </c>
      <c r="L3494" s="395">
        <f>DATEVALUE(LEFT(F3494,10))</f>
        <v/>
      </c>
      <c r="M3494" s="396">
        <f>TIMEVALUE(MID(F3494,12,8))</f>
        <v/>
      </c>
      <c r="N3494" s="395">
        <f>DATEVALUE(LEFT(G3494,10))</f>
        <v/>
      </c>
      <c r="O3494" s="396">
        <f>TIMEVALUE(MID(G3494,12,8))</f>
        <v/>
      </c>
      <c r="P3494" s="396">
        <f>IFERROR(_xlfn.MINIFS($M:$M,$E:$E,$E3494,$K:$K,$K3494,$M:$M,"&gt;"&amp;$O3494),"")</f>
        <v/>
      </c>
      <c r="Q3494" s="396">
        <f>IF($P3494="","",$P3494-$O3494)</f>
        <v/>
      </c>
    </row>
    <row r="3495" ht="15" customHeight="1" s="231">
      <c r="K3495" s="395">
        <f>DATE(VALUE(LEFT(A3495,4)),VALUE(MID(A3495,5,2)),VALUE(RIGHT(A3495,2)))</f>
        <v/>
      </c>
      <c r="L3495" s="395">
        <f>DATEVALUE(LEFT(F3495,10))</f>
        <v/>
      </c>
      <c r="M3495" s="396">
        <f>TIMEVALUE(MID(F3495,12,8))</f>
        <v/>
      </c>
      <c r="N3495" s="395">
        <f>DATEVALUE(LEFT(G3495,10))</f>
        <v/>
      </c>
      <c r="O3495" s="396">
        <f>TIMEVALUE(MID(G3495,12,8))</f>
        <v/>
      </c>
      <c r="P3495" s="396">
        <f>IFERROR(_xlfn.MINIFS($M:$M,$E:$E,$E3495,$K:$K,$K3495,$M:$M,"&gt;"&amp;$O3495),"")</f>
        <v/>
      </c>
      <c r="Q3495" s="396">
        <f>IF($P3495="","",$P3495-$O3495)</f>
        <v/>
      </c>
    </row>
    <row r="3496" ht="15" customHeight="1" s="231">
      <c r="K3496" s="395">
        <f>DATE(VALUE(LEFT(A3496,4)),VALUE(MID(A3496,5,2)),VALUE(RIGHT(A3496,2)))</f>
        <v/>
      </c>
      <c r="L3496" s="395">
        <f>DATEVALUE(LEFT(F3496,10))</f>
        <v/>
      </c>
      <c r="M3496" s="396">
        <f>TIMEVALUE(MID(F3496,12,8))</f>
        <v/>
      </c>
      <c r="N3496" s="395">
        <f>DATEVALUE(LEFT(G3496,10))</f>
        <v/>
      </c>
      <c r="O3496" s="396">
        <f>TIMEVALUE(MID(G3496,12,8))</f>
        <v/>
      </c>
      <c r="P3496" s="396">
        <f>IFERROR(_xlfn.MINIFS($M:$M,$E:$E,$E3496,$K:$K,$K3496,$M:$M,"&gt;"&amp;$O3496),"")</f>
        <v/>
      </c>
      <c r="Q3496" s="396">
        <f>IF($P3496="","",$P3496-$O3496)</f>
        <v/>
      </c>
    </row>
    <row r="3497" ht="15" customHeight="1" s="231">
      <c r="K3497" s="395">
        <f>DATE(VALUE(LEFT(A3497,4)),VALUE(MID(A3497,5,2)),VALUE(RIGHT(A3497,2)))</f>
        <v/>
      </c>
      <c r="L3497" s="395">
        <f>DATEVALUE(LEFT(F3497,10))</f>
        <v/>
      </c>
      <c r="M3497" s="396">
        <f>TIMEVALUE(MID(F3497,12,8))</f>
        <v/>
      </c>
      <c r="N3497" s="395">
        <f>DATEVALUE(LEFT(G3497,10))</f>
        <v/>
      </c>
      <c r="O3497" s="396">
        <f>TIMEVALUE(MID(G3497,12,8))</f>
        <v/>
      </c>
      <c r="P3497" s="396">
        <f>IFERROR(_xlfn.MINIFS($M:$M,$E:$E,$E3497,$K:$K,$K3497,$M:$M,"&gt;"&amp;$O3497),"")</f>
        <v/>
      </c>
      <c r="Q3497" s="396">
        <f>IF($P3497="","",$P3497-$O3497)</f>
        <v/>
      </c>
    </row>
    <row r="3498" ht="15" customHeight="1" s="231">
      <c r="K3498" s="395">
        <f>DATE(VALUE(LEFT(A3498,4)),VALUE(MID(A3498,5,2)),VALUE(RIGHT(A3498,2)))</f>
        <v/>
      </c>
      <c r="L3498" s="395">
        <f>DATEVALUE(LEFT(F3498,10))</f>
        <v/>
      </c>
      <c r="M3498" s="396">
        <f>TIMEVALUE(MID(F3498,12,8))</f>
        <v/>
      </c>
      <c r="N3498" s="395">
        <f>DATEVALUE(LEFT(G3498,10))</f>
        <v/>
      </c>
      <c r="O3498" s="396">
        <f>TIMEVALUE(MID(G3498,12,8))</f>
        <v/>
      </c>
      <c r="P3498" s="396">
        <f>IFERROR(_xlfn.MINIFS($M:$M,$E:$E,$E3498,$K:$K,$K3498,$M:$M,"&gt;"&amp;$O3498),"")</f>
        <v/>
      </c>
      <c r="Q3498" s="396">
        <f>IF($P3498="","",$P3498-$O3498)</f>
        <v/>
      </c>
    </row>
    <row r="3499" ht="15" customHeight="1" s="231">
      <c r="K3499" s="395">
        <f>DATE(VALUE(LEFT(A3499,4)),VALUE(MID(A3499,5,2)),VALUE(RIGHT(A3499,2)))</f>
        <v/>
      </c>
      <c r="L3499" s="395">
        <f>DATEVALUE(LEFT(F3499,10))</f>
        <v/>
      </c>
      <c r="M3499" s="396">
        <f>TIMEVALUE(MID(F3499,12,8))</f>
        <v/>
      </c>
      <c r="N3499" s="395">
        <f>DATEVALUE(LEFT(G3499,10))</f>
        <v/>
      </c>
      <c r="O3499" s="396">
        <f>TIMEVALUE(MID(G3499,12,8))</f>
        <v/>
      </c>
      <c r="P3499" s="396">
        <f>IFERROR(_xlfn.MINIFS($M:$M,$E:$E,$E3499,$K:$K,$K3499,$M:$M,"&gt;"&amp;$O3499),"")</f>
        <v/>
      </c>
      <c r="Q3499" s="396">
        <f>IF($P3499="","",$P3499-$O3499)</f>
        <v/>
      </c>
    </row>
    <row r="3500" ht="15" customHeight="1" s="231">
      <c r="K3500" s="395">
        <f>DATE(VALUE(LEFT(A3500,4)),VALUE(MID(A3500,5,2)),VALUE(RIGHT(A3500,2)))</f>
        <v/>
      </c>
      <c r="L3500" s="395">
        <f>DATEVALUE(LEFT(F3500,10))</f>
        <v/>
      </c>
      <c r="M3500" s="396">
        <f>TIMEVALUE(MID(F3500,12,8))</f>
        <v/>
      </c>
      <c r="N3500" s="395">
        <f>DATEVALUE(LEFT(G3500,10))</f>
        <v/>
      </c>
      <c r="O3500" s="396">
        <f>TIMEVALUE(MID(G3500,12,8))</f>
        <v/>
      </c>
      <c r="P3500" s="396">
        <f>IFERROR(_xlfn.MINIFS($M:$M,$E:$E,$E3500,$K:$K,$K3500,$M:$M,"&gt;"&amp;$O3500),"")</f>
        <v/>
      </c>
      <c r="Q3500" s="396">
        <f>IF($P3500="","",$P3500-$O3500)</f>
        <v/>
      </c>
    </row>
    <row r="3501" ht="15" customHeight="1" s="231">
      <c r="K3501" s="395">
        <f>DATE(VALUE(LEFT(A3501,4)),VALUE(MID(A3501,5,2)),VALUE(RIGHT(A3501,2)))</f>
        <v/>
      </c>
      <c r="L3501" s="395">
        <f>DATEVALUE(LEFT(F3501,10))</f>
        <v/>
      </c>
      <c r="M3501" s="396">
        <f>TIMEVALUE(MID(F3501,12,8))</f>
        <v/>
      </c>
      <c r="N3501" s="395">
        <f>DATEVALUE(LEFT(G3501,10))</f>
        <v/>
      </c>
      <c r="O3501" s="396">
        <f>TIMEVALUE(MID(G3501,12,8))</f>
        <v/>
      </c>
      <c r="P3501" s="396">
        <f>IFERROR(_xlfn.MINIFS($M:$M,$E:$E,$E3501,$K:$K,$K3501,$M:$M,"&gt;"&amp;$O3501),"")</f>
        <v/>
      </c>
      <c r="Q3501" s="396">
        <f>IF($P3501="","",$P3501-$O3501)</f>
        <v/>
      </c>
    </row>
    <row r="3502" ht="15" customHeight="1" s="231">
      <c r="K3502" s="395">
        <f>DATE(VALUE(LEFT(A3502,4)),VALUE(MID(A3502,5,2)),VALUE(RIGHT(A3502,2)))</f>
        <v/>
      </c>
      <c r="L3502" s="395">
        <f>DATEVALUE(LEFT(F3502,10))</f>
        <v/>
      </c>
      <c r="M3502" s="396">
        <f>TIMEVALUE(MID(F3502,12,8))</f>
        <v/>
      </c>
      <c r="N3502" s="395">
        <f>DATEVALUE(LEFT(G3502,10))</f>
        <v/>
      </c>
      <c r="O3502" s="396">
        <f>TIMEVALUE(MID(G3502,12,8))</f>
        <v/>
      </c>
      <c r="P3502" s="396">
        <f>IFERROR(_xlfn.MINIFS($M:$M,$E:$E,$E3502,$K:$K,$K3502,$M:$M,"&gt;"&amp;$O3502),"")</f>
        <v/>
      </c>
      <c r="Q3502" s="396">
        <f>IF($P3502="","",$P3502-$O3502)</f>
        <v/>
      </c>
    </row>
    <row r="3503" ht="15" customHeight="1" s="231">
      <c r="K3503" s="395">
        <f>DATE(VALUE(LEFT(A3503,4)),VALUE(MID(A3503,5,2)),VALUE(RIGHT(A3503,2)))</f>
        <v/>
      </c>
      <c r="L3503" s="395">
        <f>DATEVALUE(LEFT(F3503,10))</f>
        <v/>
      </c>
      <c r="M3503" s="396">
        <f>TIMEVALUE(MID(F3503,12,8))</f>
        <v/>
      </c>
      <c r="N3503" s="395">
        <f>DATEVALUE(LEFT(G3503,10))</f>
        <v/>
      </c>
      <c r="O3503" s="396">
        <f>TIMEVALUE(MID(G3503,12,8))</f>
        <v/>
      </c>
      <c r="P3503" s="396">
        <f>IFERROR(_xlfn.MINIFS($M:$M,$E:$E,$E3503,$K:$K,$K3503,$M:$M,"&gt;"&amp;$O3503),"")</f>
        <v/>
      </c>
      <c r="Q3503" s="396">
        <f>IF($P3503="","",$P3503-$O3503)</f>
        <v/>
      </c>
    </row>
    <row r="3504" ht="15" customHeight="1" s="231">
      <c r="K3504" s="395">
        <f>DATE(VALUE(LEFT(A3504,4)),VALUE(MID(A3504,5,2)),VALUE(RIGHT(A3504,2)))</f>
        <v/>
      </c>
      <c r="L3504" s="395">
        <f>DATEVALUE(LEFT(F3504,10))</f>
        <v/>
      </c>
      <c r="M3504" s="396">
        <f>TIMEVALUE(MID(F3504,12,8))</f>
        <v/>
      </c>
      <c r="N3504" s="395">
        <f>DATEVALUE(LEFT(G3504,10))</f>
        <v/>
      </c>
      <c r="O3504" s="396">
        <f>TIMEVALUE(MID(G3504,12,8))</f>
        <v/>
      </c>
      <c r="P3504" s="396">
        <f>IFERROR(_xlfn.MINIFS($M:$M,$E:$E,$E3504,$K:$K,$K3504,$M:$M,"&gt;"&amp;$O3504),"")</f>
        <v/>
      </c>
      <c r="Q3504" s="396">
        <f>IF($P3504="","",$P3504-$O3504)</f>
        <v/>
      </c>
    </row>
    <row r="3505" ht="15" customHeight="1" s="231">
      <c r="K3505" s="395">
        <f>DATE(VALUE(LEFT(A3505,4)),VALUE(MID(A3505,5,2)),VALUE(RIGHT(A3505,2)))</f>
        <v/>
      </c>
      <c r="L3505" s="395">
        <f>DATEVALUE(LEFT(F3505,10))</f>
        <v/>
      </c>
      <c r="M3505" s="396">
        <f>TIMEVALUE(MID(F3505,12,8))</f>
        <v/>
      </c>
      <c r="N3505" s="395">
        <f>DATEVALUE(LEFT(G3505,10))</f>
        <v/>
      </c>
      <c r="O3505" s="396">
        <f>TIMEVALUE(MID(G3505,12,8))</f>
        <v/>
      </c>
      <c r="P3505" s="396">
        <f>IFERROR(_xlfn.MINIFS($M:$M,$E:$E,$E3505,$K:$K,$K3505,$M:$M,"&gt;"&amp;$O3505),"")</f>
        <v/>
      </c>
      <c r="Q3505" s="396">
        <f>IF($P3505="","",$P3505-$O3505)</f>
        <v/>
      </c>
    </row>
    <row r="3506" ht="15" customHeight="1" s="231">
      <c r="K3506" s="395">
        <f>DATE(VALUE(LEFT(A3506,4)),VALUE(MID(A3506,5,2)),VALUE(RIGHT(A3506,2)))</f>
        <v/>
      </c>
      <c r="L3506" s="395">
        <f>DATEVALUE(LEFT(F3506,10))</f>
        <v/>
      </c>
      <c r="M3506" s="396">
        <f>TIMEVALUE(MID(F3506,12,8))</f>
        <v/>
      </c>
      <c r="N3506" s="395">
        <f>DATEVALUE(LEFT(G3506,10))</f>
        <v/>
      </c>
      <c r="O3506" s="396">
        <f>TIMEVALUE(MID(G3506,12,8))</f>
        <v/>
      </c>
      <c r="P3506" s="396">
        <f>IFERROR(_xlfn.MINIFS($M:$M,$E:$E,$E3506,$K:$K,$K3506,$M:$M,"&gt;"&amp;$O3506),"")</f>
        <v/>
      </c>
      <c r="Q3506" s="396">
        <f>IF($P3506="","",$P3506-$O3506)</f>
        <v/>
      </c>
    </row>
    <row r="3507" ht="15" customHeight="1" s="231">
      <c r="K3507" s="395">
        <f>DATE(VALUE(LEFT(A3507,4)),VALUE(MID(A3507,5,2)),VALUE(RIGHT(A3507,2)))</f>
        <v/>
      </c>
      <c r="L3507" s="395">
        <f>DATEVALUE(LEFT(F3507,10))</f>
        <v/>
      </c>
      <c r="M3507" s="396">
        <f>TIMEVALUE(MID(F3507,12,8))</f>
        <v/>
      </c>
      <c r="N3507" s="395">
        <f>DATEVALUE(LEFT(G3507,10))</f>
        <v/>
      </c>
      <c r="O3507" s="396">
        <f>TIMEVALUE(MID(G3507,12,8))</f>
        <v/>
      </c>
      <c r="P3507" s="396">
        <f>IFERROR(_xlfn.MINIFS($M:$M,$E:$E,$E3507,$K:$K,$K3507,$M:$M,"&gt;"&amp;$O3507),"")</f>
        <v/>
      </c>
      <c r="Q3507" s="396">
        <f>IF($P3507="","",$P3507-$O3507)</f>
        <v/>
      </c>
    </row>
    <row r="3508" ht="15" customHeight="1" s="231">
      <c r="K3508" s="395">
        <f>DATE(VALUE(LEFT(A3508,4)),VALUE(MID(A3508,5,2)),VALUE(RIGHT(A3508,2)))</f>
        <v/>
      </c>
      <c r="L3508" s="395">
        <f>DATEVALUE(LEFT(F3508,10))</f>
        <v/>
      </c>
      <c r="M3508" s="396">
        <f>TIMEVALUE(MID(F3508,12,8))</f>
        <v/>
      </c>
      <c r="N3508" s="395">
        <f>DATEVALUE(LEFT(G3508,10))</f>
        <v/>
      </c>
      <c r="O3508" s="396">
        <f>TIMEVALUE(MID(G3508,12,8))</f>
        <v/>
      </c>
      <c r="P3508" s="396">
        <f>IFERROR(_xlfn.MINIFS($M:$M,$E:$E,$E3508,$K:$K,$K3508,$M:$M,"&gt;"&amp;$O3508),"")</f>
        <v/>
      </c>
      <c r="Q3508" s="396">
        <f>IF($P3508="","",$P3508-$O3508)</f>
        <v/>
      </c>
    </row>
    <row r="3509" ht="15" customHeight="1" s="231">
      <c r="K3509" s="395">
        <f>DATE(VALUE(LEFT(A3509,4)),VALUE(MID(A3509,5,2)),VALUE(RIGHT(A3509,2)))</f>
        <v/>
      </c>
      <c r="L3509" s="395">
        <f>DATEVALUE(LEFT(F3509,10))</f>
        <v/>
      </c>
      <c r="M3509" s="396">
        <f>TIMEVALUE(MID(F3509,12,8))</f>
        <v/>
      </c>
      <c r="N3509" s="395">
        <f>DATEVALUE(LEFT(G3509,10))</f>
        <v/>
      </c>
      <c r="O3509" s="396">
        <f>TIMEVALUE(MID(G3509,12,8))</f>
        <v/>
      </c>
      <c r="P3509" s="396">
        <f>IFERROR(_xlfn.MINIFS($M:$M,$E:$E,$E3509,$K:$K,$K3509,$M:$M,"&gt;"&amp;$O3509),"")</f>
        <v/>
      </c>
      <c r="Q3509" s="396">
        <f>IF($P3509="","",$P3509-$O3509)</f>
        <v/>
      </c>
    </row>
    <row r="3510" ht="15" customHeight="1" s="231">
      <c r="K3510" s="395">
        <f>DATE(VALUE(LEFT(A3510,4)),VALUE(MID(A3510,5,2)),VALUE(RIGHT(A3510,2)))</f>
        <v/>
      </c>
      <c r="L3510" s="395">
        <f>DATEVALUE(LEFT(F3510,10))</f>
        <v/>
      </c>
      <c r="M3510" s="396">
        <f>TIMEVALUE(MID(F3510,12,8))</f>
        <v/>
      </c>
      <c r="N3510" s="395">
        <f>DATEVALUE(LEFT(G3510,10))</f>
        <v/>
      </c>
      <c r="O3510" s="396">
        <f>TIMEVALUE(MID(G3510,12,8))</f>
        <v/>
      </c>
      <c r="P3510" s="396">
        <f>IFERROR(_xlfn.MINIFS($M:$M,$E:$E,$E3510,$K:$K,$K3510,$M:$M,"&gt;"&amp;$O3510),"")</f>
        <v/>
      </c>
      <c r="Q3510" s="396">
        <f>IF($P3510="","",$P3510-$O3510)</f>
        <v/>
      </c>
    </row>
    <row r="3511" ht="15" customHeight="1" s="231">
      <c r="K3511" s="395">
        <f>DATE(VALUE(LEFT(A3511,4)),VALUE(MID(A3511,5,2)),VALUE(RIGHT(A3511,2)))</f>
        <v/>
      </c>
      <c r="L3511" s="395">
        <f>DATEVALUE(LEFT(F3511,10))</f>
        <v/>
      </c>
      <c r="M3511" s="396">
        <f>TIMEVALUE(MID(F3511,12,8))</f>
        <v/>
      </c>
      <c r="N3511" s="395">
        <f>DATEVALUE(LEFT(G3511,10))</f>
        <v/>
      </c>
      <c r="O3511" s="396">
        <f>TIMEVALUE(MID(G3511,12,8))</f>
        <v/>
      </c>
      <c r="P3511" s="396">
        <f>IFERROR(_xlfn.MINIFS($M:$M,$E:$E,$E3511,$K:$K,$K3511,$M:$M,"&gt;"&amp;$O3511),"")</f>
        <v/>
      </c>
      <c r="Q3511" s="396">
        <f>IF($P3511="","",$P3511-$O3511)</f>
        <v/>
      </c>
    </row>
    <row r="3512" ht="15" customHeight="1" s="231">
      <c r="K3512" s="395">
        <f>DATE(VALUE(LEFT(A3512,4)),VALUE(MID(A3512,5,2)),VALUE(RIGHT(A3512,2)))</f>
        <v/>
      </c>
      <c r="L3512" s="395">
        <f>DATEVALUE(LEFT(F3512,10))</f>
        <v/>
      </c>
      <c r="M3512" s="396">
        <f>TIMEVALUE(MID(F3512,12,8))</f>
        <v/>
      </c>
      <c r="N3512" s="395">
        <f>DATEVALUE(LEFT(G3512,10))</f>
        <v/>
      </c>
      <c r="O3512" s="396">
        <f>TIMEVALUE(MID(G3512,12,8))</f>
        <v/>
      </c>
      <c r="P3512" s="396">
        <f>IFERROR(_xlfn.MINIFS($M:$M,$E:$E,$E3512,$K:$K,$K3512,$M:$M,"&gt;"&amp;$O3512),"")</f>
        <v/>
      </c>
      <c r="Q3512" s="396">
        <f>IF($P3512="","",$P3512-$O3512)</f>
        <v/>
      </c>
    </row>
    <row r="3513" ht="15" customHeight="1" s="231">
      <c r="K3513" s="395">
        <f>DATE(VALUE(LEFT(A3513,4)),VALUE(MID(A3513,5,2)),VALUE(RIGHT(A3513,2)))</f>
        <v/>
      </c>
      <c r="L3513" s="395">
        <f>DATEVALUE(LEFT(F3513,10))</f>
        <v/>
      </c>
      <c r="M3513" s="396">
        <f>TIMEVALUE(MID(F3513,12,8))</f>
        <v/>
      </c>
      <c r="N3513" s="395">
        <f>DATEVALUE(LEFT(G3513,10))</f>
        <v/>
      </c>
      <c r="O3513" s="396">
        <f>TIMEVALUE(MID(G3513,12,8))</f>
        <v/>
      </c>
      <c r="P3513" s="396">
        <f>IFERROR(_xlfn.MINIFS($M:$M,$E:$E,$E3513,$K:$K,$K3513,$M:$M,"&gt;"&amp;$O3513),"")</f>
        <v/>
      </c>
      <c r="Q3513" s="396">
        <f>IF($P3513="","",$P3513-$O3513)</f>
        <v/>
      </c>
    </row>
    <row r="3514" ht="15" customHeight="1" s="231">
      <c r="K3514" s="395">
        <f>DATE(VALUE(LEFT(A3514,4)),VALUE(MID(A3514,5,2)),VALUE(RIGHT(A3514,2)))</f>
        <v/>
      </c>
      <c r="L3514" s="395">
        <f>DATEVALUE(LEFT(F3514,10))</f>
        <v/>
      </c>
      <c r="M3514" s="396">
        <f>TIMEVALUE(MID(F3514,12,8))</f>
        <v/>
      </c>
      <c r="N3514" s="395">
        <f>DATEVALUE(LEFT(G3514,10))</f>
        <v/>
      </c>
      <c r="O3514" s="396">
        <f>TIMEVALUE(MID(G3514,12,8))</f>
        <v/>
      </c>
      <c r="P3514" s="396">
        <f>IFERROR(_xlfn.MINIFS($M:$M,$E:$E,$E3514,$K:$K,$K3514,$M:$M,"&gt;"&amp;$O3514),"")</f>
        <v/>
      </c>
      <c r="Q3514" s="396">
        <f>IF($P3514="","",$P3514-$O3514)</f>
        <v/>
      </c>
    </row>
    <row r="3515" ht="15" customHeight="1" s="231">
      <c r="K3515" s="395">
        <f>DATE(VALUE(LEFT(A3515,4)),VALUE(MID(A3515,5,2)),VALUE(RIGHT(A3515,2)))</f>
        <v/>
      </c>
      <c r="L3515" s="395">
        <f>DATEVALUE(LEFT(F3515,10))</f>
        <v/>
      </c>
      <c r="M3515" s="396">
        <f>TIMEVALUE(MID(F3515,12,8))</f>
        <v/>
      </c>
      <c r="N3515" s="395">
        <f>DATEVALUE(LEFT(G3515,10))</f>
        <v/>
      </c>
      <c r="O3515" s="396">
        <f>TIMEVALUE(MID(G3515,12,8))</f>
        <v/>
      </c>
      <c r="P3515" s="396">
        <f>IFERROR(_xlfn.MINIFS($M:$M,$E:$E,$E3515,$K:$K,$K3515,$M:$M,"&gt;"&amp;$O3515),"")</f>
        <v/>
      </c>
      <c r="Q3515" s="396">
        <f>IF($P3515="","",$P3515-$O3515)</f>
        <v/>
      </c>
    </row>
    <row r="3516" ht="15" customHeight="1" s="231">
      <c r="K3516" s="395">
        <f>DATE(VALUE(LEFT(A3516,4)),VALUE(MID(A3516,5,2)),VALUE(RIGHT(A3516,2)))</f>
        <v/>
      </c>
      <c r="L3516" s="395">
        <f>DATEVALUE(LEFT(F3516,10))</f>
        <v/>
      </c>
      <c r="M3516" s="396">
        <f>TIMEVALUE(MID(F3516,12,8))</f>
        <v/>
      </c>
      <c r="N3516" s="395">
        <f>DATEVALUE(LEFT(G3516,10))</f>
        <v/>
      </c>
      <c r="O3516" s="396">
        <f>TIMEVALUE(MID(G3516,12,8))</f>
        <v/>
      </c>
      <c r="P3516" s="396">
        <f>IFERROR(_xlfn.MINIFS($M:$M,$E:$E,$E3516,$K:$K,$K3516,$M:$M,"&gt;"&amp;$O3516),"")</f>
        <v/>
      </c>
      <c r="Q3516" s="396">
        <f>IF($P3516="","",$P3516-$O3516)</f>
        <v/>
      </c>
    </row>
    <row r="3517" ht="15" customHeight="1" s="231">
      <c r="K3517" s="395">
        <f>DATE(VALUE(LEFT(A3517,4)),VALUE(MID(A3517,5,2)),VALUE(RIGHT(A3517,2)))</f>
        <v/>
      </c>
      <c r="L3517" s="395">
        <f>DATEVALUE(LEFT(F3517,10))</f>
        <v/>
      </c>
      <c r="M3517" s="396">
        <f>TIMEVALUE(MID(F3517,12,8))</f>
        <v/>
      </c>
      <c r="N3517" s="395">
        <f>DATEVALUE(LEFT(G3517,10))</f>
        <v/>
      </c>
      <c r="O3517" s="396">
        <f>TIMEVALUE(MID(G3517,12,8))</f>
        <v/>
      </c>
      <c r="P3517" s="396">
        <f>IFERROR(_xlfn.MINIFS($M:$M,$E:$E,$E3517,$K:$K,$K3517,$M:$M,"&gt;"&amp;$O3517),"")</f>
        <v/>
      </c>
      <c r="Q3517" s="396">
        <f>IF($P3517="","",$P3517-$O3517)</f>
        <v/>
      </c>
    </row>
    <row r="3518" ht="15" customHeight="1" s="231">
      <c r="K3518" s="395">
        <f>DATE(VALUE(LEFT(A3518,4)),VALUE(MID(A3518,5,2)),VALUE(RIGHT(A3518,2)))</f>
        <v/>
      </c>
      <c r="L3518" s="395">
        <f>DATEVALUE(LEFT(F3518,10))</f>
        <v/>
      </c>
      <c r="M3518" s="396">
        <f>TIMEVALUE(MID(F3518,12,8))</f>
        <v/>
      </c>
      <c r="N3518" s="395">
        <f>DATEVALUE(LEFT(G3518,10))</f>
        <v/>
      </c>
      <c r="O3518" s="396">
        <f>TIMEVALUE(MID(G3518,12,8))</f>
        <v/>
      </c>
      <c r="P3518" s="396">
        <f>IFERROR(_xlfn.MINIFS($M:$M,$E:$E,$E3518,$K:$K,$K3518,$M:$M,"&gt;"&amp;$O3518),"")</f>
        <v/>
      </c>
      <c r="Q3518" s="396">
        <f>IF($P3518="","",$P3518-$O3518)</f>
        <v/>
      </c>
    </row>
    <row r="3519" ht="15" customHeight="1" s="231">
      <c r="K3519" s="395">
        <f>DATE(VALUE(LEFT(A3519,4)),VALUE(MID(A3519,5,2)),VALUE(RIGHT(A3519,2)))</f>
        <v/>
      </c>
      <c r="L3519" s="395">
        <f>DATEVALUE(LEFT(F3519,10))</f>
        <v/>
      </c>
      <c r="M3519" s="396">
        <f>TIMEVALUE(MID(F3519,12,8))</f>
        <v/>
      </c>
      <c r="N3519" s="395">
        <f>DATEVALUE(LEFT(G3519,10))</f>
        <v/>
      </c>
      <c r="O3519" s="396">
        <f>TIMEVALUE(MID(G3519,12,8))</f>
        <v/>
      </c>
      <c r="P3519" s="396">
        <f>IFERROR(_xlfn.MINIFS($M:$M,$E:$E,$E3519,$K:$K,$K3519,$M:$M,"&gt;"&amp;$O3519),"")</f>
        <v/>
      </c>
      <c r="Q3519" s="396">
        <f>IF($P3519="","",$P3519-$O3519)</f>
        <v/>
      </c>
    </row>
    <row r="3520" ht="15" customHeight="1" s="231">
      <c r="K3520" s="395">
        <f>DATE(VALUE(LEFT(A3520,4)),VALUE(MID(A3520,5,2)),VALUE(RIGHT(A3520,2)))</f>
        <v/>
      </c>
      <c r="L3520" s="395">
        <f>DATEVALUE(LEFT(F3520,10))</f>
        <v/>
      </c>
      <c r="M3520" s="396">
        <f>TIMEVALUE(MID(F3520,12,8))</f>
        <v/>
      </c>
      <c r="N3520" s="395">
        <f>DATEVALUE(LEFT(G3520,10))</f>
        <v/>
      </c>
      <c r="O3520" s="396">
        <f>TIMEVALUE(MID(G3520,12,8))</f>
        <v/>
      </c>
      <c r="P3520" s="396">
        <f>IFERROR(_xlfn.MINIFS($M:$M,$E:$E,$E3520,$K:$K,$K3520,$M:$M,"&gt;"&amp;$O3520),"")</f>
        <v/>
      </c>
      <c r="Q3520" s="396">
        <f>IF($P3520="","",$P3520-$O3520)</f>
        <v/>
      </c>
    </row>
    <row r="3521" ht="15" customHeight="1" s="231">
      <c r="K3521" s="395">
        <f>DATE(VALUE(LEFT(A3521,4)),VALUE(MID(A3521,5,2)),VALUE(RIGHT(A3521,2)))</f>
        <v/>
      </c>
      <c r="L3521" s="395">
        <f>DATEVALUE(LEFT(F3521,10))</f>
        <v/>
      </c>
      <c r="M3521" s="396">
        <f>TIMEVALUE(MID(F3521,12,8))</f>
        <v/>
      </c>
      <c r="N3521" s="395">
        <f>DATEVALUE(LEFT(G3521,10))</f>
        <v/>
      </c>
      <c r="O3521" s="396">
        <f>TIMEVALUE(MID(G3521,12,8))</f>
        <v/>
      </c>
      <c r="P3521" s="396">
        <f>IFERROR(_xlfn.MINIFS($M:$M,$E:$E,$E3521,$K:$K,$K3521,$M:$M,"&gt;"&amp;$O3521),"")</f>
        <v/>
      </c>
      <c r="Q3521" s="396">
        <f>IF($P3521="","",$P3521-$O3521)</f>
        <v/>
      </c>
    </row>
    <row r="3522" ht="15" customHeight="1" s="231">
      <c r="K3522" s="395">
        <f>DATE(VALUE(LEFT(A3522,4)),VALUE(MID(A3522,5,2)),VALUE(RIGHT(A3522,2)))</f>
        <v/>
      </c>
      <c r="L3522" s="395">
        <f>DATEVALUE(LEFT(F3522,10))</f>
        <v/>
      </c>
      <c r="M3522" s="396">
        <f>TIMEVALUE(MID(F3522,12,8))</f>
        <v/>
      </c>
      <c r="N3522" s="395">
        <f>DATEVALUE(LEFT(G3522,10))</f>
        <v/>
      </c>
      <c r="O3522" s="396">
        <f>TIMEVALUE(MID(G3522,12,8))</f>
        <v/>
      </c>
      <c r="P3522" s="396">
        <f>IFERROR(_xlfn.MINIFS($M:$M,$E:$E,$E3522,$K:$K,$K3522,$M:$M,"&gt;"&amp;$O3522),"")</f>
        <v/>
      </c>
      <c r="Q3522" s="396">
        <f>IF($P3522="","",$P3522-$O3522)</f>
        <v/>
      </c>
    </row>
    <row r="3523" ht="15" customHeight="1" s="231">
      <c r="K3523" s="395">
        <f>DATE(VALUE(LEFT(A3523,4)),VALUE(MID(A3523,5,2)),VALUE(RIGHT(A3523,2)))</f>
        <v/>
      </c>
      <c r="L3523" s="395">
        <f>DATEVALUE(LEFT(F3523,10))</f>
        <v/>
      </c>
      <c r="M3523" s="396">
        <f>TIMEVALUE(MID(F3523,12,8))</f>
        <v/>
      </c>
      <c r="N3523" s="395">
        <f>DATEVALUE(LEFT(G3523,10))</f>
        <v/>
      </c>
      <c r="O3523" s="396">
        <f>TIMEVALUE(MID(G3523,12,8))</f>
        <v/>
      </c>
      <c r="P3523" s="396">
        <f>IFERROR(_xlfn.MINIFS($M:$M,$E:$E,$E3523,$K:$K,$K3523,$M:$M,"&gt;"&amp;$O3523),"")</f>
        <v/>
      </c>
      <c r="Q3523" s="396">
        <f>IF($P3523="","",$P3523-$O3523)</f>
        <v/>
      </c>
    </row>
    <row r="3524" ht="15" customHeight="1" s="231">
      <c r="K3524" s="395">
        <f>DATE(VALUE(LEFT(A3524,4)),VALUE(MID(A3524,5,2)),VALUE(RIGHT(A3524,2)))</f>
        <v/>
      </c>
      <c r="L3524" s="395">
        <f>DATEVALUE(LEFT(F3524,10))</f>
        <v/>
      </c>
      <c r="M3524" s="396">
        <f>TIMEVALUE(MID(F3524,12,8))</f>
        <v/>
      </c>
      <c r="N3524" s="395">
        <f>DATEVALUE(LEFT(G3524,10))</f>
        <v/>
      </c>
      <c r="O3524" s="396">
        <f>TIMEVALUE(MID(G3524,12,8))</f>
        <v/>
      </c>
      <c r="P3524" s="396">
        <f>IFERROR(_xlfn.MINIFS($M:$M,$E:$E,$E3524,$K:$K,$K3524,$M:$M,"&gt;"&amp;$O3524),"")</f>
        <v/>
      </c>
      <c r="Q3524" s="396">
        <f>IF($P3524="","",$P3524-$O3524)</f>
        <v/>
      </c>
    </row>
    <row r="3525" ht="15" customHeight="1" s="231">
      <c r="K3525" s="395">
        <f>DATE(VALUE(LEFT(A3525,4)),VALUE(MID(A3525,5,2)),VALUE(RIGHT(A3525,2)))</f>
        <v/>
      </c>
      <c r="L3525" s="395">
        <f>DATEVALUE(LEFT(F3525,10))</f>
        <v/>
      </c>
      <c r="M3525" s="396">
        <f>TIMEVALUE(MID(F3525,12,8))</f>
        <v/>
      </c>
      <c r="N3525" s="395">
        <f>DATEVALUE(LEFT(G3525,10))</f>
        <v/>
      </c>
      <c r="O3525" s="396">
        <f>TIMEVALUE(MID(G3525,12,8))</f>
        <v/>
      </c>
      <c r="P3525" s="396">
        <f>IFERROR(_xlfn.MINIFS($M:$M,$E:$E,$E3525,$K:$K,$K3525,$M:$M,"&gt;"&amp;$O3525),"")</f>
        <v/>
      </c>
      <c r="Q3525" s="396">
        <f>IF($P3525="","",$P3525-$O3525)</f>
        <v/>
      </c>
    </row>
    <row r="3526" ht="15" customHeight="1" s="231">
      <c r="K3526" s="395">
        <f>DATE(VALUE(LEFT(A3526,4)),VALUE(MID(A3526,5,2)),VALUE(RIGHT(A3526,2)))</f>
        <v/>
      </c>
      <c r="L3526" s="395">
        <f>DATEVALUE(LEFT(F3526,10))</f>
        <v/>
      </c>
      <c r="M3526" s="396">
        <f>TIMEVALUE(MID(F3526,12,8))</f>
        <v/>
      </c>
      <c r="N3526" s="395">
        <f>DATEVALUE(LEFT(G3526,10))</f>
        <v/>
      </c>
      <c r="O3526" s="396">
        <f>TIMEVALUE(MID(G3526,12,8))</f>
        <v/>
      </c>
      <c r="P3526" s="396">
        <f>IFERROR(_xlfn.MINIFS($M:$M,$E:$E,$E3526,$K:$K,$K3526,$M:$M,"&gt;"&amp;$O3526),"")</f>
        <v/>
      </c>
      <c r="Q3526" s="396">
        <f>IF($P3526="","",$P3526-$O3526)</f>
        <v/>
      </c>
    </row>
    <row r="3527" ht="15" customHeight="1" s="231">
      <c r="K3527" s="395">
        <f>DATE(VALUE(LEFT(A3527,4)),VALUE(MID(A3527,5,2)),VALUE(RIGHT(A3527,2)))</f>
        <v/>
      </c>
      <c r="L3527" s="395">
        <f>DATEVALUE(LEFT(F3527,10))</f>
        <v/>
      </c>
      <c r="M3527" s="396">
        <f>TIMEVALUE(MID(F3527,12,8))</f>
        <v/>
      </c>
      <c r="N3527" s="395">
        <f>DATEVALUE(LEFT(G3527,10))</f>
        <v/>
      </c>
      <c r="O3527" s="396">
        <f>TIMEVALUE(MID(G3527,12,8))</f>
        <v/>
      </c>
      <c r="P3527" s="396">
        <f>IFERROR(_xlfn.MINIFS($M:$M,$E:$E,$E3527,$K:$K,$K3527,$M:$M,"&gt;"&amp;$O3527),"")</f>
        <v/>
      </c>
      <c r="Q3527" s="396">
        <f>IF($P3527="","",$P3527-$O3527)</f>
        <v/>
      </c>
    </row>
    <row r="3528" ht="15" customHeight="1" s="231">
      <c r="K3528" s="395">
        <f>DATE(VALUE(LEFT(A3528,4)),VALUE(MID(A3528,5,2)),VALUE(RIGHT(A3528,2)))</f>
        <v/>
      </c>
      <c r="L3528" s="395">
        <f>DATEVALUE(LEFT(F3528,10))</f>
        <v/>
      </c>
      <c r="M3528" s="396">
        <f>TIMEVALUE(MID(F3528,12,8))</f>
        <v/>
      </c>
      <c r="N3528" s="395">
        <f>DATEVALUE(LEFT(G3528,10))</f>
        <v/>
      </c>
      <c r="O3528" s="396">
        <f>TIMEVALUE(MID(G3528,12,8))</f>
        <v/>
      </c>
      <c r="P3528" s="396">
        <f>IFERROR(_xlfn.MINIFS($M:$M,$E:$E,$E3528,$K:$K,$K3528,$M:$M,"&gt;"&amp;$O3528),"")</f>
        <v/>
      </c>
      <c r="Q3528" s="396">
        <f>IF($P3528="","",$P3528-$O3528)</f>
        <v/>
      </c>
    </row>
    <row r="3529" ht="15" customHeight="1" s="231">
      <c r="K3529" s="395">
        <f>DATE(VALUE(LEFT(A3529,4)),VALUE(MID(A3529,5,2)),VALUE(RIGHT(A3529,2)))</f>
        <v/>
      </c>
      <c r="L3529" s="395">
        <f>DATEVALUE(LEFT(F3529,10))</f>
        <v/>
      </c>
      <c r="M3529" s="396">
        <f>TIMEVALUE(MID(F3529,12,8))</f>
        <v/>
      </c>
      <c r="N3529" s="395">
        <f>DATEVALUE(LEFT(G3529,10))</f>
        <v/>
      </c>
      <c r="O3529" s="396">
        <f>TIMEVALUE(MID(G3529,12,8))</f>
        <v/>
      </c>
      <c r="P3529" s="396">
        <f>IFERROR(_xlfn.MINIFS($M:$M,$E:$E,$E3529,$K:$K,$K3529,$M:$M,"&gt;"&amp;$O3529),"")</f>
        <v/>
      </c>
      <c r="Q3529" s="396">
        <f>IF($P3529="","",$P3529-$O3529)</f>
        <v/>
      </c>
    </row>
    <row r="3530" ht="15" customHeight="1" s="231">
      <c r="K3530" s="395">
        <f>DATE(VALUE(LEFT(A3530,4)),VALUE(MID(A3530,5,2)),VALUE(RIGHT(A3530,2)))</f>
        <v/>
      </c>
      <c r="L3530" s="395">
        <f>DATEVALUE(LEFT(F3530,10))</f>
        <v/>
      </c>
      <c r="M3530" s="396">
        <f>TIMEVALUE(MID(F3530,12,8))</f>
        <v/>
      </c>
      <c r="N3530" s="395">
        <f>DATEVALUE(LEFT(G3530,10))</f>
        <v/>
      </c>
      <c r="O3530" s="396">
        <f>TIMEVALUE(MID(G3530,12,8))</f>
        <v/>
      </c>
      <c r="P3530" s="396">
        <f>IFERROR(_xlfn.MINIFS($M:$M,$E:$E,$E3530,$K:$K,$K3530,$M:$M,"&gt;"&amp;$O3530),"")</f>
        <v/>
      </c>
      <c r="Q3530" s="396">
        <f>IF($P3530="","",$P3530-$O3530)</f>
        <v/>
      </c>
    </row>
    <row r="3531" ht="15" customHeight="1" s="231">
      <c r="K3531" s="395">
        <f>DATE(VALUE(LEFT(A3531,4)),VALUE(MID(A3531,5,2)),VALUE(RIGHT(A3531,2)))</f>
        <v/>
      </c>
      <c r="L3531" s="395">
        <f>DATEVALUE(LEFT(F3531,10))</f>
        <v/>
      </c>
      <c r="M3531" s="396">
        <f>TIMEVALUE(MID(F3531,12,8))</f>
        <v/>
      </c>
      <c r="N3531" s="395">
        <f>DATEVALUE(LEFT(G3531,10))</f>
        <v/>
      </c>
      <c r="O3531" s="396">
        <f>TIMEVALUE(MID(G3531,12,8))</f>
        <v/>
      </c>
      <c r="P3531" s="396">
        <f>IFERROR(_xlfn.MINIFS($M:$M,$E:$E,$E3531,$K:$K,$K3531,$M:$M,"&gt;"&amp;$O3531),"")</f>
        <v/>
      </c>
      <c r="Q3531" s="396">
        <f>IF($P3531="","",$P3531-$O3531)</f>
        <v/>
      </c>
    </row>
    <row r="3532" ht="15" customHeight="1" s="231">
      <c r="K3532" s="395">
        <f>DATE(VALUE(LEFT(A3532,4)),VALUE(MID(A3532,5,2)),VALUE(RIGHT(A3532,2)))</f>
        <v/>
      </c>
      <c r="L3532" s="395">
        <f>DATEVALUE(LEFT(F3532,10))</f>
        <v/>
      </c>
      <c r="M3532" s="396">
        <f>TIMEVALUE(MID(F3532,12,8))</f>
        <v/>
      </c>
      <c r="N3532" s="395">
        <f>DATEVALUE(LEFT(G3532,10))</f>
        <v/>
      </c>
      <c r="O3532" s="396">
        <f>TIMEVALUE(MID(G3532,12,8))</f>
        <v/>
      </c>
      <c r="P3532" s="396">
        <f>IFERROR(_xlfn.MINIFS($M:$M,$E:$E,$E3532,$K:$K,$K3532,$M:$M,"&gt;"&amp;$O3532),"")</f>
        <v/>
      </c>
      <c r="Q3532" s="396">
        <f>IF($P3532="","",$P3532-$O3532)</f>
        <v/>
      </c>
    </row>
    <row r="3533" ht="15" customHeight="1" s="231">
      <c r="K3533" s="395">
        <f>DATE(VALUE(LEFT(A3533,4)),VALUE(MID(A3533,5,2)),VALUE(RIGHT(A3533,2)))</f>
        <v/>
      </c>
      <c r="L3533" s="395">
        <f>DATEVALUE(LEFT(F3533,10))</f>
        <v/>
      </c>
      <c r="M3533" s="396">
        <f>TIMEVALUE(MID(F3533,12,8))</f>
        <v/>
      </c>
      <c r="N3533" s="395">
        <f>DATEVALUE(LEFT(G3533,10))</f>
        <v/>
      </c>
      <c r="O3533" s="396">
        <f>TIMEVALUE(MID(G3533,12,8))</f>
        <v/>
      </c>
      <c r="P3533" s="396">
        <f>IFERROR(_xlfn.MINIFS($M:$M,$E:$E,$E3533,$K:$K,$K3533,$M:$M,"&gt;"&amp;$O3533),"")</f>
        <v/>
      </c>
      <c r="Q3533" s="396">
        <f>IF($P3533="","",$P3533-$O3533)</f>
        <v/>
      </c>
    </row>
    <row r="3534" ht="15" customHeight="1" s="231">
      <c r="K3534" s="395">
        <f>DATE(VALUE(LEFT(A3534,4)),VALUE(MID(A3534,5,2)),VALUE(RIGHT(A3534,2)))</f>
        <v/>
      </c>
      <c r="L3534" s="395">
        <f>DATEVALUE(LEFT(F3534,10))</f>
        <v/>
      </c>
      <c r="M3534" s="396">
        <f>TIMEVALUE(MID(F3534,12,8))</f>
        <v/>
      </c>
      <c r="N3534" s="395">
        <f>DATEVALUE(LEFT(G3534,10))</f>
        <v/>
      </c>
      <c r="O3534" s="396">
        <f>TIMEVALUE(MID(G3534,12,8))</f>
        <v/>
      </c>
      <c r="P3534" s="396">
        <f>IFERROR(_xlfn.MINIFS($M:$M,$E:$E,$E3534,$K:$K,$K3534,$M:$M,"&gt;"&amp;$O3534),"")</f>
        <v/>
      </c>
      <c r="Q3534" s="396">
        <f>IF($P3534="","",$P3534-$O3534)</f>
        <v/>
      </c>
    </row>
    <row r="3535" ht="15" customHeight="1" s="231">
      <c r="K3535" s="395">
        <f>DATE(VALUE(LEFT(A3535,4)),VALUE(MID(A3535,5,2)),VALUE(RIGHT(A3535,2)))</f>
        <v/>
      </c>
      <c r="L3535" s="395">
        <f>DATEVALUE(LEFT(F3535,10))</f>
        <v/>
      </c>
      <c r="M3535" s="396">
        <f>TIMEVALUE(MID(F3535,12,8))</f>
        <v/>
      </c>
      <c r="N3535" s="395">
        <f>DATEVALUE(LEFT(G3535,10))</f>
        <v/>
      </c>
      <c r="O3535" s="396">
        <f>TIMEVALUE(MID(G3535,12,8))</f>
        <v/>
      </c>
      <c r="P3535" s="396">
        <f>IFERROR(_xlfn.MINIFS($M:$M,$E:$E,$E3535,$K:$K,$K3535,$M:$M,"&gt;"&amp;$O3535),"")</f>
        <v/>
      </c>
      <c r="Q3535" s="396">
        <f>IF($P3535="","",$P3535-$O3535)</f>
        <v/>
      </c>
    </row>
    <row r="3536" ht="15" customHeight="1" s="231">
      <c r="K3536" s="395">
        <f>DATE(VALUE(LEFT(A3536,4)),VALUE(MID(A3536,5,2)),VALUE(RIGHT(A3536,2)))</f>
        <v/>
      </c>
      <c r="L3536" s="395">
        <f>DATEVALUE(LEFT(F3536,10))</f>
        <v/>
      </c>
      <c r="M3536" s="396">
        <f>TIMEVALUE(MID(F3536,12,8))</f>
        <v/>
      </c>
      <c r="N3536" s="395">
        <f>DATEVALUE(LEFT(G3536,10))</f>
        <v/>
      </c>
      <c r="O3536" s="396">
        <f>TIMEVALUE(MID(G3536,12,8))</f>
        <v/>
      </c>
      <c r="P3536" s="396">
        <f>IFERROR(_xlfn.MINIFS($M:$M,$E:$E,$E3536,$K:$K,$K3536,$M:$M,"&gt;"&amp;$O3536),"")</f>
        <v/>
      </c>
      <c r="Q3536" s="396">
        <f>IF($P3536="","",$P3536-$O3536)</f>
        <v/>
      </c>
    </row>
    <row r="3537" ht="15" customHeight="1" s="231">
      <c r="K3537" s="395">
        <f>DATE(VALUE(LEFT(A3537,4)),VALUE(MID(A3537,5,2)),VALUE(RIGHT(A3537,2)))</f>
        <v/>
      </c>
      <c r="L3537" s="395">
        <f>DATEVALUE(LEFT(F3537,10))</f>
        <v/>
      </c>
      <c r="M3537" s="396">
        <f>TIMEVALUE(MID(F3537,12,8))</f>
        <v/>
      </c>
      <c r="N3537" s="395">
        <f>DATEVALUE(LEFT(G3537,10))</f>
        <v/>
      </c>
      <c r="O3537" s="396">
        <f>TIMEVALUE(MID(G3537,12,8))</f>
        <v/>
      </c>
      <c r="P3537" s="396">
        <f>IFERROR(_xlfn.MINIFS($M:$M,$E:$E,$E3537,$K:$K,$K3537,$M:$M,"&gt;"&amp;$O3537),"")</f>
        <v/>
      </c>
      <c r="Q3537" s="396">
        <f>IF($P3537="","",$P3537-$O3537)</f>
        <v/>
      </c>
    </row>
    <row r="3538" ht="15" customHeight="1" s="231">
      <c r="K3538" s="395">
        <f>DATE(VALUE(LEFT(A3538,4)),VALUE(MID(A3538,5,2)),VALUE(RIGHT(A3538,2)))</f>
        <v/>
      </c>
      <c r="L3538" s="395">
        <f>DATEVALUE(LEFT(F3538,10))</f>
        <v/>
      </c>
      <c r="M3538" s="396">
        <f>TIMEVALUE(MID(F3538,12,8))</f>
        <v/>
      </c>
      <c r="N3538" s="395">
        <f>DATEVALUE(LEFT(G3538,10))</f>
        <v/>
      </c>
      <c r="O3538" s="396">
        <f>TIMEVALUE(MID(G3538,12,8))</f>
        <v/>
      </c>
      <c r="P3538" s="396">
        <f>IFERROR(_xlfn.MINIFS($M:$M,$E:$E,$E3538,$K:$K,$K3538,$M:$M,"&gt;"&amp;$O3538),"")</f>
        <v/>
      </c>
      <c r="Q3538" s="396">
        <f>IF($P3538="","",$P3538-$O3538)</f>
        <v/>
      </c>
    </row>
    <row r="3539" ht="15" customHeight="1" s="231">
      <c r="K3539" s="395">
        <f>DATE(VALUE(LEFT(A3539,4)),VALUE(MID(A3539,5,2)),VALUE(RIGHT(A3539,2)))</f>
        <v/>
      </c>
      <c r="L3539" s="395">
        <f>DATEVALUE(LEFT(F3539,10))</f>
        <v/>
      </c>
      <c r="M3539" s="396">
        <f>TIMEVALUE(MID(F3539,12,8))</f>
        <v/>
      </c>
      <c r="N3539" s="395">
        <f>DATEVALUE(LEFT(G3539,10))</f>
        <v/>
      </c>
      <c r="O3539" s="396">
        <f>TIMEVALUE(MID(G3539,12,8))</f>
        <v/>
      </c>
      <c r="P3539" s="396">
        <f>IFERROR(_xlfn.MINIFS($M:$M,$E:$E,$E3539,$K:$K,$K3539,$M:$M,"&gt;"&amp;$O3539),"")</f>
        <v/>
      </c>
      <c r="Q3539" s="396">
        <f>IF($P3539="","",$P3539-$O3539)</f>
        <v/>
      </c>
    </row>
    <row r="3540" ht="15" customHeight="1" s="231">
      <c r="K3540" s="395">
        <f>DATE(VALUE(LEFT(A3540,4)),VALUE(MID(A3540,5,2)),VALUE(RIGHT(A3540,2)))</f>
        <v/>
      </c>
      <c r="L3540" s="395">
        <f>DATEVALUE(LEFT(F3540,10))</f>
        <v/>
      </c>
      <c r="M3540" s="396">
        <f>TIMEVALUE(MID(F3540,12,8))</f>
        <v/>
      </c>
      <c r="N3540" s="395">
        <f>DATEVALUE(LEFT(G3540,10))</f>
        <v/>
      </c>
      <c r="O3540" s="396">
        <f>TIMEVALUE(MID(G3540,12,8))</f>
        <v/>
      </c>
      <c r="P3540" s="396">
        <f>IFERROR(_xlfn.MINIFS($M:$M,$E:$E,$E3540,$K:$K,$K3540,$M:$M,"&gt;"&amp;$O3540),"")</f>
        <v/>
      </c>
      <c r="Q3540" s="396">
        <f>IF($P3540="","",$P3540-$O3540)</f>
        <v/>
      </c>
    </row>
    <row r="3541" ht="15" customHeight="1" s="231">
      <c r="K3541" s="395">
        <f>DATE(VALUE(LEFT(A3541,4)),VALUE(MID(A3541,5,2)),VALUE(RIGHT(A3541,2)))</f>
        <v/>
      </c>
      <c r="L3541" s="395">
        <f>DATEVALUE(LEFT(F3541,10))</f>
        <v/>
      </c>
      <c r="M3541" s="396">
        <f>TIMEVALUE(MID(F3541,12,8))</f>
        <v/>
      </c>
      <c r="N3541" s="395">
        <f>DATEVALUE(LEFT(G3541,10))</f>
        <v/>
      </c>
      <c r="O3541" s="396">
        <f>TIMEVALUE(MID(G3541,12,8))</f>
        <v/>
      </c>
      <c r="P3541" s="396">
        <f>IFERROR(_xlfn.MINIFS($M:$M,$E:$E,$E3541,$K:$K,$K3541,$M:$M,"&gt;"&amp;$O3541),"")</f>
        <v/>
      </c>
      <c r="Q3541" s="396">
        <f>IF($P3541="","",$P3541-$O3541)</f>
        <v/>
      </c>
    </row>
    <row r="3542" ht="15" customHeight="1" s="231">
      <c r="K3542" s="395">
        <f>DATE(VALUE(LEFT(A3542,4)),VALUE(MID(A3542,5,2)),VALUE(RIGHT(A3542,2)))</f>
        <v/>
      </c>
      <c r="L3542" s="395">
        <f>DATEVALUE(LEFT(F3542,10))</f>
        <v/>
      </c>
      <c r="M3542" s="396">
        <f>TIMEVALUE(MID(F3542,12,8))</f>
        <v/>
      </c>
      <c r="N3542" s="395">
        <f>DATEVALUE(LEFT(G3542,10))</f>
        <v/>
      </c>
      <c r="O3542" s="396">
        <f>TIMEVALUE(MID(G3542,12,8))</f>
        <v/>
      </c>
      <c r="P3542" s="396">
        <f>IFERROR(_xlfn.MINIFS($M:$M,$E:$E,$E3542,$K:$K,$K3542,$M:$M,"&gt;"&amp;$O3542),"")</f>
        <v/>
      </c>
      <c r="Q3542" s="396">
        <f>IF($P3542="","",$P3542-$O3542)</f>
        <v/>
      </c>
    </row>
    <row r="3543" ht="15" customHeight="1" s="231">
      <c r="K3543" s="395">
        <f>DATE(VALUE(LEFT(A3543,4)),VALUE(MID(A3543,5,2)),VALUE(RIGHT(A3543,2)))</f>
        <v/>
      </c>
      <c r="L3543" s="395">
        <f>DATEVALUE(LEFT(F3543,10))</f>
        <v/>
      </c>
      <c r="M3543" s="396">
        <f>TIMEVALUE(MID(F3543,12,8))</f>
        <v/>
      </c>
      <c r="N3543" s="395">
        <f>DATEVALUE(LEFT(G3543,10))</f>
        <v/>
      </c>
      <c r="O3543" s="396">
        <f>TIMEVALUE(MID(G3543,12,8))</f>
        <v/>
      </c>
      <c r="P3543" s="396">
        <f>IFERROR(_xlfn.MINIFS($M:$M,$E:$E,$E3543,$K:$K,$K3543,$M:$M,"&gt;"&amp;$O3543),"")</f>
        <v/>
      </c>
      <c r="Q3543" s="396">
        <f>IF($P3543="","",$P3543-$O3543)</f>
        <v/>
      </c>
    </row>
    <row r="3544" ht="15" customHeight="1" s="231">
      <c r="K3544" s="395">
        <f>DATE(VALUE(LEFT(A3544,4)),VALUE(MID(A3544,5,2)),VALUE(RIGHT(A3544,2)))</f>
        <v/>
      </c>
      <c r="L3544" s="395">
        <f>DATEVALUE(LEFT(F3544,10))</f>
        <v/>
      </c>
      <c r="M3544" s="396">
        <f>TIMEVALUE(MID(F3544,12,8))</f>
        <v/>
      </c>
      <c r="N3544" s="395">
        <f>DATEVALUE(LEFT(G3544,10))</f>
        <v/>
      </c>
      <c r="O3544" s="396">
        <f>TIMEVALUE(MID(G3544,12,8))</f>
        <v/>
      </c>
      <c r="P3544" s="396">
        <f>IFERROR(_xlfn.MINIFS($M:$M,$E:$E,$E3544,$K:$K,$K3544,$M:$M,"&gt;"&amp;$O3544),"")</f>
        <v/>
      </c>
      <c r="Q3544" s="396">
        <f>IF($P3544="","",$P3544-$O3544)</f>
        <v/>
      </c>
    </row>
    <row r="3545" ht="15" customHeight="1" s="231">
      <c r="K3545" s="395">
        <f>DATE(VALUE(LEFT(A3545,4)),VALUE(MID(A3545,5,2)),VALUE(RIGHT(A3545,2)))</f>
        <v/>
      </c>
      <c r="L3545" s="395">
        <f>DATEVALUE(LEFT(F3545,10))</f>
        <v/>
      </c>
      <c r="M3545" s="396">
        <f>TIMEVALUE(MID(F3545,12,8))</f>
        <v/>
      </c>
      <c r="N3545" s="395">
        <f>DATEVALUE(LEFT(G3545,10))</f>
        <v/>
      </c>
      <c r="O3545" s="396">
        <f>TIMEVALUE(MID(G3545,12,8))</f>
        <v/>
      </c>
      <c r="P3545" s="396">
        <f>IFERROR(_xlfn.MINIFS($M:$M,$E:$E,$E3545,$K:$K,$K3545,$M:$M,"&gt;"&amp;$O3545),"")</f>
        <v/>
      </c>
      <c r="Q3545" s="396">
        <f>IF($P3545="","",$P3545-$O3545)</f>
        <v/>
      </c>
    </row>
    <row r="3546" ht="15" customHeight="1" s="231">
      <c r="K3546" s="395">
        <f>DATE(VALUE(LEFT(A3546,4)),VALUE(MID(A3546,5,2)),VALUE(RIGHT(A3546,2)))</f>
        <v/>
      </c>
      <c r="L3546" s="395">
        <f>DATEVALUE(LEFT(F3546,10))</f>
        <v/>
      </c>
      <c r="M3546" s="396">
        <f>TIMEVALUE(MID(F3546,12,8))</f>
        <v/>
      </c>
      <c r="N3546" s="395">
        <f>DATEVALUE(LEFT(G3546,10))</f>
        <v/>
      </c>
      <c r="O3546" s="396">
        <f>TIMEVALUE(MID(G3546,12,8))</f>
        <v/>
      </c>
      <c r="P3546" s="396">
        <f>IFERROR(_xlfn.MINIFS($M:$M,$E:$E,$E3546,$K:$K,$K3546,$M:$M,"&gt;"&amp;$O3546),"")</f>
        <v/>
      </c>
      <c r="Q3546" s="396">
        <f>IF($P3546="","",$P3546-$O3546)</f>
        <v/>
      </c>
    </row>
    <row r="3547" ht="15" customHeight="1" s="231">
      <c r="K3547" s="395">
        <f>DATE(VALUE(LEFT(A3547,4)),VALUE(MID(A3547,5,2)),VALUE(RIGHT(A3547,2)))</f>
        <v/>
      </c>
      <c r="L3547" s="395">
        <f>DATEVALUE(LEFT(F3547,10))</f>
        <v/>
      </c>
      <c r="M3547" s="396">
        <f>TIMEVALUE(MID(F3547,12,8))</f>
        <v/>
      </c>
      <c r="N3547" s="395">
        <f>DATEVALUE(LEFT(G3547,10))</f>
        <v/>
      </c>
      <c r="O3547" s="396">
        <f>TIMEVALUE(MID(G3547,12,8))</f>
        <v/>
      </c>
      <c r="P3547" s="396">
        <f>IFERROR(_xlfn.MINIFS($M:$M,$E:$E,$E3547,$K:$K,$K3547,$M:$M,"&gt;"&amp;$O3547),"")</f>
        <v/>
      </c>
      <c r="Q3547" s="396">
        <f>IF($P3547="","",$P3547-$O3547)</f>
        <v/>
      </c>
    </row>
    <row r="3548" ht="15" customHeight="1" s="231">
      <c r="K3548" s="395">
        <f>DATE(VALUE(LEFT(A3548,4)),VALUE(MID(A3548,5,2)),VALUE(RIGHT(A3548,2)))</f>
        <v/>
      </c>
      <c r="L3548" s="395">
        <f>DATEVALUE(LEFT(F3548,10))</f>
        <v/>
      </c>
      <c r="M3548" s="396">
        <f>TIMEVALUE(MID(F3548,12,8))</f>
        <v/>
      </c>
      <c r="N3548" s="395">
        <f>DATEVALUE(LEFT(G3548,10))</f>
        <v/>
      </c>
      <c r="O3548" s="396">
        <f>TIMEVALUE(MID(G3548,12,8))</f>
        <v/>
      </c>
      <c r="P3548" s="396">
        <f>IFERROR(_xlfn.MINIFS($M:$M,$E:$E,$E3548,$K:$K,$K3548,$M:$M,"&gt;"&amp;$O3548),"")</f>
        <v/>
      </c>
      <c r="Q3548" s="396">
        <f>IF($P3548="","",$P3548-$O3548)</f>
        <v/>
      </c>
    </row>
    <row r="3549" ht="15" customHeight="1" s="231">
      <c r="K3549" s="395">
        <f>DATE(VALUE(LEFT(A3549,4)),VALUE(MID(A3549,5,2)),VALUE(RIGHT(A3549,2)))</f>
        <v/>
      </c>
      <c r="L3549" s="395">
        <f>DATEVALUE(LEFT(F3549,10))</f>
        <v/>
      </c>
      <c r="M3549" s="396">
        <f>TIMEVALUE(MID(F3549,12,8))</f>
        <v/>
      </c>
      <c r="N3549" s="395">
        <f>DATEVALUE(LEFT(G3549,10))</f>
        <v/>
      </c>
      <c r="O3549" s="396">
        <f>TIMEVALUE(MID(G3549,12,8))</f>
        <v/>
      </c>
      <c r="P3549" s="396">
        <f>IFERROR(_xlfn.MINIFS($M:$M,$E:$E,$E3549,$K:$K,$K3549,$M:$M,"&gt;"&amp;$O3549),"")</f>
        <v/>
      </c>
      <c r="Q3549" s="396">
        <f>IF($P3549="","",$P3549-$O3549)</f>
        <v/>
      </c>
    </row>
    <row r="3550" ht="15" customHeight="1" s="231">
      <c r="K3550" s="395">
        <f>DATE(VALUE(LEFT(A3550,4)),VALUE(MID(A3550,5,2)),VALUE(RIGHT(A3550,2)))</f>
        <v/>
      </c>
      <c r="L3550" s="395">
        <f>DATEVALUE(LEFT(F3550,10))</f>
        <v/>
      </c>
      <c r="M3550" s="396">
        <f>TIMEVALUE(MID(F3550,12,8))</f>
        <v/>
      </c>
      <c r="N3550" s="395">
        <f>DATEVALUE(LEFT(G3550,10))</f>
        <v/>
      </c>
      <c r="O3550" s="396">
        <f>TIMEVALUE(MID(G3550,12,8))</f>
        <v/>
      </c>
      <c r="P3550" s="396">
        <f>IFERROR(_xlfn.MINIFS($M:$M,$E:$E,$E3550,$K:$K,$K3550,$M:$M,"&gt;"&amp;$O3550),"")</f>
        <v/>
      </c>
      <c r="Q3550" s="396">
        <f>IF($P3550="","",$P3550-$O3550)</f>
        <v/>
      </c>
    </row>
    <row r="3551" ht="15" customHeight="1" s="231">
      <c r="K3551" s="395">
        <f>DATE(VALUE(LEFT(A3551,4)),VALUE(MID(A3551,5,2)),VALUE(RIGHT(A3551,2)))</f>
        <v/>
      </c>
      <c r="L3551" s="395">
        <f>DATEVALUE(LEFT(F3551,10))</f>
        <v/>
      </c>
      <c r="M3551" s="396">
        <f>TIMEVALUE(MID(F3551,12,8))</f>
        <v/>
      </c>
      <c r="N3551" s="395">
        <f>DATEVALUE(LEFT(G3551,10))</f>
        <v/>
      </c>
      <c r="O3551" s="396">
        <f>TIMEVALUE(MID(G3551,12,8))</f>
        <v/>
      </c>
      <c r="P3551" s="396">
        <f>IFERROR(_xlfn.MINIFS($M:$M,$E:$E,$E3551,$K:$K,$K3551,$M:$M,"&gt;"&amp;$O3551),"")</f>
        <v/>
      </c>
      <c r="Q3551" s="396">
        <f>IF($P3551="","",$P3551-$O3551)</f>
        <v/>
      </c>
    </row>
    <row r="3552" ht="15" customHeight="1" s="231">
      <c r="K3552" s="395">
        <f>DATE(VALUE(LEFT(A3552,4)),VALUE(MID(A3552,5,2)),VALUE(RIGHT(A3552,2)))</f>
        <v/>
      </c>
      <c r="L3552" s="395">
        <f>DATEVALUE(LEFT(F3552,10))</f>
        <v/>
      </c>
      <c r="M3552" s="396">
        <f>TIMEVALUE(MID(F3552,12,8))</f>
        <v/>
      </c>
      <c r="N3552" s="395">
        <f>DATEVALUE(LEFT(G3552,10))</f>
        <v/>
      </c>
      <c r="O3552" s="396">
        <f>TIMEVALUE(MID(G3552,12,8))</f>
        <v/>
      </c>
      <c r="P3552" s="396">
        <f>IFERROR(_xlfn.MINIFS($M:$M,$E:$E,$E3552,$K:$K,$K3552,$M:$M,"&gt;"&amp;$O3552),"")</f>
        <v/>
      </c>
      <c r="Q3552" s="396">
        <f>IF($P3552="","",$P3552-$O3552)</f>
        <v/>
      </c>
    </row>
    <row r="3553" ht="15" customHeight="1" s="231">
      <c r="K3553" s="395">
        <f>DATE(VALUE(LEFT(A3553,4)),VALUE(MID(A3553,5,2)),VALUE(RIGHT(A3553,2)))</f>
        <v/>
      </c>
      <c r="L3553" s="395">
        <f>DATEVALUE(LEFT(F3553,10))</f>
        <v/>
      </c>
      <c r="M3553" s="396">
        <f>TIMEVALUE(MID(F3553,12,8))</f>
        <v/>
      </c>
      <c r="N3553" s="395">
        <f>DATEVALUE(LEFT(G3553,10))</f>
        <v/>
      </c>
      <c r="O3553" s="396">
        <f>TIMEVALUE(MID(G3553,12,8))</f>
        <v/>
      </c>
      <c r="P3553" s="396">
        <f>IFERROR(_xlfn.MINIFS($M:$M,$E:$E,$E3553,$K:$K,$K3553,$M:$M,"&gt;"&amp;$O3553),"")</f>
        <v/>
      </c>
      <c r="Q3553" s="396">
        <f>IF($P3553="","",$P3553-$O3553)</f>
        <v/>
      </c>
    </row>
    <row r="3554" ht="15" customHeight="1" s="231">
      <c r="K3554" s="395">
        <f>DATE(VALUE(LEFT(A3554,4)),VALUE(MID(A3554,5,2)),VALUE(RIGHT(A3554,2)))</f>
        <v/>
      </c>
      <c r="L3554" s="395">
        <f>DATEVALUE(LEFT(F3554,10))</f>
        <v/>
      </c>
      <c r="M3554" s="396">
        <f>TIMEVALUE(MID(F3554,12,8))</f>
        <v/>
      </c>
      <c r="N3554" s="395">
        <f>DATEVALUE(LEFT(G3554,10))</f>
        <v/>
      </c>
      <c r="O3554" s="396">
        <f>TIMEVALUE(MID(G3554,12,8))</f>
        <v/>
      </c>
      <c r="P3554" s="396">
        <f>IFERROR(_xlfn.MINIFS($M:$M,$E:$E,$E3554,$K:$K,$K3554,$M:$M,"&gt;"&amp;$O3554),"")</f>
        <v/>
      </c>
      <c r="Q3554" s="396">
        <f>IF($P3554="","",$P3554-$O3554)</f>
        <v/>
      </c>
    </row>
    <row r="3555" ht="15" customHeight="1" s="231">
      <c r="K3555" s="395">
        <f>DATE(VALUE(LEFT(A3555,4)),VALUE(MID(A3555,5,2)),VALUE(RIGHT(A3555,2)))</f>
        <v/>
      </c>
      <c r="L3555" s="395">
        <f>DATEVALUE(LEFT(F3555,10))</f>
        <v/>
      </c>
      <c r="M3555" s="396">
        <f>TIMEVALUE(MID(F3555,12,8))</f>
        <v/>
      </c>
      <c r="N3555" s="395">
        <f>DATEVALUE(LEFT(G3555,10))</f>
        <v/>
      </c>
      <c r="O3555" s="396">
        <f>TIMEVALUE(MID(G3555,12,8))</f>
        <v/>
      </c>
      <c r="P3555" s="396">
        <f>IFERROR(_xlfn.MINIFS($M:$M,$E:$E,$E3555,$K:$K,$K3555,$M:$M,"&gt;"&amp;$O3555),"")</f>
        <v/>
      </c>
      <c r="Q3555" s="396">
        <f>IF($P3555="","",$P3555-$O3555)</f>
        <v/>
      </c>
    </row>
    <row r="3556" ht="15" customHeight="1" s="231">
      <c r="K3556" s="395">
        <f>DATE(VALUE(LEFT(A3556,4)),VALUE(MID(A3556,5,2)),VALUE(RIGHT(A3556,2)))</f>
        <v/>
      </c>
      <c r="L3556" s="395">
        <f>DATEVALUE(LEFT(F3556,10))</f>
        <v/>
      </c>
      <c r="M3556" s="396">
        <f>TIMEVALUE(MID(F3556,12,8))</f>
        <v/>
      </c>
      <c r="N3556" s="395">
        <f>DATEVALUE(LEFT(G3556,10))</f>
        <v/>
      </c>
      <c r="O3556" s="396">
        <f>TIMEVALUE(MID(G3556,12,8))</f>
        <v/>
      </c>
      <c r="P3556" s="396">
        <f>IFERROR(_xlfn.MINIFS($M:$M,$E:$E,$E3556,$K:$K,$K3556,$M:$M,"&gt;"&amp;$O3556),"")</f>
        <v/>
      </c>
      <c r="Q3556" s="396">
        <f>IF($P3556="","",$P3556-$O3556)</f>
        <v/>
      </c>
    </row>
    <row r="3557" ht="15" customHeight="1" s="231">
      <c r="K3557" s="395">
        <f>DATE(VALUE(LEFT(A3557,4)),VALUE(MID(A3557,5,2)),VALUE(RIGHT(A3557,2)))</f>
        <v/>
      </c>
      <c r="L3557" s="395">
        <f>DATEVALUE(LEFT(F3557,10))</f>
        <v/>
      </c>
      <c r="M3557" s="396">
        <f>TIMEVALUE(MID(F3557,12,8))</f>
        <v/>
      </c>
      <c r="N3557" s="395">
        <f>DATEVALUE(LEFT(G3557,10))</f>
        <v/>
      </c>
      <c r="O3557" s="396">
        <f>TIMEVALUE(MID(G3557,12,8))</f>
        <v/>
      </c>
      <c r="P3557" s="396">
        <f>IFERROR(_xlfn.MINIFS($M:$M,$E:$E,$E3557,$K:$K,$K3557,$M:$M,"&gt;"&amp;$O3557),"")</f>
        <v/>
      </c>
      <c r="Q3557" s="396">
        <f>IF($P3557="","",$P3557-$O3557)</f>
        <v/>
      </c>
    </row>
    <row r="3558" ht="15" customHeight="1" s="231">
      <c r="K3558" s="395">
        <f>DATE(VALUE(LEFT(A3558,4)),VALUE(MID(A3558,5,2)),VALUE(RIGHT(A3558,2)))</f>
        <v/>
      </c>
      <c r="L3558" s="395">
        <f>DATEVALUE(LEFT(F3558,10))</f>
        <v/>
      </c>
      <c r="M3558" s="396">
        <f>TIMEVALUE(MID(F3558,12,8))</f>
        <v/>
      </c>
      <c r="N3558" s="395">
        <f>DATEVALUE(LEFT(G3558,10))</f>
        <v/>
      </c>
      <c r="O3558" s="396">
        <f>TIMEVALUE(MID(G3558,12,8))</f>
        <v/>
      </c>
      <c r="P3558" s="396">
        <f>IFERROR(_xlfn.MINIFS($M:$M,$E:$E,$E3558,$K:$K,$K3558,$M:$M,"&gt;"&amp;$O3558),"")</f>
        <v/>
      </c>
      <c r="Q3558" s="396">
        <f>IF($P3558="","",$P3558-$O3558)</f>
        <v/>
      </c>
    </row>
    <row r="3559" ht="15" customHeight="1" s="231">
      <c r="K3559" s="395">
        <f>DATE(VALUE(LEFT(A3559,4)),VALUE(MID(A3559,5,2)),VALUE(RIGHT(A3559,2)))</f>
        <v/>
      </c>
      <c r="L3559" s="395">
        <f>DATEVALUE(LEFT(F3559,10))</f>
        <v/>
      </c>
      <c r="M3559" s="396">
        <f>TIMEVALUE(MID(F3559,12,8))</f>
        <v/>
      </c>
      <c r="N3559" s="395">
        <f>DATEVALUE(LEFT(G3559,10))</f>
        <v/>
      </c>
      <c r="O3559" s="396">
        <f>TIMEVALUE(MID(G3559,12,8))</f>
        <v/>
      </c>
      <c r="P3559" s="396">
        <f>IFERROR(_xlfn.MINIFS($M:$M,$E:$E,$E3559,$K:$K,$K3559,$M:$M,"&gt;"&amp;$O3559),"")</f>
        <v/>
      </c>
      <c r="Q3559" s="396">
        <f>IF($P3559="","",$P3559-$O3559)</f>
        <v/>
      </c>
    </row>
    <row r="3560" ht="15" customHeight="1" s="231">
      <c r="K3560" s="395">
        <f>DATE(VALUE(LEFT(A3560,4)),VALUE(MID(A3560,5,2)),VALUE(RIGHT(A3560,2)))</f>
        <v/>
      </c>
      <c r="L3560" s="395">
        <f>DATEVALUE(LEFT(F3560,10))</f>
        <v/>
      </c>
      <c r="M3560" s="396">
        <f>TIMEVALUE(MID(F3560,12,8))</f>
        <v/>
      </c>
      <c r="N3560" s="395">
        <f>DATEVALUE(LEFT(G3560,10))</f>
        <v/>
      </c>
      <c r="O3560" s="396">
        <f>TIMEVALUE(MID(G3560,12,8))</f>
        <v/>
      </c>
      <c r="P3560" s="396">
        <f>IFERROR(_xlfn.MINIFS($M:$M,$E:$E,$E3560,$K:$K,$K3560,$M:$M,"&gt;"&amp;$O3560),"")</f>
        <v/>
      </c>
      <c r="Q3560" s="396">
        <f>IF($P3560="","",$P3560-$O3560)</f>
        <v/>
      </c>
    </row>
    <row r="3561" ht="15" customHeight="1" s="231">
      <c r="K3561" s="395">
        <f>DATE(VALUE(LEFT(A3561,4)),VALUE(MID(A3561,5,2)),VALUE(RIGHT(A3561,2)))</f>
        <v/>
      </c>
      <c r="L3561" s="395">
        <f>DATEVALUE(LEFT(F3561,10))</f>
        <v/>
      </c>
      <c r="M3561" s="396">
        <f>TIMEVALUE(MID(F3561,12,8))</f>
        <v/>
      </c>
      <c r="N3561" s="395">
        <f>DATEVALUE(LEFT(G3561,10))</f>
        <v/>
      </c>
      <c r="O3561" s="396">
        <f>TIMEVALUE(MID(G3561,12,8))</f>
        <v/>
      </c>
      <c r="P3561" s="396">
        <f>IFERROR(_xlfn.MINIFS($M:$M,$E:$E,$E3561,$K:$K,$K3561,$M:$M,"&gt;"&amp;$O3561),"")</f>
        <v/>
      </c>
      <c r="Q3561" s="396">
        <f>IF($P3561="","",$P3561-$O3561)</f>
        <v/>
      </c>
    </row>
    <row r="3562" ht="15" customHeight="1" s="231">
      <c r="K3562" s="395">
        <f>DATE(VALUE(LEFT(A3562,4)),VALUE(MID(A3562,5,2)),VALUE(RIGHT(A3562,2)))</f>
        <v/>
      </c>
      <c r="L3562" s="395">
        <f>DATEVALUE(LEFT(F3562,10))</f>
        <v/>
      </c>
      <c r="M3562" s="396">
        <f>TIMEVALUE(MID(F3562,12,8))</f>
        <v/>
      </c>
      <c r="N3562" s="395">
        <f>DATEVALUE(LEFT(G3562,10))</f>
        <v/>
      </c>
      <c r="O3562" s="396">
        <f>TIMEVALUE(MID(G3562,12,8))</f>
        <v/>
      </c>
      <c r="P3562" s="396">
        <f>IFERROR(_xlfn.MINIFS($M:$M,$E:$E,$E3562,$K:$K,$K3562,$M:$M,"&gt;"&amp;$O3562),"")</f>
        <v/>
      </c>
      <c r="Q3562" s="396">
        <f>IF($P3562="","",$P3562-$O3562)</f>
        <v/>
      </c>
    </row>
    <row r="3563" ht="15" customHeight="1" s="231">
      <c r="K3563" s="395">
        <f>DATE(VALUE(LEFT(A3563,4)),VALUE(MID(A3563,5,2)),VALUE(RIGHT(A3563,2)))</f>
        <v/>
      </c>
      <c r="L3563" s="395">
        <f>DATEVALUE(LEFT(F3563,10))</f>
        <v/>
      </c>
      <c r="M3563" s="396">
        <f>TIMEVALUE(MID(F3563,12,8))</f>
        <v/>
      </c>
      <c r="N3563" s="395">
        <f>DATEVALUE(LEFT(G3563,10))</f>
        <v/>
      </c>
      <c r="O3563" s="396">
        <f>TIMEVALUE(MID(G3563,12,8))</f>
        <v/>
      </c>
      <c r="P3563" s="396">
        <f>IFERROR(_xlfn.MINIFS($M:$M,$E:$E,$E3563,$K:$K,$K3563,$M:$M,"&gt;"&amp;$O3563),"")</f>
        <v/>
      </c>
      <c r="Q3563" s="396">
        <f>IF($P3563="","",$P3563-$O3563)</f>
        <v/>
      </c>
    </row>
    <row r="3564" ht="15" customHeight="1" s="231">
      <c r="K3564" s="395">
        <f>DATE(VALUE(LEFT(A3564,4)),VALUE(MID(A3564,5,2)),VALUE(RIGHT(A3564,2)))</f>
        <v/>
      </c>
      <c r="L3564" s="395">
        <f>DATEVALUE(LEFT(F3564,10))</f>
        <v/>
      </c>
      <c r="M3564" s="396">
        <f>TIMEVALUE(MID(F3564,12,8))</f>
        <v/>
      </c>
      <c r="N3564" s="395">
        <f>DATEVALUE(LEFT(G3564,10))</f>
        <v/>
      </c>
      <c r="O3564" s="396">
        <f>TIMEVALUE(MID(G3564,12,8))</f>
        <v/>
      </c>
      <c r="P3564" s="396">
        <f>IFERROR(_xlfn.MINIFS($M:$M,$E:$E,$E3564,$K:$K,$K3564,$M:$M,"&gt;"&amp;$O3564),"")</f>
        <v/>
      </c>
      <c r="Q3564" s="396">
        <f>IF($P3564="","",$P3564-$O3564)</f>
        <v/>
      </c>
    </row>
    <row r="3565" ht="15" customHeight="1" s="231">
      <c r="K3565" s="395">
        <f>DATE(VALUE(LEFT(A3565,4)),VALUE(MID(A3565,5,2)),VALUE(RIGHT(A3565,2)))</f>
        <v/>
      </c>
      <c r="L3565" s="395">
        <f>DATEVALUE(LEFT(F3565,10))</f>
        <v/>
      </c>
      <c r="M3565" s="396">
        <f>TIMEVALUE(MID(F3565,12,8))</f>
        <v/>
      </c>
      <c r="N3565" s="395">
        <f>DATEVALUE(LEFT(G3565,10))</f>
        <v/>
      </c>
      <c r="O3565" s="396">
        <f>TIMEVALUE(MID(G3565,12,8))</f>
        <v/>
      </c>
      <c r="P3565" s="396">
        <f>IFERROR(_xlfn.MINIFS($M:$M,$E:$E,$E3565,$K:$K,$K3565,$M:$M,"&gt;"&amp;$O3565),"")</f>
        <v/>
      </c>
      <c r="Q3565" s="396">
        <f>IF($P3565="","",$P3565-$O3565)</f>
        <v/>
      </c>
    </row>
    <row r="3566" ht="15" customHeight="1" s="231">
      <c r="K3566" s="395">
        <f>DATE(VALUE(LEFT(A3566,4)),VALUE(MID(A3566,5,2)),VALUE(RIGHT(A3566,2)))</f>
        <v/>
      </c>
      <c r="L3566" s="395">
        <f>DATEVALUE(LEFT(F3566,10))</f>
        <v/>
      </c>
      <c r="M3566" s="396">
        <f>TIMEVALUE(MID(F3566,12,8))</f>
        <v/>
      </c>
      <c r="N3566" s="395">
        <f>DATEVALUE(LEFT(G3566,10))</f>
        <v/>
      </c>
      <c r="O3566" s="396">
        <f>TIMEVALUE(MID(G3566,12,8))</f>
        <v/>
      </c>
      <c r="P3566" s="396">
        <f>IFERROR(_xlfn.MINIFS($M:$M,$E:$E,$E3566,$K:$K,$K3566,$M:$M,"&gt;"&amp;$O3566),"")</f>
        <v/>
      </c>
      <c r="Q3566" s="396">
        <f>IF($P3566="","",$P3566-$O3566)</f>
        <v/>
      </c>
    </row>
    <row r="3567" ht="15" customHeight="1" s="231">
      <c r="K3567" s="395">
        <f>DATE(VALUE(LEFT(A3567,4)),VALUE(MID(A3567,5,2)),VALUE(RIGHT(A3567,2)))</f>
        <v/>
      </c>
      <c r="L3567" s="395">
        <f>DATEVALUE(LEFT(F3567,10))</f>
        <v/>
      </c>
      <c r="M3567" s="396">
        <f>TIMEVALUE(MID(F3567,12,8))</f>
        <v/>
      </c>
      <c r="N3567" s="395">
        <f>DATEVALUE(LEFT(G3567,10))</f>
        <v/>
      </c>
      <c r="O3567" s="396">
        <f>TIMEVALUE(MID(G3567,12,8))</f>
        <v/>
      </c>
      <c r="P3567" s="396">
        <f>IFERROR(_xlfn.MINIFS($M:$M,$E:$E,$E3567,$K:$K,$K3567,$M:$M,"&gt;"&amp;$O3567),"")</f>
        <v/>
      </c>
      <c r="Q3567" s="396">
        <f>IF($P3567="","",$P3567-$O3567)</f>
        <v/>
      </c>
    </row>
    <row r="3568" ht="15" customHeight="1" s="231">
      <c r="K3568" s="395">
        <f>DATE(VALUE(LEFT(A3568,4)),VALUE(MID(A3568,5,2)),VALUE(RIGHT(A3568,2)))</f>
        <v/>
      </c>
      <c r="L3568" s="395">
        <f>DATEVALUE(LEFT(F3568,10))</f>
        <v/>
      </c>
      <c r="M3568" s="396">
        <f>TIMEVALUE(MID(F3568,12,8))</f>
        <v/>
      </c>
      <c r="N3568" s="395">
        <f>DATEVALUE(LEFT(G3568,10))</f>
        <v/>
      </c>
      <c r="O3568" s="396">
        <f>TIMEVALUE(MID(G3568,12,8))</f>
        <v/>
      </c>
      <c r="P3568" s="396">
        <f>IFERROR(_xlfn.MINIFS($M:$M,$E:$E,$E3568,$K:$K,$K3568,$M:$M,"&gt;"&amp;$O3568),"")</f>
        <v/>
      </c>
      <c r="Q3568" s="396">
        <f>IF($P3568="","",$P3568-$O3568)</f>
        <v/>
      </c>
    </row>
    <row r="3569" ht="15" customHeight="1" s="231">
      <c r="K3569" s="395">
        <f>DATE(VALUE(LEFT(A3569,4)),VALUE(MID(A3569,5,2)),VALUE(RIGHT(A3569,2)))</f>
        <v/>
      </c>
      <c r="L3569" s="395">
        <f>DATEVALUE(LEFT(F3569,10))</f>
        <v/>
      </c>
      <c r="M3569" s="396">
        <f>TIMEVALUE(MID(F3569,12,8))</f>
        <v/>
      </c>
      <c r="N3569" s="395">
        <f>DATEVALUE(LEFT(G3569,10))</f>
        <v/>
      </c>
      <c r="O3569" s="396">
        <f>TIMEVALUE(MID(G3569,12,8))</f>
        <v/>
      </c>
      <c r="P3569" s="396">
        <f>IFERROR(_xlfn.MINIFS($M:$M,$E:$E,$E3569,$K:$K,$K3569,$M:$M,"&gt;"&amp;$O3569),"")</f>
        <v/>
      </c>
      <c r="Q3569" s="396">
        <f>IF($P3569="","",$P3569-$O3569)</f>
        <v/>
      </c>
    </row>
    <row r="3570" ht="15" customHeight="1" s="231">
      <c r="K3570" s="395">
        <f>DATE(VALUE(LEFT(A3570,4)),VALUE(MID(A3570,5,2)),VALUE(RIGHT(A3570,2)))</f>
        <v/>
      </c>
      <c r="L3570" s="395">
        <f>DATEVALUE(LEFT(F3570,10))</f>
        <v/>
      </c>
      <c r="M3570" s="396">
        <f>TIMEVALUE(MID(F3570,12,8))</f>
        <v/>
      </c>
      <c r="N3570" s="395">
        <f>DATEVALUE(LEFT(G3570,10))</f>
        <v/>
      </c>
      <c r="O3570" s="396">
        <f>TIMEVALUE(MID(G3570,12,8))</f>
        <v/>
      </c>
      <c r="P3570" s="396">
        <f>IFERROR(_xlfn.MINIFS($M:$M,$E:$E,$E3570,$K:$K,$K3570,$M:$M,"&gt;"&amp;$O3570),"")</f>
        <v/>
      </c>
      <c r="Q3570" s="396">
        <f>IF($P3570="","",$P3570-$O3570)</f>
        <v/>
      </c>
    </row>
    <row r="3571" ht="15" customHeight="1" s="231">
      <c r="K3571" s="395">
        <f>DATE(VALUE(LEFT(A3571,4)),VALUE(MID(A3571,5,2)),VALUE(RIGHT(A3571,2)))</f>
        <v/>
      </c>
      <c r="L3571" s="395">
        <f>DATEVALUE(LEFT(F3571,10))</f>
        <v/>
      </c>
      <c r="M3571" s="396">
        <f>TIMEVALUE(MID(F3571,12,8))</f>
        <v/>
      </c>
      <c r="N3571" s="395">
        <f>DATEVALUE(LEFT(G3571,10))</f>
        <v/>
      </c>
      <c r="O3571" s="396">
        <f>TIMEVALUE(MID(G3571,12,8))</f>
        <v/>
      </c>
      <c r="P3571" s="396">
        <f>IFERROR(_xlfn.MINIFS($M:$M,$E:$E,$E3571,$K:$K,$K3571,$M:$M,"&gt;"&amp;$O3571),"")</f>
        <v/>
      </c>
      <c r="Q3571" s="396">
        <f>IF($P3571="","",$P3571-$O3571)</f>
        <v/>
      </c>
    </row>
    <row r="3572" ht="15" customHeight="1" s="231">
      <c r="K3572" s="395">
        <f>DATE(VALUE(LEFT(A3572,4)),VALUE(MID(A3572,5,2)),VALUE(RIGHT(A3572,2)))</f>
        <v/>
      </c>
      <c r="L3572" s="395">
        <f>DATEVALUE(LEFT(F3572,10))</f>
        <v/>
      </c>
      <c r="M3572" s="396">
        <f>TIMEVALUE(MID(F3572,12,8))</f>
        <v/>
      </c>
      <c r="N3572" s="395">
        <f>DATEVALUE(LEFT(G3572,10))</f>
        <v/>
      </c>
      <c r="O3572" s="396">
        <f>TIMEVALUE(MID(G3572,12,8))</f>
        <v/>
      </c>
      <c r="P3572" s="396">
        <f>IFERROR(_xlfn.MINIFS($M:$M,$E:$E,$E3572,$K:$K,$K3572,$M:$M,"&gt;"&amp;$O3572),"")</f>
        <v/>
      </c>
      <c r="Q3572" s="396">
        <f>IF($P3572="","",$P3572-$O3572)</f>
        <v/>
      </c>
    </row>
    <row r="3573" ht="15" customHeight="1" s="231">
      <c r="K3573" s="395">
        <f>DATE(VALUE(LEFT(A3573,4)),VALUE(MID(A3573,5,2)),VALUE(RIGHT(A3573,2)))</f>
        <v/>
      </c>
      <c r="L3573" s="395">
        <f>DATEVALUE(LEFT(F3573,10))</f>
        <v/>
      </c>
      <c r="M3573" s="396">
        <f>TIMEVALUE(MID(F3573,12,8))</f>
        <v/>
      </c>
      <c r="N3573" s="395">
        <f>DATEVALUE(LEFT(G3573,10))</f>
        <v/>
      </c>
      <c r="O3573" s="396">
        <f>TIMEVALUE(MID(G3573,12,8))</f>
        <v/>
      </c>
      <c r="P3573" s="396">
        <f>IFERROR(_xlfn.MINIFS($M:$M,$E:$E,$E3573,$K:$K,$K3573,$M:$M,"&gt;"&amp;$O3573),"")</f>
        <v/>
      </c>
      <c r="Q3573" s="396">
        <f>IF($P3573="","",$P3573-$O3573)</f>
        <v/>
      </c>
    </row>
    <row r="3574" ht="15" customHeight="1" s="231">
      <c r="K3574" s="395">
        <f>DATE(VALUE(LEFT(A3574,4)),VALUE(MID(A3574,5,2)),VALUE(RIGHT(A3574,2)))</f>
        <v/>
      </c>
      <c r="L3574" s="395">
        <f>DATEVALUE(LEFT(F3574,10))</f>
        <v/>
      </c>
      <c r="M3574" s="396">
        <f>TIMEVALUE(MID(F3574,12,8))</f>
        <v/>
      </c>
      <c r="N3574" s="395">
        <f>DATEVALUE(LEFT(G3574,10))</f>
        <v/>
      </c>
      <c r="O3574" s="396">
        <f>TIMEVALUE(MID(G3574,12,8))</f>
        <v/>
      </c>
      <c r="P3574" s="396">
        <f>IFERROR(_xlfn.MINIFS($M:$M,$E:$E,$E3574,$K:$K,$K3574,$M:$M,"&gt;"&amp;$O3574),"")</f>
        <v/>
      </c>
      <c r="Q3574" s="396">
        <f>IF($P3574="","",$P3574-$O3574)</f>
        <v/>
      </c>
    </row>
    <row r="3575" ht="15" customHeight="1" s="231">
      <c r="K3575" s="395">
        <f>DATE(VALUE(LEFT(A3575,4)),VALUE(MID(A3575,5,2)),VALUE(RIGHT(A3575,2)))</f>
        <v/>
      </c>
      <c r="L3575" s="395">
        <f>DATEVALUE(LEFT(F3575,10))</f>
        <v/>
      </c>
      <c r="M3575" s="396">
        <f>TIMEVALUE(MID(F3575,12,8))</f>
        <v/>
      </c>
      <c r="N3575" s="395">
        <f>DATEVALUE(LEFT(G3575,10))</f>
        <v/>
      </c>
      <c r="O3575" s="396">
        <f>TIMEVALUE(MID(G3575,12,8))</f>
        <v/>
      </c>
      <c r="P3575" s="396">
        <f>IFERROR(_xlfn.MINIFS($M:$M,$E:$E,$E3575,$K:$K,$K3575,$M:$M,"&gt;"&amp;$O3575),"")</f>
        <v/>
      </c>
      <c r="Q3575" s="396">
        <f>IF($P3575="","",$P3575-$O3575)</f>
        <v/>
      </c>
    </row>
    <row r="3576" ht="15" customHeight="1" s="231">
      <c r="K3576" s="395">
        <f>DATE(VALUE(LEFT(A3576,4)),VALUE(MID(A3576,5,2)),VALUE(RIGHT(A3576,2)))</f>
        <v/>
      </c>
      <c r="L3576" s="395">
        <f>DATEVALUE(LEFT(F3576,10))</f>
        <v/>
      </c>
      <c r="M3576" s="396">
        <f>TIMEVALUE(MID(F3576,12,8))</f>
        <v/>
      </c>
      <c r="N3576" s="395">
        <f>DATEVALUE(LEFT(G3576,10))</f>
        <v/>
      </c>
      <c r="O3576" s="396">
        <f>TIMEVALUE(MID(G3576,12,8))</f>
        <v/>
      </c>
      <c r="P3576" s="396">
        <f>IFERROR(_xlfn.MINIFS($M:$M,$E:$E,$E3576,$K:$K,$K3576,$M:$M,"&gt;"&amp;$O3576),"")</f>
        <v/>
      </c>
      <c r="Q3576" s="396">
        <f>IF($P3576="","",$P3576-$O3576)</f>
        <v/>
      </c>
    </row>
    <row r="3577" ht="15" customHeight="1" s="231">
      <c r="K3577" s="395">
        <f>DATE(VALUE(LEFT(A3577,4)),VALUE(MID(A3577,5,2)),VALUE(RIGHT(A3577,2)))</f>
        <v/>
      </c>
      <c r="L3577" s="395">
        <f>DATEVALUE(LEFT(F3577,10))</f>
        <v/>
      </c>
      <c r="M3577" s="396">
        <f>TIMEVALUE(MID(F3577,12,8))</f>
        <v/>
      </c>
      <c r="N3577" s="395">
        <f>DATEVALUE(LEFT(G3577,10))</f>
        <v/>
      </c>
      <c r="O3577" s="396">
        <f>TIMEVALUE(MID(G3577,12,8))</f>
        <v/>
      </c>
      <c r="P3577" s="396">
        <f>IFERROR(_xlfn.MINIFS($M:$M,$E:$E,$E3577,$K:$K,$K3577,$M:$M,"&gt;"&amp;$O3577),"")</f>
        <v/>
      </c>
      <c r="Q3577" s="396">
        <f>IF($P3577="","",$P3577-$O3577)</f>
        <v/>
      </c>
    </row>
    <row r="3578" ht="15" customHeight="1" s="231">
      <c r="K3578" s="395">
        <f>DATE(VALUE(LEFT(A3578,4)),VALUE(MID(A3578,5,2)),VALUE(RIGHT(A3578,2)))</f>
        <v/>
      </c>
      <c r="L3578" s="395">
        <f>DATEVALUE(LEFT(F3578,10))</f>
        <v/>
      </c>
      <c r="M3578" s="396">
        <f>TIMEVALUE(MID(F3578,12,8))</f>
        <v/>
      </c>
      <c r="N3578" s="395">
        <f>DATEVALUE(LEFT(G3578,10))</f>
        <v/>
      </c>
      <c r="O3578" s="396">
        <f>TIMEVALUE(MID(G3578,12,8))</f>
        <v/>
      </c>
      <c r="P3578" s="396">
        <f>IFERROR(_xlfn.MINIFS($M:$M,$E:$E,$E3578,$K:$K,$K3578,$M:$M,"&gt;"&amp;$O3578),"")</f>
        <v/>
      </c>
      <c r="Q3578" s="396">
        <f>IF($P3578="","",$P3578-$O3578)</f>
        <v/>
      </c>
    </row>
    <row r="3579" ht="15" customHeight="1" s="231">
      <c r="K3579" s="395">
        <f>DATE(VALUE(LEFT(A3579,4)),VALUE(MID(A3579,5,2)),VALUE(RIGHT(A3579,2)))</f>
        <v/>
      </c>
      <c r="L3579" s="395">
        <f>DATEVALUE(LEFT(F3579,10))</f>
        <v/>
      </c>
      <c r="M3579" s="396">
        <f>TIMEVALUE(MID(F3579,12,8))</f>
        <v/>
      </c>
      <c r="N3579" s="395">
        <f>DATEVALUE(LEFT(G3579,10))</f>
        <v/>
      </c>
      <c r="O3579" s="396">
        <f>TIMEVALUE(MID(G3579,12,8))</f>
        <v/>
      </c>
      <c r="P3579" s="396">
        <f>IFERROR(_xlfn.MINIFS($M:$M,$E:$E,$E3579,$K:$K,$K3579,$M:$M,"&gt;"&amp;$O3579),"")</f>
        <v/>
      </c>
      <c r="Q3579" s="396">
        <f>IF($P3579="","",$P3579-$O3579)</f>
        <v/>
      </c>
    </row>
    <row r="3580" ht="15" customHeight="1" s="231">
      <c r="K3580" s="395">
        <f>DATE(VALUE(LEFT(A3580,4)),VALUE(MID(A3580,5,2)),VALUE(RIGHT(A3580,2)))</f>
        <v/>
      </c>
      <c r="L3580" s="395">
        <f>DATEVALUE(LEFT(F3580,10))</f>
        <v/>
      </c>
      <c r="M3580" s="396">
        <f>TIMEVALUE(MID(F3580,12,8))</f>
        <v/>
      </c>
      <c r="N3580" s="395">
        <f>DATEVALUE(LEFT(G3580,10))</f>
        <v/>
      </c>
      <c r="O3580" s="396">
        <f>TIMEVALUE(MID(G3580,12,8))</f>
        <v/>
      </c>
      <c r="P3580" s="396">
        <f>IFERROR(_xlfn.MINIFS($M:$M,$E:$E,$E3580,$K:$K,$K3580,$M:$M,"&gt;"&amp;$O3580),"")</f>
        <v/>
      </c>
      <c r="Q3580" s="396">
        <f>IF($P3580="","",$P3580-$O3580)</f>
        <v/>
      </c>
    </row>
    <row r="3581" ht="15" customHeight="1" s="231">
      <c r="K3581" s="395">
        <f>DATE(VALUE(LEFT(A3581,4)),VALUE(MID(A3581,5,2)),VALUE(RIGHT(A3581,2)))</f>
        <v/>
      </c>
      <c r="L3581" s="395">
        <f>DATEVALUE(LEFT(F3581,10))</f>
        <v/>
      </c>
      <c r="M3581" s="396">
        <f>TIMEVALUE(MID(F3581,12,8))</f>
        <v/>
      </c>
      <c r="N3581" s="395">
        <f>DATEVALUE(LEFT(G3581,10))</f>
        <v/>
      </c>
      <c r="O3581" s="396">
        <f>TIMEVALUE(MID(G3581,12,8))</f>
        <v/>
      </c>
      <c r="P3581" s="396">
        <f>IFERROR(_xlfn.MINIFS($M:$M,$E:$E,$E3581,$K:$K,$K3581,$M:$M,"&gt;"&amp;$O3581),"")</f>
        <v/>
      </c>
      <c r="Q3581" s="396">
        <f>IF($P3581="","",$P3581-$O3581)</f>
        <v/>
      </c>
    </row>
    <row r="3582" ht="15" customHeight="1" s="231">
      <c r="K3582" s="395">
        <f>DATE(VALUE(LEFT(A3582,4)),VALUE(MID(A3582,5,2)),VALUE(RIGHT(A3582,2)))</f>
        <v/>
      </c>
      <c r="L3582" s="395">
        <f>DATEVALUE(LEFT(F3582,10))</f>
        <v/>
      </c>
      <c r="M3582" s="396">
        <f>TIMEVALUE(MID(F3582,12,8))</f>
        <v/>
      </c>
      <c r="N3582" s="395">
        <f>DATEVALUE(LEFT(G3582,10))</f>
        <v/>
      </c>
      <c r="O3582" s="396">
        <f>TIMEVALUE(MID(G3582,12,8))</f>
        <v/>
      </c>
      <c r="P3582" s="396">
        <f>IFERROR(_xlfn.MINIFS($M:$M,$E:$E,$E3582,$K:$K,$K3582,$M:$M,"&gt;"&amp;$O3582),"")</f>
        <v/>
      </c>
      <c r="Q3582" s="396">
        <f>IF($P3582="","",$P3582-$O3582)</f>
        <v/>
      </c>
    </row>
    <row r="3583" ht="15" customHeight="1" s="231">
      <c r="K3583" s="395">
        <f>DATE(VALUE(LEFT(A3583,4)),VALUE(MID(A3583,5,2)),VALUE(RIGHT(A3583,2)))</f>
        <v/>
      </c>
      <c r="L3583" s="395">
        <f>DATEVALUE(LEFT(F3583,10))</f>
        <v/>
      </c>
      <c r="M3583" s="396">
        <f>TIMEVALUE(MID(F3583,12,8))</f>
        <v/>
      </c>
      <c r="N3583" s="395">
        <f>DATEVALUE(LEFT(G3583,10))</f>
        <v/>
      </c>
      <c r="O3583" s="396">
        <f>TIMEVALUE(MID(G3583,12,8))</f>
        <v/>
      </c>
      <c r="P3583" s="396">
        <f>IFERROR(_xlfn.MINIFS($M:$M,$E:$E,$E3583,$K:$K,$K3583,$M:$M,"&gt;"&amp;$O3583),"")</f>
        <v/>
      </c>
      <c r="Q3583" s="396">
        <f>IF($P3583="","",$P3583-$O3583)</f>
        <v/>
      </c>
    </row>
    <row r="3584" ht="15" customHeight="1" s="231">
      <c r="K3584" s="395">
        <f>DATE(VALUE(LEFT(A3584,4)),VALUE(MID(A3584,5,2)),VALUE(RIGHT(A3584,2)))</f>
        <v/>
      </c>
      <c r="L3584" s="395">
        <f>DATEVALUE(LEFT(F3584,10))</f>
        <v/>
      </c>
      <c r="M3584" s="396">
        <f>TIMEVALUE(MID(F3584,12,8))</f>
        <v/>
      </c>
      <c r="N3584" s="395">
        <f>DATEVALUE(LEFT(G3584,10))</f>
        <v/>
      </c>
      <c r="O3584" s="396">
        <f>TIMEVALUE(MID(G3584,12,8))</f>
        <v/>
      </c>
      <c r="P3584" s="396">
        <f>IFERROR(_xlfn.MINIFS($M:$M,$E:$E,$E3584,$K:$K,$K3584,$M:$M,"&gt;"&amp;$O3584),"")</f>
        <v/>
      </c>
      <c r="Q3584" s="396">
        <f>IF($P3584="","",$P3584-$O3584)</f>
        <v/>
      </c>
    </row>
    <row r="3585" ht="15" customHeight="1" s="231">
      <c r="K3585" s="395">
        <f>DATE(VALUE(LEFT(A3585,4)),VALUE(MID(A3585,5,2)),VALUE(RIGHT(A3585,2)))</f>
        <v/>
      </c>
      <c r="L3585" s="395">
        <f>DATEVALUE(LEFT(F3585,10))</f>
        <v/>
      </c>
      <c r="M3585" s="396">
        <f>TIMEVALUE(MID(F3585,12,8))</f>
        <v/>
      </c>
      <c r="N3585" s="395">
        <f>DATEVALUE(LEFT(G3585,10))</f>
        <v/>
      </c>
      <c r="O3585" s="396">
        <f>TIMEVALUE(MID(G3585,12,8))</f>
        <v/>
      </c>
      <c r="P3585" s="396">
        <f>IFERROR(_xlfn.MINIFS($M:$M,$E:$E,$E3585,$K:$K,$K3585,$M:$M,"&gt;"&amp;$O3585),"")</f>
        <v/>
      </c>
      <c r="Q3585" s="396">
        <f>IF($P3585="","",$P3585-$O3585)</f>
        <v/>
      </c>
    </row>
    <row r="3586" ht="15" customHeight="1" s="231">
      <c r="K3586" s="395">
        <f>DATE(VALUE(LEFT(A3586,4)),VALUE(MID(A3586,5,2)),VALUE(RIGHT(A3586,2)))</f>
        <v/>
      </c>
      <c r="L3586" s="395">
        <f>DATEVALUE(LEFT(F3586,10))</f>
        <v/>
      </c>
      <c r="M3586" s="396">
        <f>TIMEVALUE(MID(F3586,12,8))</f>
        <v/>
      </c>
      <c r="N3586" s="395">
        <f>DATEVALUE(LEFT(G3586,10))</f>
        <v/>
      </c>
      <c r="O3586" s="396">
        <f>TIMEVALUE(MID(G3586,12,8))</f>
        <v/>
      </c>
      <c r="P3586" s="396">
        <f>IFERROR(_xlfn.MINIFS($M:$M,$E:$E,$E3586,$K:$K,$K3586,$M:$M,"&gt;"&amp;$O3586),"")</f>
        <v/>
      </c>
      <c r="Q3586" s="396">
        <f>IF($P3586="","",$P3586-$O3586)</f>
        <v/>
      </c>
    </row>
    <row r="3587" ht="15" customHeight="1" s="231">
      <c r="K3587" s="395">
        <f>DATE(VALUE(LEFT(A3587,4)),VALUE(MID(A3587,5,2)),VALUE(RIGHT(A3587,2)))</f>
        <v/>
      </c>
      <c r="L3587" s="395">
        <f>DATEVALUE(LEFT(F3587,10))</f>
        <v/>
      </c>
      <c r="M3587" s="396">
        <f>TIMEVALUE(MID(F3587,12,8))</f>
        <v/>
      </c>
      <c r="N3587" s="395">
        <f>DATEVALUE(LEFT(G3587,10))</f>
        <v/>
      </c>
      <c r="O3587" s="396">
        <f>TIMEVALUE(MID(G3587,12,8))</f>
        <v/>
      </c>
      <c r="P3587" s="396">
        <f>IFERROR(_xlfn.MINIFS($M:$M,$E:$E,$E3587,$K:$K,$K3587,$M:$M,"&gt;"&amp;$O3587),"")</f>
        <v/>
      </c>
      <c r="Q3587" s="396">
        <f>IF($P3587="","",$P3587-$O3587)</f>
        <v/>
      </c>
    </row>
    <row r="3588" ht="15" customHeight="1" s="231">
      <c r="K3588" s="395">
        <f>DATE(VALUE(LEFT(A3588,4)),VALUE(MID(A3588,5,2)),VALUE(RIGHT(A3588,2)))</f>
        <v/>
      </c>
      <c r="L3588" s="395">
        <f>DATEVALUE(LEFT(F3588,10))</f>
        <v/>
      </c>
      <c r="M3588" s="396">
        <f>TIMEVALUE(MID(F3588,12,8))</f>
        <v/>
      </c>
      <c r="N3588" s="395">
        <f>DATEVALUE(LEFT(G3588,10))</f>
        <v/>
      </c>
      <c r="O3588" s="396">
        <f>TIMEVALUE(MID(G3588,12,8))</f>
        <v/>
      </c>
      <c r="P3588" s="396">
        <f>IFERROR(_xlfn.MINIFS($M:$M,$E:$E,$E3588,$K:$K,$K3588,$M:$M,"&gt;"&amp;$O3588),"")</f>
        <v/>
      </c>
      <c r="Q3588" s="396">
        <f>IF($P3588="","",$P3588-$O3588)</f>
        <v/>
      </c>
    </row>
    <row r="3589" ht="15" customHeight="1" s="231">
      <c r="K3589" s="395">
        <f>DATE(VALUE(LEFT(A3589,4)),VALUE(MID(A3589,5,2)),VALUE(RIGHT(A3589,2)))</f>
        <v/>
      </c>
      <c r="L3589" s="395">
        <f>DATEVALUE(LEFT(F3589,10))</f>
        <v/>
      </c>
      <c r="M3589" s="396">
        <f>TIMEVALUE(MID(F3589,12,8))</f>
        <v/>
      </c>
      <c r="N3589" s="395">
        <f>DATEVALUE(LEFT(G3589,10))</f>
        <v/>
      </c>
      <c r="O3589" s="396">
        <f>TIMEVALUE(MID(G3589,12,8))</f>
        <v/>
      </c>
      <c r="P3589" s="396">
        <f>IFERROR(_xlfn.MINIFS($M:$M,$E:$E,$E3589,$K:$K,$K3589,$M:$M,"&gt;"&amp;$O3589),"")</f>
        <v/>
      </c>
      <c r="Q3589" s="396">
        <f>IF($P3589="","",$P3589-$O3589)</f>
        <v/>
      </c>
    </row>
    <row r="3590" ht="15" customHeight="1" s="231">
      <c r="K3590" s="395">
        <f>DATE(VALUE(LEFT(A3590,4)),VALUE(MID(A3590,5,2)),VALUE(RIGHT(A3590,2)))</f>
        <v/>
      </c>
      <c r="L3590" s="395">
        <f>DATEVALUE(LEFT(F3590,10))</f>
        <v/>
      </c>
      <c r="M3590" s="396">
        <f>TIMEVALUE(MID(F3590,12,8))</f>
        <v/>
      </c>
      <c r="N3590" s="395">
        <f>DATEVALUE(LEFT(G3590,10))</f>
        <v/>
      </c>
      <c r="O3590" s="396">
        <f>TIMEVALUE(MID(G3590,12,8))</f>
        <v/>
      </c>
      <c r="P3590" s="396">
        <f>IFERROR(_xlfn.MINIFS($M:$M,$E:$E,$E3590,$K:$K,$K3590,$M:$M,"&gt;"&amp;$O3590),"")</f>
        <v/>
      </c>
      <c r="Q3590" s="396">
        <f>IF($P3590="","",$P3590-$O3590)</f>
        <v/>
      </c>
    </row>
    <row r="3591" ht="15" customHeight="1" s="231">
      <c r="K3591" s="395">
        <f>DATE(VALUE(LEFT(A3591,4)),VALUE(MID(A3591,5,2)),VALUE(RIGHT(A3591,2)))</f>
        <v/>
      </c>
      <c r="L3591" s="395">
        <f>DATEVALUE(LEFT(F3591,10))</f>
        <v/>
      </c>
      <c r="M3591" s="396">
        <f>TIMEVALUE(MID(F3591,12,8))</f>
        <v/>
      </c>
      <c r="N3591" s="395">
        <f>DATEVALUE(LEFT(G3591,10))</f>
        <v/>
      </c>
      <c r="O3591" s="396">
        <f>TIMEVALUE(MID(G3591,12,8))</f>
        <v/>
      </c>
      <c r="P3591" s="396">
        <f>IFERROR(_xlfn.MINIFS($M:$M,$E:$E,$E3591,$K:$K,$K3591,$M:$M,"&gt;"&amp;$O3591),"")</f>
        <v/>
      </c>
      <c r="Q3591" s="396">
        <f>IF($P3591="","",$P3591-$O3591)</f>
        <v/>
      </c>
    </row>
    <row r="3592" ht="15" customHeight="1" s="231">
      <c r="K3592" s="395">
        <f>DATE(VALUE(LEFT(A3592,4)),VALUE(MID(A3592,5,2)),VALUE(RIGHT(A3592,2)))</f>
        <v/>
      </c>
      <c r="L3592" s="395">
        <f>DATEVALUE(LEFT(F3592,10))</f>
        <v/>
      </c>
      <c r="M3592" s="396">
        <f>TIMEVALUE(MID(F3592,12,8))</f>
        <v/>
      </c>
      <c r="N3592" s="395">
        <f>DATEVALUE(LEFT(G3592,10))</f>
        <v/>
      </c>
      <c r="O3592" s="396">
        <f>TIMEVALUE(MID(G3592,12,8))</f>
        <v/>
      </c>
      <c r="P3592" s="396">
        <f>IFERROR(_xlfn.MINIFS($M:$M,$E:$E,$E3592,$K:$K,$K3592,$M:$M,"&gt;"&amp;$O3592),"")</f>
        <v/>
      </c>
      <c r="Q3592" s="396">
        <f>IF($P3592="","",$P3592-$O3592)</f>
        <v/>
      </c>
    </row>
    <row r="3593" ht="15" customHeight="1" s="231">
      <c r="K3593" s="395">
        <f>DATE(VALUE(LEFT(A3593,4)),VALUE(MID(A3593,5,2)),VALUE(RIGHT(A3593,2)))</f>
        <v/>
      </c>
      <c r="L3593" s="395">
        <f>DATEVALUE(LEFT(F3593,10))</f>
        <v/>
      </c>
      <c r="M3593" s="396">
        <f>TIMEVALUE(MID(F3593,12,8))</f>
        <v/>
      </c>
      <c r="N3593" s="395">
        <f>DATEVALUE(LEFT(G3593,10))</f>
        <v/>
      </c>
      <c r="O3593" s="396">
        <f>TIMEVALUE(MID(G3593,12,8))</f>
        <v/>
      </c>
      <c r="P3593" s="396">
        <f>IFERROR(_xlfn.MINIFS($M:$M,$E:$E,$E3593,$K:$K,$K3593,$M:$M,"&gt;"&amp;$O3593),"")</f>
        <v/>
      </c>
      <c r="Q3593" s="396">
        <f>IF($P3593="","",$P3593-$O3593)</f>
        <v/>
      </c>
    </row>
    <row r="3594" ht="15" customHeight="1" s="231">
      <c r="K3594" s="395">
        <f>DATE(VALUE(LEFT(A3594,4)),VALUE(MID(A3594,5,2)),VALUE(RIGHT(A3594,2)))</f>
        <v/>
      </c>
      <c r="L3594" s="395">
        <f>DATEVALUE(LEFT(F3594,10))</f>
        <v/>
      </c>
      <c r="M3594" s="396">
        <f>TIMEVALUE(MID(F3594,12,8))</f>
        <v/>
      </c>
      <c r="N3594" s="395">
        <f>DATEVALUE(LEFT(G3594,10))</f>
        <v/>
      </c>
      <c r="O3594" s="396">
        <f>TIMEVALUE(MID(G3594,12,8))</f>
        <v/>
      </c>
      <c r="P3594" s="396">
        <f>IFERROR(_xlfn.MINIFS($M:$M,$E:$E,$E3594,$K:$K,$K3594,$M:$M,"&gt;"&amp;$O3594),"")</f>
        <v/>
      </c>
      <c r="Q3594" s="396">
        <f>IF($P3594="","",$P3594-$O3594)</f>
        <v/>
      </c>
    </row>
    <row r="3595" ht="15" customHeight="1" s="231">
      <c r="K3595" s="395">
        <f>DATE(VALUE(LEFT(A3595,4)),VALUE(MID(A3595,5,2)),VALUE(RIGHT(A3595,2)))</f>
        <v/>
      </c>
      <c r="L3595" s="395">
        <f>DATEVALUE(LEFT(F3595,10))</f>
        <v/>
      </c>
      <c r="M3595" s="396">
        <f>TIMEVALUE(MID(F3595,12,8))</f>
        <v/>
      </c>
      <c r="N3595" s="395">
        <f>DATEVALUE(LEFT(G3595,10))</f>
        <v/>
      </c>
      <c r="O3595" s="396">
        <f>TIMEVALUE(MID(G3595,12,8))</f>
        <v/>
      </c>
      <c r="P3595" s="396">
        <f>IFERROR(_xlfn.MINIFS($M:$M,$E:$E,$E3595,$K:$K,$K3595,$M:$M,"&gt;"&amp;$O3595),"")</f>
        <v/>
      </c>
      <c r="Q3595" s="396">
        <f>IF($P3595="","",$P3595-$O3595)</f>
        <v/>
      </c>
    </row>
    <row r="3596" ht="15" customHeight="1" s="231">
      <c r="K3596" s="395">
        <f>DATE(VALUE(LEFT(A3596,4)),VALUE(MID(A3596,5,2)),VALUE(RIGHT(A3596,2)))</f>
        <v/>
      </c>
      <c r="L3596" s="395">
        <f>DATEVALUE(LEFT(F3596,10))</f>
        <v/>
      </c>
      <c r="M3596" s="396">
        <f>TIMEVALUE(MID(F3596,12,8))</f>
        <v/>
      </c>
      <c r="N3596" s="395">
        <f>DATEVALUE(LEFT(G3596,10))</f>
        <v/>
      </c>
      <c r="O3596" s="396">
        <f>TIMEVALUE(MID(G3596,12,8))</f>
        <v/>
      </c>
      <c r="P3596" s="396">
        <f>IFERROR(_xlfn.MINIFS($M:$M,$E:$E,$E3596,$K:$K,$K3596,$M:$M,"&gt;"&amp;$O3596),"")</f>
        <v/>
      </c>
      <c r="Q3596" s="396">
        <f>IF($P3596="","",$P3596-$O3596)</f>
        <v/>
      </c>
    </row>
    <row r="3597" ht="15" customHeight="1" s="231">
      <c r="K3597" s="395">
        <f>DATE(VALUE(LEFT(A3597,4)),VALUE(MID(A3597,5,2)),VALUE(RIGHT(A3597,2)))</f>
        <v/>
      </c>
      <c r="L3597" s="395">
        <f>DATEVALUE(LEFT(F3597,10))</f>
        <v/>
      </c>
      <c r="M3597" s="396">
        <f>TIMEVALUE(MID(F3597,12,8))</f>
        <v/>
      </c>
      <c r="N3597" s="395">
        <f>DATEVALUE(LEFT(G3597,10))</f>
        <v/>
      </c>
      <c r="O3597" s="396">
        <f>TIMEVALUE(MID(G3597,12,8))</f>
        <v/>
      </c>
      <c r="P3597" s="396">
        <f>IFERROR(_xlfn.MINIFS($M:$M,$E:$E,$E3597,$K:$K,$K3597,$M:$M,"&gt;"&amp;$O3597),"")</f>
        <v/>
      </c>
      <c r="Q3597" s="396">
        <f>IF($P3597="","",$P3597-$O3597)</f>
        <v/>
      </c>
    </row>
    <row r="3598" ht="15" customHeight="1" s="231">
      <c r="K3598" s="395">
        <f>DATE(VALUE(LEFT(A3598,4)),VALUE(MID(A3598,5,2)),VALUE(RIGHT(A3598,2)))</f>
        <v/>
      </c>
      <c r="L3598" s="395">
        <f>DATEVALUE(LEFT(F3598,10))</f>
        <v/>
      </c>
      <c r="M3598" s="396">
        <f>TIMEVALUE(MID(F3598,12,8))</f>
        <v/>
      </c>
      <c r="N3598" s="395">
        <f>DATEVALUE(LEFT(G3598,10))</f>
        <v/>
      </c>
      <c r="O3598" s="396">
        <f>TIMEVALUE(MID(G3598,12,8))</f>
        <v/>
      </c>
      <c r="P3598" s="396">
        <f>IFERROR(_xlfn.MINIFS($M:$M,$E:$E,$E3598,$K:$K,$K3598,$M:$M,"&gt;"&amp;$O3598),"")</f>
        <v/>
      </c>
      <c r="Q3598" s="396">
        <f>IF($P3598="","",$P3598-$O3598)</f>
        <v/>
      </c>
    </row>
    <row r="3599" ht="15" customHeight="1" s="231">
      <c r="K3599" s="395">
        <f>DATE(VALUE(LEFT(A3599,4)),VALUE(MID(A3599,5,2)),VALUE(RIGHT(A3599,2)))</f>
        <v/>
      </c>
      <c r="L3599" s="395">
        <f>DATEVALUE(LEFT(F3599,10))</f>
        <v/>
      </c>
      <c r="M3599" s="396">
        <f>TIMEVALUE(MID(F3599,12,8))</f>
        <v/>
      </c>
      <c r="N3599" s="395">
        <f>DATEVALUE(LEFT(G3599,10))</f>
        <v/>
      </c>
      <c r="O3599" s="396">
        <f>TIMEVALUE(MID(G3599,12,8))</f>
        <v/>
      </c>
      <c r="P3599" s="396">
        <f>IFERROR(_xlfn.MINIFS($M:$M,$E:$E,$E3599,$K:$K,$K3599,$M:$M,"&gt;"&amp;$O3599),"")</f>
        <v/>
      </c>
      <c r="Q3599" s="396">
        <f>IF($P3599="","",$P3599-$O3599)</f>
        <v/>
      </c>
    </row>
    <row r="3600" ht="15" customHeight="1" s="231">
      <c r="K3600" s="395">
        <f>DATE(VALUE(LEFT(A3600,4)),VALUE(MID(A3600,5,2)),VALUE(RIGHT(A3600,2)))</f>
        <v/>
      </c>
      <c r="L3600" s="395">
        <f>DATEVALUE(LEFT(F3600,10))</f>
        <v/>
      </c>
      <c r="M3600" s="396">
        <f>TIMEVALUE(MID(F3600,12,8))</f>
        <v/>
      </c>
      <c r="N3600" s="395">
        <f>DATEVALUE(LEFT(G3600,10))</f>
        <v/>
      </c>
      <c r="O3600" s="396">
        <f>TIMEVALUE(MID(G3600,12,8))</f>
        <v/>
      </c>
      <c r="P3600" s="396">
        <f>IFERROR(_xlfn.MINIFS($M:$M,$E:$E,$E3600,$K:$K,$K3600,$M:$M,"&gt;"&amp;$O3600),"")</f>
        <v/>
      </c>
      <c r="Q3600" s="396">
        <f>IF($P3600="","",$P3600-$O3600)</f>
        <v/>
      </c>
    </row>
    <row r="3601" ht="15" customHeight="1" s="231">
      <c r="K3601" s="395">
        <f>DATE(VALUE(LEFT(A3601,4)),VALUE(MID(A3601,5,2)),VALUE(RIGHT(A3601,2)))</f>
        <v/>
      </c>
      <c r="L3601" s="395">
        <f>DATEVALUE(LEFT(F3601,10))</f>
        <v/>
      </c>
      <c r="M3601" s="396">
        <f>TIMEVALUE(MID(F3601,12,8))</f>
        <v/>
      </c>
      <c r="N3601" s="395">
        <f>DATEVALUE(LEFT(G3601,10))</f>
        <v/>
      </c>
      <c r="O3601" s="396">
        <f>TIMEVALUE(MID(G3601,12,8))</f>
        <v/>
      </c>
      <c r="P3601" s="396">
        <f>IFERROR(_xlfn.MINIFS($M:$M,$E:$E,$E3601,$K:$K,$K3601,$M:$M,"&gt;"&amp;$O3601),"")</f>
        <v/>
      </c>
      <c r="Q3601" s="396">
        <f>IF($P3601="","",$P3601-$O3601)</f>
        <v/>
      </c>
    </row>
    <row r="3602" ht="15" customHeight="1" s="231">
      <c r="K3602" s="395">
        <f>DATE(VALUE(LEFT(A3602,4)),VALUE(MID(A3602,5,2)),VALUE(RIGHT(A3602,2)))</f>
        <v/>
      </c>
      <c r="L3602" s="395">
        <f>DATEVALUE(LEFT(F3602,10))</f>
        <v/>
      </c>
      <c r="M3602" s="396">
        <f>TIMEVALUE(MID(F3602,12,8))</f>
        <v/>
      </c>
      <c r="N3602" s="395">
        <f>DATEVALUE(LEFT(G3602,10))</f>
        <v/>
      </c>
      <c r="O3602" s="396">
        <f>TIMEVALUE(MID(G3602,12,8))</f>
        <v/>
      </c>
      <c r="P3602" s="396">
        <f>IFERROR(_xlfn.MINIFS($M:$M,$E:$E,$E3602,$K:$K,$K3602,$M:$M,"&gt;"&amp;$O3602),"")</f>
        <v/>
      </c>
      <c r="Q3602" s="396">
        <f>IF($P3602="","",$P3602-$O3602)</f>
        <v/>
      </c>
    </row>
    <row r="3603" ht="15" customHeight="1" s="231">
      <c r="K3603" s="395">
        <f>DATE(VALUE(LEFT(A3603,4)),VALUE(MID(A3603,5,2)),VALUE(RIGHT(A3603,2)))</f>
        <v/>
      </c>
      <c r="L3603" s="395">
        <f>DATEVALUE(LEFT(F3603,10))</f>
        <v/>
      </c>
      <c r="M3603" s="396">
        <f>TIMEVALUE(MID(F3603,12,8))</f>
        <v/>
      </c>
      <c r="N3603" s="395">
        <f>DATEVALUE(LEFT(G3603,10))</f>
        <v/>
      </c>
      <c r="O3603" s="396">
        <f>TIMEVALUE(MID(G3603,12,8))</f>
        <v/>
      </c>
      <c r="P3603" s="396">
        <f>IFERROR(_xlfn.MINIFS($M:$M,$E:$E,$E3603,$K:$K,$K3603,$M:$M,"&gt;"&amp;$O3603),"")</f>
        <v/>
      </c>
      <c r="Q3603" s="396">
        <f>IF($P3603="","",$P3603-$O3603)</f>
        <v/>
      </c>
    </row>
    <row r="3604" ht="15" customHeight="1" s="231">
      <c r="K3604" s="395">
        <f>DATE(VALUE(LEFT(A3604,4)),VALUE(MID(A3604,5,2)),VALUE(RIGHT(A3604,2)))</f>
        <v/>
      </c>
      <c r="L3604" s="395">
        <f>DATEVALUE(LEFT(F3604,10))</f>
        <v/>
      </c>
      <c r="M3604" s="396">
        <f>TIMEVALUE(MID(F3604,12,8))</f>
        <v/>
      </c>
      <c r="N3604" s="395">
        <f>DATEVALUE(LEFT(G3604,10))</f>
        <v/>
      </c>
      <c r="O3604" s="396">
        <f>TIMEVALUE(MID(G3604,12,8))</f>
        <v/>
      </c>
      <c r="P3604" s="396">
        <f>IFERROR(_xlfn.MINIFS($M:$M,$E:$E,$E3604,$K:$K,$K3604,$M:$M,"&gt;"&amp;$O3604),"")</f>
        <v/>
      </c>
      <c r="Q3604" s="396">
        <f>IF($P3604="","",$P3604-$O3604)</f>
        <v/>
      </c>
    </row>
    <row r="3605" ht="15" customHeight="1" s="231">
      <c r="K3605" s="395">
        <f>DATE(VALUE(LEFT(A3605,4)),VALUE(MID(A3605,5,2)),VALUE(RIGHT(A3605,2)))</f>
        <v/>
      </c>
      <c r="L3605" s="395">
        <f>DATEVALUE(LEFT(F3605,10))</f>
        <v/>
      </c>
      <c r="M3605" s="396">
        <f>TIMEVALUE(MID(F3605,12,8))</f>
        <v/>
      </c>
      <c r="N3605" s="395">
        <f>DATEVALUE(LEFT(G3605,10))</f>
        <v/>
      </c>
      <c r="O3605" s="396">
        <f>TIMEVALUE(MID(G3605,12,8))</f>
        <v/>
      </c>
      <c r="P3605" s="396">
        <f>IFERROR(_xlfn.MINIFS($M:$M,$E:$E,$E3605,$K:$K,$K3605,$M:$M,"&gt;"&amp;$O3605),"")</f>
        <v/>
      </c>
      <c r="Q3605" s="396">
        <f>IF($P3605="","",$P3605-$O3605)</f>
        <v/>
      </c>
    </row>
    <row r="3606" ht="15" customHeight="1" s="231">
      <c r="K3606" s="395">
        <f>DATE(VALUE(LEFT(A3606,4)),VALUE(MID(A3606,5,2)),VALUE(RIGHT(A3606,2)))</f>
        <v/>
      </c>
      <c r="L3606" s="395">
        <f>DATEVALUE(LEFT(F3606,10))</f>
        <v/>
      </c>
      <c r="M3606" s="396">
        <f>TIMEVALUE(MID(F3606,12,8))</f>
        <v/>
      </c>
      <c r="N3606" s="395">
        <f>DATEVALUE(LEFT(G3606,10))</f>
        <v/>
      </c>
      <c r="O3606" s="396">
        <f>TIMEVALUE(MID(G3606,12,8))</f>
        <v/>
      </c>
      <c r="P3606" s="396">
        <f>IFERROR(_xlfn.MINIFS($M:$M,$E:$E,$E3606,$K:$K,$K3606,$M:$M,"&gt;"&amp;$O3606),"")</f>
        <v/>
      </c>
      <c r="Q3606" s="396">
        <f>IF($P3606="","",$P3606-$O3606)</f>
        <v/>
      </c>
    </row>
    <row r="3607" ht="15" customHeight="1" s="231">
      <c r="K3607" s="395">
        <f>DATE(VALUE(LEFT(A3607,4)),VALUE(MID(A3607,5,2)),VALUE(RIGHT(A3607,2)))</f>
        <v/>
      </c>
      <c r="L3607" s="395">
        <f>DATEVALUE(LEFT(F3607,10))</f>
        <v/>
      </c>
      <c r="M3607" s="396">
        <f>TIMEVALUE(MID(F3607,12,8))</f>
        <v/>
      </c>
      <c r="N3607" s="395">
        <f>DATEVALUE(LEFT(G3607,10))</f>
        <v/>
      </c>
      <c r="O3607" s="396">
        <f>TIMEVALUE(MID(G3607,12,8))</f>
        <v/>
      </c>
      <c r="P3607" s="396">
        <f>IFERROR(_xlfn.MINIFS($M:$M,$E:$E,$E3607,$K:$K,$K3607,$M:$M,"&gt;"&amp;$O3607),"")</f>
        <v/>
      </c>
      <c r="Q3607" s="396">
        <f>IF($P3607="","",$P3607-$O3607)</f>
        <v/>
      </c>
    </row>
    <row r="3608" ht="15" customHeight="1" s="231">
      <c r="K3608" s="395">
        <f>DATE(VALUE(LEFT(A3608,4)),VALUE(MID(A3608,5,2)),VALUE(RIGHT(A3608,2)))</f>
        <v/>
      </c>
      <c r="L3608" s="395">
        <f>DATEVALUE(LEFT(F3608,10))</f>
        <v/>
      </c>
      <c r="M3608" s="396">
        <f>TIMEVALUE(MID(F3608,12,8))</f>
        <v/>
      </c>
      <c r="N3608" s="395">
        <f>DATEVALUE(LEFT(G3608,10))</f>
        <v/>
      </c>
      <c r="O3608" s="396">
        <f>TIMEVALUE(MID(G3608,12,8))</f>
        <v/>
      </c>
      <c r="P3608" s="396">
        <f>IFERROR(_xlfn.MINIFS($M:$M,$E:$E,$E3608,$K:$K,$K3608,$M:$M,"&gt;"&amp;$O3608),"")</f>
        <v/>
      </c>
      <c r="Q3608" s="396">
        <f>IF($P3608="","",$P3608-$O3608)</f>
        <v/>
      </c>
    </row>
    <row r="3609" ht="15" customHeight="1" s="231">
      <c r="K3609" s="395">
        <f>DATE(VALUE(LEFT(A3609,4)),VALUE(MID(A3609,5,2)),VALUE(RIGHT(A3609,2)))</f>
        <v/>
      </c>
      <c r="L3609" s="395">
        <f>DATEVALUE(LEFT(F3609,10))</f>
        <v/>
      </c>
      <c r="M3609" s="396">
        <f>TIMEVALUE(MID(F3609,12,8))</f>
        <v/>
      </c>
      <c r="N3609" s="395">
        <f>DATEVALUE(LEFT(G3609,10))</f>
        <v/>
      </c>
      <c r="O3609" s="396">
        <f>TIMEVALUE(MID(G3609,12,8))</f>
        <v/>
      </c>
      <c r="P3609" s="396">
        <f>IFERROR(_xlfn.MINIFS($M:$M,$E:$E,$E3609,$K:$K,$K3609,$M:$M,"&gt;"&amp;$O3609),"")</f>
        <v/>
      </c>
      <c r="Q3609" s="396">
        <f>IF($P3609="","",$P3609-$O3609)</f>
        <v/>
      </c>
    </row>
    <row r="3610" ht="15" customHeight="1" s="231">
      <c r="K3610" s="395">
        <f>DATE(VALUE(LEFT(A3610,4)),VALUE(MID(A3610,5,2)),VALUE(RIGHT(A3610,2)))</f>
        <v/>
      </c>
      <c r="L3610" s="395">
        <f>DATEVALUE(LEFT(F3610,10))</f>
        <v/>
      </c>
      <c r="M3610" s="396">
        <f>TIMEVALUE(MID(F3610,12,8))</f>
        <v/>
      </c>
      <c r="N3610" s="395">
        <f>DATEVALUE(LEFT(G3610,10))</f>
        <v/>
      </c>
      <c r="O3610" s="396">
        <f>TIMEVALUE(MID(G3610,12,8))</f>
        <v/>
      </c>
      <c r="P3610" s="396">
        <f>IFERROR(_xlfn.MINIFS($M:$M,$E:$E,$E3610,$K:$K,$K3610,$M:$M,"&gt;"&amp;$O3610),"")</f>
        <v/>
      </c>
      <c r="Q3610" s="396">
        <f>IF($P3610="","",$P3610-$O3610)</f>
        <v/>
      </c>
    </row>
    <row r="3611" ht="15" customHeight="1" s="231">
      <c r="K3611" s="395">
        <f>DATE(VALUE(LEFT(A3611,4)),VALUE(MID(A3611,5,2)),VALUE(RIGHT(A3611,2)))</f>
        <v/>
      </c>
      <c r="L3611" s="395">
        <f>DATEVALUE(LEFT(F3611,10))</f>
        <v/>
      </c>
      <c r="M3611" s="396">
        <f>TIMEVALUE(MID(F3611,12,8))</f>
        <v/>
      </c>
      <c r="N3611" s="395">
        <f>DATEVALUE(LEFT(G3611,10))</f>
        <v/>
      </c>
      <c r="O3611" s="396">
        <f>TIMEVALUE(MID(G3611,12,8))</f>
        <v/>
      </c>
      <c r="P3611" s="396">
        <f>IFERROR(_xlfn.MINIFS($M:$M,$E:$E,$E3611,$K:$K,$K3611,$M:$M,"&gt;"&amp;$O3611),"")</f>
        <v/>
      </c>
      <c r="Q3611" s="396">
        <f>IF($P3611="","",$P3611-$O3611)</f>
        <v/>
      </c>
    </row>
    <row r="3612" ht="15" customHeight="1" s="231">
      <c r="K3612" s="395">
        <f>DATE(VALUE(LEFT(A3612,4)),VALUE(MID(A3612,5,2)),VALUE(RIGHT(A3612,2)))</f>
        <v/>
      </c>
      <c r="L3612" s="395">
        <f>DATEVALUE(LEFT(F3612,10))</f>
        <v/>
      </c>
      <c r="M3612" s="396">
        <f>TIMEVALUE(MID(F3612,12,8))</f>
        <v/>
      </c>
      <c r="N3612" s="395">
        <f>DATEVALUE(LEFT(G3612,10))</f>
        <v/>
      </c>
      <c r="O3612" s="396">
        <f>TIMEVALUE(MID(G3612,12,8))</f>
        <v/>
      </c>
      <c r="P3612" s="396">
        <f>IFERROR(_xlfn.MINIFS($M:$M,$E:$E,$E3612,$K:$K,$K3612,$M:$M,"&gt;"&amp;$O3612),"")</f>
        <v/>
      </c>
      <c r="Q3612" s="396">
        <f>IF($P3612="","",$P3612-$O3612)</f>
        <v/>
      </c>
    </row>
    <row r="3613" ht="15" customHeight="1" s="231">
      <c r="K3613" s="395">
        <f>DATE(VALUE(LEFT(A3613,4)),VALUE(MID(A3613,5,2)),VALUE(RIGHT(A3613,2)))</f>
        <v/>
      </c>
      <c r="L3613" s="395">
        <f>DATEVALUE(LEFT(F3613,10))</f>
        <v/>
      </c>
      <c r="M3613" s="396">
        <f>TIMEVALUE(MID(F3613,12,8))</f>
        <v/>
      </c>
      <c r="N3613" s="395">
        <f>DATEVALUE(LEFT(G3613,10))</f>
        <v/>
      </c>
      <c r="O3613" s="396">
        <f>TIMEVALUE(MID(G3613,12,8))</f>
        <v/>
      </c>
      <c r="P3613" s="396">
        <f>IFERROR(_xlfn.MINIFS($M:$M,$E:$E,$E3613,$K:$K,$K3613,$M:$M,"&gt;"&amp;$O3613),"")</f>
        <v/>
      </c>
      <c r="Q3613" s="396">
        <f>IF($P3613="","",$P3613-$O3613)</f>
        <v/>
      </c>
    </row>
    <row r="3614" ht="15" customHeight="1" s="231">
      <c r="K3614" s="395">
        <f>DATE(VALUE(LEFT(A3614,4)),VALUE(MID(A3614,5,2)),VALUE(RIGHT(A3614,2)))</f>
        <v/>
      </c>
      <c r="L3614" s="395">
        <f>DATEVALUE(LEFT(F3614,10))</f>
        <v/>
      </c>
      <c r="M3614" s="396">
        <f>TIMEVALUE(MID(F3614,12,8))</f>
        <v/>
      </c>
      <c r="N3614" s="395">
        <f>DATEVALUE(LEFT(G3614,10))</f>
        <v/>
      </c>
      <c r="O3614" s="396">
        <f>TIMEVALUE(MID(G3614,12,8))</f>
        <v/>
      </c>
      <c r="P3614" s="396">
        <f>IFERROR(_xlfn.MINIFS($M:$M,$E:$E,$E3614,$K:$K,$K3614,$M:$M,"&gt;"&amp;$O3614),"")</f>
        <v/>
      </c>
      <c r="Q3614" s="396">
        <f>IF($P3614="","",$P3614-$O3614)</f>
        <v/>
      </c>
    </row>
    <row r="3615" ht="15" customHeight="1" s="231">
      <c r="K3615" s="395">
        <f>DATE(VALUE(LEFT(A3615,4)),VALUE(MID(A3615,5,2)),VALUE(RIGHT(A3615,2)))</f>
        <v/>
      </c>
      <c r="L3615" s="395">
        <f>DATEVALUE(LEFT(F3615,10))</f>
        <v/>
      </c>
      <c r="M3615" s="396">
        <f>TIMEVALUE(MID(F3615,12,8))</f>
        <v/>
      </c>
      <c r="N3615" s="395">
        <f>DATEVALUE(LEFT(G3615,10))</f>
        <v/>
      </c>
      <c r="O3615" s="396">
        <f>TIMEVALUE(MID(G3615,12,8))</f>
        <v/>
      </c>
      <c r="P3615" s="396">
        <f>IFERROR(_xlfn.MINIFS($M:$M,$E:$E,$E3615,$K:$K,$K3615,$M:$M,"&gt;"&amp;$O3615),"")</f>
        <v/>
      </c>
      <c r="Q3615" s="396">
        <f>IF($P3615="","",$P3615-$O3615)</f>
        <v/>
      </c>
    </row>
    <row r="3616" ht="15" customHeight="1" s="231">
      <c r="K3616" s="395">
        <f>DATE(VALUE(LEFT(A3616,4)),VALUE(MID(A3616,5,2)),VALUE(RIGHT(A3616,2)))</f>
        <v/>
      </c>
      <c r="L3616" s="395">
        <f>DATEVALUE(LEFT(F3616,10))</f>
        <v/>
      </c>
      <c r="M3616" s="396">
        <f>TIMEVALUE(MID(F3616,12,8))</f>
        <v/>
      </c>
      <c r="N3616" s="395">
        <f>DATEVALUE(LEFT(G3616,10))</f>
        <v/>
      </c>
      <c r="O3616" s="396">
        <f>TIMEVALUE(MID(G3616,12,8))</f>
        <v/>
      </c>
      <c r="P3616" s="396">
        <f>IFERROR(_xlfn.MINIFS($M:$M,$E:$E,$E3616,$K:$K,$K3616,$M:$M,"&gt;"&amp;$O3616),"")</f>
        <v/>
      </c>
      <c r="Q3616" s="396">
        <f>IF($P3616="","",$P3616-$O3616)</f>
        <v/>
      </c>
    </row>
    <row r="3617" ht="15" customHeight="1" s="231">
      <c r="K3617" s="395">
        <f>DATE(VALUE(LEFT(A3617,4)),VALUE(MID(A3617,5,2)),VALUE(RIGHT(A3617,2)))</f>
        <v/>
      </c>
      <c r="L3617" s="395">
        <f>DATEVALUE(LEFT(F3617,10))</f>
        <v/>
      </c>
      <c r="M3617" s="396">
        <f>TIMEVALUE(MID(F3617,12,8))</f>
        <v/>
      </c>
      <c r="N3617" s="395">
        <f>DATEVALUE(LEFT(G3617,10))</f>
        <v/>
      </c>
      <c r="O3617" s="396">
        <f>TIMEVALUE(MID(G3617,12,8))</f>
        <v/>
      </c>
      <c r="P3617" s="396">
        <f>IFERROR(_xlfn.MINIFS($M:$M,$E:$E,$E3617,$K:$K,$K3617,$M:$M,"&gt;"&amp;$O3617),"")</f>
        <v/>
      </c>
      <c r="Q3617" s="396">
        <f>IF($P3617="","",$P3617-$O3617)</f>
        <v/>
      </c>
    </row>
    <row r="3618" ht="15" customHeight="1" s="231">
      <c r="K3618" s="395">
        <f>DATE(VALUE(LEFT(A3618,4)),VALUE(MID(A3618,5,2)),VALUE(RIGHT(A3618,2)))</f>
        <v/>
      </c>
      <c r="L3618" s="395">
        <f>DATEVALUE(LEFT(F3618,10))</f>
        <v/>
      </c>
      <c r="M3618" s="396">
        <f>TIMEVALUE(MID(F3618,12,8))</f>
        <v/>
      </c>
      <c r="N3618" s="395">
        <f>DATEVALUE(LEFT(G3618,10))</f>
        <v/>
      </c>
      <c r="O3618" s="396">
        <f>TIMEVALUE(MID(G3618,12,8))</f>
        <v/>
      </c>
      <c r="P3618" s="396">
        <f>IFERROR(_xlfn.MINIFS($M:$M,$E:$E,$E3618,$K:$K,$K3618,$M:$M,"&gt;"&amp;$O3618),"")</f>
        <v/>
      </c>
      <c r="Q3618" s="396">
        <f>IF($P3618="","",$P3618-$O3618)</f>
        <v/>
      </c>
    </row>
    <row r="3619" ht="15" customHeight="1" s="231">
      <c r="K3619" s="395">
        <f>DATE(VALUE(LEFT(A3619,4)),VALUE(MID(A3619,5,2)),VALUE(RIGHT(A3619,2)))</f>
        <v/>
      </c>
      <c r="L3619" s="395">
        <f>DATEVALUE(LEFT(F3619,10))</f>
        <v/>
      </c>
      <c r="M3619" s="396">
        <f>TIMEVALUE(MID(F3619,12,8))</f>
        <v/>
      </c>
      <c r="N3619" s="395">
        <f>DATEVALUE(LEFT(G3619,10))</f>
        <v/>
      </c>
      <c r="O3619" s="396">
        <f>TIMEVALUE(MID(G3619,12,8))</f>
        <v/>
      </c>
      <c r="P3619" s="396">
        <f>IFERROR(_xlfn.MINIFS($M:$M,$E:$E,$E3619,$K:$K,$K3619,$M:$M,"&gt;"&amp;$O3619),"")</f>
        <v/>
      </c>
      <c r="Q3619" s="396">
        <f>IF($P3619="","",$P3619-$O3619)</f>
        <v/>
      </c>
    </row>
    <row r="3620" ht="15" customHeight="1" s="231">
      <c r="K3620" s="395">
        <f>DATE(VALUE(LEFT(A3620,4)),VALUE(MID(A3620,5,2)),VALUE(RIGHT(A3620,2)))</f>
        <v/>
      </c>
      <c r="L3620" s="395">
        <f>DATEVALUE(LEFT(F3620,10))</f>
        <v/>
      </c>
      <c r="M3620" s="396">
        <f>TIMEVALUE(MID(F3620,12,8))</f>
        <v/>
      </c>
      <c r="N3620" s="395">
        <f>DATEVALUE(LEFT(G3620,10))</f>
        <v/>
      </c>
      <c r="O3620" s="396">
        <f>TIMEVALUE(MID(G3620,12,8))</f>
        <v/>
      </c>
      <c r="P3620" s="396">
        <f>IFERROR(_xlfn.MINIFS($M:$M,$E:$E,$E3620,$K:$K,$K3620,$M:$M,"&gt;"&amp;$O3620),"")</f>
        <v/>
      </c>
      <c r="Q3620" s="396">
        <f>IF($P3620="","",$P3620-$O3620)</f>
        <v/>
      </c>
    </row>
    <row r="3621" ht="15" customHeight="1" s="231">
      <c r="K3621" s="395">
        <f>DATE(VALUE(LEFT(A3621,4)),VALUE(MID(A3621,5,2)),VALUE(RIGHT(A3621,2)))</f>
        <v/>
      </c>
      <c r="L3621" s="395">
        <f>DATEVALUE(LEFT(F3621,10))</f>
        <v/>
      </c>
      <c r="M3621" s="396">
        <f>TIMEVALUE(MID(F3621,12,8))</f>
        <v/>
      </c>
      <c r="N3621" s="395">
        <f>DATEVALUE(LEFT(G3621,10))</f>
        <v/>
      </c>
      <c r="O3621" s="396">
        <f>TIMEVALUE(MID(G3621,12,8))</f>
        <v/>
      </c>
      <c r="P3621" s="396">
        <f>IFERROR(_xlfn.MINIFS($M:$M,$E:$E,$E3621,$K:$K,$K3621,$M:$M,"&gt;"&amp;$O3621),"")</f>
        <v/>
      </c>
      <c r="Q3621" s="396">
        <f>IF($P3621="","",$P3621-$O3621)</f>
        <v/>
      </c>
    </row>
    <row r="3622" ht="15" customHeight="1" s="231">
      <c r="K3622" s="395">
        <f>DATE(VALUE(LEFT(A3622,4)),VALUE(MID(A3622,5,2)),VALUE(RIGHT(A3622,2)))</f>
        <v/>
      </c>
      <c r="L3622" s="395">
        <f>DATEVALUE(LEFT(F3622,10))</f>
        <v/>
      </c>
      <c r="M3622" s="396">
        <f>TIMEVALUE(MID(F3622,12,8))</f>
        <v/>
      </c>
      <c r="N3622" s="395">
        <f>DATEVALUE(LEFT(G3622,10))</f>
        <v/>
      </c>
      <c r="O3622" s="396">
        <f>TIMEVALUE(MID(G3622,12,8))</f>
        <v/>
      </c>
      <c r="P3622" s="396">
        <f>IFERROR(_xlfn.MINIFS($M:$M,$E:$E,$E3622,$K:$K,$K3622,$M:$M,"&gt;"&amp;$O3622),"")</f>
        <v/>
      </c>
      <c r="Q3622" s="396">
        <f>IF($P3622="","",$P3622-$O3622)</f>
        <v/>
      </c>
    </row>
    <row r="3623" ht="15" customHeight="1" s="231">
      <c r="K3623" s="395">
        <f>DATE(VALUE(LEFT(A3623,4)),VALUE(MID(A3623,5,2)),VALUE(RIGHT(A3623,2)))</f>
        <v/>
      </c>
      <c r="L3623" s="395">
        <f>DATEVALUE(LEFT(F3623,10))</f>
        <v/>
      </c>
      <c r="M3623" s="396">
        <f>TIMEVALUE(MID(F3623,12,8))</f>
        <v/>
      </c>
      <c r="N3623" s="395">
        <f>DATEVALUE(LEFT(G3623,10))</f>
        <v/>
      </c>
      <c r="O3623" s="396">
        <f>TIMEVALUE(MID(G3623,12,8))</f>
        <v/>
      </c>
      <c r="P3623" s="396">
        <f>IFERROR(_xlfn.MINIFS($M:$M,$E:$E,$E3623,$K:$K,$K3623,$M:$M,"&gt;"&amp;$O3623),"")</f>
        <v/>
      </c>
      <c r="Q3623" s="396">
        <f>IF($P3623="","",$P3623-$O3623)</f>
        <v/>
      </c>
    </row>
    <row r="3624" ht="15" customHeight="1" s="231">
      <c r="K3624" s="395">
        <f>DATE(VALUE(LEFT(A3624,4)),VALUE(MID(A3624,5,2)),VALUE(RIGHT(A3624,2)))</f>
        <v/>
      </c>
      <c r="L3624" s="395">
        <f>DATEVALUE(LEFT(F3624,10))</f>
        <v/>
      </c>
      <c r="M3624" s="396">
        <f>TIMEVALUE(MID(F3624,12,8))</f>
        <v/>
      </c>
      <c r="N3624" s="395">
        <f>DATEVALUE(LEFT(G3624,10))</f>
        <v/>
      </c>
      <c r="O3624" s="396">
        <f>TIMEVALUE(MID(G3624,12,8))</f>
        <v/>
      </c>
      <c r="P3624" s="396">
        <f>IFERROR(_xlfn.MINIFS($M:$M,$E:$E,$E3624,$K:$K,$K3624,$M:$M,"&gt;"&amp;$O3624),"")</f>
        <v/>
      </c>
      <c r="Q3624" s="396">
        <f>IF($P3624="","",$P3624-$O3624)</f>
        <v/>
      </c>
    </row>
    <row r="3625" ht="15" customHeight="1" s="231">
      <c r="K3625" s="395">
        <f>DATE(VALUE(LEFT(A3625,4)),VALUE(MID(A3625,5,2)),VALUE(RIGHT(A3625,2)))</f>
        <v/>
      </c>
      <c r="L3625" s="395">
        <f>DATEVALUE(LEFT(F3625,10))</f>
        <v/>
      </c>
      <c r="M3625" s="396">
        <f>TIMEVALUE(MID(F3625,12,8))</f>
        <v/>
      </c>
      <c r="N3625" s="395">
        <f>DATEVALUE(LEFT(G3625,10))</f>
        <v/>
      </c>
      <c r="O3625" s="396">
        <f>TIMEVALUE(MID(G3625,12,8))</f>
        <v/>
      </c>
      <c r="P3625" s="396">
        <f>IFERROR(_xlfn.MINIFS($M:$M,$E:$E,$E3625,$K:$K,$K3625,$M:$M,"&gt;"&amp;$O3625),"")</f>
        <v/>
      </c>
      <c r="Q3625" s="396">
        <f>IF($P3625="","",$P3625-$O3625)</f>
        <v/>
      </c>
    </row>
    <row r="3626" ht="15" customHeight="1" s="231">
      <c r="K3626" s="395">
        <f>DATE(VALUE(LEFT(A3626,4)),VALUE(MID(A3626,5,2)),VALUE(RIGHT(A3626,2)))</f>
        <v/>
      </c>
      <c r="L3626" s="395">
        <f>DATEVALUE(LEFT(F3626,10))</f>
        <v/>
      </c>
      <c r="M3626" s="396">
        <f>TIMEVALUE(MID(F3626,12,8))</f>
        <v/>
      </c>
      <c r="N3626" s="395">
        <f>DATEVALUE(LEFT(G3626,10))</f>
        <v/>
      </c>
      <c r="O3626" s="396">
        <f>TIMEVALUE(MID(G3626,12,8))</f>
        <v/>
      </c>
      <c r="P3626" s="396">
        <f>IFERROR(_xlfn.MINIFS($M:$M,$E:$E,$E3626,$K:$K,$K3626,$M:$M,"&gt;"&amp;$O3626),"")</f>
        <v/>
      </c>
      <c r="Q3626" s="396">
        <f>IF($P3626="","",$P3626-$O3626)</f>
        <v/>
      </c>
    </row>
    <row r="3627" ht="15" customHeight="1" s="231">
      <c r="K3627" s="395">
        <f>DATE(VALUE(LEFT(A3627,4)),VALUE(MID(A3627,5,2)),VALUE(RIGHT(A3627,2)))</f>
        <v/>
      </c>
      <c r="L3627" s="395">
        <f>DATEVALUE(LEFT(F3627,10))</f>
        <v/>
      </c>
      <c r="M3627" s="396">
        <f>TIMEVALUE(MID(F3627,12,8))</f>
        <v/>
      </c>
      <c r="N3627" s="395">
        <f>DATEVALUE(LEFT(G3627,10))</f>
        <v/>
      </c>
      <c r="O3627" s="396">
        <f>TIMEVALUE(MID(G3627,12,8))</f>
        <v/>
      </c>
      <c r="P3627" s="396">
        <f>IFERROR(_xlfn.MINIFS($M:$M,$E:$E,$E3627,$K:$K,$K3627,$M:$M,"&gt;"&amp;$O3627),"")</f>
        <v/>
      </c>
      <c r="Q3627" s="396">
        <f>IF($P3627="","",$P3627-$O3627)</f>
        <v/>
      </c>
    </row>
    <row r="3628" ht="15" customHeight="1" s="231">
      <c r="K3628" s="395">
        <f>DATE(VALUE(LEFT(A3628,4)),VALUE(MID(A3628,5,2)),VALUE(RIGHT(A3628,2)))</f>
        <v/>
      </c>
      <c r="L3628" s="395">
        <f>DATEVALUE(LEFT(F3628,10))</f>
        <v/>
      </c>
      <c r="M3628" s="396">
        <f>TIMEVALUE(MID(F3628,12,8))</f>
        <v/>
      </c>
      <c r="N3628" s="395">
        <f>DATEVALUE(LEFT(G3628,10))</f>
        <v/>
      </c>
      <c r="O3628" s="396">
        <f>TIMEVALUE(MID(G3628,12,8))</f>
        <v/>
      </c>
      <c r="P3628" s="396">
        <f>IFERROR(_xlfn.MINIFS($M:$M,$E:$E,$E3628,$K:$K,$K3628,$M:$M,"&gt;"&amp;$O3628),"")</f>
        <v/>
      </c>
      <c r="Q3628" s="396">
        <f>IF($P3628="","",$P3628-$O3628)</f>
        <v/>
      </c>
    </row>
    <row r="3629" ht="15" customHeight="1" s="231">
      <c r="K3629" s="395">
        <f>DATE(VALUE(LEFT(A3629,4)),VALUE(MID(A3629,5,2)),VALUE(RIGHT(A3629,2)))</f>
        <v/>
      </c>
      <c r="L3629" s="395">
        <f>DATEVALUE(LEFT(F3629,10))</f>
        <v/>
      </c>
      <c r="M3629" s="396">
        <f>TIMEVALUE(MID(F3629,12,8))</f>
        <v/>
      </c>
      <c r="N3629" s="395">
        <f>DATEVALUE(LEFT(G3629,10))</f>
        <v/>
      </c>
      <c r="O3629" s="396">
        <f>TIMEVALUE(MID(G3629,12,8))</f>
        <v/>
      </c>
      <c r="P3629" s="396">
        <f>IFERROR(_xlfn.MINIFS($M:$M,$E:$E,$E3629,$K:$K,$K3629,$M:$M,"&gt;"&amp;$O3629),"")</f>
        <v/>
      </c>
      <c r="Q3629" s="396">
        <f>IF($P3629="","",$P3629-$O3629)</f>
        <v/>
      </c>
    </row>
    <row r="3630" ht="15" customHeight="1" s="231">
      <c r="K3630" s="395">
        <f>DATE(VALUE(LEFT(A3630,4)),VALUE(MID(A3630,5,2)),VALUE(RIGHT(A3630,2)))</f>
        <v/>
      </c>
      <c r="L3630" s="395">
        <f>DATEVALUE(LEFT(F3630,10))</f>
        <v/>
      </c>
      <c r="M3630" s="396">
        <f>TIMEVALUE(MID(F3630,12,8))</f>
        <v/>
      </c>
      <c r="N3630" s="395">
        <f>DATEVALUE(LEFT(G3630,10))</f>
        <v/>
      </c>
      <c r="O3630" s="396">
        <f>TIMEVALUE(MID(G3630,12,8))</f>
        <v/>
      </c>
      <c r="P3630" s="396">
        <f>IFERROR(_xlfn.MINIFS($M:$M,$E:$E,$E3630,$K:$K,$K3630,$M:$M,"&gt;"&amp;$O3630),"")</f>
        <v/>
      </c>
      <c r="Q3630" s="396">
        <f>IF($P3630="","",$P3630-$O3630)</f>
        <v/>
      </c>
    </row>
    <row r="3631" ht="15" customHeight="1" s="231">
      <c r="K3631" s="395">
        <f>DATE(VALUE(LEFT(A3631,4)),VALUE(MID(A3631,5,2)),VALUE(RIGHT(A3631,2)))</f>
        <v/>
      </c>
      <c r="L3631" s="395">
        <f>DATEVALUE(LEFT(F3631,10))</f>
        <v/>
      </c>
      <c r="M3631" s="396">
        <f>TIMEVALUE(MID(F3631,12,8))</f>
        <v/>
      </c>
      <c r="N3631" s="395">
        <f>DATEVALUE(LEFT(G3631,10))</f>
        <v/>
      </c>
      <c r="O3631" s="396">
        <f>TIMEVALUE(MID(G3631,12,8))</f>
        <v/>
      </c>
      <c r="P3631" s="396">
        <f>IFERROR(_xlfn.MINIFS($M:$M,$E:$E,$E3631,$K:$K,$K3631,$M:$M,"&gt;"&amp;$O3631),"")</f>
        <v/>
      </c>
      <c r="Q3631" s="396">
        <f>IF($P3631="","",$P3631-$O3631)</f>
        <v/>
      </c>
    </row>
    <row r="3632" ht="15" customHeight="1" s="231">
      <c r="K3632" s="395">
        <f>DATE(VALUE(LEFT(A3632,4)),VALUE(MID(A3632,5,2)),VALUE(RIGHT(A3632,2)))</f>
        <v/>
      </c>
      <c r="L3632" s="395">
        <f>DATEVALUE(LEFT(F3632,10))</f>
        <v/>
      </c>
      <c r="M3632" s="396">
        <f>TIMEVALUE(MID(F3632,12,8))</f>
        <v/>
      </c>
      <c r="N3632" s="395">
        <f>DATEVALUE(LEFT(G3632,10))</f>
        <v/>
      </c>
      <c r="O3632" s="396">
        <f>TIMEVALUE(MID(G3632,12,8))</f>
        <v/>
      </c>
      <c r="P3632" s="396">
        <f>IFERROR(_xlfn.MINIFS($M:$M,$E:$E,$E3632,$K:$K,$K3632,$M:$M,"&gt;"&amp;$O3632),"")</f>
        <v/>
      </c>
      <c r="Q3632" s="396">
        <f>IF($P3632="","",$P3632-$O3632)</f>
        <v/>
      </c>
    </row>
    <row r="3633" ht="15" customHeight="1" s="231">
      <c r="K3633" s="395">
        <f>DATE(VALUE(LEFT(A3633,4)),VALUE(MID(A3633,5,2)),VALUE(RIGHT(A3633,2)))</f>
        <v/>
      </c>
      <c r="L3633" s="395">
        <f>DATEVALUE(LEFT(F3633,10))</f>
        <v/>
      </c>
      <c r="M3633" s="396">
        <f>TIMEVALUE(MID(F3633,12,8))</f>
        <v/>
      </c>
      <c r="N3633" s="395">
        <f>DATEVALUE(LEFT(G3633,10))</f>
        <v/>
      </c>
      <c r="O3633" s="396">
        <f>TIMEVALUE(MID(G3633,12,8))</f>
        <v/>
      </c>
      <c r="P3633" s="396">
        <f>IFERROR(_xlfn.MINIFS($M:$M,$E:$E,$E3633,$K:$K,$K3633,$M:$M,"&gt;"&amp;$O3633),"")</f>
        <v/>
      </c>
      <c r="Q3633" s="396">
        <f>IF($P3633="","",$P3633-$O3633)</f>
        <v/>
      </c>
    </row>
    <row r="3634" ht="15" customHeight="1" s="231">
      <c r="K3634" s="395">
        <f>DATE(VALUE(LEFT(A3634,4)),VALUE(MID(A3634,5,2)),VALUE(RIGHT(A3634,2)))</f>
        <v/>
      </c>
      <c r="L3634" s="395">
        <f>DATEVALUE(LEFT(F3634,10))</f>
        <v/>
      </c>
      <c r="M3634" s="396">
        <f>TIMEVALUE(MID(F3634,12,8))</f>
        <v/>
      </c>
      <c r="N3634" s="395">
        <f>DATEVALUE(LEFT(G3634,10))</f>
        <v/>
      </c>
      <c r="O3634" s="396">
        <f>TIMEVALUE(MID(G3634,12,8))</f>
        <v/>
      </c>
      <c r="P3634" s="396">
        <f>IFERROR(_xlfn.MINIFS($M:$M,$E:$E,$E3634,$K:$K,$K3634,$M:$M,"&gt;"&amp;$O3634),"")</f>
        <v/>
      </c>
      <c r="Q3634" s="396">
        <f>IF($P3634="","",$P3634-$O3634)</f>
        <v/>
      </c>
    </row>
    <row r="3635" ht="15" customHeight="1" s="231">
      <c r="K3635" s="395">
        <f>DATE(VALUE(LEFT(A3635,4)),VALUE(MID(A3635,5,2)),VALUE(RIGHT(A3635,2)))</f>
        <v/>
      </c>
      <c r="L3635" s="395">
        <f>DATEVALUE(LEFT(F3635,10))</f>
        <v/>
      </c>
      <c r="M3635" s="396">
        <f>TIMEVALUE(MID(F3635,12,8))</f>
        <v/>
      </c>
      <c r="N3635" s="395">
        <f>DATEVALUE(LEFT(G3635,10))</f>
        <v/>
      </c>
      <c r="O3635" s="396">
        <f>TIMEVALUE(MID(G3635,12,8))</f>
        <v/>
      </c>
      <c r="P3635" s="396">
        <f>IFERROR(_xlfn.MINIFS($M:$M,$E:$E,$E3635,$K:$K,$K3635,$M:$M,"&gt;"&amp;$O3635),"")</f>
        <v/>
      </c>
      <c r="Q3635" s="396">
        <f>IF($P3635="","",$P3635-$O3635)</f>
        <v/>
      </c>
    </row>
    <row r="3636" ht="15" customHeight="1" s="231">
      <c r="K3636" s="395">
        <f>DATE(VALUE(LEFT(A3636,4)),VALUE(MID(A3636,5,2)),VALUE(RIGHT(A3636,2)))</f>
        <v/>
      </c>
      <c r="L3636" s="395">
        <f>DATEVALUE(LEFT(F3636,10))</f>
        <v/>
      </c>
      <c r="M3636" s="396">
        <f>TIMEVALUE(MID(F3636,12,8))</f>
        <v/>
      </c>
      <c r="N3636" s="395">
        <f>DATEVALUE(LEFT(G3636,10))</f>
        <v/>
      </c>
      <c r="O3636" s="396">
        <f>TIMEVALUE(MID(G3636,12,8))</f>
        <v/>
      </c>
      <c r="P3636" s="396">
        <f>IFERROR(_xlfn.MINIFS($M:$M,$E:$E,$E3636,$K:$K,$K3636,$M:$M,"&gt;"&amp;$O3636),"")</f>
        <v/>
      </c>
      <c r="Q3636" s="396">
        <f>IF($P3636="","",$P3636-$O3636)</f>
        <v/>
      </c>
    </row>
    <row r="3637" ht="15" customHeight="1" s="231">
      <c r="K3637" s="395">
        <f>DATE(VALUE(LEFT(A3637,4)),VALUE(MID(A3637,5,2)),VALUE(RIGHT(A3637,2)))</f>
        <v/>
      </c>
      <c r="L3637" s="395">
        <f>DATEVALUE(LEFT(F3637,10))</f>
        <v/>
      </c>
      <c r="M3637" s="396">
        <f>TIMEVALUE(MID(F3637,12,8))</f>
        <v/>
      </c>
      <c r="N3637" s="395">
        <f>DATEVALUE(LEFT(G3637,10))</f>
        <v/>
      </c>
      <c r="O3637" s="396">
        <f>TIMEVALUE(MID(G3637,12,8))</f>
        <v/>
      </c>
      <c r="P3637" s="396">
        <f>IFERROR(_xlfn.MINIFS($M:$M,$E:$E,$E3637,$K:$K,$K3637,$M:$M,"&gt;"&amp;$O3637),"")</f>
        <v/>
      </c>
      <c r="Q3637" s="396">
        <f>IF($P3637="","",$P3637-$O3637)</f>
        <v/>
      </c>
    </row>
    <row r="3638" ht="15" customHeight="1" s="231">
      <c r="K3638" s="395">
        <f>DATE(VALUE(LEFT(A3638,4)),VALUE(MID(A3638,5,2)),VALUE(RIGHT(A3638,2)))</f>
        <v/>
      </c>
      <c r="L3638" s="395">
        <f>DATEVALUE(LEFT(F3638,10))</f>
        <v/>
      </c>
      <c r="M3638" s="396">
        <f>TIMEVALUE(MID(F3638,12,8))</f>
        <v/>
      </c>
      <c r="N3638" s="395">
        <f>DATEVALUE(LEFT(G3638,10))</f>
        <v/>
      </c>
      <c r="O3638" s="396">
        <f>TIMEVALUE(MID(G3638,12,8))</f>
        <v/>
      </c>
      <c r="P3638" s="396">
        <f>IFERROR(_xlfn.MINIFS($M:$M,$E:$E,$E3638,$K:$K,$K3638,$M:$M,"&gt;"&amp;$O3638),"")</f>
        <v/>
      </c>
      <c r="Q3638" s="396">
        <f>IF($P3638="","",$P3638-$O3638)</f>
        <v/>
      </c>
    </row>
    <row r="3639" ht="15" customHeight="1" s="231">
      <c r="K3639" s="395">
        <f>DATE(VALUE(LEFT(A3639,4)),VALUE(MID(A3639,5,2)),VALUE(RIGHT(A3639,2)))</f>
        <v/>
      </c>
      <c r="L3639" s="395">
        <f>DATEVALUE(LEFT(F3639,10))</f>
        <v/>
      </c>
      <c r="M3639" s="396">
        <f>TIMEVALUE(MID(F3639,12,8))</f>
        <v/>
      </c>
      <c r="N3639" s="395">
        <f>DATEVALUE(LEFT(G3639,10))</f>
        <v/>
      </c>
      <c r="O3639" s="396">
        <f>TIMEVALUE(MID(G3639,12,8))</f>
        <v/>
      </c>
      <c r="P3639" s="396">
        <f>IFERROR(_xlfn.MINIFS($M:$M,$E:$E,$E3639,$K:$K,$K3639,$M:$M,"&gt;"&amp;$O3639),"")</f>
        <v/>
      </c>
      <c r="Q3639" s="396">
        <f>IF($P3639="","",$P3639-$O3639)</f>
        <v/>
      </c>
    </row>
    <row r="3640" ht="15" customHeight="1" s="231">
      <c r="K3640" s="395">
        <f>DATE(VALUE(LEFT(A3640,4)),VALUE(MID(A3640,5,2)),VALUE(RIGHT(A3640,2)))</f>
        <v/>
      </c>
      <c r="L3640" s="395">
        <f>DATEVALUE(LEFT(F3640,10))</f>
        <v/>
      </c>
      <c r="M3640" s="396">
        <f>TIMEVALUE(MID(F3640,12,8))</f>
        <v/>
      </c>
      <c r="N3640" s="395">
        <f>DATEVALUE(LEFT(G3640,10))</f>
        <v/>
      </c>
      <c r="O3640" s="396">
        <f>TIMEVALUE(MID(G3640,12,8))</f>
        <v/>
      </c>
      <c r="P3640" s="396">
        <f>IFERROR(_xlfn.MINIFS($M:$M,$E:$E,$E3640,$K:$K,$K3640,$M:$M,"&gt;"&amp;$O3640),"")</f>
        <v/>
      </c>
      <c r="Q3640" s="396">
        <f>IF($P3640="","",$P3640-$O3640)</f>
        <v/>
      </c>
    </row>
    <row r="3641" ht="15" customHeight="1" s="231">
      <c r="K3641" s="395">
        <f>DATE(VALUE(LEFT(A3641,4)),VALUE(MID(A3641,5,2)),VALUE(RIGHT(A3641,2)))</f>
        <v/>
      </c>
      <c r="L3641" s="395">
        <f>DATEVALUE(LEFT(F3641,10))</f>
        <v/>
      </c>
      <c r="M3641" s="396">
        <f>TIMEVALUE(MID(F3641,12,8))</f>
        <v/>
      </c>
      <c r="N3641" s="395">
        <f>DATEVALUE(LEFT(G3641,10))</f>
        <v/>
      </c>
      <c r="O3641" s="396">
        <f>TIMEVALUE(MID(G3641,12,8))</f>
        <v/>
      </c>
      <c r="P3641" s="396">
        <f>IFERROR(_xlfn.MINIFS($M:$M,$E:$E,$E3641,$K:$K,$K3641,$M:$M,"&gt;"&amp;$O3641),"")</f>
        <v/>
      </c>
      <c r="Q3641" s="396">
        <f>IF($P3641="","",$P3641-$O3641)</f>
        <v/>
      </c>
    </row>
    <row r="3642" ht="15" customHeight="1" s="231">
      <c r="K3642" s="395">
        <f>DATE(VALUE(LEFT(A3642,4)),VALUE(MID(A3642,5,2)),VALUE(RIGHT(A3642,2)))</f>
        <v/>
      </c>
      <c r="L3642" s="395">
        <f>DATEVALUE(LEFT(F3642,10))</f>
        <v/>
      </c>
      <c r="M3642" s="396">
        <f>TIMEVALUE(MID(F3642,12,8))</f>
        <v/>
      </c>
      <c r="N3642" s="395">
        <f>DATEVALUE(LEFT(G3642,10))</f>
        <v/>
      </c>
      <c r="O3642" s="396">
        <f>TIMEVALUE(MID(G3642,12,8))</f>
        <v/>
      </c>
      <c r="P3642" s="396">
        <f>IFERROR(_xlfn.MINIFS($M:$M,$E:$E,$E3642,$K:$K,$K3642,$M:$M,"&gt;"&amp;$O3642),"")</f>
        <v/>
      </c>
      <c r="Q3642" s="396">
        <f>IF($P3642="","",$P3642-$O3642)</f>
        <v/>
      </c>
    </row>
    <row r="3643" ht="15" customHeight="1" s="231">
      <c r="K3643" s="395">
        <f>DATE(VALUE(LEFT(A3643,4)),VALUE(MID(A3643,5,2)),VALUE(RIGHT(A3643,2)))</f>
        <v/>
      </c>
      <c r="L3643" s="395">
        <f>DATEVALUE(LEFT(F3643,10))</f>
        <v/>
      </c>
      <c r="M3643" s="396">
        <f>TIMEVALUE(MID(F3643,12,8))</f>
        <v/>
      </c>
      <c r="N3643" s="395">
        <f>DATEVALUE(LEFT(G3643,10))</f>
        <v/>
      </c>
      <c r="O3643" s="396">
        <f>TIMEVALUE(MID(G3643,12,8))</f>
        <v/>
      </c>
      <c r="P3643" s="396">
        <f>IFERROR(_xlfn.MINIFS($M:$M,$E:$E,$E3643,$K:$K,$K3643,$M:$M,"&gt;"&amp;$O3643),"")</f>
        <v/>
      </c>
      <c r="Q3643" s="396">
        <f>IF($P3643="","",$P3643-$O3643)</f>
        <v/>
      </c>
    </row>
    <row r="3644" ht="15" customHeight="1" s="231">
      <c r="K3644" s="395">
        <f>DATE(VALUE(LEFT(A3644,4)),VALUE(MID(A3644,5,2)),VALUE(RIGHT(A3644,2)))</f>
        <v/>
      </c>
      <c r="L3644" s="395">
        <f>DATEVALUE(LEFT(F3644,10))</f>
        <v/>
      </c>
      <c r="M3644" s="396">
        <f>TIMEVALUE(MID(F3644,12,8))</f>
        <v/>
      </c>
      <c r="N3644" s="395">
        <f>DATEVALUE(LEFT(G3644,10))</f>
        <v/>
      </c>
      <c r="O3644" s="396">
        <f>TIMEVALUE(MID(G3644,12,8))</f>
        <v/>
      </c>
      <c r="P3644" s="396">
        <f>IFERROR(_xlfn.MINIFS($M:$M,$E:$E,$E3644,$K:$K,$K3644,$M:$M,"&gt;"&amp;$O3644),"")</f>
        <v/>
      </c>
      <c r="Q3644" s="396">
        <f>IF($P3644="","",$P3644-$O3644)</f>
        <v/>
      </c>
    </row>
    <row r="3645" ht="15" customHeight="1" s="231">
      <c r="K3645" s="395">
        <f>DATE(VALUE(LEFT(A3645,4)),VALUE(MID(A3645,5,2)),VALUE(RIGHT(A3645,2)))</f>
        <v/>
      </c>
      <c r="L3645" s="395">
        <f>DATEVALUE(LEFT(F3645,10))</f>
        <v/>
      </c>
      <c r="M3645" s="396">
        <f>TIMEVALUE(MID(F3645,12,8))</f>
        <v/>
      </c>
      <c r="N3645" s="395">
        <f>DATEVALUE(LEFT(G3645,10))</f>
        <v/>
      </c>
      <c r="O3645" s="396">
        <f>TIMEVALUE(MID(G3645,12,8))</f>
        <v/>
      </c>
      <c r="P3645" s="396">
        <f>IFERROR(_xlfn.MINIFS($M:$M,$E:$E,$E3645,$K:$K,$K3645,$M:$M,"&gt;"&amp;$O3645),"")</f>
        <v/>
      </c>
      <c r="Q3645" s="396">
        <f>IF($P3645="","",$P3645-$O3645)</f>
        <v/>
      </c>
    </row>
    <row r="3646" ht="15" customHeight="1" s="231">
      <c r="K3646" s="395">
        <f>DATE(VALUE(LEFT(A3646,4)),VALUE(MID(A3646,5,2)),VALUE(RIGHT(A3646,2)))</f>
        <v/>
      </c>
      <c r="L3646" s="395">
        <f>DATEVALUE(LEFT(F3646,10))</f>
        <v/>
      </c>
      <c r="M3646" s="396">
        <f>TIMEVALUE(MID(F3646,12,8))</f>
        <v/>
      </c>
      <c r="N3646" s="395">
        <f>DATEVALUE(LEFT(G3646,10))</f>
        <v/>
      </c>
      <c r="O3646" s="396">
        <f>TIMEVALUE(MID(G3646,12,8))</f>
        <v/>
      </c>
      <c r="P3646" s="396">
        <f>IFERROR(_xlfn.MINIFS($M:$M,$E:$E,$E3646,$K:$K,$K3646,$M:$M,"&gt;"&amp;$O3646),"")</f>
        <v/>
      </c>
      <c r="Q3646" s="396">
        <f>IF($P3646="","",$P3646-$O3646)</f>
        <v/>
      </c>
    </row>
    <row r="3647" ht="15" customHeight="1" s="231">
      <c r="K3647" s="395">
        <f>DATE(VALUE(LEFT(A3647,4)),VALUE(MID(A3647,5,2)),VALUE(RIGHT(A3647,2)))</f>
        <v/>
      </c>
      <c r="L3647" s="395">
        <f>DATEVALUE(LEFT(F3647,10))</f>
        <v/>
      </c>
      <c r="M3647" s="396">
        <f>TIMEVALUE(MID(F3647,12,8))</f>
        <v/>
      </c>
      <c r="N3647" s="395">
        <f>DATEVALUE(LEFT(G3647,10))</f>
        <v/>
      </c>
      <c r="O3647" s="396">
        <f>TIMEVALUE(MID(G3647,12,8))</f>
        <v/>
      </c>
      <c r="P3647" s="396">
        <f>IFERROR(_xlfn.MINIFS($M:$M,$E:$E,$E3647,$K:$K,$K3647,$M:$M,"&gt;"&amp;$O3647),"")</f>
        <v/>
      </c>
      <c r="Q3647" s="396">
        <f>IF($P3647="","",$P3647-$O3647)</f>
        <v/>
      </c>
    </row>
    <row r="3648" ht="15" customHeight="1" s="231">
      <c r="K3648" s="395">
        <f>DATE(VALUE(LEFT(A3648,4)),VALUE(MID(A3648,5,2)),VALUE(RIGHT(A3648,2)))</f>
        <v/>
      </c>
      <c r="L3648" s="395">
        <f>DATEVALUE(LEFT(F3648,10))</f>
        <v/>
      </c>
      <c r="M3648" s="396">
        <f>TIMEVALUE(MID(F3648,12,8))</f>
        <v/>
      </c>
      <c r="N3648" s="395">
        <f>DATEVALUE(LEFT(G3648,10))</f>
        <v/>
      </c>
      <c r="O3648" s="396">
        <f>TIMEVALUE(MID(G3648,12,8))</f>
        <v/>
      </c>
      <c r="P3648" s="396">
        <f>IFERROR(_xlfn.MINIFS($M:$M,$E:$E,$E3648,$K:$K,$K3648,$M:$M,"&gt;"&amp;$O3648),"")</f>
        <v/>
      </c>
      <c r="Q3648" s="396">
        <f>IF($P3648="","",$P3648-$O3648)</f>
        <v/>
      </c>
    </row>
    <row r="3649" ht="15" customHeight="1" s="231">
      <c r="K3649" s="395">
        <f>DATE(VALUE(LEFT(A3649,4)),VALUE(MID(A3649,5,2)),VALUE(RIGHT(A3649,2)))</f>
        <v/>
      </c>
      <c r="L3649" s="395">
        <f>DATEVALUE(LEFT(F3649,10))</f>
        <v/>
      </c>
      <c r="M3649" s="396">
        <f>TIMEVALUE(MID(F3649,12,8))</f>
        <v/>
      </c>
      <c r="N3649" s="395">
        <f>DATEVALUE(LEFT(G3649,10))</f>
        <v/>
      </c>
      <c r="O3649" s="396">
        <f>TIMEVALUE(MID(G3649,12,8))</f>
        <v/>
      </c>
      <c r="P3649" s="396">
        <f>IFERROR(_xlfn.MINIFS($M:$M,$E:$E,$E3649,$K:$K,$K3649,$M:$M,"&gt;"&amp;$O3649),"")</f>
        <v/>
      </c>
      <c r="Q3649" s="396">
        <f>IF($P3649="","",$P3649-$O3649)</f>
        <v/>
      </c>
    </row>
    <row r="3650" ht="15" customHeight="1" s="231">
      <c r="K3650" s="395">
        <f>DATE(VALUE(LEFT(A3650,4)),VALUE(MID(A3650,5,2)),VALUE(RIGHT(A3650,2)))</f>
        <v/>
      </c>
      <c r="L3650" s="395">
        <f>DATEVALUE(LEFT(F3650,10))</f>
        <v/>
      </c>
      <c r="M3650" s="396">
        <f>TIMEVALUE(MID(F3650,12,8))</f>
        <v/>
      </c>
      <c r="N3650" s="395">
        <f>DATEVALUE(LEFT(G3650,10))</f>
        <v/>
      </c>
      <c r="O3650" s="396">
        <f>TIMEVALUE(MID(G3650,12,8))</f>
        <v/>
      </c>
      <c r="P3650" s="396">
        <f>IFERROR(_xlfn.MINIFS($M:$M,$E:$E,$E3650,$K:$K,$K3650,$M:$M,"&gt;"&amp;$O3650),"")</f>
        <v/>
      </c>
      <c r="Q3650" s="396">
        <f>IF($P3650="","",$P3650-$O3650)</f>
        <v/>
      </c>
    </row>
    <row r="3651" ht="15" customHeight="1" s="231">
      <c r="K3651" s="395">
        <f>DATE(VALUE(LEFT(A3651,4)),VALUE(MID(A3651,5,2)),VALUE(RIGHT(A3651,2)))</f>
        <v/>
      </c>
      <c r="L3651" s="395">
        <f>DATEVALUE(LEFT(F3651,10))</f>
        <v/>
      </c>
      <c r="M3651" s="396">
        <f>TIMEVALUE(MID(F3651,12,8))</f>
        <v/>
      </c>
      <c r="N3651" s="395">
        <f>DATEVALUE(LEFT(G3651,10))</f>
        <v/>
      </c>
      <c r="O3651" s="396">
        <f>TIMEVALUE(MID(G3651,12,8))</f>
        <v/>
      </c>
      <c r="P3651" s="396">
        <f>IFERROR(_xlfn.MINIFS($M:$M,$E:$E,$E3651,$K:$K,$K3651,$M:$M,"&gt;"&amp;$O3651),"")</f>
        <v/>
      </c>
      <c r="Q3651" s="396">
        <f>IF($P3651="","",$P3651-$O3651)</f>
        <v/>
      </c>
    </row>
    <row r="3652" ht="15" customHeight="1" s="231">
      <c r="K3652" s="395">
        <f>DATE(VALUE(LEFT(A3652,4)),VALUE(MID(A3652,5,2)),VALUE(RIGHT(A3652,2)))</f>
        <v/>
      </c>
      <c r="L3652" s="395">
        <f>DATEVALUE(LEFT(F3652,10))</f>
        <v/>
      </c>
      <c r="M3652" s="396">
        <f>TIMEVALUE(MID(F3652,12,8))</f>
        <v/>
      </c>
      <c r="N3652" s="395">
        <f>DATEVALUE(LEFT(G3652,10))</f>
        <v/>
      </c>
      <c r="O3652" s="396">
        <f>TIMEVALUE(MID(G3652,12,8))</f>
        <v/>
      </c>
      <c r="P3652" s="396">
        <f>IFERROR(_xlfn.MINIFS($M:$M,$E:$E,$E3652,$K:$K,$K3652,$M:$M,"&gt;"&amp;$O3652),"")</f>
        <v/>
      </c>
      <c r="Q3652" s="396">
        <f>IF($P3652="","",$P3652-$O3652)</f>
        <v/>
      </c>
    </row>
    <row r="3653" ht="15" customHeight="1" s="231">
      <c r="K3653" s="395">
        <f>DATE(VALUE(LEFT(A3653,4)),VALUE(MID(A3653,5,2)),VALUE(RIGHT(A3653,2)))</f>
        <v/>
      </c>
      <c r="L3653" s="395">
        <f>DATEVALUE(LEFT(F3653,10))</f>
        <v/>
      </c>
      <c r="M3653" s="396">
        <f>TIMEVALUE(MID(F3653,12,8))</f>
        <v/>
      </c>
      <c r="N3653" s="395">
        <f>DATEVALUE(LEFT(G3653,10))</f>
        <v/>
      </c>
      <c r="O3653" s="396">
        <f>TIMEVALUE(MID(G3653,12,8))</f>
        <v/>
      </c>
      <c r="P3653" s="396">
        <f>IFERROR(_xlfn.MINIFS($M:$M,$E:$E,$E3653,$K:$K,$K3653,$M:$M,"&gt;"&amp;$O3653),"")</f>
        <v/>
      </c>
      <c r="Q3653" s="396">
        <f>IF($P3653="","",$P3653-$O3653)</f>
        <v/>
      </c>
    </row>
    <row r="3654" ht="15" customHeight="1" s="231">
      <c r="K3654" s="395">
        <f>DATE(VALUE(LEFT(A3654,4)),VALUE(MID(A3654,5,2)),VALUE(RIGHT(A3654,2)))</f>
        <v/>
      </c>
      <c r="L3654" s="395">
        <f>DATEVALUE(LEFT(F3654,10))</f>
        <v/>
      </c>
      <c r="M3654" s="396">
        <f>TIMEVALUE(MID(F3654,12,8))</f>
        <v/>
      </c>
      <c r="N3654" s="395">
        <f>DATEVALUE(LEFT(G3654,10))</f>
        <v/>
      </c>
      <c r="O3654" s="396">
        <f>TIMEVALUE(MID(G3654,12,8))</f>
        <v/>
      </c>
      <c r="P3654" s="396">
        <f>IFERROR(_xlfn.MINIFS($M:$M,$E:$E,$E3654,$K:$K,$K3654,$M:$M,"&gt;"&amp;$O3654),"")</f>
        <v/>
      </c>
      <c r="Q3654" s="396">
        <f>IF($P3654="","",$P3654-$O3654)</f>
        <v/>
      </c>
    </row>
    <row r="3655" ht="15" customHeight="1" s="231">
      <c r="K3655" s="395">
        <f>DATE(VALUE(LEFT(A3655,4)),VALUE(MID(A3655,5,2)),VALUE(RIGHT(A3655,2)))</f>
        <v/>
      </c>
      <c r="L3655" s="395">
        <f>DATEVALUE(LEFT(F3655,10))</f>
        <v/>
      </c>
      <c r="M3655" s="396">
        <f>TIMEVALUE(MID(F3655,12,8))</f>
        <v/>
      </c>
      <c r="N3655" s="395">
        <f>DATEVALUE(LEFT(G3655,10))</f>
        <v/>
      </c>
      <c r="O3655" s="396">
        <f>TIMEVALUE(MID(G3655,12,8))</f>
        <v/>
      </c>
      <c r="P3655" s="396">
        <f>IFERROR(_xlfn.MINIFS($M:$M,$E:$E,$E3655,$K:$K,$K3655,$M:$M,"&gt;"&amp;$O3655),"")</f>
        <v/>
      </c>
      <c r="Q3655" s="396">
        <f>IF($P3655="","",$P3655-$O3655)</f>
        <v/>
      </c>
    </row>
    <row r="3656" ht="15" customHeight="1" s="231">
      <c r="K3656" s="395">
        <f>DATE(VALUE(LEFT(A3656,4)),VALUE(MID(A3656,5,2)),VALUE(RIGHT(A3656,2)))</f>
        <v/>
      </c>
      <c r="L3656" s="395">
        <f>DATEVALUE(LEFT(F3656,10))</f>
        <v/>
      </c>
      <c r="M3656" s="396">
        <f>TIMEVALUE(MID(F3656,12,8))</f>
        <v/>
      </c>
      <c r="N3656" s="395">
        <f>DATEVALUE(LEFT(G3656,10))</f>
        <v/>
      </c>
      <c r="O3656" s="396">
        <f>TIMEVALUE(MID(G3656,12,8))</f>
        <v/>
      </c>
      <c r="P3656" s="396">
        <f>IFERROR(_xlfn.MINIFS($M:$M,$E:$E,$E3656,$K:$K,$K3656,$M:$M,"&gt;"&amp;$O3656),"")</f>
        <v/>
      </c>
      <c r="Q3656" s="396">
        <f>IF($P3656="","",$P3656-$O3656)</f>
        <v/>
      </c>
    </row>
    <row r="3657" ht="15" customHeight="1" s="231">
      <c r="K3657" s="395">
        <f>DATE(VALUE(LEFT(A3657,4)),VALUE(MID(A3657,5,2)),VALUE(RIGHT(A3657,2)))</f>
        <v/>
      </c>
      <c r="L3657" s="395">
        <f>DATEVALUE(LEFT(F3657,10))</f>
        <v/>
      </c>
      <c r="M3657" s="396">
        <f>TIMEVALUE(MID(F3657,12,8))</f>
        <v/>
      </c>
      <c r="N3657" s="395">
        <f>DATEVALUE(LEFT(G3657,10))</f>
        <v/>
      </c>
      <c r="O3657" s="396">
        <f>TIMEVALUE(MID(G3657,12,8))</f>
        <v/>
      </c>
      <c r="P3657" s="396">
        <f>IFERROR(_xlfn.MINIFS($M:$M,$E:$E,$E3657,$K:$K,$K3657,$M:$M,"&gt;"&amp;$O3657),"")</f>
        <v/>
      </c>
      <c r="Q3657" s="396">
        <f>IF($P3657="","",$P3657-$O3657)</f>
        <v/>
      </c>
    </row>
    <row r="3658" ht="15" customHeight="1" s="231">
      <c r="K3658" s="395">
        <f>DATE(VALUE(LEFT(A3658,4)),VALUE(MID(A3658,5,2)),VALUE(RIGHT(A3658,2)))</f>
        <v/>
      </c>
      <c r="L3658" s="395">
        <f>DATEVALUE(LEFT(F3658,10))</f>
        <v/>
      </c>
      <c r="M3658" s="396">
        <f>TIMEVALUE(MID(F3658,12,8))</f>
        <v/>
      </c>
      <c r="N3658" s="395">
        <f>DATEVALUE(LEFT(G3658,10))</f>
        <v/>
      </c>
      <c r="O3658" s="396">
        <f>TIMEVALUE(MID(G3658,12,8))</f>
        <v/>
      </c>
      <c r="P3658" s="396">
        <f>IFERROR(_xlfn.MINIFS($M:$M,$E:$E,$E3658,$K:$K,$K3658,$M:$M,"&gt;"&amp;$O3658),"")</f>
        <v/>
      </c>
      <c r="Q3658" s="396">
        <f>IF($P3658="","",$P3658-$O3658)</f>
        <v/>
      </c>
    </row>
    <row r="3659" ht="15" customHeight="1" s="231">
      <c r="K3659" s="395">
        <f>DATE(VALUE(LEFT(A3659,4)),VALUE(MID(A3659,5,2)),VALUE(RIGHT(A3659,2)))</f>
        <v/>
      </c>
      <c r="L3659" s="395">
        <f>DATEVALUE(LEFT(F3659,10))</f>
        <v/>
      </c>
      <c r="M3659" s="396">
        <f>TIMEVALUE(MID(F3659,12,8))</f>
        <v/>
      </c>
      <c r="N3659" s="395">
        <f>DATEVALUE(LEFT(G3659,10))</f>
        <v/>
      </c>
      <c r="O3659" s="396">
        <f>TIMEVALUE(MID(G3659,12,8))</f>
        <v/>
      </c>
      <c r="P3659" s="396">
        <f>IFERROR(_xlfn.MINIFS($M:$M,$E:$E,$E3659,$K:$K,$K3659,$M:$M,"&gt;"&amp;$O3659),"")</f>
        <v/>
      </c>
      <c r="Q3659" s="396">
        <f>IF($P3659="","",$P3659-$O3659)</f>
        <v/>
      </c>
    </row>
    <row r="3660" ht="15" customHeight="1" s="231">
      <c r="K3660" s="395">
        <f>DATE(VALUE(LEFT(A3660,4)),VALUE(MID(A3660,5,2)),VALUE(RIGHT(A3660,2)))</f>
        <v/>
      </c>
      <c r="L3660" s="395">
        <f>DATEVALUE(LEFT(F3660,10))</f>
        <v/>
      </c>
      <c r="M3660" s="396">
        <f>TIMEVALUE(MID(F3660,12,8))</f>
        <v/>
      </c>
      <c r="N3660" s="395">
        <f>DATEVALUE(LEFT(G3660,10))</f>
        <v/>
      </c>
      <c r="O3660" s="396">
        <f>TIMEVALUE(MID(G3660,12,8))</f>
        <v/>
      </c>
      <c r="P3660" s="396">
        <f>IFERROR(_xlfn.MINIFS($M:$M,$E:$E,$E3660,$K:$K,$K3660,$M:$M,"&gt;"&amp;$O3660),"")</f>
        <v/>
      </c>
      <c r="Q3660" s="396">
        <f>IF($P3660="","",$P3660-$O3660)</f>
        <v/>
      </c>
    </row>
    <row r="3661" ht="15" customHeight="1" s="231">
      <c r="K3661" s="395">
        <f>DATE(VALUE(LEFT(A3661,4)),VALUE(MID(A3661,5,2)),VALUE(RIGHT(A3661,2)))</f>
        <v/>
      </c>
      <c r="L3661" s="395">
        <f>DATEVALUE(LEFT(F3661,10))</f>
        <v/>
      </c>
      <c r="M3661" s="396">
        <f>TIMEVALUE(MID(F3661,12,8))</f>
        <v/>
      </c>
      <c r="N3661" s="395">
        <f>DATEVALUE(LEFT(G3661,10))</f>
        <v/>
      </c>
      <c r="O3661" s="396">
        <f>TIMEVALUE(MID(G3661,12,8))</f>
        <v/>
      </c>
      <c r="P3661" s="396">
        <f>IFERROR(_xlfn.MINIFS($M:$M,$E:$E,$E3661,$K:$K,$K3661,$M:$M,"&gt;"&amp;$O3661),"")</f>
        <v/>
      </c>
      <c r="Q3661" s="396">
        <f>IF($P3661="","",$P3661-$O3661)</f>
        <v/>
      </c>
    </row>
    <row r="3662" ht="15" customHeight="1" s="231">
      <c r="K3662" s="395">
        <f>DATE(VALUE(LEFT(A3662,4)),VALUE(MID(A3662,5,2)),VALUE(RIGHT(A3662,2)))</f>
        <v/>
      </c>
      <c r="L3662" s="395">
        <f>DATEVALUE(LEFT(F3662,10))</f>
        <v/>
      </c>
      <c r="M3662" s="396">
        <f>TIMEVALUE(MID(F3662,12,8))</f>
        <v/>
      </c>
      <c r="N3662" s="395">
        <f>DATEVALUE(LEFT(G3662,10))</f>
        <v/>
      </c>
      <c r="O3662" s="396">
        <f>TIMEVALUE(MID(G3662,12,8))</f>
        <v/>
      </c>
      <c r="P3662" s="396">
        <f>IFERROR(_xlfn.MINIFS($M:$M,$E:$E,$E3662,$K:$K,$K3662,$M:$M,"&gt;"&amp;$O3662),"")</f>
        <v/>
      </c>
      <c r="Q3662" s="396">
        <f>IF($P3662="","",$P3662-$O3662)</f>
        <v/>
      </c>
    </row>
    <row r="3663" ht="15" customHeight="1" s="231">
      <c r="K3663" s="395">
        <f>DATE(VALUE(LEFT(A3663,4)),VALUE(MID(A3663,5,2)),VALUE(RIGHT(A3663,2)))</f>
        <v/>
      </c>
      <c r="L3663" s="395">
        <f>DATEVALUE(LEFT(F3663,10))</f>
        <v/>
      </c>
      <c r="M3663" s="396">
        <f>TIMEVALUE(MID(F3663,12,8))</f>
        <v/>
      </c>
      <c r="N3663" s="395">
        <f>DATEVALUE(LEFT(G3663,10))</f>
        <v/>
      </c>
      <c r="O3663" s="396">
        <f>TIMEVALUE(MID(G3663,12,8))</f>
        <v/>
      </c>
      <c r="P3663" s="396">
        <f>IFERROR(_xlfn.MINIFS($M:$M,$E:$E,$E3663,$K:$K,$K3663,$M:$M,"&gt;"&amp;$O3663),"")</f>
        <v/>
      </c>
      <c r="Q3663" s="396">
        <f>IF($P3663="","",$P3663-$O3663)</f>
        <v/>
      </c>
    </row>
    <row r="3664" ht="15" customHeight="1" s="231">
      <c r="K3664" s="395">
        <f>DATE(VALUE(LEFT(A3664,4)),VALUE(MID(A3664,5,2)),VALUE(RIGHT(A3664,2)))</f>
        <v/>
      </c>
      <c r="L3664" s="395">
        <f>DATEVALUE(LEFT(F3664,10))</f>
        <v/>
      </c>
      <c r="M3664" s="396">
        <f>TIMEVALUE(MID(F3664,12,8))</f>
        <v/>
      </c>
      <c r="N3664" s="395">
        <f>DATEVALUE(LEFT(G3664,10))</f>
        <v/>
      </c>
      <c r="O3664" s="396">
        <f>TIMEVALUE(MID(G3664,12,8))</f>
        <v/>
      </c>
      <c r="P3664" s="396">
        <f>IFERROR(_xlfn.MINIFS($M:$M,$E:$E,$E3664,$K:$K,$K3664,$M:$M,"&gt;"&amp;$O3664),"")</f>
        <v/>
      </c>
      <c r="Q3664" s="396">
        <f>IF($P3664="","",$P3664-$O3664)</f>
        <v/>
      </c>
    </row>
    <row r="3665" ht="15" customHeight="1" s="231">
      <c r="K3665" s="395">
        <f>DATE(VALUE(LEFT(A3665,4)),VALUE(MID(A3665,5,2)),VALUE(RIGHT(A3665,2)))</f>
        <v/>
      </c>
      <c r="L3665" s="395">
        <f>DATEVALUE(LEFT(F3665,10))</f>
        <v/>
      </c>
      <c r="M3665" s="396">
        <f>TIMEVALUE(MID(F3665,12,8))</f>
        <v/>
      </c>
      <c r="N3665" s="395">
        <f>DATEVALUE(LEFT(G3665,10))</f>
        <v/>
      </c>
      <c r="O3665" s="396">
        <f>TIMEVALUE(MID(G3665,12,8))</f>
        <v/>
      </c>
      <c r="P3665" s="396">
        <f>IFERROR(_xlfn.MINIFS($M:$M,$E:$E,$E3665,$K:$K,$K3665,$M:$M,"&gt;"&amp;$O3665),"")</f>
        <v/>
      </c>
      <c r="Q3665" s="396">
        <f>IF($P3665="","",$P3665-$O3665)</f>
        <v/>
      </c>
    </row>
    <row r="3666" ht="15" customHeight="1" s="231">
      <c r="K3666" s="395">
        <f>DATE(VALUE(LEFT(A3666,4)),VALUE(MID(A3666,5,2)),VALUE(RIGHT(A3666,2)))</f>
        <v/>
      </c>
      <c r="L3666" s="395">
        <f>DATEVALUE(LEFT(F3666,10))</f>
        <v/>
      </c>
      <c r="M3666" s="396">
        <f>TIMEVALUE(MID(F3666,12,8))</f>
        <v/>
      </c>
      <c r="N3666" s="395">
        <f>DATEVALUE(LEFT(G3666,10))</f>
        <v/>
      </c>
      <c r="O3666" s="396">
        <f>TIMEVALUE(MID(G3666,12,8))</f>
        <v/>
      </c>
      <c r="P3666" s="396">
        <f>IFERROR(_xlfn.MINIFS($M:$M,$E:$E,$E3666,$K:$K,$K3666,$M:$M,"&gt;"&amp;$O3666),"")</f>
        <v/>
      </c>
      <c r="Q3666" s="396">
        <f>IF($P3666="","",$P3666-$O3666)</f>
        <v/>
      </c>
    </row>
    <row r="3667" ht="15" customHeight="1" s="231">
      <c r="K3667" s="395">
        <f>DATE(VALUE(LEFT(A3667,4)),VALUE(MID(A3667,5,2)),VALUE(RIGHT(A3667,2)))</f>
        <v/>
      </c>
      <c r="L3667" s="395">
        <f>DATEVALUE(LEFT(F3667,10))</f>
        <v/>
      </c>
      <c r="M3667" s="396">
        <f>TIMEVALUE(MID(F3667,12,8))</f>
        <v/>
      </c>
      <c r="N3667" s="395">
        <f>DATEVALUE(LEFT(G3667,10))</f>
        <v/>
      </c>
      <c r="O3667" s="396">
        <f>TIMEVALUE(MID(G3667,12,8))</f>
        <v/>
      </c>
      <c r="P3667" s="396">
        <f>IFERROR(_xlfn.MINIFS($M:$M,$E:$E,$E3667,$K:$K,$K3667,$M:$M,"&gt;"&amp;$O3667),"")</f>
        <v/>
      </c>
      <c r="Q3667" s="396">
        <f>IF($P3667="","",$P3667-$O3667)</f>
        <v/>
      </c>
    </row>
    <row r="3668" ht="15" customHeight="1" s="231">
      <c r="K3668" s="395">
        <f>DATE(VALUE(LEFT(A3668,4)),VALUE(MID(A3668,5,2)),VALUE(RIGHT(A3668,2)))</f>
        <v/>
      </c>
      <c r="L3668" s="395">
        <f>DATEVALUE(LEFT(F3668,10))</f>
        <v/>
      </c>
      <c r="M3668" s="396">
        <f>TIMEVALUE(MID(F3668,12,8))</f>
        <v/>
      </c>
      <c r="N3668" s="395">
        <f>DATEVALUE(LEFT(G3668,10))</f>
        <v/>
      </c>
      <c r="O3668" s="396">
        <f>TIMEVALUE(MID(G3668,12,8))</f>
        <v/>
      </c>
      <c r="P3668" s="396">
        <f>IFERROR(_xlfn.MINIFS($M:$M,$E:$E,$E3668,$K:$K,$K3668,$M:$M,"&gt;"&amp;$O3668),"")</f>
        <v/>
      </c>
      <c r="Q3668" s="396">
        <f>IF($P3668="","",$P3668-$O3668)</f>
        <v/>
      </c>
    </row>
    <row r="3669" ht="15" customHeight="1" s="231">
      <c r="K3669" s="395">
        <f>DATE(VALUE(LEFT(A3669,4)),VALUE(MID(A3669,5,2)),VALUE(RIGHT(A3669,2)))</f>
        <v/>
      </c>
      <c r="L3669" s="395">
        <f>DATEVALUE(LEFT(F3669,10))</f>
        <v/>
      </c>
      <c r="M3669" s="396">
        <f>TIMEVALUE(MID(F3669,12,8))</f>
        <v/>
      </c>
      <c r="N3669" s="395">
        <f>DATEVALUE(LEFT(G3669,10))</f>
        <v/>
      </c>
      <c r="O3669" s="396">
        <f>TIMEVALUE(MID(G3669,12,8))</f>
        <v/>
      </c>
      <c r="P3669" s="396">
        <f>IFERROR(_xlfn.MINIFS($M:$M,$E:$E,$E3669,$K:$K,$K3669,$M:$M,"&gt;"&amp;$O3669),"")</f>
        <v/>
      </c>
      <c r="Q3669" s="396">
        <f>IF($P3669="","",$P3669-$O3669)</f>
        <v/>
      </c>
    </row>
    <row r="3670" ht="15" customHeight="1" s="231">
      <c r="K3670" s="395">
        <f>DATE(VALUE(LEFT(A3670,4)),VALUE(MID(A3670,5,2)),VALUE(RIGHT(A3670,2)))</f>
        <v/>
      </c>
      <c r="L3670" s="395">
        <f>DATEVALUE(LEFT(F3670,10))</f>
        <v/>
      </c>
      <c r="M3670" s="396">
        <f>TIMEVALUE(MID(F3670,12,8))</f>
        <v/>
      </c>
      <c r="N3670" s="395">
        <f>DATEVALUE(LEFT(G3670,10))</f>
        <v/>
      </c>
      <c r="O3670" s="396">
        <f>TIMEVALUE(MID(G3670,12,8))</f>
        <v/>
      </c>
      <c r="P3670" s="396">
        <f>IFERROR(_xlfn.MINIFS($M:$M,$E:$E,$E3670,$K:$K,$K3670,$M:$M,"&gt;"&amp;$O3670),"")</f>
        <v/>
      </c>
      <c r="Q3670" s="396">
        <f>IF($P3670="","",$P3670-$O3670)</f>
        <v/>
      </c>
    </row>
    <row r="3671" ht="15" customHeight="1" s="231">
      <c r="K3671" s="395">
        <f>DATE(VALUE(LEFT(A3671,4)),VALUE(MID(A3671,5,2)),VALUE(RIGHT(A3671,2)))</f>
        <v/>
      </c>
      <c r="L3671" s="395">
        <f>DATEVALUE(LEFT(F3671,10))</f>
        <v/>
      </c>
      <c r="M3671" s="396">
        <f>TIMEVALUE(MID(F3671,12,8))</f>
        <v/>
      </c>
      <c r="N3671" s="395">
        <f>DATEVALUE(LEFT(G3671,10))</f>
        <v/>
      </c>
      <c r="O3671" s="396">
        <f>TIMEVALUE(MID(G3671,12,8))</f>
        <v/>
      </c>
      <c r="P3671" s="396">
        <f>IFERROR(_xlfn.MINIFS($M:$M,$E:$E,$E3671,$K:$K,$K3671,$M:$M,"&gt;"&amp;$O3671),"")</f>
        <v/>
      </c>
      <c r="Q3671" s="396">
        <f>IF($P3671="","",$P3671-$O3671)</f>
        <v/>
      </c>
    </row>
    <row r="3672" ht="15" customHeight="1" s="231">
      <c r="K3672" s="395">
        <f>DATE(VALUE(LEFT(A3672,4)),VALUE(MID(A3672,5,2)),VALUE(RIGHT(A3672,2)))</f>
        <v/>
      </c>
      <c r="L3672" s="395">
        <f>DATEVALUE(LEFT(F3672,10))</f>
        <v/>
      </c>
      <c r="M3672" s="396">
        <f>TIMEVALUE(MID(F3672,12,8))</f>
        <v/>
      </c>
      <c r="N3672" s="395">
        <f>DATEVALUE(LEFT(G3672,10))</f>
        <v/>
      </c>
      <c r="O3672" s="396">
        <f>TIMEVALUE(MID(G3672,12,8))</f>
        <v/>
      </c>
      <c r="P3672" s="396">
        <f>IFERROR(_xlfn.MINIFS($M:$M,$E:$E,$E3672,$K:$K,$K3672,$M:$M,"&gt;"&amp;$O3672),"")</f>
        <v/>
      </c>
      <c r="Q3672" s="396">
        <f>IF($P3672="","",$P3672-$O3672)</f>
        <v/>
      </c>
    </row>
    <row r="3673" ht="15" customHeight="1" s="231">
      <c r="K3673" s="395">
        <f>DATE(VALUE(LEFT(A3673,4)),VALUE(MID(A3673,5,2)),VALUE(RIGHT(A3673,2)))</f>
        <v/>
      </c>
      <c r="L3673" s="395">
        <f>DATEVALUE(LEFT(F3673,10))</f>
        <v/>
      </c>
      <c r="M3673" s="396">
        <f>TIMEVALUE(MID(F3673,12,8))</f>
        <v/>
      </c>
      <c r="N3673" s="395">
        <f>DATEVALUE(LEFT(G3673,10))</f>
        <v/>
      </c>
      <c r="O3673" s="396">
        <f>TIMEVALUE(MID(G3673,12,8))</f>
        <v/>
      </c>
      <c r="P3673" s="396">
        <f>IFERROR(_xlfn.MINIFS($M:$M,$E:$E,$E3673,$K:$K,$K3673,$M:$M,"&gt;"&amp;$O3673),"")</f>
        <v/>
      </c>
      <c r="Q3673" s="396">
        <f>IF($P3673="","",$P3673-$O3673)</f>
        <v/>
      </c>
    </row>
    <row r="3674" ht="15" customHeight="1" s="231">
      <c r="K3674" s="395">
        <f>DATE(VALUE(LEFT(A3674,4)),VALUE(MID(A3674,5,2)),VALUE(RIGHT(A3674,2)))</f>
        <v/>
      </c>
      <c r="L3674" s="395">
        <f>DATEVALUE(LEFT(F3674,10))</f>
        <v/>
      </c>
      <c r="M3674" s="396">
        <f>TIMEVALUE(MID(F3674,12,8))</f>
        <v/>
      </c>
      <c r="N3674" s="395">
        <f>DATEVALUE(LEFT(G3674,10))</f>
        <v/>
      </c>
      <c r="O3674" s="396">
        <f>TIMEVALUE(MID(G3674,12,8))</f>
        <v/>
      </c>
      <c r="P3674" s="396">
        <f>IFERROR(_xlfn.MINIFS($M:$M,$E:$E,$E3674,$K:$K,$K3674,$M:$M,"&gt;"&amp;$O3674),"")</f>
        <v/>
      </c>
      <c r="Q3674" s="396">
        <f>IF($P3674="","",$P3674-$O3674)</f>
        <v/>
      </c>
    </row>
    <row r="3675" ht="15" customHeight="1" s="231">
      <c r="K3675" s="395">
        <f>DATE(VALUE(LEFT(A3675,4)),VALUE(MID(A3675,5,2)),VALUE(RIGHT(A3675,2)))</f>
        <v/>
      </c>
      <c r="L3675" s="395">
        <f>DATEVALUE(LEFT(F3675,10))</f>
        <v/>
      </c>
      <c r="M3675" s="396">
        <f>TIMEVALUE(MID(F3675,12,8))</f>
        <v/>
      </c>
      <c r="N3675" s="395">
        <f>DATEVALUE(LEFT(G3675,10))</f>
        <v/>
      </c>
      <c r="O3675" s="396">
        <f>TIMEVALUE(MID(G3675,12,8))</f>
        <v/>
      </c>
      <c r="P3675" s="396">
        <f>IFERROR(_xlfn.MINIFS($M:$M,$E:$E,$E3675,$K:$K,$K3675,$M:$M,"&gt;"&amp;$O3675),"")</f>
        <v/>
      </c>
      <c r="Q3675" s="396">
        <f>IF($P3675="","",$P3675-$O3675)</f>
        <v/>
      </c>
    </row>
    <row r="3676" ht="15" customHeight="1" s="231">
      <c r="K3676" s="395">
        <f>DATE(VALUE(LEFT(A3676,4)),VALUE(MID(A3676,5,2)),VALUE(RIGHT(A3676,2)))</f>
        <v/>
      </c>
      <c r="L3676" s="395">
        <f>DATEVALUE(LEFT(F3676,10))</f>
        <v/>
      </c>
      <c r="M3676" s="396">
        <f>TIMEVALUE(MID(F3676,12,8))</f>
        <v/>
      </c>
      <c r="N3676" s="395">
        <f>DATEVALUE(LEFT(G3676,10))</f>
        <v/>
      </c>
      <c r="O3676" s="396">
        <f>TIMEVALUE(MID(G3676,12,8))</f>
        <v/>
      </c>
      <c r="P3676" s="396">
        <f>IFERROR(_xlfn.MINIFS($M:$M,$E:$E,$E3676,$K:$K,$K3676,$M:$M,"&gt;"&amp;$O3676),"")</f>
        <v/>
      </c>
      <c r="Q3676" s="396">
        <f>IF($P3676="","",$P3676-$O3676)</f>
        <v/>
      </c>
    </row>
    <row r="3677" ht="15" customHeight="1" s="231">
      <c r="K3677" s="395">
        <f>DATE(VALUE(LEFT(A3677,4)),VALUE(MID(A3677,5,2)),VALUE(RIGHT(A3677,2)))</f>
        <v/>
      </c>
      <c r="L3677" s="395">
        <f>DATEVALUE(LEFT(F3677,10))</f>
        <v/>
      </c>
      <c r="M3677" s="396">
        <f>TIMEVALUE(MID(F3677,12,8))</f>
        <v/>
      </c>
      <c r="N3677" s="395">
        <f>DATEVALUE(LEFT(G3677,10))</f>
        <v/>
      </c>
      <c r="O3677" s="396">
        <f>TIMEVALUE(MID(G3677,12,8))</f>
        <v/>
      </c>
      <c r="P3677" s="396">
        <f>IFERROR(_xlfn.MINIFS($M:$M,$E:$E,$E3677,$K:$K,$K3677,$M:$M,"&gt;"&amp;$O3677),"")</f>
        <v/>
      </c>
      <c r="Q3677" s="396">
        <f>IF($P3677="","",$P3677-$O3677)</f>
        <v/>
      </c>
    </row>
    <row r="3678" ht="15" customHeight="1" s="231">
      <c r="K3678" s="395">
        <f>DATE(VALUE(LEFT(A3678,4)),VALUE(MID(A3678,5,2)),VALUE(RIGHT(A3678,2)))</f>
        <v/>
      </c>
      <c r="L3678" s="395">
        <f>DATEVALUE(LEFT(F3678,10))</f>
        <v/>
      </c>
      <c r="M3678" s="396">
        <f>TIMEVALUE(MID(F3678,12,8))</f>
        <v/>
      </c>
      <c r="N3678" s="395">
        <f>DATEVALUE(LEFT(G3678,10))</f>
        <v/>
      </c>
      <c r="O3678" s="396">
        <f>TIMEVALUE(MID(G3678,12,8))</f>
        <v/>
      </c>
      <c r="P3678" s="396">
        <f>IFERROR(_xlfn.MINIFS($M:$M,$E:$E,$E3678,$K:$K,$K3678,$M:$M,"&gt;"&amp;$O3678),"")</f>
        <v/>
      </c>
      <c r="Q3678" s="396">
        <f>IF($P3678="","",$P3678-$O3678)</f>
        <v/>
      </c>
    </row>
    <row r="3679" ht="15" customHeight="1" s="231">
      <c r="K3679" s="395">
        <f>DATE(VALUE(LEFT(A3679,4)),VALUE(MID(A3679,5,2)),VALUE(RIGHT(A3679,2)))</f>
        <v/>
      </c>
      <c r="L3679" s="395">
        <f>DATEVALUE(LEFT(F3679,10))</f>
        <v/>
      </c>
      <c r="M3679" s="396">
        <f>TIMEVALUE(MID(F3679,12,8))</f>
        <v/>
      </c>
      <c r="N3679" s="395">
        <f>DATEVALUE(LEFT(G3679,10))</f>
        <v/>
      </c>
      <c r="O3679" s="396">
        <f>TIMEVALUE(MID(G3679,12,8))</f>
        <v/>
      </c>
      <c r="P3679" s="396">
        <f>IFERROR(_xlfn.MINIFS($M:$M,$E:$E,$E3679,$K:$K,$K3679,$M:$M,"&gt;"&amp;$O3679),"")</f>
        <v/>
      </c>
      <c r="Q3679" s="396">
        <f>IF($P3679="","",$P3679-$O3679)</f>
        <v/>
      </c>
    </row>
    <row r="3680" ht="15" customHeight="1" s="231">
      <c r="K3680" s="395">
        <f>DATE(VALUE(LEFT(A3680,4)),VALUE(MID(A3680,5,2)),VALUE(RIGHT(A3680,2)))</f>
        <v/>
      </c>
      <c r="L3680" s="395">
        <f>DATEVALUE(LEFT(F3680,10))</f>
        <v/>
      </c>
      <c r="M3680" s="396">
        <f>TIMEVALUE(MID(F3680,12,8))</f>
        <v/>
      </c>
      <c r="N3680" s="395">
        <f>DATEVALUE(LEFT(G3680,10))</f>
        <v/>
      </c>
      <c r="O3680" s="396">
        <f>TIMEVALUE(MID(G3680,12,8))</f>
        <v/>
      </c>
      <c r="P3680" s="396">
        <f>IFERROR(_xlfn.MINIFS($M:$M,$E:$E,$E3680,$K:$K,$K3680,$M:$M,"&gt;"&amp;$O3680),"")</f>
        <v/>
      </c>
      <c r="Q3680" s="396">
        <f>IF($P3680="","",$P3680-$O3680)</f>
        <v/>
      </c>
    </row>
    <row r="3681" ht="15" customHeight="1" s="231">
      <c r="K3681" s="395">
        <f>DATE(VALUE(LEFT(A3681,4)),VALUE(MID(A3681,5,2)),VALUE(RIGHT(A3681,2)))</f>
        <v/>
      </c>
      <c r="L3681" s="395">
        <f>DATEVALUE(LEFT(F3681,10))</f>
        <v/>
      </c>
      <c r="M3681" s="396">
        <f>TIMEVALUE(MID(F3681,12,8))</f>
        <v/>
      </c>
      <c r="N3681" s="395">
        <f>DATEVALUE(LEFT(G3681,10))</f>
        <v/>
      </c>
      <c r="O3681" s="396">
        <f>TIMEVALUE(MID(G3681,12,8))</f>
        <v/>
      </c>
      <c r="P3681" s="396">
        <f>IFERROR(_xlfn.MINIFS($M:$M,$E:$E,$E3681,$K:$K,$K3681,$M:$M,"&gt;"&amp;$O3681),"")</f>
        <v/>
      </c>
      <c r="Q3681" s="396">
        <f>IF($P3681="","",$P3681-$O3681)</f>
        <v/>
      </c>
    </row>
    <row r="3682" ht="15" customHeight="1" s="231">
      <c r="K3682" s="395">
        <f>DATE(VALUE(LEFT(A3682,4)),VALUE(MID(A3682,5,2)),VALUE(RIGHT(A3682,2)))</f>
        <v/>
      </c>
      <c r="L3682" s="395">
        <f>DATEVALUE(LEFT(F3682,10))</f>
        <v/>
      </c>
      <c r="M3682" s="396">
        <f>TIMEVALUE(MID(F3682,12,8))</f>
        <v/>
      </c>
      <c r="N3682" s="395">
        <f>DATEVALUE(LEFT(G3682,10))</f>
        <v/>
      </c>
      <c r="O3682" s="396">
        <f>TIMEVALUE(MID(G3682,12,8))</f>
        <v/>
      </c>
      <c r="P3682" s="396">
        <f>IFERROR(_xlfn.MINIFS($M:$M,$E:$E,$E3682,$K:$K,$K3682,$M:$M,"&gt;"&amp;$O3682),"")</f>
        <v/>
      </c>
      <c r="Q3682" s="396">
        <f>IF($P3682="","",$P3682-$O3682)</f>
        <v/>
      </c>
    </row>
    <row r="3683" ht="15" customHeight="1" s="231">
      <c r="K3683" s="395">
        <f>DATE(VALUE(LEFT(A3683,4)),VALUE(MID(A3683,5,2)),VALUE(RIGHT(A3683,2)))</f>
        <v/>
      </c>
      <c r="L3683" s="395">
        <f>DATEVALUE(LEFT(F3683,10))</f>
        <v/>
      </c>
      <c r="M3683" s="396">
        <f>TIMEVALUE(MID(F3683,12,8))</f>
        <v/>
      </c>
      <c r="N3683" s="395">
        <f>DATEVALUE(LEFT(G3683,10))</f>
        <v/>
      </c>
      <c r="O3683" s="396">
        <f>TIMEVALUE(MID(G3683,12,8))</f>
        <v/>
      </c>
      <c r="P3683" s="396">
        <f>IFERROR(_xlfn.MINIFS($M:$M,$E:$E,$E3683,$K:$K,$K3683,$M:$M,"&gt;"&amp;$O3683),"")</f>
        <v/>
      </c>
      <c r="Q3683" s="396">
        <f>IF($P3683="","",$P3683-$O3683)</f>
        <v/>
      </c>
    </row>
    <row r="3684" ht="15" customHeight="1" s="231">
      <c r="K3684" s="395">
        <f>DATE(VALUE(LEFT(A3684,4)),VALUE(MID(A3684,5,2)),VALUE(RIGHT(A3684,2)))</f>
        <v/>
      </c>
      <c r="L3684" s="395">
        <f>DATEVALUE(LEFT(F3684,10))</f>
        <v/>
      </c>
      <c r="M3684" s="396">
        <f>TIMEVALUE(MID(F3684,12,8))</f>
        <v/>
      </c>
      <c r="N3684" s="395">
        <f>DATEVALUE(LEFT(G3684,10))</f>
        <v/>
      </c>
      <c r="O3684" s="396">
        <f>TIMEVALUE(MID(G3684,12,8))</f>
        <v/>
      </c>
      <c r="P3684" s="396">
        <f>IFERROR(_xlfn.MINIFS($M:$M,$E:$E,$E3684,$K:$K,$K3684,$M:$M,"&gt;"&amp;$O3684),"")</f>
        <v/>
      </c>
      <c r="Q3684" s="396">
        <f>IF($P3684="","",$P3684-$O3684)</f>
        <v/>
      </c>
    </row>
    <row r="3685" ht="15" customHeight="1" s="231">
      <c r="K3685" s="395">
        <f>DATE(VALUE(LEFT(A3685,4)),VALUE(MID(A3685,5,2)),VALUE(RIGHT(A3685,2)))</f>
        <v/>
      </c>
      <c r="L3685" s="395">
        <f>DATEVALUE(LEFT(F3685,10))</f>
        <v/>
      </c>
      <c r="M3685" s="396">
        <f>TIMEVALUE(MID(F3685,12,8))</f>
        <v/>
      </c>
      <c r="N3685" s="395">
        <f>DATEVALUE(LEFT(G3685,10))</f>
        <v/>
      </c>
      <c r="O3685" s="396">
        <f>TIMEVALUE(MID(G3685,12,8))</f>
        <v/>
      </c>
      <c r="P3685" s="396">
        <f>IFERROR(_xlfn.MINIFS($M:$M,$E:$E,$E3685,$K:$K,$K3685,$M:$M,"&gt;"&amp;$O3685),"")</f>
        <v/>
      </c>
      <c r="Q3685" s="396">
        <f>IF($P3685="","",$P3685-$O3685)</f>
        <v/>
      </c>
    </row>
    <row r="3686" ht="15" customHeight="1" s="231">
      <c r="K3686" s="395">
        <f>DATE(VALUE(LEFT(A3686,4)),VALUE(MID(A3686,5,2)),VALUE(RIGHT(A3686,2)))</f>
        <v/>
      </c>
      <c r="L3686" s="395">
        <f>DATEVALUE(LEFT(F3686,10))</f>
        <v/>
      </c>
      <c r="M3686" s="396">
        <f>TIMEVALUE(MID(F3686,12,8))</f>
        <v/>
      </c>
      <c r="N3686" s="395">
        <f>DATEVALUE(LEFT(G3686,10))</f>
        <v/>
      </c>
      <c r="O3686" s="396">
        <f>TIMEVALUE(MID(G3686,12,8))</f>
        <v/>
      </c>
      <c r="P3686" s="396">
        <f>IFERROR(_xlfn.MINIFS($M:$M,$E:$E,$E3686,$K:$K,$K3686,$M:$M,"&gt;"&amp;$O3686),"")</f>
        <v/>
      </c>
      <c r="Q3686" s="396">
        <f>IF($P3686="","",$P3686-$O3686)</f>
        <v/>
      </c>
    </row>
    <row r="3687" ht="15" customHeight="1" s="231">
      <c r="K3687" s="395">
        <f>DATE(VALUE(LEFT(A3687,4)),VALUE(MID(A3687,5,2)),VALUE(RIGHT(A3687,2)))</f>
        <v/>
      </c>
      <c r="L3687" s="395">
        <f>DATEVALUE(LEFT(F3687,10))</f>
        <v/>
      </c>
      <c r="M3687" s="396">
        <f>TIMEVALUE(MID(F3687,12,8))</f>
        <v/>
      </c>
      <c r="N3687" s="395">
        <f>DATEVALUE(LEFT(G3687,10))</f>
        <v/>
      </c>
      <c r="O3687" s="396">
        <f>TIMEVALUE(MID(G3687,12,8))</f>
        <v/>
      </c>
      <c r="P3687" s="396">
        <f>IFERROR(_xlfn.MINIFS($M:$M,$E:$E,$E3687,$K:$K,$K3687,$M:$M,"&gt;"&amp;$O3687),"")</f>
        <v/>
      </c>
      <c r="Q3687" s="396">
        <f>IF($P3687="","",$P3687-$O3687)</f>
        <v/>
      </c>
    </row>
    <row r="3688" ht="15" customHeight="1" s="231">
      <c r="K3688" s="395">
        <f>DATE(VALUE(LEFT(A3688,4)),VALUE(MID(A3688,5,2)),VALUE(RIGHT(A3688,2)))</f>
        <v/>
      </c>
      <c r="L3688" s="395">
        <f>DATEVALUE(LEFT(F3688,10))</f>
        <v/>
      </c>
      <c r="M3688" s="396">
        <f>TIMEVALUE(MID(F3688,12,8))</f>
        <v/>
      </c>
      <c r="N3688" s="395">
        <f>DATEVALUE(LEFT(G3688,10))</f>
        <v/>
      </c>
      <c r="O3688" s="396">
        <f>TIMEVALUE(MID(G3688,12,8))</f>
        <v/>
      </c>
      <c r="P3688" s="396">
        <f>IFERROR(_xlfn.MINIFS($M:$M,$E:$E,$E3688,$K:$K,$K3688,$M:$M,"&gt;"&amp;$O3688),"")</f>
        <v/>
      </c>
      <c r="Q3688" s="396">
        <f>IF($P3688="","",$P3688-$O3688)</f>
        <v/>
      </c>
    </row>
    <row r="3689" ht="15" customHeight="1" s="231">
      <c r="K3689" s="395">
        <f>DATE(VALUE(LEFT(A3689,4)),VALUE(MID(A3689,5,2)),VALUE(RIGHT(A3689,2)))</f>
        <v/>
      </c>
      <c r="L3689" s="395">
        <f>DATEVALUE(LEFT(F3689,10))</f>
        <v/>
      </c>
      <c r="M3689" s="396">
        <f>TIMEVALUE(MID(F3689,12,8))</f>
        <v/>
      </c>
      <c r="N3689" s="395">
        <f>DATEVALUE(LEFT(G3689,10))</f>
        <v/>
      </c>
      <c r="O3689" s="396">
        <f>TIMEVALUE(MID(G3689,12,8))</f>
        <v/>
      </c>
      <c r="P3689" s="396">
        <f>IFERROR(_xlfn.MINIFS($M:$M,$E:$E,$E3689,$K:$K,$K3689,$M:$M,"&gt;"&amp;$O3689),"")</f>
        <v/>
      </c>
      <c r="Q3689" s="396">
        <f>IF($P3689="","",$P3689-$O3689)</f>
        <v/>
      </c>
    </row>
    <row r="3690" ht="15" customHeight="1" s="231">
      <c r="K3690" s="395">
        <f>DATE(VALUE(LEFT(A3690,4)),VALUE(MID(A3690,5,2)),VALUE(RIGHT(A3690,2)))</f>
        <v/>
      </c>
      <c r="L3690" s="395">
        <f>DATEVALUE(LEFT(F3690,10))</f>
        <v/>
      </c>
      <c r="M3690" s="396">
        <f>TIMEVALUE(MID(F3690,12,8))</f>
        <v/>
      </c>
      <c r="N3690" s="395">
        <f>DATEVALUE(LEFT(G3690,10))</f>
        <v/>
      </c>
      <c r="O3690" s="396">
        <f>TIMEVALUE(MID(G3690,12,8))</f>
        <v/>
      </c>
      <c r="P3690" s="396">
        <f>IFERROR(_xlfn.MINIFS($M:$M,$E:$E,$E3690,$K:$K,$K3690,$M:$M,"&gt;"&amp;$O3690),"")</f>
        <v/>
      </c>
      <c r="Q3690" s="396">
        <f>IF($P3690="","",$P3690-$O3690)</f>
        <v/>
      </c>
    </row>
    <row r="3691" ht="15" customHeight="1" s="231">
      <c r="K3691" s="395">
        <f>DATE(VALUE(LEFT(A3691,4)),VALUE(MID(A3691,5,2)),VALUE(RIGHT(A3691,2)))</f>
        <v/>
      </c>
      <c r="L3691" s="395">
        <f>DATEVALUE(LEFT(F3691,10))</f>
        <v/>
      </c>
      <c r="M3691" s="396">
        <f>TIMEVALUE(MID(F3691,12,8))</f>
        <v/>
      </c>
      <c r="N3691" s="395">
        <f>DATEVALUE(LEFT(G3691,10))</f>
        <v/>
      </c>
      <c r="O3691" s="396">
        <f>TIMEVALUE(MID(G3691,12,8))</f>
        <v/>
      </c>
      <c r="P3691" s="396">
        <f>IFERROR(_xlfn.MINIFS($M:$M,$E:$E,$E3691,$K:$K,$K3691,$M:$M,"&gt;"&amp;$O3691),"")</f>
        <v/>
      </c>
      <c r="Q3691" s="396">
        <f>IF($P3691="","",$P3691-$O3691)</f>
        <v/>
      </c>
    </row>
    <row r="3692" ht="15" customHeight="1" s="231">
      <c r="K3692" s="395">
        <f>DATE(VALUE(LEFT(A3692,4)),VALUE(MID(A3692,5,2)),VALUE(RIGHT(A3692,2)))</f>
        <v/>
      </c>
      <c r="L3692" s="395">
        <f>DATEVALUE(LEFT(F3692,10))</f>
        <v/>
      </c>
      <c r="M3692" s="396">
        <f>TIMEVALUE(MID(F3692,12,8))</f>
        <v/>
      </c>
      <c r="N3692" s="395">
        <f>DATEVALUE(LEFT(G3692,10))</f>
        <v/>
      </c>
      <c r="O3692" s="396">
        <f>TIMEVALUE(MID(G3692,12,8))</f>
        <v/>
      </c>
      <c r="P3692" s="396">
        <f>IFERROR(_xlfn.MINIFS($M:$M,$E:$E,$E3692,$K:$K,$K3692,$M:$M,"&gt;"&amp;$O3692),"")</f>
        <v/>
      </c>
      <c r="Q3692" s="396">
        <f>IF($P3692="","",$P3692-$O3692)</f>
        <v/>
      </c>
    </row>
    <row r="3693" ht="15" customHeight="1" s="231">
      <c r="K3693" s="395">
        <f>DATE(VALUE(LEFT(A3693,4)),VALUE(MID(A3693,5,2)),VALUE(RIGHT(A3693,2)))</f>
        <v/>
      </c>
      <c r="L3693" s="395">
        <f>DATEVALUE(LEFT(F3693,10))</f>
        <v/>
      </c>
      <c r="M3693" s="396">
        <f>TIMEVALUE(MID(F3693,12,8))</f>
        <v/>
      </c>
      <c r="N3693" s="395">
        <f>DATEVALUE(LEFT(G3693,10))</f>
        <v/>
      </c>
      <c r="O3693" s="396">
        <f>TIMEVALUE(MID(G3693,12,8))</f>
        <v/>
      </c>
      <c r="P3693" s="396">
        <f>IFERROR(_xlfn.MINIFS($M:$M,$E:$E,$E3693,$K:$K,$K3693,$M:$M,"&gt;"&amp;$O3693),"")</f>
        <v/>
      </c>
      <c r="Q3693" s="396">
        <f>IF($P3693="","",$P3693-$O3693)</f>
        <v/>
      </c>
    </row>
    <row r="3694" ht="15" customHeight="1" s="231">
      <c r="K3694" s="395">
        <f>DATE(VALUE(LEFT(A3694,4)),VALUE(MID(A3694,5,2)),VALUE(RIGHT(A3694,2)))</f>
        <v/>
      </c>
      <c r="L3694" s="395">
        <f>DATEVALUE(LEFT(F3694,10))</f>
        <v/>
      </c>
      <c r="M3694" s="396">
        <f>TIMEVALUE(MID(F3694,12,8))</f>
        <v/>
      </c>
      <c r="N3694" s="395">
        <f>DATEVALUE(LEFT(G3694,10))</f>
        <v/>
      </c>
      <c r="O3694" s="396">
        <f>TIMEVALUE(MID(G3694,12,8))</f>
        <v/>
      </c>
      <c r="P3694" s="396">
        <f>IFERROR(_xlfn.MINIFS($M:$M,$E:$E,$E3694,$K:$K,$K3694,$M:$M,"&gt;"&amp;$O3694),"")</f>
        <v/>
      </c>
      <c r="Q3694" s="396">
        <f>IF($P3694="","",$P3694-$O3694)</f>
        <v/>
      </c>
    </row>
    <row r="3695" ht="15" customHeight="1" s="231">
      <c r="K3695" s="395">
        <f>DATE(VALUE(LEFT(A3695,4)),VALUE(MID(A3695,5,2)),VALUE(RIGHT(A3695,2)))</f>
        <v/>
      </c>
      <c r="L3695" s="395">
        <f>DATEVALUE(LEFT(F3695,10))</f>
        <v/>
      </c>
      <c r="M3695" s="396">
        <f>TIMEVALUE(MID(F3695,12,8))</f>
        <v/>
      </c>
      <c r="N3695" s="395">
        <f>DATEVALUE(LEFT(G3695,10))</f>
        <v/>
      </c>
      <c r="O3695" s="396">
        <f>TIMEVALUE(MID(G3695,12,8))</f>
        <v/>
      </c>
      <c r="P3695" s="396">
        <f>IFERROR(_xlfn.MINIFS($M:$M,$E:$E,$E3695,$K:$K,$K3695,$M:$M,"&gt;"&amp;$O3695),"")</f>
        <v/>
      </c>
      <c r="Q3695" s="396">
        <f>IF($P3695="","",$P3695-$O3695)</f>
        <v/>
      </c>
    </row>
    <row r="3696" ht="15" customHeight="1" s="231">
      <c r="K3696" s="395">
        <f>DATE(VALUE(LEFT(A3696,4)),VALUE(MID(A3696,5,2)),VALUE(RIGHT(A3696,2)))</f>
        <v/>
      </c>
      <c r="L3696" s="395">
        <f>DATEVALUE(LEFT(F3696,10))</f>
        <v/>
      </c>
      <c r="M3696" s="396">
        <f>TIMEVALUE(MID(F3696,12,8))</f>
        <v/>
      </c>
      <c r="N3696" s="395">
        <f>DATEVALUE(LEFT(G3696,10))</f>
        <v/>
      </c>
      <c r="O3696" s="396">
        <f>TIMEVALUE(MID(G3696,12,8))</f>
        <v/>
      </c>
      <c r="P3696" s="396">
        <f>IFERROR(_xlfn.MINIFS($M:$M,$E:$E,$E3696,$K:$K,$K3696,$M:$M,"&gt;"&amp;$O3696),"")</f>
        <v/>
      </c>
      <c r="Q3696" s="396">
        <f>IF($P3696="","",$P3696-$O3696)</f>
        <v/>
      </c>
    </row>
    <row r="3697" ht="15" customHeight="1" s="231">
      <c r="K3697" s="395">
        <f>DATE(VALUE(LEFT(A3697,4)),VALUE(MID(A3697,5,2)),VALUE(RIGHT(A3697,2)))</f>
        <v/>
      </c>
      <c r="L3697" s="395">
        <f>DATEVALUE(LEFT(F3697,10))</f>
        <v/>
      </c>
      <c r="M3697" s="396">
        <f>TIMEVALUE(MID(F3697,12,8))</f>
        <v/>
      </c>
      <c r="N3697" s="395">
        <f>DATEVALUE(LEFT(G3697,10))</f>
        <v/>
      </c>
      <c r="O3697" s="396">
        <f>TIMEVALUE(MID(G3697,12,8))</f>
        <v/>
      </c>
      <c r="P3697" s="396">
        <f>IFERROR(_xlfn.MINIFS($M:$M,$E:$E,$E3697,$K:$K,$K3697,$M:$M,"&gt;"&amp;$O3697),"")</f>
        <v/>
      </c>
      <c r="Q3697" s="396">
        <f>IF($P3697="","",$P3697-$O3697)</f>
        <v/>
      </c>
    </row>
    <row r="3698" ht="15" customHeight="1" s="231">
      <c r="K3698" s="395">
        <f>DATE(VALUE(LEFT(A3698,4)),VALUE(MID(A3698,5,2)),VALUE(RIGHT(A3698,2)))</f>
        <v/>
      </c>
      <c r="L3698" s="395">
        <f>DATEVALUE(LEFT(F3698,10))</f>
        <v/>
      </c>
      <c r="M3698" s="396">
        <f>TIMEVALUE(MID(F3698,12,8))</f>
        <v/>
      </c>
      <c r="N3698" s="395">
        <f>DATEVALUE(LEFT(G3698,10))</f>
        <v/>
      </c>
      <c r="O3698" s="396">
        <f>TIMEVALUE(MID(G3698,12,8))</f>
        <v/>
      </c>
      <c r="P3698" s="396">
        <f>IFERROR(_xlfn.MINIFS($M:$M,$E:$E,$E3698,$K:$K,$K3698,$M:$M,"&gt;"&amp;$O3698),"")</f>
        <v/>
      </c>
      <c r="Q3698" s="396">
        <f>IF($P3698="","",$P3698-$O3698)</f>
        <v/>
      </c>
    </row>
    <row r="3699" ht="15" customHeight="1" s="231">
      <c r="K3699" s="395">
        <f>DATE(VALUE(LEFT(A3699,4)),VALUE(MID(A3699,5,2)),VALUE(RIGHT(A3699,2)))</f>
        <v/>
      </c>
      <c r="L3699" s="395">
        <f>DATEVALUE(LEFT(F3699,10))</f>
        <v/>
      </c>
      <c r="M3699" s="396">
        <f>TIMEVALUE(MID(F3699,12,8))</f>
        <v/>
      </c>
      <c r="N3699" s="395">
        <f>DATEVALUE(LEFT(G3699,10))</f>
        <v/>
      </c>
      <c r="O3699" s="396">
        <f>TIMEVALUE(MID(G3699,12,8))</f>
        <v/>
      </c>
      <c r="P3699" s="396">
        <f>IFERROR(_xlfn.MINIFS($M:$M,$E:$E,$E3699,$K:$K,$K3699,$M:$M,"&gt;"&amp;$O3699),"")</f>
        <v/>
      </c>
      <c r="Q3699" s="396">
        <f>IF($P3699="","",$P3699-$O3699)</f>
        <v/>
      </c>
    </row>
    <row r="3700" ht="15" customHeight="1" s="231">
      <c r="K3700" s="395">
        <f>DATE(VALUE(LEFT(A3700,4)),VALUE(MID(A3700,5,2)),VALUE(RIGHT(A3700,2)))</f>
        <v/>
      </c>
      <c r="L3700" s="395">
        <f>DATEVALUE(LEFT(F3700,10))</f>
        <v/>
      </c>
      <c r="M3700" s="396">
        <f>TIMEVALUE(MID(F3700,12,8))</f>
        <v/>
      </c>
      <c r="N3700" s="395">
        <f>DATEVALUE(LEFT(G3700,10))</f>
        <v/>
      </c>
      <c r="O3700" s="396">
        <f>TIMEVALUE(MID(G3700,12,8))</f>
        <v/>
      </c>
      <c r="P3700" s="396">
        <f>IFERROR(_xlfn.MINIFS($M:$M,$E:$E,$E3700,$K:$K,$K3700,$M:$M,"&gt;"&amp;$O3700),"")</f>
        <v/>
      </c>
      <c r="Q3700" s="396">
        <f>IF($P3700="","",$P3700-$O3700)</f>
        <v/>
      </c>
    </row>
    <row r="3701" ht="15" customHeight="1" s="231">
      <c r="K3701" s="395">
        <f>DATE(VALUE(LEFT(A3701,4)),VALUE(MID(A3701,5,2)),VALUE(RIGHT(A3701,2)))</f>
        <v/>
      </c>
      <c r="L3701" s="395">
        <f>DATEVALUE(LEFT(F3701,10))</f>
        <v/>
      </c>
      <c r="M3701" s="396">
        <f>TIMEVALUE(MID(F3701,12,8))</f>
        <v/>
      </c>
      <c r="N3701" s="395">
        <f>DATEVALUE(LEFT(G3701,10))</f>
        <v/>
      </c>
      <c r="O3701" s="396">
        <f>TIMEVALUE(MID(G3701,12,8))</f>
        <v/>
      </c>
      <c r="P3701" s="396">
        <f>IFERROR(_xlfn.MINIFS($M:$M,$E:$E,$E3701,$K:$K,$K3701,$M:$M,"&gt;"&amp;$O3701),"")</f>
        <v/>
      </c>
      <c r="Q3701" s="396">
        <f>IF($P3701="","",$P3701-$O3701)</f>
        <v/>
      </c>
    </row>
    <row r="3702" ht="15" customHeight="1" s="231">
      <c r="K3702" s="395">
        <f>DATE(VALUE(LEFT(A3702,4)),VALUE(MID(A3702,5,2)),VALUE(RIGHT(A3702,2)))</f>
        <v/>
      </c>
      <c r="L3702" s="395">
        <f>DATEVALUE(LEFT(F3702,10))</f>
        <v/>
      </c>
      <c r="M3702" s="396">
        <f>TIMEVALUE(MID(F3702,12,8))</f>
        <v/>
      </c>
      <c r="N3702" s="395">
        <f>DATEVALUE(LEFT(G3702,10))</f>
        <v/>
      </c>
      <c r="O3702" s="396">
        <f>TIMEVALUE(MID(G3702,12,8))</f>
        <v/>
      </c>
      <c r="P3702" s="396">
        <f>IFERROR(_xlfn.MINIFS($M:$M,$E:$E,$E3702,$K:$K,$K3702,$M:$M,"&gt;"&amp;$O3702),"")</f>
        <v/>
      </c>
      <c r="Q3702" s="396">
        <f>IF($P3702="","",$P3702-$O3702)</f>
        <v/>
      </c>
    </row>
    <row r="3703" ht="15" customHeight="1" s="231">
      <c r="K3703" s="395">
        <f>DATE(VALUE(LEFT(A3703,4)),VALUE(MID(A3703,5,2)),VALUE(RIGHT(A3703,2)))</f>
        <v/>
      </c>
      <c r="L3703" s="395">
        <f>DATEVALUE(LEFT(F3703,10))</f>
        <v/>
      </c>
      <c r="M3703" s="396">
        <f>TIMEVALUE(MID(F3703,12,8))</f>
        <v/>
      </c>
      <c r="N3703" s="395">
        <f>DATEVALUE(LEFT(G3703,10))</f>
        <v/>
      </c>
      <c r="O3703" s="396">
        <f>TIMEVALUE(MID(G3703,12,8))</f>
        <v/>
      </c>
      <c r="P3703" s="396">
        <f>IFERROR(_xlfn.MINIFS($M:$M,$E:$E,$E3703,$K:$K,$K3703,$M:$M,"&gt;"&amp;$O3703),"")</f>
        <v/>
      </c>
      <c r="Q3703" s="396">
        <f>IF($P3703="","",$P3703-$O3703)</f>
        <v/>
      </c>
    </row>
    <row r="3704" ht="15" customHeight="1" s="231">
      <c r="K3704" s="395">
        <f>DATE(VALUE(LEFT(A3704,4)),VALUE(MID(A3704,5,2)),VALUE(RIGHT(A3704,2)))</f>
        <v/>
      </c>
      <c r="L3704" s="395">
        <f>DATEVALUE(LEFT(F3704,10))</f>
        <v/>
      </c>
      <c r="M3704" s="396">
        <f>TIMEVALUE(MID(F3704,12,8))</f>
        <v/>
      </c>
      <c r="N3704" s="395">
        <f>DATEVALUE(LEFT(G3704,10))</f>
        <v/>
      </c>
      <c r="O3704" s="396">
        <f>TIMEVALUE(MID(G3704,12,8))</f>
        <v/>
      </c>
      <c r="P3704" s="396">
        <f>IFERROR(_xlfn.MINIFS($M:$M,$E:$E,$E3704,$K:$K,$K3704,$M:$M,"&gt;"&amp;$O3704),"")</f>
        <v/>
      </c>
      <c r="Q3704" s="396">
        <f>IF($P3704="","",$P3704-$O3704)</f>
        <v/>
      </c>
    </row>
    <row r="3705" ht="15" customHeight="1" s="231">
      <c r="K3705" s="395">
        <f>DATE(VALUE(LEFT(A3705,4)),VALUE(MID(A3705,5,2)),VALUE(RIGHT(A3705,2)))</f>
        <v/>
      </c>
      <c r="L3705" s="395">
        <f>DATEVALUE(LEFT(F3705,10))</f>
        <v/>
      </c>
      <c r="M3705" s="396">
        <f>TIMEVALUE(MID(F3705,12,8))</f>
        <v/>
      </c>
      <c r="N3705" s="395">
        <f>DATEVALUE(LEFT(G3705,10))</f>
        <v/>
      </c>
      <c r="O3705" s="396">
        <f>TIMEVALUE(MID(G3705,12,8))</f>
        <v/>
      </c>
      <c r="P3705" s="396">
        <f>IFERROR(_xlfn.MINIFS($M:$M,$E:$E,$E3705,$K:$K,$K3705,$M:$M,"&gt;"&amp;$O3705),"")</f>
        <v/>
      </c>
      <c r="Q3705" s="396">
        <f>IF($P3705="","",$P3705-$O3705)</f>
        <v/>
      </c>
    </row>
    <row r="3706" ht="15" customHeight="1" s="231">
      <c r="K3706" s="395">
        <f>DATE(VALUE(LEFT(A3706,4)),VALUE(MID(A3706,5,2)),VALUE(RIGHT(A3706,2)))</f>
        <v/>
      </c>
      <c r="L3706" s="395">
        <f>DATEVALUE(LEFT(F3706,10))</f>
        <v/>
      </c>
      <c r="M3706" s="396">
        <f>TIMEVALUE(MID(F3706,12,8))</f>
        <v/>
      </c>
      <c r="N3706" s="395">
        <f>DATEVALUE(LEFT(G3706,10))</f>
        <v/>
      </c>
      <c r="O3706" s="396">
        <f>TIMEVALUE(MID(G3706,12,8))</f>
        <v/>
      </c>
      <c r="P3706" s="396">
        <f>IFERROR(_xlfn.MINIFS($M:$M,$E:$E,$E3706,$K:$K,$K3706,$M:$M,"&gt;"&amp;$O3706),"")</f>
        <v/>
      </c>
      <c r="Q3706" s="396">
        <f>IF($P3706="","",$P3706-$O3706)</f>
        <v/>
      </c>
    </row>
    <row r="3707" ht="15" customHeight="1" s="231">
      <c r="K3707" s="395">
        <f>DATE(VALUE(LEFT(A3707,4)),VALUE(MID(A3707,5,2)),VALUE(RIGHT(A3707,2)))</f>
        <v/>
      </c>
      <c r="L3707" s="395">
        <f>DATEVALUE(LEFT(F3707,10))</f>
        <v/>
      </c>
      <c r="M3707" s="396">
        <f>TIMEVALUE(MID(F3707,12,8))</f>
        <v/>
      </c>
      <c r="N3707" s="395">
        <f>DATEVALUE(LEFT(G3707,10))</f>
        <v/>
      </c>
      <c r="O3707" s="396">
        <f>TIMEVALUE(MID(G3707,12,8))</f>
        <v/>
      </c>
      <c r="P3707" s="396">
        <f>IFERROR(_xlfn.MINIFS($M:$M,$E:$E,$E3707,$K:$K,$K3707,$M:$M,"&gt;"&amp;$O3707),"")</f>
        <v/>
      </c>
      <c r="Q3707" s="396">
        <f>IF($P3707="","",$P3707-$O3707)</f>
        <v/>
      </c>
    </row>
    <row r="3708" ht="15" customHeight="1" s="231">
      <c r="K3708" s="395">
        <f>DATE(VALUE(LEFT(A3708,4)),VALUE(MID(A3708,5,2)),VALUE(RIGHT(A3708,2)))</f>
        <v/>
      </c>
      <c r="L3708" s="395">
        <f>DATEVALUE(LEFT(F3708,10))</f>
        <v/>
      </c>
      <c r="M3708" s="396">
        <f>TIMEVALUE(MID(F3708,12,8))</f>
        <v/>
      </c>
      <c r="N3708" s="395">
        <f>DATEVALUE(LEFT(G3708,10))</f>
        <v/>
      </c>
      <c r="O3708" s="396">
        <f>TIMEVALUE(MID(G3708,12,8))</f>
        <v/>
      </c>
      <c r="P3708" s="396">
        <f>IFERROR(_xlfn.MINIFS($M:$M,$E:$E,$E3708,$K:$K,$K3708,$M:$M,"&gt;"&amp;$O3708),"")</f>
        <v/>
      </c>
      <c r="Q3708" s="396">
        <f>IF($P3708="","",$P3708-$O3708)</f>
        <v/>
      </c>
    </row>
    <row r="3709" ht="15" customHeight="1" s="231">
      <c r="K3709" s="395">
        <f>DATE(VALUE(LEFT(A3709,4)),VALUE(MID(A3709,5,2)),VALUE(RIGHT(A3709,2)))</f>
        <v/>
      </c>
      <c r="L3709" s="395">
        <f>DATEVALUE(LEFT(F3709,10))</f>
        <v/>
      </c>
      <c r="M3709" s="396">
        <f>TIMEVALUE(MID(F3709,12,8))</f>
        <v/>
      </c>
      <c r="N3709" s="395">
        <f>DATEVALUE(LEFT(G3709,10))</f>
        <v/>
      </c>
      <c r="O3709" s="396">
        <f>TIMEVALUE(MID(G3709,12,8))</f>
        <v/>
      </c>
      <c r="P3709" s="396">
        <f>IFERROR(_xlfn.MINIFS($M:$M,$E:$E,$E3709,$K:$K,$K3709,$M:$M,"&gt;"&amp;$O3709),"")</f>
        <v/>
      </c>
      <c r="Q3709" s="396">
        <f>IF($P3709="","",$P3709-$O3709)</f>
        <v/>
      </c>
    </row>
    <row r="3710" ht="15" customHeight="1" s="231">
      <c r="K3710" s="395">
        <f>DATE(VALUE(LEFT(A3710,4)),VALUE(MID(A3710,5,2)),VALUE(RIGHT(A3710,2)))</f>
        <v/>
      </c>
      <c r="L3710" s="395">
        <f>DATEVALUE(LEFT(F3710,10))</f>
        <v/>
      </c>
      <c r="M3710" s="396">
        <f>TIMEVALUE(MID(F3710,12,8))</f>
        <v/>
      </c>
      <c r="N3710" s="395">
        <f>DATEVALUE(LEFT(G3710,10))</f>
        <v/>
      </c>
      <c r="O3710" s="396">
        <f>TIMEVALUE(MID(G3710,12,8))</f>
        <v/>
      </c>
      <c r="P3710" s="396">
        <f>IFERROR(_xlfn.MINIFS($M:$M,$E:$E,$E3710,$K:$K,$K3710,$M:$M,"&gt;"&amp;$O3710),"")</f>
        <v/>
      </c>
      <c r="Q3710" s="396">
        <f>IF($P3710="","",$P3710-$O3710)</f>
        <v/>
      </c>
    </row>
    <row r="3711" ht="15" customHeight="1" s="231">
      <c r="K3711" s="395">
        <f>DATE(VALUE(LEFT(A3711,4)),VALUE(MID(A3711,5,2)),VALUE(RIGHT(A3711,2)))</f>
        <v/>
      </c>
      <c r="L3711" s="395">
        <f>DATEVALUE(LEFT(F3711,10))</f>
        <v/>
      </c>
      <c r="M3711" s="396">
        <f>TIMEVALUE(MID(F3711,12,8))</f>
        <v/>
      </c>
      <c r="N3711" s="395">
        <f>DATEVALUE(LEFT(G3711,10))</f>
        <v/>
      </c>
      <c r="O3711" s="396">
        <f>TIMEVALUE(MID(G3711,12,8))</f>
        <v/>
      </c>
      <c r="P3711" s="396">
        <f>IFERROR(_xlfn.MINIFS($M:$M,$E:$E,$E3711,$K:$K,$K3711,$M:$M,"&gt;"&amp;$O3711),"")</f>
        <v/>
      </c>
      <c r="Q3711" s="396">
        <f>IF($P3711="","",$P3711-$O3711)</f>
        <v/>
      </c>
    </row>
    <row r="3712" ht="15" customHeight="1" s="231">
      <c r="K3712" s="395">
        <f>DATE(VALUE(LEFT(A3712,4)),VALUE(MID(A3712,5,2)),VALUE(RIGHT(A3712,2)))</f>
        <v/>
      </c>
      <c r="L3712" s="395">
        <f>DATEVALUE(LEFT(F3712,10))</f>
        <v/>
      </c>
      <c r="M3712" s="396">
        <f>TIMEVALUE(MID(F3712,12,8))</f>
        <v/>
      </c>
      <c r="N3712" s="395">
        <f>DATEVALUE(LEFT(G3712,10))</f>
        <v/>
      </c>
      <c r="O3712" s="396">
        <f>TIMEVALUE(MID(G3712,12,8))</f>
        <v/>
      </c>
      <c r="P3712" s="396">
        <f>IFERROR(_xlfn.MINIFS($M:$M,$E:$E,$E3712,$K:$K,$K3712,$M:$M,"&gt;"&amp;$O3712),"")</f>
        <v/>
      </c>
      <c r="Q3712" s="396">
        <f>IF($P3712="","",$P3712-$O3712)</f>
        <v/>
      </c>
    </row>
    <row r="3713" ht="15" customHeight="1" s="231">
      <c r="K3713" s="395">
        <f>DATE(VALUE(LEFT(A3713,4)),VALUE(MID(A3713,5,2)),VALUE(RIGHT(A3713,2)))</f>
        <v/>
      </c>
      <c r="L3713" s="395">
        <f>DATEVALUE(LEFT(F3713,10))</f>
        <v/>
      </c>
      <c r="M3713" s="396">
        <f>TIMEVALUE(MID(F3713,12,8))</f>
        <v/>
      </c>
      <c r="N3713" s="395">
        <f>DATEVALUE(LEFT(G3713,10))</f>
        <v/>
      </c>
      <c r="O3713" s="396">
        <f>TIMEVALUE(MID(G3713,12,8))</f>
        <v/>
      </c>
      <c r="P3713" s="396">
        <f>IFERROR(_xlfn.MINIFS($M:$M,$E:$E,$E3713,$K:$K,$K3713,$M:$M,"&gt;"&amp;$O3713),"")</f>
        <v/>
      </c>
      <c r="Q3713" s="396">
        <f>IF($P3713="","",$P3713-$O3713)</f>
        <v/>
      </c>
    </row>
    <row r="3714" ht="15" customHeight="1" s="231">
      <c r="K3714" s="395">
        <f>DATE(VALUE(LEFT(A3714,4)),VALUE(MID(A3714,5,2)),VALUE(RIGHT(A3714,2)))</f>
        <v/>
      </c>
      <c r="L3714" s="395">
        <f>DATEVALUE(LEFT(F3714,10))</f>
        <v/>
      </c>
      <c r="M3714" s="396">
        <f>TIMEVALUE(MID(F3714,12,8))</f>
        <v/>
      </c>
      <c r="N3714" s="395">
        <f>DATEVALUE(LEFT(G3714,10))</f>
        <v/>
      </c>
      <c r="O3714" s="396">
        <f>TIMEVALUE(MID(G3714,12,8))</f>
        <v/>
      </c>
      <c r="P3714" s="396">
        <f>IFERROR(_xlfn.MINIFS($M:$M,$E:$E,$E3714,$K:$K,$K3714,$M:$M,"&gt;"&amp;$O3714),"")</f>
        <v/>
      </c>
      <c r="Q3714" s="396">
        <f>IF($P3714="","",$P3714-$O3714)</f>
        <v/>
      </c>
    </row>
    <row r="3715" ht="15" customHeight="1" s="231">
      <c r="K3715" s="395">
        <f>DATE(VALUE(LEFT(A3715,4)),VALUE(MID(A3715,5,2)),VALUE(RIGHT(A3715,2)))</f>
        <v/>
      </c>
      <c r="L3715" s="395">
        <f>DATEVALUE(LEFT(F3715,10))</f>
        <v/>
      </c>
      <c r="M3715" s="396">
        <f>TIMEVALUE(MID(F3715,12,8))</f>
        <v/>
      </c>
      <c r="N3715" s="395">
        <f>DATEVALUE(LEFT(G3715,10))</f>
        <v/>
      </c>
      <c r="O3715" s="396">
        <f>TIMEVALUE(MID(G3715,12,8))</f>
        <v/>
      </c>
      <c r="P3715" s="396">
        <f>IFERROR(_xlfn.MINIFS($M:$M,$E:$E,$E3715,$K:$K,$K3715,$M:$M,"&gt;"&amp;$O3715),"")</f>
        <v/>
      </c>
      <c r="Q3715" s="396">
        <f>IF($P3715="","",$P3715-$O3715)</f>
        <v/>
      </c>
    </row>
    <row r="3716" ht="15" customHeight="1" s="231">
      <c r="K3716" s="395">
        <f>DATE(VALUE(LEFT(A3716,4)),VALUE(MID(A3716,5,2)),VALUE(RIGHT(A3716,2)))</f>
        <v/>
      </c>
      <c r="L3716" s="395">
        <f>DATEVALUE(LEFT(F3716,10))</f>
        <v/>
      </c>
      <c r="M3716" s="396">
        <f>TIMEVALUE(MID(F3716,12,8))</f>
        <v/>
      </c>
      <c r="N3716" s="395">
        <f>DATEVALUE(LEFT(G3716,10))</f>
        <v/>
      </c>
      <c r="O3716" s="396">
        <f>TIMEVALUE(MID(G3716,12,8))</f>
        <v/>
      </c>
      <c r="P3716" s="396">
        <f>IFERROR(_xlfn.MINIFS($M:$M,$E:$E,$E3716,$K:$K,$K3716,$M:$M,"&gt;"&amp;$O3716),"")</f>
        <v/>
      </c>
      <c r="Q3716" s="396">
        <f>IF($P3716="","",$P3716-$O3716)</f>
        <v/>
      </c>
    </row>
    <row r="3717" ht="15" customHeight="1" s="231">
      <c r="K3717" s="395">
        <f>DATE(VALUE(LEFT(A3717,4)),VALUE(MID(A3717,5,2)),VALUE(RIGHT(A3717,2)))</f>
        <v/>
      </c>
      <c r="L3717" s="395">
        <f>DATEVALUE(LEFT(F3717,10))</f>
        <v/>
      </c>
      <c r="M3717" s="396">
        <f>TIMEVALUE(MID(F3717,12,8))</f>
        <v/>
      </c>
      <c r="N3717" s="395">
        <f>DATEVALUE(LEFT(G3717,10))</f>
        <v/>
      </c>
      <c r="O3717" s="396">
        <f>TIMEVALUE(MID(G3717,12,8))</f>
        <v/>
      </c>
      <c r="P3717" s="396">
        <f>IFERROR(_xlfn.MINIFS($M:$M,$E:$E,$E3717,$K:$K,$K3717,$M:$M,"&gt;"&amp;$O3717),"")</f>
        <v/>
      </c>
      <c r="Q3717" s="396">
        <f>IF($P3717="","",$P3717-$O3717)</f>
        <v/>
      </c>
    </row>
    <row r="3718" ht="15" customHeight="1" s="231">
      <c r="K3718" s="395">
        <f>DATE(VALUE(LEFT(A3718,4)),VALUE(MID(A3718,5,2)),VALUE(RIGHT(A3718,2)))</f>
        <v/>
      </c>
      <c r="L3718" s="395">
        <f>DATEVALUE(LEFT(F3718,10))</f>
        <v/>
      </c>
      <c r="M3718" s="396">
        <f>TIMEVALUE(MID(F3718,12,8))</f>
        <v/>
      </c>
      <c r="N3718" s="395">
        <f>DATEVALUE(LEFT(G3718,10))</f>
        <v/>
      </c>
      <c r="O3718" s="396">
        <f>TIMEVALUE(MID(G3718,12,8))</f>
        <v/>
      </c>
      <c r="P3718" s="396">
        <f>IFERROR(_xlfn.MINIFS($M:$M,$E:$E,$E3718,$K:$K,$K3718,$M:$M,"&gt;"&amp;$O3718),"")</f>
        <v/>
      </c>
      <c r="Q3718" s="396">
        <f>IF($P3718="","",$P3718-$O3718)</f>
        <v/>
      </c>
    </row>
    <row r="3719" ht="15" customHeight="1" s="231">
      <c r="K3719" s="395">
        <f>DATE(VALUE(LEFT(A3719,4)),VALUE(MID(A3719,5,2)),VALUE(RIGHT(A3719,2)))</f>
        <v/>
      </c>
      <c r="L3719" s="395">
        <f>DATEVALUE(LEFT(F3719,10))</f>
        <v/>
      </c>
      <c r="M3719" s="396">
        <f>TIMEVALUE(MID(F3719,12,8))</f>
        <v/>
      </c>
      <c r="N3719" s="395">
        <f>DATEVALUE(LEFT(G3719,10))</f>
        <v/>
      </c>
      <c r="O3719" s="396">
        <f>TIMEVALUE(MID(G3719,12,8))</f>
        <v/>
      </c>
      <c r="P3719" s="396">
        <f>IFERROR(_xlfn.MINIFS($M:$M,$E:$E,$E3719,$K:$K,$K3719,$M:$M,"&gt;"&amp;$O3719),"")</f>
        <v/>
      </c>
      <c r="Q3719" s="396">
        <f>IF($P3719="","",$P3719-$O3719)</f>
        <v/>
      </c>
    </row>
    <row r="3720" ht="15" customHeight="1" s="231">
      <c r="K3720" s="395">
        <f>DATE(VALUE(LEFT(A3720,4)),VALUE(MID(A3720,5,2)),VALUE(RIGHT(A3720,2)))</f>
        <v/>
      </c>
      <c r="L3720" s="395">
        <f>DATEVALUE(LEFT(F3720,10))</f>
        <v/>
      </c>
      <c r="M3720" s="396">
        <f>TIMEVALUE(MID(F3720,12,8))</f>
        <v/>
      </c>
      <c r="N3720" s="395">
        <f>DATEVALUE(LEFT(G3720,10))</f>
        <v/>
      </c>
      <c r="O3720" s="396">
        <f>TIMEVALUE(MID(G3720,12,8))</f>
        <v/>
      </c>
      <c r="P3720" s="396">
        <f>IFERROR(_xlfn.MINIFS($M:$M,$E:$E,$E3720,$K:$K,$K3720,$M:$M,"&gt;"&amp;$O3720),"")</f>
        <v/>
      </c>
      <c r="Q3720" s="396">
        <f>IF($P3720="","",$P3720-$O3720)</f>
        <v/>
      </c>
    </row>
    <row r="3721" ht="15" customHeight="1" s="231">
      <c r="K3721" s="395">
        <f>DATE(VALUE(LEFT(A3721,4)),VALUE(MID(A3721,5,2)),VALUE(RIGHT(A3721,2)))</f>
        <v/>
      </c>
      <c r="L3721" s="395">
        <f>DATEVALUE(LEFT(F3721,10))</f>
        <v/>
      </c>
      <c r="M3721" s="396">
        <f>TIMEVALUE(MID(F3721,12,8))</f>
        <v/>
      </c>
      <c r="N3721" s="395">
        <f>DATEVALUE(LEFT(G3721,10))</f>
        <v/>
      </c>
      <c r="O3721" s="396">
        <f>TIMEVALUE(MID(G3721,12,8))</f>
        <v/>
      </c>
      <c r="P3721" s="396">
        <f>IFERROR(_xlfn.MINIFS($M:$M,$E:$E,$E3721,$K:$K,$K3721,$M:$M,"&gt;"&amp;$O3721),"")</f>
        <v/>
      </c>
      <c r="Q3721" s="396">
        <f>IF($P3721="","",$P3721-$O3721)</f>
        <v/>
      </c>
    </row>
    <row r="3722" ht="15" customHeight="1" s="231">
      <c r="K3722" s="395">
        <f>DATE(VALUE(LEFT(A3722,4)),VALUE(MID(A3722,5,2)),VALUE(RIGHT(A3722,2)))</f>
        <v/>
      </c>
      <c r="L3722" s="395">
        <f>DATEVALUE(LEFT(F3722,10))</f>
        <v/>
      </c>
      <c r="M3722" s="396">
        <f>TIMEVALUE(MID(F3722,12,8))</f>
        <v/>
      </c>
      <c r="N3722" s="395">
        <f>DATEVALUE(LEFT(G3722,10))</f>
        <v/>
      </c>
      <c r="O3722" s="396">
        <f>TIMEVALUE(MID(G3722,12,8))</f>
        <v/>
      </c>
      <c r="P3722" s="396">
        <f>IFERROR(_xlfn.MINIFS($M:$M,$E:$E,$E3722,$K:$K,$K3722,$M:$M,"&gt;"&amp;$O3722),"")</f>
        <v/>
      </c>
      <c r="Q3722" s="396">
        <f>IF($P3722="","",$P3722-$O3722)</f>
        <v/>
      </c>
    </row>
    <row r="3723" ht="15" customHeight="1" s="231">
      <c r="K3723" s="395">
        <f>DATE(VALUE(LEFT(A3723,4)),VALUE(MID(A3723,5,2)),VALUE(RIGHT(A3723,2)))</f>
        <v/>
      </c>
      <c r="L3723" s="395">
        <f>DATEVALUE(LEFT(F3723,10))</f>
        <v/>
      </c>
      <c r="M3723" s="396">
        <f>TIMEVALUE(MID(F3723,12,8))</f>
        <v/>
      </c>
      <c r="N3723" s="395">
        <f>DATEVALUE(LEFT(G3723,10))</f>
        <v/>
      </c>
      <c r="O3723" s="396">
        <f>TIMEVALUE(MID(G3723,12,8))</f>
        <v/>
      </c>
      <c r="P3723" s="396">
        <f>IFERROR(_xlfn.MINIFS($M:$M,$E:$E,$E3723,$K:$K,$K3723,$M:$M,"&gt;"&amp;$O3723),"")</f>
        <v/>
      </c>
      <c r="Q3723" s="396">
        <f>IF($P3723="","",$P3723-$O3723)</f>
        <v/>
      </c>
    </row>
    <row r="3724" ht="15" customHeight="1" s="231">
      <c r="K3724" s="395">
        <f>DATE(VALUE(LEFT(A3724,4)),VALUE(MID(A3724,5,2)),VALUE(RIGHT(A3724,2)))</f>
        <v/>
      </c>
      <c r="L3724" s="395">
        <f>DATEVALUE(LEFT(F3724,10))</f>
        <v/>
      </c>
      <c r="M3724" s="396">
        <f>TIMEVALUE(MID(F3724,12,8))</f>
        <v/>
      </c>
      <c r="N3724" s="395">
        <f>DATEVALUE(LEFT(G3724,10))</f>
        <v/>
      </c>
      <c r="O3724" s="396">
        <f>TIMEVALUE(MID(G3724,12,8))</f>
        <v/>
      </c>
      <c r="P3724" s="396">
        <f>IFERROR(_xlfn.MINIFS($M:$M,$E:$E,$E3724,$K:$K,$K3724,$M:$M,"&gt;"&amp;$O3724),"")</f>
        <v/>
      </c>
      <c r="Q3724" s="396">
        <f>IF($P3724="","",$P3724-$O3724)</f>
        <v/>
      </c>
    </row>
    <row r="3725" ht="15" customHeight="1" s="231">
      <c r="K3725" s="395">
        <f>DATE(VALUE(LEFT(A3725,4)),VALUE(MID(A3725,5,2)),VALUE(RIGHT(A3725,2)))</f>
        <v/>
      </c>
      <c r="L3725" s="395">
        <f>DATEVALUE(LEFT(F3725,10))</f>
        <v/>
      </c>
      <c r="M3725" s="396">
        <f>TIMEVALUE(MID(F3725,12,8))</f>
        <v/>
      </c>
      <c r="N3725" s="395">
        <f>DATEVALUE(LEFT(G3725,10))</f>
        <v/>
      </c>
      <c r="O3725" s="396">
        <f>TIMEVALUE(MID(G3725,12,8))</f>
        <v/>
      </c>
      <c r="P3725" s="396">
        <f>IFERROR(_xlfn.MINIFS($M:$M,$E:$E,$E3725,$K:$K,$K3725,$M:$M,"&gt;"&amp;$O3725),"")</f>
        <v/>
      </c>
      <c r="Q3725" s="396">
        <f>IF($P3725="","",$P3725-$O3725)</f>
        <v/>
      </c>
    </row>
    <row r="3726" ht="15" customHeight="1" s="231">
      <c r="K3726" s="395">
        <f>DATE(VALUE(LEFT(A3726,4)),VALUE(MID(A3726,5,2)),VALUE(RIGHT(A3726,2)))</f>
        <v/>
      </c>
      <c r="L3726" s="395">
        <f>DATEVALUE(LEFT(F3726,10))</f>
        <v/>
      </c>
      <c r="M3726" s="396">
        <f>TIMEVALUE(MID(F3726,12,8))</f>
        <v/>
      </c>
      <c r="N3726" s="395">
        <f>DATEVALUE(LEFT(G3726,10))</f>
        <v/>
      </c>
      <c r="O3726" s="396">
        <f>TIMEVALUE(MID(G3726,12,8))</f>
        <v/>
      </c>
      <c r="P3726" s="396">
        <f>IFERROR(_xlfn.MINIFS($M:$M,$E:$E,$E3726,$K:$K,$K3726,$M:$M,"&gt;"&amp;$O3726),"")</f>
        <v/>
      </c>
      <c r="Q3726" s="396">
        <f>IF($P3726="","",$P3726-$O3726)</f>
        <v/>
      </c>
    </row>
    <row r="3727" ht="15" customHeight="1" s="231">
      <c r="K3727" s="395">
        <f>DATE(VALUE(LEFT(A3727,4)),VALUE(MID(A3727,5,2)),VALUE(RIGHT(A3727,2)))</f>
        <v/>
      </c>
      <c r="L3727" s="395">
        <f>DATEVALUE(LEFT(F3727,10))</f>
        <v/>
      </c>
      <c r="M3727" s="396">
        <f>TIMEVALUE(MID(F3727,12,8))</f>
        <v/>
      </c>
      <c r="N3727" s="395">
        <f>DATEVALUE(LEFT(G3727,10))</f>
        <v/>
      </c>
      <c r="O3727" s="396">
        <f>TIMEVALUE(MID(G3727,12,8))</f>
        <v/>
      </c>
      <c r="P3727" s="396">
        <f>IFERROR(_xlfn.MINIFS($M:$M,$E:$E,$E3727,$K:$K,$K3727,$M:$M,"&gt;"&amp;$O3727),"")</f>
        <v/>
      </c>
      <c r="Q3727" s="396">
        <f>IF($P3727="","",$P3727-$O3727)</f>
        <v/>
      </c>
    </row>
    <row r="3728" ht="15" customHeight="1" s="231">
      <c r="K3728" s="395">
        <f>DATE(VALUE(LEFT(A3728,4)),VALUE(MID(A3728,5,2)),VALUE(RIGHT(A3728,2)))</f>
        <v/>
      </c>
      <c r="L3728" s="395">
        <f>DATEVALUE(LEFT(F3728,10))</f>
        <v/>
      </c>
      <c r="M3728" s="396">
        <f>TIMEVALUE(MID(F3728,12,8))</f>
        <v/>
      </c>
      <c r="N3728" s="395">
        <f>DATEVALUE(LEFT(G3728,10))</f>
        <v/>
      </c>
      <c r="O3728" s="396">
        <f>TIMEVALUE(MID(G3728,12,8))</f>
        <v/>
      </c>
      <c r="P3728" s="396">
        <f>IFERROR(_xlfn.MINIFS($M:$M,$E:$E,$E3728,$K:$K,$K3728,$M:$M,"&gt;"&amp;$O3728),"")</f>
        <v/>
      </c>
      <c r="Q3728" s="396">
        <f>IF($P3728="","",$P3728-$O3728)</f>
        <v/>
      </c>
    </row>
    <row r="3729" ht="15" customHeight="1" s="231">
      <c r="K3729" s="395">
        <f>DATE(VALUE(LEFT(A3729,4)),VALUE(MID(A3729,5,2)),VALUE(RIGHT(A3729,2)))</f>
        <v/>
      </c>
      <c r="L3729" s="395">
        <f>DATEVALUE(LEFT(F3729,10))</f>
        <v/>
      </c>
      <c r="M3729" s="396">
        <f>TIMEVALUE(MID(F3729,12,8))</f>
        <v/>
      </c>
      <c r="N3729" s="395">
        <f>DATEVALUE(LEFT(G3729,10))</f>
        <v/>
      </c>
      <c r="O3729" s="396">
        <f>TIMEVALUE(MID(G3729,12,8))</f>
        <v/>
      </c>
      <c r="P3729" s="396">
        <f>IFERROR(_xlfn.MINIFS($M:$M,$E:$E,$E3729,$K:$K,$K3729,$M:$M,"&gt;"&amp;$O3729),"")</f>
        <v/>
      </c>
      <c r="Q3729" s="396">
        <f>IF($P3729="","",$P3729-$O3729)</f>
        <v/>
      </c>
    </row>
    <row r="3730" ht="15" customHeight="1" s="231">
      <c r="K3730" s="395">
        <f>DATE(VALUE(LEFT(A3730,4)),VALUE(MID(A3730,5,2)),VALUE(RIGHT(A3730,2)))</f>
        <v/>
      </c>
      <c r="L3730" s="395">
        <f>DATEVALUE(LEFT(F3730,10))</f>
        <v/>
      </c>
      <c r="M3730" s="396">
        <f>TIMEVALUE(MID(F3730,12,8))</f>
        <v/>
      </c>
      <c r="N3730" s="395">
        <f>DATEVALUE(LEFT(G3730,10))</f>
        <v/>
      </c>
      <c r="O3730" s="396">
        <f>TIMEVALUE(MID(G3730,12,8))</f>
        <v/>
      </c>
      <c r="P3730" s="396">
        <f>IFERROR(_xlfn.MINIFS($M:$M,$E:$E,$E3730,$K:$K,$K3730,$M:$M,"&gt;"&amp;$O3730),"")</f>
        <v/>
      </c>
      <c r="Q3730" s="396">
        <f>IF($P3730="","",$P3730-$O3730)</f>
        <v/>
      </c>
    </row>
    <row r="3731" ht="15" customHeight="1" s="231">
      <c r="K3731" s="395">
        <f>DATE(VALUE(LEFT(A3731,4)),VALUE(MID(A3731,5,2)),VALUE(RIGHT(A3731,2)))</f>
        <v/>
      </c>
      <c r="L3731" s="395">
        <f>DATEVALUE(LEFT(F3731,10))</f>
        <v/>
      </c>
      <c r="M3731" s="396">
        <f>TIMEVALUE(MID(F3731,12,8))</f>
        <v/>
      </c>
      <c r="N3731" s="395">
        <f>DATEVALUE(LEFT(G3731,10))</f>
        <v/>
      </c>
      <c r="O3731" s="396">
        <f>TIMEVALUE(MID(G3731,12,8))</f>
        <v/>
      </c>
      <c r="P3731" s="396">
        <f>IFERROR(_xlfn.MINIFS($M:$M,$E:$E,$E3731,$K:$K,$K3731,$M:$M,"&gt;"&amp;$O3731),"")</f>
        <v/>
      </c>
      <c r="Q3731" s="396">
        <f>IF($P3731="","",$P3731-$O3731)</f>
        <v/>
      </c>
    </row>
    <row r="3732" ht="15" customHeight="1" s="231">
      <c r="K3732" s="395">
        <f>DATE(VALUE(LEFT(A3732,4)),VALUE(MID(A3732,5,2)),VALUE(RIGHT(A3732,2)))</f>
        <v/>
      </c>
      <c r="L3732" s="395">
        <f>DATEVALUE(LEFT(F3732,10))</f>
        <v/>
      </c>
      <c r="M3732" s="396">
        <f>TIMEVALUE(MID(F3732,12,8))</f>
        <v/>
      </c>
      <c r="N3732" s="395">
        <f>DATEVALUE(LEFT(G3732,10))</f>
        <v/>
      </c>
      <c r="O3732" s="396">
        <f>TIMEVALUE(MID(G3732,12,8))</f>
        <v/>
      </c>
      <c r="P3732" s="396">
        <f>IFERROR(_xlfn.MINIFS($M:$M,$E:$E,$E3732,$K:$K,$K3732,$M:$M,"&gt;"&amp;$O3732),"")</f>
        <v/>
      </c>
      <c r="Q3732" s="396">
        <f>IF($P3732="","",$P3732-$O3732)</f>
        <v/>
      </c>
    </row>
    <row r="3733" ht="15" customHeight="1" s="231">
      <c r="K3733" s="395">
        <f>DATE(VALUE(LEFT(A3733,4)),VALUE(MID(A3733,5,2)),VALUE(RIGHT(A3733,2)))</f>
        <v/>
      </c>
      <c r="L3733" s="395">
        <f>DATEVALUE(LEFT(F3733,10))</f>
        <v/>
      </c>
      <c r="M3733" s="396">
        <f>TIMEVALUE(MID(F3733,12,8))</f>
        <v/>
      </c>
      <c r="N3733" s="395">
        <f>DATEVALUE(LEFT(G3733,10))</f>
        <v/>
      </c>
      <c r="O3733" s="396">
        <f>TIMEVALUE(MID(G3733,12,8))</f>
        <v/>
      </c>
      <c r="P3733" s="396">
        <f>IFERROR(_xlfn.MINIFS($M:$M,$E:$E,$E3733,$K:$K,$K3733,$M:$M,"&gt;"&amp;$O3733),"")</f>
        <v/>
      </c>
      <c r="Q3733" s="396">
        <f>IF($P3733="","",$P3733-$O3733)</f>
        <v/>
      </c>
    </row>
    <row r="3734" ht="15" customHeight="1" s="231">
      <c r="K3734" s="395">
        <f>DATE(VALUE(LEFT(A3734,4)),VALUE(MID(A3734,5,2)),VALUE(RIGHT(A3734,2)))</f>
        <v/>
      </c>
      <c r="L3734" s="395">
        <f>DATEVALUE(LEFT(F3734,10))</f>
        <v/>
      </c>
      <c r="M3734" s="396">
        <f>TIMEVALUE(MID(F3734,12,8))</f>
        <v/>
      </c>
      <c r="N3734" s="395">
        <f>DATEVALUE(LEFT(G3734,10))</f>
        <v/>
      </c>
      <c r="O3734" s="396">
        <f>TIMEVALUE(MID(G3734,12,8))</f>
        <v/>
      </c>
      <c r="P3734" s="396">
        <f>IFERROR(_xlfn.MINIFS($M:$M,$E:$E,$E3734,$K:$K,$K3734,$M:$M,"&gt;"&amp;$O3734),"")</f>
        <v/>
      </c>
      <c r="Q3734" s="396">
        <f>IF($P3734="","",$P3734-$O3734)</f>
        <v/>
      </c>
    </row>
    <row r="3735" ht="15" customHeight="1" s="231">
      <c r="K3735" s="395">
        <f>DATE(VALUE(LEFT(A3735,4)),VALUE(MID(A3735,5,2)),VALUE(RIGHT(A3735,2)))</f>
        <v/>
      </c>
      <c r="L3735" s="395">
        <f>DATEVALUE(LEFT(F3735,10))</f>
        <v/>
      </c>
      <c r="M3735" s="396">
        <f>TIMEVALUE(MID(F3735,12,8))</f>
        <v/>
      </c>
      <c r="N3735" s="395">
        <f>DATEVALUE(LEFT(G3735,10))</f>
        <v/>
      </c>
      <c r="O3735" s="396">
        <f>TIMEVALUE(MID(G3735,12,8))</f>
        <v/>
      </c>
      <c r="P3735" s="396">
        <f>IFERROR(_xlfn.MINIFS($M:$M,$E:$E,$E3735,$K:$K,$K3735,$M:$M,"&gt;"&amp;$O3735),"")</f>
        <v/>
      </c>
      <c r="Q3735" s="396">
        <f>IF($P3735="","",$P3735-$O3735)</f>
        <v/>
      </c>
    </row>
    <row r="3736" ht="15" customHeight="1" s="231">
      <c r="K3736" s="395">
        <f>DATE(VALUE(LEFT(A3736,4)),VALUE(MID(A3736,5,2)),VALUE(RIGHT(A3736,2)))</f>
        <v/>
      </c>
      <c r="L3736" s="395">
        <f>DATEVALUE(LEFT(F3736,10))</f>
        <v/>
      </c>
      <c r="M3736" s="396">
        <f>TIMEVALUE(MID(F3736,12,8))</f>
        <v/>
      </c>
      <c r="N3736" s="395">
        <f>DATEVALUE(LEFT(G3736,10))</f>
        <v/>
      </c>
      <c r="O3736" s="396">
        <f>TIMEVALUE(MID(G3736,12,8))</f>
        <v/>
      </c>
      <c r="P3736" s="396">
        <f>IFERROR(_xlfn.MINIFS($M:$M,$E:$E,$E3736,$K:$K,$K3736,$M:$M,"&gt;"&amp;$O3736),"")</f>
        <v/>
      </c>
      <c r="Q3736" s="396">
        <f>IF($P3736="","",$P3736-$O3736)</f>
        <v/>
      </c>
    </row>
    <row r="3737" ht="15" customHeight="1" s="231">
      <c r="K3737" s="395">
        <f>DATE(VALUE(LEFT(A3737,4)),VALUE(MID(A3737,5,2)),VALUE(RIGHT(A3737,2)))</f>
        <v/>
      </c>
      <c r="L3737" s="395">
        <f>DATEVALUE(LEFT(F3737,10))</f>
        <v/>
      </c>
      <c r="M3737" s="396">
        <f>TIMEVALUE(MID(F3737,12,8))</f>
        <v/>
      </c>
      <c r="N3737" s="395">
        <f>DATEVALUE(LEFT(G3737,10))</f>
        <v/>
      </c>
      <c r="O3737" s="396">
        <f>TIMEVALUE(MID(G3737,12,8))</f>
        <v/>
      </c>
      <c r="P3737" s="396">
        <f>IFERROR(_xlfn.MINIFS($M:$M,$E:$E,$E3737,$K:$K,$K3737,$M:$M,"&gt;"&amp;$O3737),"")</f>
        <v/>
      </c>
      <c r="Q3737" s="396">
        <f>IF($P3737="","",$P3737-$O3737)</f>
        <v/>
      </c>
    </row>
    <row r="3738" ht="15" customHeight="1" s="231">
      <c r="K3738" s="395">
        <f>DATE(VALUE(LEFT(A3738,4)),VALUE(MID(A3738,5,2)),VALUE(RIGHT(A3738,2)))</f>
        <v/>
      </c>
      <c r="L3738" s="395">
        <f>DATEVALUE(LEFT(F3738,10))</f>
        <v/>
      </c>
      <c r="M3738" s="396">
        <f>TIMEVALUE(MID(F3738,12,8))</f>
        <v/>
      </c>
      <c r="N3738" s="395">
        <f>DATEVALUE(LEFT(G3738,10))</f>
        <v/>
      </c>
      <c r="O3738" s="396">
        <f>TIMEVALUE(MID(G3738,12,8))</f>
        <v/>
      </c>
      <c r="P3738" s="396">
        <f>IFERROR(_xlfn.MINIFS($M:$M,$E:$E,$E3738,$K:$K,$K3738,$M:$M,"&gt;"&amp;$O3738),"")</f>
        <v/>
      </c>
      <c r="Q3738" s="396">
        <f>IF($P3738="","",$P3738-$O3738)</f>
        <v/>
      </c>
    </row>
    <row r="3739" ht="15" customHeight="1" s="231">
      <c r="K3739" s="395">
        <f>DATE(VALUE(LEFT(A3739,4)),VALUE(MID(A3739,5,2)),VALUE(RIGHT(A3739,2)))</f>
        <v/>
      </c>
      <c r="L3739" s="395">
        <f>DATEVALUE(LEFT(F3739,10))</f>
        <v/>
      </c>
      <c r="M3739" s="396">
        <f>TIMEVALUE(MID(F3739,12,8))</f>
        <v/>
      </c>
      <c r="N3739" s="395">
        <f>DATEVALUE(LEFT(G3739,10))</f>
        <v/>
      </c>
      <c r="O3739" s="396">
        <f>TIMEVALUE(MID(G3739,12,8))</f>
        <v/>
      </c>
      <c r="P3739" s="396">
        <f>IFERROR(_xlfn.MINIFS($M:$M,$E:$E,$E3739,$K:$K,$K3739,$M:$M,"&gt;"&amp;$O3739),"")</f>
        <v/>
      </c>
      <c r="Q3739" s="396">
        <f>IF($P3739="","",$P3739-$O3739)</f>
        <v/>
      </c>
    </row>
    <row r="3740" ht="15" customHeight="1" s="231">
      <c r="K3740" s="395">
        <f>DATE(VALUE(LEFT(A3740,4)),VALUE(MID(A3740,5,2)),VALUE(RIGHT(A3740,2)))</f>
        <v/>
      </c>
      <c r="L3740" s="395">
        <f>DATEVALUE(LEFT(F3740,10))</f>
        <v/>
      </c>
      <c r="M3740" s="396">
        <f>TIMEVALUE(MID(F3740,12,8))</f>
        <v/>
      </c>
      <c r="N3740" s="395">
        <f>DATEVALUE(LEFT(G3740,10))</f>
        <v/>
      </c>
      <c r="O3740" s="396">
        <f>TIMEVALUE(MID(G3740,12,8))</f>
        <v/>
      </c>
      <c r="P3740" s="396">
        <f>IFERROR(_xlfn.MINIFS($M:$M,$E:$E,$E3740,$K:$K,$K3740,$M:$M,"&gt;"&amp;$O3740),"")</f>
        <v/>
      </c>
      <c r="Q3740" s="396">
        <f>IF($P3740="","",$P3740-$O3740)</f>
        <v/>
      </c>
    </row>
    <row r="3741" ht="15" customHeight="1" s="231">
      <c r="K3741" s="395">
        <f>DATE(VALUE(LEFT(A3741,4)),VALUE(MID(A3741,5,2)),VALUE(RIGHT(A3741,2)))</f>
        <v/>
      </c>
      <c r="L3741" s="395">
        <f>DATEVALUE(LEFT(F3741,10))</f>
        <v/>
      </c>
      <c r="M3741" s="396">
        <f>TIMEVALUE(MID(F3741,12,8))</f>
        <v/>
      </c>
      <c r="N3741" s="395">
        <f>DATEVALUE(LEFT(G3741,10))</f>
        <v/>
      </c>
      <c r="O3741" s="396">
        <f>TIMEVALUE(MID(G3741,12,8))</f>
        <v/>
      </c>
      <c r="P3741" s="396">
        <f>IFERROR(_xlfn.MINIFS($M:$M,$E:$E,$E3741,$K:$K,$K3741,$M:$M,"&gt;"&amp;$O3741),"")</f>
        <v/>
      </c>
      <c r="Q3741" s="396">
        <f>IF($P3741="","",$P3741-$O3741)</f>
        <v/>
      </c>
    </row>
    <row r="3742" ht="15" customHeight="1" s="231">
      <c r="K3742" s="395">
        <f>DATE(VALUE(LEFT(A3742,4)),VALUE(MID(A3742,5,2)),VALUE(RIGHT(A3742,2)))</f>
        <v/>
      </c>
      <c r="L3742" s="395">
        <f>DATEVALUE(LEFT(F3742,10))</f>
        <v/>
      </c>
      <c r="M3742" s="396">
        <f>TIMEVALUE(MID(F3742,12,8))</f>
        <v/>
      </c>
      <c r="N3742" s="395">
        <f>DATEVALUE(LEFT(G3742,10))</f>
        <v/>
      </c>
      <c r="O3742" s="396">
        <f>TIMEVALUE(MID(G3742,12,8))</f>
        <v/>
      </c>
      <c r="P3742" s="396">
        <f>IFERROR(_xlfn.MINIFS($M:$M,$E:$E,$E3742,$K:$K,$K3742,$M:$M,"&gt;"&amp;$O3742),"")</f>
        <v/>
      </c>
      <c r="Q3742" s="396">
        <f>IF($P3742="","",$P3742-$O3742)</f>
        <v/>
      </c>
    </row>
    <row r="3743" ht="15" customHeight="1" s="231">
      <c r="K3743" s="395">
        <f>DATE(VALUE(LEFT(A3743,4)),VALUE(MID(A3743,5,2)),VALUE(RIGHT(A3743,2)))</f>
        <v/>
      </c>
      <c r="L3743" s="395">
        <f>DATEVALUE(LEFT(F3743,10))</f>
        <v/>
      </c>
      <c r="M3743" s="396">
        <f>TIMEVALUE(MID(F3743,12,8))</f>
        <v/>
      </c>
      <c r="N3743" s="395">
        <f>DATEVALUE(LEFT(G3743,10))</f>
        <v/>
      </c>
      <c r="O3743" s="396">
        <f>TIMEVALUE(MID(G3743,12,8))</f>
        <v/>
      </c>
      <c r="P3743" s="396">
        <f>IFERROR(_xlfn.MINIFS($M:$M,$E:$E,$E3743,$K:$K,$K3743,$M:$M,"&gt;"&amp;$O3743),"")</f>
        <v/>
      </c>
      <c r="Q3743" s="396">
        <f>IF($P3743="","",$P3743-$O3743)</f>
        <v/>
      </c>
    </row>
    <row r="3744" ht="15" customHeight="1" s="231">
      <c r="K3744" s="395">
        <f>DATE(VALUE(LEFT(A3744,4)),VALUE(MID(A3744,5,2)),VALUE(RIGHT(A3744,2)))</f>
        <v/>
      </c>
      <c r="L3744" s="395">
        <f>DATEVALUE(LEFT(F3744,10))</f>
        <v/>
      </c>
      <c r="M3744" s="396">
        <f>TIMEVALUE(MID(F3744,12,8))</f>
        <v/>
      </c>
      <c r="N3744" s="395">
        <f>DATEVALUE(LEFT(G3744,10))</f>
        <v/>
      </c>
      <c r="O3744" s="396">
        <f>TIMEVALUE(MID(G3744,12,8))</f>
        <v/>
      </c>
      <c r="P3744" s="396">
        <f>IFERROR(_xlfn.MINIFS($M:$M,$E:$E,$E3744,$K:$K,$K3744,$M:$M,"&gt;"&amp;$O3744),"")</f>
        <v/>
      </c>
      <c r="Q3744" s="396">
        <f>IF($P3744="","",$P3744-$O3744)</f>
        <v/>
      </c>
    </row>
    <row r="3745" ht="15" customHeight="1" s="231">
      <c r="K3745" s="395">
        <f>DATE(VALUE(LEFT(A3745,4)),VALUE(MID(A3745,5,2)),VALUE(RIGHT(A3745,2)))</f>
        <v/>
      </c>
      <c r="L3745" s="395">
        <f>DATEVALUE(LEFT(F3745,10))</f>
        <v/>
      </c>
      <c r="M3745" s="396">
        <f>TIMEVALUE(MID(F3745,12,8))</f>
        <v/>
      </c>
      <c r="N3745" s="395">
        <f>DATEVALUE(LEFT(G3745,10))</f>
        <v/>
      </c>
      <c r="O3745" s="396">
        <f>TIMEVALUE(MID(G3745,12,8))</f>
        <v/>
      </c>
      <c r="P3745" s="396">
        <f>IFERROR(_xlfn.MINIFS($M:$M,$E:$E,$E3745,$K:$K,$K3745,$M:$M,"&gt;"&amp;$O3745),"")</f>
        <v/>
      </c>
      <c r="Q3745" s="396">
        <f>IF($P3745="","",$P3745-$O3745)</f>
        <v/>
      </c>
    </row>
    <row r="3746" ht="15" customHeight="1" s="231">
      <c r="K3746" s="395">
        <f>DATE(VALUE(LEFT(A3746,4)),VALUE(MID(A3746,5,2)),VALUE(RIGHT(A3746,2)))</f>
        <v/>
      </c>
      <c r="L3746" s="395">
        <f>DATEVALUE(LEFT(F3746,10))</f>
        <v/>
      </c>
      <c r="M3746" s="396">
        <f>TIMEVALUE(MID(F3746,12,8))</f>
        <v/>
      </c>
      <c r="N3746" s="395">
        <f>DATEVALUE(LEFT(G3746,10))</f>
        <v/>
      </c>
      <c r="O3746" s="396">
        <f>TIMEVALUE(MID(G3746,12,8))</f>
        <v/>
      </c>
      <c r="P3746" s="396">
        <f>IFERROR(_xlfn.MINIFS($M:$M,$E:$E,$E3746,$K:$K,$K3746,$M:$M,"&gt;"&amp;$O3746),"")</f>
        <v/>
      </c>
      <c r="Q3746" s="396">
        <f>IF($P3746="","",$P3746-$O3746)</f>
        <v/>
      </c>
    </row>
    <row r="3747" ht="15" customHeight="1" s="231">
      <c r="K3747" s="395">
        <f>DATE(VALUE(LEFT(A3747,4)),VALUE(MID(A3747,5,2)),VALUE(RIGHT(A3747,2)))</f>
        <v/>
      </c>
      <c r="L3747" s="395">
        <f>DATEVALUE(LEFT(F3747,10))</f>
        <v/>
      </c>
      <c r="M3747" s="396">
        <f>TIMEVALUE(MID(F3747,12,8))</f>
        <v/>
      </c>
      <c r="N3747" s="395">
        <f>DATEVALUE(LEFT(G3747,10))</f>
        <v/>
      </c>
      <c r="O3747" s="396">
        <f>TIMEVALUE(MID(G3747,12,8))</f>
        <v/>
      </c>
      <c r="P3747" s="396">
        <f>IFERROR(_xlfn.MINIFS($M:$M,$E:$E,$E3747,$K:$K,$K3747,$M:$M,"&gt;"&amp;$O3747),"")</f>
        <v/>
      </c>
      <c r="Q3747" s="396">
        <f>IF($P3747="","",$P3747-$O3747)</f>
        <v/>
      </c>
    </row>
    <row r="3748" ht="15" customHeight="1" s="231">
      <c r="K3748" s="395">
        <f>DATE(VALUE(LEFT(A3748,4)),VALUE(MID(A3748,5,2)),VALUE(RIGHT(A3748,2)))</f>
        <v/>
      </c>
      <c r="L3748" s="395">
        <f>DATEVALUE(LEFT(F3748,10))</f>
        <v/>
      </c>
      <c r="M3748" s="396">
        <f>TIMEVALUE(MID(F3748,12,8))</f>
        <v/>
      </c>
      <c r="N3748" s="395">
        <f>DATEVALUE(LEFT(G3748,10))</f>
        <v/>
      </c>
      <c r="O3748" s="396">
        <f>TIMEVALUE(MID(G3748,12,8))</f>
        <v/>
      </c>
      <c r="P3748" s="396">
        <f>IFERROR(_xlfn.MINIFS($M:$M,$E:$E,$E3748,$K:$K,$K3748,$M:$M,"&gt;"&amp;$O3748),"")</f>
        <v/>
      </c>
      <c r="Q3748" s="396">
        <f>IF($P3748="","",$P3748-$O3748)</f>
        <v/>
      </c>
    </row>
    <row r="3749" ht="15" customHeight="1" s="231">
      <c r="K3749" s="395">
        <f>DATE(VALUE(LEFT(A3749,4)),VALUE(MID(A3749,5,2)),VALUE(RIGHT(A3749,2)))</f>
        <v/>
      </c>
      <c r="L3749" s="395">
        <f>DATEVALUE(LEFT(F3749,10))</f>
        <v/>
      </c>
      <c r="M3749" s="396">
        <f>TIMEVALUE(MID(F3749,12,8))</f>
        <v/>
      </c>
      <c r="N3749" s="395">
        <f>DATEVALUE(LEFT(G3749,10))</f>
        <v/>
      </c>
      <c r="O3749" s="396">
        <f>TIMEVALUE(MID(G3749,12,8))</f>
        <v/>
      </c>
      <c r="P3749" s="396">
        <f>IFERROR(_xlfn.MINIFS($M:$M,$E:$E,$E3749,$K:$K,$K3749,$M:$M,"&gt;"&amp;$O3749),"")</f>
        <v/>
      </c>
      <c r="Q3749" s="396">
        <f>IF($P3749="","",$P3749-$O3749)</f>
        <v/>
      </c>
    </row>
    <row r="3750" ht="15" customHeight="1" s="231">
      <c r="K3750" s="395">
        <f>DATE(VALUE(LEFT(A3750,4)),VALUE(MID(A3750,5,2)),VALUE(RIGHT(A3750,2)))</f>
        <v/>
      </c>
      <c r="L3750" s="395">
        <f>DATEVALUE(LEFT(F3750,10))</f>
        <v/>
      </c>
      <c r="M3750" s="396">
        <f>TIMEVALUE(MID(F3750,12,8))</f>
        <v/>
      </c>
      <c r="N3750" s="395">
        <f>DATEVALUE(LEFT(G3750,10))</f>
        <v/>
      </c>
      <c r="O3750" s="396">
        <f>TIMEVALUE(MID(G3750,12,8))</f>
        <v/>
      </c>
      <c r="P3750" s="396">
        <f>IFERROR(_xlfn.MINIFS($M:$M,$E:$E,$E3750,$K:$K,$K3750,$M:$M,"&gt;"&amp;$O3750),"")</f>
        <v/>
      </c>
      <c r="Q3750" s="396">
        <f>IF($P3750="","",$P3750-$O3750)</f>
        <v/>
      </c>
    </row>
    <row r="3751" ht="15" customHeight="1" s="231">
      <c r="K3751" s="395">
        <f>DATE(VALUE(LEFT(A3751,4)),VALUE(MID(A3751,5,2)),VALUE(RIGHT(A3751,2)))</f>
        <v/>
      </c>
      <c r="L3751" s="395">
        <f>DATEVALUE(LEFT(F3751,10))</f>
        <v/>
      </c>
      <c r="M3751" s="396">
        <f>TIMEVALUE(MID(F3751,12,8))</f>
        <v/>
      </c>
      <c r="N3751" s="395">
        <f>DATEVALUE(LEFT(G3751,10))</f>
        <v/>
      </c>
      <c r="O3751" s="396">
        <f>TIMEVALUE(MID(G3751,12,8))</f>
        <v/>
      </c>
      <c r="P3751" s="396">
        <f>IFERROR(_xlfn.MINIFS($M:$M,$E:$E,$E3751,$K:$K,$K3751,$M:$M,"&gt;"&amp;$O3751),"")</f>
        <v/>
      </c>
      <c r="Q3751" s="396">
        <f>IF($P3751="","",$P3751-$O3751)</f>
        <v/>
      </c>
    </row>
    <row r="3752" ht="15" customHeight="1" s="231">
      <c r="K3752" s="395">
        <f>DATE(VALUE(LEFT(A3752,4)),VALUE(MID(A3752,5,2)),VALUE(RIGHT(A3752,2)))</f>
        <v/>
      </c>
      <c r="L3752" s="395">
        <f>DATEVALUE(LEFT(F3752,10))</f>
        <v/>
      </c>
      <c r="M3752" s="396">
        <f>TIMEVALUE(MID(F3752,12,8))</f>
        <v/>
      </c>
      <c r="N3752" s="395">
        <f>DATEVALUE(LEFT(G3752,10))</f>
        <v/>
      </c>
      <c r="O3752" s="396">
        <f>TIMEVALUE(MID(G3752,12,8))</f>
        <v/>
      </c>
      <c r="P3752" s="396">
        <f>IFERROR(_xlfn.MINIFS($M:$M,$E:$E,$E3752,$K:$K,$K3752,$M:$M,"&gt;"&amp;$O3752),"")</f>
        <v/>
      </c>
      <c r="Q3752" s="396">
        <f>IF($P3752="","",$P3752-$O3752)</f>
        <v/>
      </c>
    </row>
    <row r="3753" ht="15" customHeight="1" s="231">
      <c r="K3753" s="395">
        <f>DATE(VALUE(LEFT(A3753,4)),VALUE(MID(A3753,5,2)),VALUE(RIGHT(A3753,2)))</f>
        <v/>
      </c>
      <c r="L3753" s="395">
        <f>DATEVALUE(LEFT(F3753,10))</f>
        <v/>
      </c>
      <c r="M3753" s="396">
        <f>TIMEVALUE(MID(F3753,12,8))</f>
        <v/>
      </c>
      <c r="N3753" s="395">
        <f>DATEVALUE(LEFT(G3753,10))</f>
        <v/>
      </c>
      <c r="O3753" s="396">
        <f>TIMEVALUE(MID(G3753,12,8))</f>
        <v/>
      </c>
      <c r="P3753" s="396">
        <f>IFERROR(_xlfn.MINIFS($M:$M,$E:$E,$E3753,$K:$K,$K3753,$M:$M,"&gt;"&amp;$O3753),"")</f>
        <v/>
      </c>
      <c r="Q3753" s="396">
        <f>IF($P3753="","",$P3753-$O3753)</f>
        <v/>
      </c>
    </row>
    <row r="3754" ht="15" customHeight="1" s="231">
      <c r="K3754" s="395">
        <f>DATE(VALUE(LEFT(A3754,4)),VALUE(MID(A3754,5,2)),VALUE(RIGHT(A3754,2)))</f>
        <v/>
      </c>
      <c r="L3754" s="395">
        <f>DATEVALUE(LEFT(F3754,10))</f>
        <v/>
      </c>
      <c r="M3754" s="396">
        <f>TIMEVALUE(MID(F3754,12,8))</f>
        <v/>
      </c>
      <c r="N3754" s="395">
        <f>DATEVALUE(LEFT(G3754,10))</f>
        <v/>
      </c>
      <c r="O3754" s="396">
        <f>TIMEVALUE(MID(G3754,12,8))</f>
        <v/>
      </c>
      <c r="P3754" s="396">
        <f>IFERROR(_xlfn.MINIFS($M:$M,$E:$E,$E3754,$K:$K,$K3754,$M:$M,"&gt;"&amp;$O3754),"")</f>
        <v/>
      </c>
      <c r="Q3754" s="396">
        <f>IF($P3754="","",$P3754-$O3754)</f>
        <v/>
      </c>
    </row>
    <row r="3755" ht="15" customHeight="1" s="231">
      <c r="K3755" s="395">
        <f>DATE(VALUE(LEFT(A3755,4)),VALUE(MID(A3755,5,2)),VALUE(RIGHT(A3755,2)))</f>
        <v/>
      </c>
      <c r="L3755" s="395">
        <f>DATEVALUE(LEFT(F3755,10))</f>
        <v/>
      </c>
      <c r="M3755" s="396">
        <f>TIMEVALUE(MID(F3755,12,8))</f>
        <v/>
      </c>
      <c r="N3755" s="395">
        <f>DATEVALUE(LEFT(G3755,10))</f>
        <v/>
      </c>
      <c r="O3755" s="396">
        <f>TIMEVALUE(MID(G3755,12,8))</f>
        <v/>
      </c>
      <c r="P3755" s="396">
        <f>IFERROR(_xlfn.MINIFS($M:$M,$E:$E,$E3755,$K:$K,$K3755,$M:$M,"&gt;"&amp;$O3755),"")</f>
        <v/>
      </c>
      <c r="Q3755" s="396">
        <f>IF($P3755="","",$P3755-$O3755)</f>
        <v/>
      </c>
    </row>
    <row r="3756" ht="15" customHeight="1" s="231">
      <c r="K3756" s="395">
        <f>DATE(VALUE(LEFT(A3756,4)),VALUE(MID(A3756,5,2)),VALUE(RIGHT(A3756,2)))</f>
        <v/>
      </c>
      <c r="L3756" s="395">
        <f>DATEVALUE(LEFT(F3756,10))</f>
        <v/>
      </c>
      <c r="M3756" s="396">
        <f>TIMEVALUE(MID(F3756,12,8))</f>
        <v/>
      </c>
      <c r="N3756" s="395">
        <f>DATEVALUE(LEFT(G3756,10))</f>
        <v/>
      </c>
      <c r="O3756" s="396">
        <f>TIMEVALUE(MID(G3756,12,8))</f>
        <v/>
      </c>
      <c r="P3756" s="396">
        <f>IFERROR(_xlfn.MINIFS($M:$M,$E:$E,$E3756,$K:$K,$K3756,$M:$M,"&gt;"&amp;$O3756),"")</f>
        <v/>
      </c>
      <c r="Q3756" s="396">
        <f>IF($P3756="","",$P3756-$O3756)</f>
        <v/>
      </c>
    </row>
    <row r="3757" ht="15" customHeight="1" s="231">
      <c r="K3757" s="395">
        <f>DATE(VALUE(LEFT(A3757,4)),VALUE(MID(A3757,5,2)),VALUE(RIGHT(A3757,2)))</f>
        <v/>
      </c>
      <c r="L3757" s="395">
        <f>DATEVALUE(LEFT(F3757,10))</f>
        <v/>
      </c>
      <c r="M3757" s="396">
        <f>TIMEVALUE(MID(F3757,12,8))</f>
        <v/>
      </c>
      <c r="N3757" s="395">
        <f>DATEVALUE(LEFT(G3757,10))</f>
        <v/>
      </c>
      <c r="O3757" s="396">
        <f>TIMEVALUE(MID(G3757,12,8))</f>
        <v/>
      </c>
      <c r="P3757" s="396">
        <f>IFERROR(_xlfn.MINIFS($M:$M,$E:$E,$E3757,$K:$K,$K3757,$M:$M,"&gt;"&amp;$O3757),"")</f>
        <v/>
      </c>
      <c r="Q3757" s="396">
        <f>IF($P3757="","",$P3757-$O3757)</f>
        <v/>
      </c>
    </row>
    <row r="3758" ht="15" customHeight="1" s="231">
      <c r="K3758" s="395">
        <f>DATE(VALUE(LEFT(A3758,4)),VALUE(MID(A3758,5,2)),VALUE(RIGHT(A3758,2)))</f>
        <v/>
      </c>
      <c r="L3758" s="395">
        <f>DATEVALUE(LEFT(F3758,10))</f>
        <v/>
      </c>
      <c r="M3758" s="396">
        <f>TIMEVALUE(MID(F3758,12,8))</f>
        <v/>
      </c>
      <c r="N3758" s="395">
        <f>DATEVALUE(LEFT(G3758,10))</f>
        <v/>
      </c>
      <c r="O3758" s="396">
        <f>TIMEVALUE(MID(G3758,12,8))</f>
        <v/>
      </c>
      <c r="P3758" s="396">
        <f>IFERROR(_xlfn.MINIFS($M:$M,$E:$E,$E3758,$K:$K,$K3758,$M:$M,"&gt;"&amp;$O3758),"")</f>
        <v/>
      </c>
      <c r="Q3758" s="396">
        <f>IF($P3758="","",$P3758-$O3758)</f>
        <v/>
      </c>
    </row>
    <row r="3759" ht="15" customHeight="1" s="231">
      <c r="K3759" s="395">
        <f>DATE(VALUE(LEFT(A3759,4)),VALUE(MID(A3759,5,2)),VALUE(RIGHT(A3759,2)))</f>
        <v/>
      </c>
      <c r="L3759" s="395">
        <f>DATEVALUE(LEFT(F3759,10))</f>
        <v/>
      </c>
      <c r="M3759" s="396">
        <f>TIMEVALUE(MID(F3759,12,8))</f>
        <v/>
      </c>
      <c r="N3759" s="395">
        <f>DATEVALUE(LEFT(G3759,10))</f>
        <v/>
      </c>
      <c r="O3759" s="396">
        <f>TIMEVALUE(MID(G3759,12,8))</f>
        <v/>
      </c>
      <c r="P3759" s="396">
        <f>IFERROR(_xlfn.MINIFS($M:$M,$E:$E,$E3759,$K:$K,$K3759,$M:$M,"&gt;"&amp;$O3759),"")</f>
        <v/>
      </c>
      <c r="Q3759" s="396">
        <f>IF($P3759="","",$P3759-$O3759)</f>
        <v/>
      </c>
    </row>
    <row r="3760" ht="15" customHeight="1" s="231">
      <c r="K3760" s="395">
        <f>DATE(VALUE(LEFT(A3760,4)),VALUE(MID(A3760,5,2)),VALUE(RIGHT(A3760,2)))</f>
        <v/>
      </c>
      <c r="L3760" s="395">
        <f>DATEVALUE(LEFT(F3760,10))</f>
        <v/>
      </c>
      <c r="M3760" s="396">
        <f>TIMEVALUE(MID(F3760,12,8))</f>
        <v/>
      </c>
      <c r="N3760" s="395">
        <f>DATEVALUE(LEFT(G3760,10))</f>
        <v/>
      </c>
      <c r="O3760" s="396">
        <f>TIMEVALUE(MID(G3760,12,8))</f>
        <v/>
      </c>
      <c r="P3760" s="396">
        <f>IFERROR(_xlfn.MINIFS($M:$M,$E:$E,$E3760,$K:$K,$K3760,$M:$M,"&gt;"&amp;$O3760),"")</f>
        <v/>
      </c>
      <c r="Q3760" s="396">
        <f>IF($P3760="","",$P3760-$O3760)</f>
        <v/>
      </c>
    </row>
    <row r="3761" ht="15" customHeight="1" s="231">
      <c r="K3761" s="395">
        <f>DATE(VALUE(LEFT(A3761,4)),VALUE(MID(A3761,5,2)),VALUE(RIGHT(A3761,2)))</f>
        <v/>
      </c>
      <c r="L3761" s="395">
        <f>DATEVALUE(LEFT(F3761,10))</f>
        <v/>
      </c>
      <c r="M3761" s="396">
        <f>TIMEVALUE(MID(F3761,12,8))</f>
        <v/>
      </c>
      <c r="N3761" s="395">
        <f>DATEVALUE(LEFT(G3761,10))</f>
        <v/>
      </c>
      <c r="O3761" s="396">
        <f>TIMEVALUE(MID(G3761,12,8))</f>
        <v/>
      </c>
      <c r="P3761" s="396">
        <f>IFERROR(_xlfn.MINIFS($M:$M,$E:$E,$E3761,$K:$K,$K3761,$M:$M,"&gt;"&amp;$O3761),"")</f>
        <v/>
      </c>
      <c r="Q3761" s="396">
        <f>IF($P3761="","",$P3761-$O3761)</f>
        <v/>
      </c>
    </row>
    <row r="3762" ht="15" customHeight="1" s="231">
      <c r="K3762" s="395">
        <f>DATE(VALUE(LEFT(A3762,4)),VALUE(MID(A3762,5,2)),VALUE(RIGHT(A3762,2)))</f>
        <v/>
      </c>
      <c r="L3762" s="395">
        <f>DATEVALUE(LEFT(F3762,10))</f>
        <v/>
      </c>
      <c r="M3762" s="396">
        <f>TIMEVALUE(MID(F3762,12,8))</f>
        <v/>
      </c>
      <c r="N3762" s="395">
        <f>DATEVALUE(LEFT(G3762,10))</f>
        <v/>
      </c>
      <c r="O3762" s="396">
        <f>TIMEVALUE(MID(G3762,12,8))</f>
        <v/>
      </c>
      <c r="P3762" s="396">
        <f>IFERROR(_xlfn.MINIFS($M:$M,$E:$E,$E3762,$K:$K,$K3762,$M:$M,"&gt;"&amp;$O3762),"")</f>
        <v/>
      </c>
      <c r="Q3762" s="396">
        <f>IF($P3762="","",$P3762-$O3762)</f>
        <v/>
      </c>
    </row>
    <row r="3763" ht="15" customHeight="1" s="231">
      <c r="K3763" s="395">
        <f>DATE(VALUE(LEFT(A3763,4)),VALUE(MID(A3763,5,2)),VALUE(RIGHT(A3763,2)))</f>
        <v/>
      </c>
      <c r="L3763" s="395">
        <f>DATEVALUE(LEFT(F3763,10))</f>
        <v/>
      </c>
      <c r="M3763" s="396">
        <f>TIMEVALUE(MID(F3763,12,8))</f>
        <v/>
      </c>
      <c r="N3763" s="395">
        <f>DATEVALUE(LEFT(G3763,10))</f>
        <v/>
      </c>
      <c r="O3763" s="396">
        <f>TIMEVALUE(MID(G3763,12,8))</f>
        <v/>
      </c>
      <c r="P3763" s="396">
        <f>IFERROR(_xlfn.MINIFS($M:$M,$E:$E,$E3763,$K:$K,$K3763,$M:$M,"&gt;"&amp;$O3763),"")</f>
        <v/>
      </c>
      <c r="Q3763" s="396">
        <f>IF($P3763="","",$P3763-$O3763)</f>
        <v/>
      </c>
    </row>
    <row r="3764" ht="15" customHeight="1" s="231">
      <c r="K3764" s="395">
        <f>DATE(VALUE(LEFT(A3764,4)),VALUE(MID(A3764,5,2)),VALUE(RIGHT(A3764,2)))</f>
        <v/>
      </c>
      <c r="L3764" s="395">
        <f>DATEVALUE(LEFT(F3764,10))</f>
        <v/>
      </c>
      <c r="M3764" s="396">
        <f>TIMEVALUE(MID(F3764,12,8))</f>
        <v/>
      </c>
      <c r="N3764" s="395">
        <f>DATEVALUE(LEFT(G3764,10))</f>
        <v/>
      </c>
      <c r="O3764" s="396">
        <f>TIMEVALUE(MID(G3764,12,8))</f>
        <v/>
      </c>
      <c r="P3764" s="396">
        <f>IFERROR(_xlfn.MINIFS($M:$M,$E:$E,$E3764,$K:$K,$K3764,$M:$M,"&gt;"&amp;$O3764),"")</f>
        <v/>
      </c>
      <c r="Q3764" s="396">
        <f>IF($P3764="","",$P3764-$O3764)</f>
        <v/>
      </c>
    </row>
    <row r="3765" ht="15" customHeight="1" s="231">
      <c r="K3765" s="395">
        <f>DATE(VALUE(LEFT(A3765,4)),VALUE(MID(A3765,5,2)),VALUE(RIGHT(A3765,2)))</f>
        <v/>
      </c>
      <c r="L3765" s="395">
        <f>DATEVALUE(LEFT(F3765,10))</f>
        <v/>
      </c>
      <c r="M3765" s="396">
        <f>TIMEVALUE(MID(F3765,12,8))</f>
        <v/>
      </c>
      <c r="N3765" s="395">
        <f>DATEVALUE(LEFT(G3765,10))</f>
        <v/>
      </c>
      <c r="O3765" s="396">
        <f>TIMEVALUE(MID(G3765,12,8))</f>
        <v/>
      </c>
      <c r="P3765" s="396">
        <f>IFERROR(_xlfn.MINIFS($M:$M,$E:$E,$E3765,$K:$K,$K3765,$M:$M,"&gt;"&amp;$O3765),"")</f>
        <v/>
      </c>
      <c r="Q3765" s="396">
        <f>IF($P3765="","",$P3765-$O3765)</f>
        <v/>
      </c>
    </row>
    <row r="3766" ht="15" customHeight="1" s="231">
      <c r="K3766" s="395">
        <f>DATE(VALUE(LEFT(A3766,4)),VALUE(MID(A3766,5,2)),VALUE(RIGHT(A3766,2)))</f>
        <v/>
      </c>
      <c r="L3766" s="395">
        <f>DATEVALUE(LEFT(F3766,10))</f>
        <v/>
      </c>
      <c r="M3766" s="396">
        <f>TIMEVALUE(MID(F3766,12,8))</f>
        <v/>
      </c>
      <c r="N3766" s="395">
        <f>DATEVALUE(LEFT(G3766,10))</f>
        <v/>
      </c>
      <c r="O3766" s="396">
        <f>TIMEVALUE(MID(G3766,12,8))</f>
        <v/>
      </c>
      <c r="P3766" s="396">
        <f>IFERROR(_xlfn.MINIFS($M:$M,$E:$E,$E3766,$K:$K,$K3766,$M:$M,"&gt;"&amp;$O3766),"")</f>
        <v/>
      </c>
      <c r="Q3766" s="396">
        <f>IF($P3766="","",$P3766-$O3766)</f>
        <v/>
      </c>
    </row>
    <row r="3767" ht="15" customHeight="1" s="231">
      <c r="K3767" s="395">
        <f>DATE(VALUE(LEFT(A3767,4)),VALUE(MID(A3767,5,2)),VALUE(RIGHT(A3767,2)))</f>
        <v/>
      </c>
      <c r="L3767" s="395">
        <f>DATEVALUE(LEFT(F3767,10))</f>
        <v/>
      </c>
      <c r="M3767" s="396">
        <f>TIMEVALUE(MID(F3767,12,8))</f>
        <v/>
      </c>
      <c r="N3767" s="395">
        <f>DATEVALUE(LEFT(G3767,10))</f>
        <v/>
      </c>
      <c r="O3767" s="396">
        <f>TIMEVALUE(MID(G3767,12,8))</f>
        <v/>
      </c>
      <c r="P3767" s="396">
        <f>IFERROR(_xlfn.MINIFS($M:$M,$E:$E,$E3767,$K:$K,$K3767,$M:$M,"&gt;"&amp;$O3767),"")</f>
        <v/>
      </c>
      <c r="Q3767" s="396">
        <f>IF($P3767="","",$P3767-$O3767)</f>
        <v/>
      </c>
    </row>
    <row r="3768" ht="15" customHeight="1" s="231">
      <c r="K3768" s="395">
        <f>DATE(VALUE(LEFT(A3768,4)),VALUE(MID(A3768,5,2)),VALUE(RIGHT(A3768,2)))</f>
        <v/>
      </c>
      <c r="L3768" s="395">
        <f>DATEVALUE(LEFT(F3768,10))</f>
        <v/>
      </c>
      <c r="M3768" s="396">
        <f>TIMEVALUE(MID(F3768,12,8))</f>
        <v/>
      </c>
      <c r="N3768" s="395">
        <f>DATEVALUE(LEFT(G3768,10))</f>
        <v/>
      </c>
      <c r="O3768" s="396">
        <f>TIMEVALUE(MID(G3768,12,8))</f>
        <v/>
      </c>
      <c r="P3768" s="396">
        <f>IFERROR(_xlfn.MINIFS($M:$M,$E:$E,$E3768,$K:$K,$K3768,$M:$M,"&gt;"&amp;$O3768),"")</f>
        <v/>
      </c>
      <c r="Q3768" s="396">
        <f>IF($P3768="","",$P3768-$O3768)</f>
        <v/>
      </c>
    </row>
    <row r="3769" ht="15" customHeight="1" s="231">
      <c r="K3769" s="395">
        <f>DATE(VALUE(LEFT(A3769,4)),VALUE(MID(A3769,5,2)),VALUE(RIGHT(A3769,2)))</f>
        <v/>
      </c>
      <c r="L3769" s="395">
        <f>DATEVALUE(LEFT(F3769,10))</f>
        <v/>
      </c>
      <c r="M3769" s="396">
        <f>TIMEVALUE(MID(F3769,12,8))</f>
        <v/>
      </c>
      <c r="N3769" s="395">
        <f>DATEVALUE(LEFT(G3769,10))</f>
        <v/>
      </c>
      <c r="O3769" s="396">
        <f>TIMEVALUE(MID(G3769,12,8))</f>
        <v/>
      </c>
      <c r="P3769" s="396">
        <f>IFERROR(_xlfn.MINIFS($M:$M,$E:$E,$E3769,$K:$K,$K3769,$M:$M,"&gt;"&amp;$O3769),"")</f>
        <v/>
      </c>
      <c r="Q3769" s="396">
        <f>IF($P3769="","",$P3769-$O3769)</f>
        <v/>
      </c>
    </row>
    <row r="3770" ht="15" customHeight="1" s="231">
      <c r="K3770" s="395">
        <f>DATE(VALUE(LEFT(A3770,4)),VALUE(MID(A3770,5,2)),VALUE(RIGHT(A3770,2)))</f>
        <v/>
      </c>
      <c r="L3770" s="395">
        <f>DATEVALUE(LEFT(F3770,10))</f>
        <v/>
      </c>
      <c r="M3770" s="396">
        <f>TIMEVALUE(MID(F3770,12,8))</f>
        <v/>
      </c>
      <c r="N3770" s="395">
        <f>DATEVALUE(LEFT(G3770,10))</f>
        <v/>
      </c>
      <c r="O3770" s="396">
        <f>TIMEVALUE(MID(G3770,12,8))</f>
        <v/>
      </c>
      <c r="P3770" s="396">
        <f>IFERROR(_xlfn.MINIFS($M:$M,$E:$E,$E3770,$K:$K,$K3770,$M:$M,"&gt;"&amp;$O3770),"")</f>
        <v/>
      </c>
      <c r="Q3770" s="396">
        <f>IF($P3770="","",$P3770-$O3770)</f>
        <v/>
      </c>
    </row>
    <row r="3771" ht="15" customHeight="1" s="231">
      <c r="K3771" s="395">
        <f>DATE(VALUE(LEFT(A3771,4)),VALUE(MID(A3771,5,2)),VALUE(RIGHT(A3771,2)))</f>
        <v/>
      </c>
      <c r="L3771" s="395">
        <f>DATEVALUE(LEFT(F3771,10))</f>
        <v/>
      </c>
      <c r="M3771" s="396">
        <f>TIMEVALUE(MID(F3771,12,8))</f>
        <v/>
      </c>
      <c r="N3771" s="395">
        <f>DATEVALUE(LEFT(G3771,10))</f>
        <v/>
      </c>
      <c r="O3771" s="396">
        <f>TIMEVALUE(MID(G3771,12,8))</f>
        <v/>
      </c>
      <c r="P3771" s="396">
        <f>IFERROR(_xlfn.MINIFS($M:$M,$E:$E,$E3771,$K:$K,$K3771,$M:$M,"&gt;"&amp;$O3771),"")</f>
        <v/>
      </c>
      <c r="Q3771" s="396">
        <f>IF($P3771="","",$P3771-$O3771)</f>
        <v/>
      </c>
    </row>
    <row r="3772" ht="15" customHeight="1" s="231">
      <c r="K3772" s="395">
        <f>DATE(VALUE(LEFT(A3772,4)),VALUE(MID(A3772,5,2)),VALUE(RIGHT(A3772,2)))</f>
        <v/>
      </c>
      <c r="L3772" s="395">
        <f>DATEVALUE(LEFT(F3772,10))</f>
        <v/>
      </c>
      <c r="M3772" s="396">
        <f>TIMEVALUE(MID(F3772,12,8))</f>
        <v/>
      </c>
      <c r="N3772" s="395">
        <f>DATEVALUE(LEFT(G3772,10))</f>
        <v/>
      </c>
      <c r="O3772" s="396">
        <f>TIMEVALUE(MID(G3772,12,8))</f>
        <v/>
      </c>
      <c r="P3772" s="396">
        <f>IFERROR(_xlfn.MINIFS($M:$M,$E:$E,$E3772,$K:$K,$K3772,$M:$M,"&gt;"&amp;$O3772),"")</f>
        <v/>
      </c>
      <c r="Q3772" s="396">
        <f>IF($P3772="","",$P3772-$O3772)</f>
        <v/>
      </c>
    </row>
    <row r="3773" ht="15" customHeight="1" s="231">
      <c r="K3773" s="395">
        <f>DATE(VALUE(LEFT(A3773,4)),VALUE(MID(A3773,5,2)),VALUE(RIGHT(A3773,2)))</f>
        <v/>
      </c>
      <c r="L3773" s="395">
        <f>DATEVALUE(LEFT(F3773,10))</f>
        <v/>
      </c>
      <c r="M3773" s="396">
        <f>TIMEVALUE(MID(F3773,12,8))</f>
        <v/>
      </c>
      <c r="N3773" s="395">
        <f>DATEVALUE(LEFT(G3773,10))</f>
        <v/>
      </c>
      <c r="O3773" s="396">
        <f>TIMEVALUE(MID(G3773,12,8))</f>
        <v/>
      </c>
      <c r="P3773" s="396">
        <f>IFERROR(_xlfn.MINIFS($M:$M,$E:$E,$E3773,$K:$K,$K3773,$M:$M,"&gt;"&amp;$O3773),"")</f>
        <v/>
      </c>
      <c r="Q3773" s="396">
        <f>IF($P3773="","",$P3773-$O3773)</f>
        <v/>
      </c>
    </row>
    <row r="3774" ht="15" customHeight="1" s="231">
      <c r="K3774" s="395">
        <f>DATE(VALUE(LEFT(A3774,4)),VALUE(MID(A3774,5,2)),VALUE(RIGHT(A3774,2)))</f>
        <v/>
      </c>
      <c r="L3774" s="395">
        <f>DATEVALUE(LEFT(F3774,10))</f>
        <v/>
      </c>
      <c r="M3774" s="396">
        <f>TIMEVALUE(MID(F3774,12,8))</f>
        <v/>
      </c>
      <c r="N3774" s="395">
        <f>DATEVALUE(LEFT(G3774,10))</f>
        <v/>
      </c>
      <c r="O3774" s="396">
        <f>TIMEVALUE(MID(G3774,12,8))</f>
        <v/>
      </c>
      <c r="P3774" s="396">
        <f>IFERROR(_xlfn.MINIFS($M:$M,$E:$E,$E3774,$K:$K,$K3774,$M:$M,"&gt;"&amp;$O3774),"")</f>
        <v/>
      </c>
      <c r="Q3774" s="396">
        <f>IF($P3774="","",$P3774-$O3774)</f>
        <v/>
      </c>
    </row>
    <row r="3775" ht="15" customHeight="1" s="231">
      <c r="K3775" s="395">
        <f>DATE(VALUE(LEFT(A3775,4)),VALUE(MID(A3775,5,2)),VALUE(RIGHT(A3775,2)))</f>
        <v/>
      </c>
      <c r="L3775" s="395">
        <f>DATEVALUE(LEFT(F3775,10))</f>
        <v/>
      </c>
      <c r="M3775" s="396">
        <f>TIMEVALUE(MID(F3775,12,8))</f>
        <v/>
      </c>
      <c r="N3775" s="395">
        <f>DATEVALUE(LEFT(G3775,10))</f>
        <v/>
      </c>
      <c r="O3775" s="396">
        <f>TIMEVALUE(MID(G3775,12,8))</f>
        <v/>
      </c>
      <c r="P3775" s="396">
        <f>IFERROR(_xlfn.MINIFS($M:$M,$E:$E,$E3775,$K:$K,$K3775,$M:$M,"&gt;"&amp;$O3775),"")</f>
        <v/>
      </c>
      <c r="Q3775" s="396">
        <f>IF($P3775="","",$P3775-$O3775)</f>
        <v/>
      </c>
    </row>
    <row r="3776" ht="15" customHeight="1" s="231">
      <c r="K3776" s="395">
        <f>DATE(VALUE(LEFT(A3776,4)),VALUE(MID(A3776,5,2)),VALUE(RIGHT(A3776,2)))</f>
        <v/>
      </c>
      <c r="L3776" s="395">
        <f>DATEVALUE(LEFT(F3776,10))</f>
        <v/>
      </c>
      <c r="M3776" s="396">
        <f>TIMEVALUE(MID(F3776,12,8))</f>
        <v/>
      </c>
      <c r="N3776" s="395">
        <f>DATEVALUE(LEFT(G3776,10))</f>
        <v/>
      </c>
      <c r="O3776" s="396">
        <f>TIMEVALUE(MID(G3776,12,8))</f>
        <v/>
      </c>
      <c r="P3776" s="396">
        <f>IFERROR(_xlfn.MINIFS($M:$M,$E:$E,$E3776,$K:$K,$K3776,$M:$M,"&gt;"&amp;$O3776),"")</f>
        <v/>
      </c>
      <c r="Q3776" s="396">
        <f>IF($P3776="","",$P3776-$O3776)</f>
        <v/>
      </c>
    </row>
    <row r="3777" ht="15" customHeight="1" s="231">
      <c r="K3777" s="395">
        <f>DATE(VALUE(LEFT(A3777,4)),VALUE(MID(A3777,5,2)),VALUE(RIGHT(A3777,2)))</f>
        <v/>
      </c>
      <c r="L3777" s="395">
        <f>DATEVALUE(LEFT(F3777,10))</f>
        <v/>
      </c>
      <c r="M3777" s="396">
        <f>TIMEVALUE(MID(F3777,12,8))</f>
        <v/>
      </c>
      <c r="N3777" s="395">
        <f>DATEVALUE(LEFT(G3777,10))</f>
        <v/>
      </c>
      <c r="O3777" s="396">
        <f>TIMEVALUE(MID(G3777,12,8))</f>
        <v/>
      </c>
      <c r="P3777" s="396">
        <f>IFERROR(_xlfn.MINIFS($M:$M,$E:$E,$E3777,$K:$K,$K3777,$M:$M,"&gt;"&amp;$O3777),"")</f>
        <v/>
      </c>
      <c r="Q3777" s="396">
        <f>IF($P3777="","",$P3777-$O3777)</f>
        <v/>
      </c>
    </row>
    <row r="3778" ht="15" customHeight="1" s="231">
      <c r="K3778" s="395">
        <f>DATE(VALUE(LEFT(A3778,4)),VALUE(MID(A3778,5,2)),VALUE(RIGHT(A3778,2)))</f>
        <v/>
      </c>
      <c r="L3778" s="395">
        <f>DATEVALUE(LEFT(F3778,10))</f>
        <v/>
      </c>
      <c r="M3778" s="396">
        <f>TIMEVALUE(MID(F3778,12,8))</f>
        <v/>
      </c>
      <c r="N3778" s="395">
        <f>DATEVALUE(LEFT(G3778,10))</f>
        <v/>
      </c>
      <c r="O3778" s="396">
        <f>TIMEVALUE(MID(G3778,12,8))</f>
        <v/>
      </c>
      <c r="P3778" s="396">
        <f>IFERROR(_xlfn.MINIFS($M:$M,$E:$E,$E3778,$K:$K,$K3778,$M:$M,"&gt;"&amp;$O3778),"")</f>
        <v/>
      </c>
      <c r="Q3778" s="396">
        <f>IF($P3778="","",$P3778-$O3778)</f>
        <v/>
      </c>
    </row>
    <row r="3779" ht="15" customHeight="1" s="231">
      <c r="K3779" s="395">
        <f>DATE(VALUE(LEFT(A3779,4)),VALUE(MID(A3779,5,2)),VALUE(RIGHT(A3779,2)))</f>
        <v/>
      </c>
      <c r="L3779" s="395">
        <f>DATEVALUE(LEFT(F3779,10))</f>
        <v/>
      </c>
      <c r="M3779" s="396">
        <f>TIMEVALUE(MID(F3779,12,8))</f>
        <v/>
      </c>
      <c r="N3779" s="395">
        <f>DATEVALUE(LEFT(G3779,10))</f>
        <v/>
      </c>
      <c r="O3779" s="396">
        <f>TIMEVALUE(MID(G3779,12,8))</f>
        <v/>
      </c>
      <c r="P3779" s="396">
        <f>IFERROR(_xlfn.MINIFS($M:$M,$E:$E,$E3779,$K:$K,$K3779,$M:$M,"&gt;"&amp;$O3779),"")</f>
        <v/>
      </c>
      <c r="Q3779" s="396">
        <f>IF($P3779="","",$P3779-$O3779)</f>
        <v/>
      </c>
    </row>
    <row r="3780" ht="15" customHeight="1" s="231">
      <c r="K3780" s="395">
        <f>DATE(VALUE(LEFT(A3780,4)),VALUE(MID(A3780,5,2)),VALUE(RIGHT(A3780,2)))</f>
        <v/>
      </c>
      <c r="L3780" s="395">
        <f>DATEVALUE(LEFT(F3780,10))</f>
        <v/>
      </c>
      <c r="M3780" s="396">
        <f>TIMEVALUE(MID(F3780,12,8))</f>
        <v/>
      </c>
      <c r="N3780" s="395">
        <f>DATEVALUE(LEFT(G3780,10))</f>
        <v/>
      </c>
      <c r="O3780" s="396">
        <f>TIMEVALUE(MID(G3780,12,8))</f>
        <v/>
      </c>
      <c r="P3780" s="396">
        <f>IFERROR(_xlfn.MINIFS($M:$M,$E:$E,$E3780,$K:$K,$K3780,$M:$M,"&gt;"&amp;$O3780),"")</f>
        <v/>
      </c>
      <c r="Q3780" s="396">
        <f>IF($P3780="","",$P3780-$O3780)</f>
        <v/>
      </c>
    </row>
    <row r="3781" ht="15" customHeight="1" s="231">
      <c r="K3781" s="395">
        <f>DATE(VALUE(LEFT(A3781,4)),VALUE(MID(A3781,5,2)),VALUE(RIGHT(A3781,2)))</f>
        <v/>
      </c>
      <c r="L3781" s="395">
        <f>DATEVALUE(LEFT(F3781,10))</f>
        <v/>
      </c>
      <c r="M3781" s="396">
        <f>TIMEVALUE(MID(F3781,12,8))</f>
        <v/>
      </c>
      <c r="N3781" s="395">
        <f>DATEVALUE(LEFT(G3781,10))</f>
        <v/>
      </c>
      <c r="O3781" s="396">
        <f>TIMEVALUE(MID(G3781,12,8))</f>
        <v/>
      </c>
      <c r="P3781" s="396">
        <f>IFERROR(_xlfn.MINIFS($M:$M,$E:$E,$E3781,$K:$K,$K3781,$M:$M,"&gt;"&amp;$O3781),"")</f>
        <v/>
      </c>
      <c r="Q3781" s="396">
        <f>IF($P3781="","",$P3781-$O3781)</f>
        <v/>
      </c>
    </row>
    <row r="3782" ht="15" customHeight="1" s="231">
      <c r="K3782" s="395">
        <f>DATE(VALUE(LEFT(A3782,4)),VALUE(MID(A3782,5,2)),VALUE(RIGHT(A3782,2)))</f>
        <v/>
      </c>
      <c r="L3782" s="395">
        <f>DATEVALUE(LEFT(F3782,10))</f>
        <v/>
      </c>
      <c r="M3782" s="396">
        <f>TIMEVALUE(MID(F3782,12,8))</f>
        <v/>
      </c>
      <c r="N3782" s="395">
        <f>DATEVALUE(LEFT(G3782,10))</f>
        <v/>
      </c>
      <c r="O3782" s="396">
        <f>TIMEVALUE(MID(G3782,12,8))</f>
        <v/>
      </c>
      <c r="P3782" s="396">
        <f>IFERROR(_xlfn.MINIFS($M:$M,$E:$E,$E3782,$K:$K,$K3782,$M:$M,"&gt;"&amp;$O3782),"")</f>
        <v/>
      </c>
      <c r="Q3782" s="396">
        <f>IF($P3782="","",$P3782-$O3782)</f>
        <v/>
      </c>
    </row>
    <row r="3783" ht="15" customHeight="1" s="231">
      <c r="K3783" s="395">
        <f>DATE(VALUE(LEFT(A3783,4)),VALUE(MID(A3783,5,2)),VALUE(RIGHT(A3783,2)))</f>
        <v/>
      </c>
      <c r="L3783" s="395">
        <f>DATEVALUE(LEFT(F3783,10))</f>
        <v/>
      </c>
      <c r="M3783" s="396">
        <f>TIMEVALUE(MID(F3783,12,8))</f>
        <v/>
      </c>
      <c r="N3783" s="395">
        <f>DATEVALUE(LEFT(G3783,10))</f>
        <v/>
      </c>
      <c r="O3783" s="396">
        <f>TIMEVALUE(MID(G3783,12,8))</f>
        <v/>
      </c>
      <c r="P3783" s="396">
        <f>IFERROR(_xlfn.MINIFS($M:$M,$E:$E,$E3783,$K:$K,$K3783,$M:$M,"&gt;"&amp;$O3783),"")</f>
        <v/>
      </c>
      <c r="Q3783" s="396">
        <f>IF($P3783="","",$P3783-$O3783)</f>
        <v/>
      </c>
    </row>
    <row r="3784" ht="15" customHeight="1" s="231">
      <c r="K3784" s="395">
        <f>DATE(VALUE(LEFT(A3784,4)),VALUE(MID(A3784,5,2)),VALUE(RIGHT(A3784,2)))</f>
        <v/>
      </c>
      <c r="L3784" s="395">
        <f>DATEVALUE(LEFT(F3784,10))</f>
        <v/>
      </c>
      <c r="M3784" s="396">
        <f>TIMEVALUE(MID(F3784,12,8))</f>
        <v/>
      </c>
      <c r="N3784" s="395">
        <f>DATEVALUE(LEFT(G3784,10))</f>
        <v/>
      </c>
      <c r="O3784" s="396">
        <f>TIMEVALUE(MID(G3784,12,8))</f>
        <v/>
      </c>
      <c r="P3784" s="396">
        <f>IFERROR(_xlfn.MINIFS($M:$M,$E:$E,$E3784,$K:$K,$K3784,$M:$M,"&gt;"&amp;$O3784),"")</f>
        <v/>
      </c>
      <c r="Q3784" s="396">
        <f>IF($P3784="","",$P3784-$O3784)</f>
        <v/>
      </c>
    </row>
    <row r="3785" ht="15" customHeight="1" s="231">
      <c r="K3785" s="395">
        <f>DATE(VALUE(LEFT(A3785,4)),VALUE(MID(A3785,5,2)),VALUE(RIGHT(A3785,2)))</f>
        <v/>
      </c>
      <c r="L3785" s="395">
        <f>DATEVALUE(LEFT(F3785,10))</f>
        <v/>
      </c>
      <c r="M3785" s="396">
        <f>TIMEVALUE(MID(F3785,12,8))</f>
        <v/>
      </c>
      <c r="N3785" s="395">
        <f>DATEVALUE(LEFT(G3785,10))</f>
        <v/>
      </c>
      <c r="O3785" s="396">
        <f>TIMEVALUE(MID(G3785,12,8))</f>
        <v/>
      </c>
      <c r="P3785" s="396">
        <f>IFERROR(_xlfn.MINIFS($M:$M,$E:$E,$E3785,$K:$K,$K3785,$M:$M,"&gt;"&amp;$O3785),"")</f>
        <v/>
      </c>
      <c r="Q3785" s="396">
        <f>IF($P3785="","",$P3785-$O3785)</f>
        <v/>
      </c>
    </row>
    <row r="3786" ht="15" customHeight="1" s="231">
      <c r="K3786" s="395">
        <f>DATE(VALUE(LEFT(A3786,4)),VALUE(MID(A3786,5,2)),VALUE(RIGHT(A3786,2)))</f>
        <v/>
      </c>
      <c r="L3786" s="395">
        <f>DATEVALUE(LEFT(F3786,10))</f>
        <v/>
      </c>
      <c r="M3786" s="396">
        <f>TIMEVALUE(MID(F3786,12,8))</f>
        <v/>
      </c>
      <c r="N3786" s="395">
        <f>DATEVALUE(LEFT(G3786,10))</f>
        <v/>
      </c>
      <c r="O3786" s="396">
        <f>TIMEVALUE(MID(G3786,12,8))</f>
        <v/>
      </c>
      <c r="P3786" s="396">
        <f>IFERROR(_xlfn.MINIFS($M:$M,$E:$E,$E3786,$K:$K,$K3786,$M:$M,"&gt;"&amp;$O3786),"")</f>
        <v/>
      </c>
      <c r="Q3786" s="396">
        <f>IF($P3786="","",$P3786-$O3786)</f>
        <v/>
      </c>
    </row>
    <row r="3787" ht="15" customHeight="1" s="231">
      <c r="K3787" s="395">
        <f>DATE(VALUE(LEFT(A3787,4)),VALUE(MID(A3787,5,2)),VALUE(RIGHT(A3787,2)))</f>
        <v/>
      </c>
      <c r="L3787" s="395">
        <f>DATEVALUE(LEFT(F3787,10))</f>
        <v/>
      </c>
      <c r="M3787" s="396">
        <f>TIMEVALUE(MID(F3787,12,8))</f>
        <v/>
      </c>
      <c r="N3787" s="395">
        <f>DATEVALUE(LEFT(G3787,10))</f>
        <v/>
      </c>
      <c r="O3787" s="396">
        <f>TIMEVALUE(MID(G3787,12,8))</f>
        <v/>
      </c>
      <c r="P3787" s="396">
        <f>IFERROR(_xlfn.MINIFS($M:$M,$E:$E,$E3787,$K:$K,$K3787,$M:$M,"&gt;"&amp;$O3787),"")</f>
        <v/>
      </c>
      <c r="Q3787" s="396">
        <f>IF($P3787="","",$P3787-$O3787)</f>
        <v/>
      </c>
    </row>
    <row r="3788" ht="15" customHeight="1" s="231">
      <c r="K3788" s="395">
        <f>DATE(VALUE(LEFT(A3788,4)),VALUE(MID(A3788,5,2)),VALUE(RIGHT(A3788,2)))</f>
        <v/>
      </c>
      <c r="L3788" s="395">
        <f>DATEVALUE(LEFT(F3788,10))</f>
        <v/>
      </c>
      <c r="M3788" s="396">
        <f>TIMEVALUE(MID(F3788,12,8))</f>
        <v/>
      </c>
      <c r="N3788" s="395">
        <f>DATEVALUE(LEFT(G3788,10))</f>
        <v/>
      </c>
      <c r="O3788" s="396">
        <f>TIMEVALUE(MID(G3788,12,8))</f>
        <v/>
      </c>
      <c r="P3788" s="396">
        <f>IFERROR(_xlfn.MINIFS($M:$M,$E:$E,$E3788,$K:$K,$K3788,$M:$M,"&gt;"&amp;$O3788),"")</f>
        <v/>
      </c>
      <c r="Q3788" s="396">
        <f>IF($P3788="","",$P3788-$O3788)</f>
        <v/>
      </c>
    </row>
    <row r="3789" ht="15" customHeight="1" s="231">
      <c r="K3789" s="395">
        <f>DATE(VALUE(LEFT(A3789,4)),VALUE(MID(A3789,5,2)),VALUE(RIGHT(A3789,2)))</f>
        <v/>
      </c>
      <c r="L3789" s="395">
        <f>DATEVALUE(LEFT(F3789,10))</f>
        <v/>
      </c>
      <c r="M3789" s="396">
        <f>TIMEVALUE(MID(F3789,12,8))</f>
        <v/>
      </c>
      <c r="N3789" s="395">
        <f>DATEVALUE(LEFT(G3789,10))</f>
        <v/>
      </c>
      <c r="O3789" s="396">
        <f>TIMEVALUE(MID(G3789,12,8))</f>
        <v/>
      </c>
      <c r="P3789" s="396">
        <f>IFERROR(_xlfn.MINIFS($M:$M,$E:$E,$E3789,$K:$K,$K3789,$M:$M,"&gt;"&amp;$O3789),"")</f>
        <v/>
      </c>
      <c r="Q3789" s="396">
        <f>IF($P3789="","",$P3789-$O3789)</f>
        <v/>
      </c>
    </row>
    <row r="3790" ht="15" customHeight="1" s="231">
      <c r="K3790" s="395">
        <f>DATE(VALUE(LEFT(A3790,4)),VALUE(MID(A3790,5,2)),VALUE(RIGHT(A3790,2)))</f>
        <v/>
      </c>
      <c r="L3790" s="395">
        <f>DATEVALUE(LEFT(F3790,10))</f>
        <v/>
      </c>
      <c r="M3790" s="396">
        <f>TIMEVALUE(MID(F3790,12,8))</f>
        <v/>
      </c>
      <c r="N3790" s="395">
        <f>DATEVALUE(LEFT(G3790,10))</f>
        <v/>
      </c>
      <c r="O3790" s="396">
        <f>TIMEVALUE(MID(G3790,12,8))</f>
        <v/>
      </c>
      <c r="P3790" s="396">
        <f>IFERROR(_xlfn.MINIFS($M:$M,$E:$E,$E3790,$K:$K,$K3790,$M:$M,"&gt;"&amp;$O3790),"")</f>
        <v/>
      </c>
      <c r="Q3790" s="396">
        <f>IF($P3790="","",$P3790-$O3790)</f>
        <v/>
      </c>
    </row>
    <row r="3791" ht="15" customHeight="1" s="231">
      <c r="K3791" s="395">
        <f>DATE(VALUE(LEFT(A3791,4)),VALUE(MID(A3791,5,2)),VALUE(RIGHT(A3791,2)))</f>
        <v/>
      </c>
      <c r="L3791" s="395">
        <f>DATEVALUE(LEFT(F3791,10))</f>
        <v/>
      </c>
      <c r="M3791" s="396">
        <f>TIMEVALUE(MID(F3791,12,8))</f>
        <v/>
      </c>
      <c r="N3791" s="395">
        <f>DATEVALUE(LEFT(G3791,10))</f>
        <v/>
      </c>
      <c r="O3791" s="396">
        <f>TIMEVALUE(MID(G3791,12,8))</f>
        <v/>
      </c>
      <c r="P3791" s="396">
        <f>IFERROR(_xlfn.MINIFS($M:$M,$E:$E,$E3791,$K:$K,$K3791,$M:$M,"&gt;"&amp;$O3791),"")</f>
        <v/>
      </c>
      <c r="Q3791" s="396">
        <f>IF($P3791="","",$P3791-$O3791)</f>
        <v/>
      </c>
    </row>
    <row r="3792" ht="15" customHeight="1" s="231">
      <c r="K3792" s="395">
        <f>DATE(VALUE(LEFT(A3792,4)),VALUE(MID(A3792,5,2)),VALUE(RIGHT(A3792,2)))</f>
        <v/>
      </c>
      <c r="L3792" s="395">
        <f>DATEVALUE(LEFT(F3792,10))</f>
        <v/>
      </c>
      <c r="M3792" s="396">
        <f>TIMEVALUE(MID(F3792,12,8))</f>
        <v/>
      </c>
      <c r="N3792" s="395">
        <f>DATEVALUE(LEFT(G3792,10))</f>
        <v/>
      </c>
      <c r="O3792" s="396">
        <f>TIMEVALUE(MID(G3792,12,8))</f>
        <v/>
      </c>
      <c r="P3792" s="396">
        <f>IFERROR(_xlfn.MINIFS($M:$M,$E:$E,$E3792,$K:$K,$K3792,$M:$M,"&gt;"&amp;$O3792),"")</f>
        <v/>
      </c>
      <c r="Q3792" s="396">
        <f>IF($P3792="","",$P3792-$O3792)</f>
        <v/>
      </c>
    </row>
    <row r="3793" ht="15" customHeight="1" s="231">
      <c r="K3793" s="395">
        <f>DATE(VALUE(LEFT(A3793,4)),VALUE(MID(A3793,5,2)),VALUE(RIGHT(A3793,2)))</f>
        <v/>
      </c>
      <c r="L3793" s="395">
        <f>DATEVALUE(LEFT(F3793,10))</f>
        <v/>
      </c>
      <c r="M3793" s="396">
        <f>TIMEVALUE(MID(F3793,12,8))</f>
        <v/>
      </c>
      <c r="N3793" s="395">
        <f>DATEVALUE(LEFT(G3793,10))</f>
        <v/>
      </c>
      <c r="O3793" s="396">
        <f>TIMEVALUE(MID(G3793,12,8))</f>
        <v/>
      </c>
      <c r="P3793" s="396">
        <f>IFERROR(_xlfn.MINIFS($M:$M,$E:$E,$E3793,$K:$K,$K3793,$M:$M,"&gt;"&amp;$O3793),"")</f>
        <v/>
      </c>
      <c r="Q3793" s="396">
        <f>IF($P3793="","",$P3793-$O3793)</f>
        <v/>
      </c>
    </row>
    <row r="3794" ht="15" customHeight="1" s="231">
      <c r="K3794" s="395">
        <f>DATE(VALUE(LEFT(A3794,4)),VALUE(MID(A3794,5,2)),VALUE(RIGHT(A3794,2)))</f>
        <v/>
      </c>
      <c r="L3794" s="395">
        <f>DATEVALUE(LEFT(F3794,10))</f>
        <v/>
      </c>
      <c r="M3794" s="396">
        <f>TIMEVALUE(MID(F3794,12,8))</f>
        <v/>
      </c>
      <c r="N3794" s="395">
        <f>DATEVALUE(LEFT(G3794,10))</f>
        <v/>
      </c>
      <c r="O3794" s="396">
        <f>TIMEVALUE(MID(G3794,12,8))</f>
        <v/>
      </c>
      <c r="P3794" s="396">
        <f>IFERROR(_xlfn.MINIFS($M:$M,$E:$E,$E3794,$K:$K,$K3794,$M:$M,"&gt;"&amp;$O3794),"")</f>
        <v/>
      </c>
      <c r="Q3794" s="396">
        <f>IF($P3794="","",$P3794-$O3794)</f>
        <v/>
      </c>
    </row>
    <row r="3795" ht="15" customHeight="1" s="231">
      <c r="K3795" s="395">
        <f>DATE(VALUE(LEFT(A3795,4)),VALUE(MID(A3795,5,2)),VALUE(RIGHT(A3795,2)))</f>
        <v/>
      </c>
      <c r="L3795" s="395">
        <f>DATEVALUE(LEFT(F3795,10))</f>
        <v/>
      </c>
      <c r="M3795" s="396">
        <f>TIMEVALUE(MID(F3795,12,8))</f>
        <v/>
      </c>
      <c r="N3795" s="395">
        <f>DATEVALUE(LEFT(G3795,10))</f>
        <v/>
      </c>
      <c r="O3795" s="396">
        <f>TIMEVALUE(MID(G3795,12,8))</f>
        <v/>
      </c>
      <c r="P3795" s="396">
        <f>IFERROR(_xlfn.MINIFS($M:$M,$E:$E,$E3795,$K:$K,$K3795,$M:$M,"&gt;"&amp;$O3795),"")</f>
        <v/>
      </c>
      <c r="Q3795" s="396">
        <f>IF($P3795="","",$P3795-$O3795)</f>
        <v/>
      </c>
    </row>
    <row r="3796" ht="15" customHeight="1" s="231">
      <c r="K3796" s="395">
        <f>DATE(VALUE(LEFT(A3796,4)),VALUE(MID(A3796,5,2)),VALUE(RIGHT(A3796,2)))</f>
        <v/>
      </c>
      <c r="L3796" s="395">
        <f>DATEVALUE(LEFT(F3796,10))</f>
        <v/>
      </c>
      <c r="M3796" s="396">
        <f>TIMEVALUE(MID(F3796,12,8))</f>
        <v/>
      </c>
      <c r="N3796" s="395">
        <f>DATEVALUE(LEFT(G3796,10))</f>
        <v/>
      </c>
      <c r="O3796" s="396">
        <f>TIMEVALUE(MID(G3796,12,8))</f>
        <v/>
      </c>
      <c r="P3796" s="396">
        <f>IFERROR(_xlfn.MINIFS($M:$M,$E:$E,$E3796,$K:$K,$K3796,$M:$M,"&gt;"&amp;$O3796),"")</f>
        <v/>
      </c>
      <c r="Q3796" s="396">
        <f>IF($P3796="","",$P3796-$O3796)</f>
        <v/>
      </c>
    </row>
    <row r="3797" ht="15" customHeight="1" s="231">
      <c r="K3797" s="395">
        <f>DATE(VALUE(LEFT(A3797,4)),VALUE(MID(A3797,5,2)),VALUE(RIGHT(A3797,2)))</f>
        <v/>
      </c>
      <c r="L3797" s="395">
        <f>DATEVALUE(LEFT(F3797,10))</f>
        <v/>
      </c>
      <c r="M3797" s="396">
        <f>TIMEVALUE(MID(F3797,12,8))</f>
        <v/>
      </c>
      <c r="N3797" s="395">
        <f>DATEVALUE(LEFT(G3797,10))</f>
        <v/>
      </c>
      <c r="O3797" s="396">
        <f>TIMEVALUE(MID(G3797,12,8))</f>
        <v/>
      </c>
      <c r="P3797" s="396">
        <f>IFERROR(_xlfn.MINIFS($M:$M,$E:$E,$E3797,$K:$K,$K3797,$M:$M,"&gt;"&amp;$O3797),"")</f>
        <v/>
      </c>
      <c r="Q3797" s="396">
        <f>IF($P3797="","",$P3797-$O3797)</f>
        <v/>
      </c>
    </row>
    <row r="3798" ht="15" customHeight="1" s="231">
      <c r="K3798" s="395">
        <f>DATE(VALUE(LEFT(A3798,4)),VALUE(MID(A3798,5,2)),VALUE(RIGHT(A3798,2)))</f>
        <v/>
      </c>
      <c r="L3798" s="395">
        <f>DATEVALUE(LEFT(F3798,10))</f>
        <v/>
      </c>
      <c r="M3798" s="396">
        <f>TIMEVALUE(MID(F3798,12,8))</f>
        <v/>
      </c>
      <c r="N3798" s="395">
        <f>DATEVALUE(LEFT(G3798,10))</f>
        <v/>
      </c>
      <c r="O3798" s="396">
        <f>TIMEVALUE(MID(G3798,12,8))</f>
        <v/>
      </c>
      <c r="P3798" s="396">
        <f>IFERROR(_xlfn.MINIFS($M:$M,$E:$E,$E3798,$K:$K,$K3798,$M:$M,"&gt;"&amp;$O3798),"")</f>
        <v/>
      </c>
      <c r="Q3798" s="396">
        <f>IF($P3798="","",$P3798-$O3798)</f>
        <v/>
      </c>
    </row>
    <row r="3799" ht="15" customHeight="1" s="231">
      <c r="K3799" s="395">
        <f>DATE(VALUE(LEFT(A3799,4)),VALUE(MID(A3799,5,2)),VALUE(RIGHT(A3799,2)))</f>
        <v/>
      </c>
      <c r="L3799" s="395">
        <f>DATEVALUE(LEFT(F3799,10))</f>
        <v/>
      </c>
      <c r="M3799" s="396">
        <f>TIMEVALUE(MID(F3799,12,8))</f>
        <v/>
      </c>
      <c r="N3799" s="395">
        <f>DATEVALUE(LEFT(G3799,10))</f>
        <v/>
      </c>
      <c r="O3799" s="396">
        <f>TIMEVALUE(MID(G3799,12,8))</f>
        <v/>
      </c>
      <c r="P3799" s="396">
        <f>IFERROR(_xlfn.MINIFS($M:$M,$E:$E,$E3799,$K:$K,$K3799,$M:$M,"&gt;"&amp;$O3799),"")</f>
        <v/>
      </c>
      <c r="Q3799" s="396">
        <f>IF($P3799="","",$P3799-$O3799)</f>
        <v/>
      </c>
    </row>
    <row r="3800" ht="15" customHeight="1" s="231">
      <c r="K3800" s="395">
        <f>DATE(VALUE(LEFT(A3800,4)),VALUE(MID(A3800,5,2)),VALUE(RIGHT(A3800,2)))</f>
        <v/>
      </c>
      <c r="L3800" s="395">
        <f>DATEVALUE(LEFT(F3800,10))</f>
        <v/>
      </c>
      <c r="M3800" s="396">
        <f>TIMEVALUE(MID(F3800,12,8))</f>
        <v/>
      </c>
      <c r="N3800" s="395">
        <f>DATEVALUE(LEFT(G3800,10))</f>
        <v/>
      </c>
      <c r="O3800" s="396">
        <f>TIMEVALUE(MID(G3800,12,8))</f>
        <v/>
      </c>
      <c r="P3800" s="396">
        <f>IFERROR(_xlfn.MINIFS($M:$M,$E:$E,$E3800,$K:$K,$K3800,$M:$M,"&gt;"&amp;$O3800),"")</f>
        <v/>
      </c>
      <c r="Q3800" s="396">
        <f>IF($P3800="","",$P3800-$O3800)</f>
        <v/>
      </c>
    </row>
    <row r="3801" ht="15" customHeight="1" s="231">
      <c r="K3801" s="395">
        <f>DATE(VALUE(LEFT(A3801,4)),VALUE(MID(A3801,5,2)),VALUE(RIGHT(A3801,2)))</f>
        <v/>
      </c>
      <c r="L3801" s="395">
        <f>DATEVALUE(LEFT(F3801,10))</f>
        <v/>
      </c>
      <c r="M3801" s="396">
        <f>TIMEVALUE(MID(F3801,12,8))</f>
        <v/>
      </c>
      <c r="N3801" s="395">
        <f>DATEVALUE(LEFT(G3801,10))</f>
        <v/>
      </c>
      <c r="O3801" s="396">
        <f>TIMEVALUE(MID(G3801,12,8))</f>
        <v/>
      </c>
      <c r="P3801" s="396">
        <f>IFERROR(_xlfn.MINIFS($M:$M,$E:$E,$E3801,$K:$K,$K3801,$M:$M,"&gt;"&amp;$O3801),"")</f>
        <v/>
      </c>
      <c r="Q3801" s="396">
        <f>IF($P3801="","",$P3801-$O3801)</f>
        <v/>
      </c>
    </row>
    <row r="3802" ht="15" customHeight="1" s="231">
      <c r="K3802" s="395">
        <f>DATE(VALUE(LEFT(A3802,4)),VALUE(MID(A3802,5,2)),VALUE(RIGHT(A3802,2)))</f>
        <v/>
      </c>
      <c r="L3802" s="395">
        <f>DATEVALUE(LEFT(F3802,10))</f>
        <v/>
      </c>
      <c r="M3802" s="396">
        <f>TIMEVALUE(MID(F3802,12,8))</f>
        <v/>
      </c>
      <c r="N3802" s="395">
        <f>DATEVALUE(LEFT(G3802,10))</f>
        <v/>
      </c>
      <c r="O3802" s="396">
        <f>TIMEVALUE(MID(G3802,12,8))</f>
        <v/>
      </c>
      <c r="P3802" s="396">
        <f>IFERROR(_xlfn.MINIFS($M:$M,$E:$E,$E3802,$K:$K,$K3802,$M:$M,"&gt;"&amp;$O3802),"")</f>
        <v/>
      </c>
      <c r="Q3802" s="396">
        <f>IF($P3802="","",$P3802-$O3802)</f>
        <v/>
      </c>
    </row>
    <row r="3803" ht="15" customHeight="1" s="231">
      <c r="K3803" s="395">
        <f>DATE(VALUE(LEFT(A3803,4)),VALUE(MID(A3803,5,2)),VALUE(RIGHT(A3803,2)))</f>
        <v/>
      </c>
      <c r="L3803" s="395">
        <f>DATEVALUE(LEFT(F3803,10))</f>
        <v/>
      </c>
      <c r="M3803" s="396">
        <f>TIMEVALUE(MID(F3803,12,8))</f>
        <v/>
      </c>
      <c r="N3803" s="395">
        <f>DATEVALUE(LEFT(G3803,10))</f>
        <v/>
      </c>
      <c r="O3803" s="396">
        <f>TIMEVALUE(MID(G3803,12,8))</f>
        <v/>
      </c>
      <c r="P3803" s="396">
        <f>IFERROR(_xlfn.MINIFS($M:$M,$E:$E,$E3803,$K:$K,$K3803,$M:$M,"&gt;"&amp;$O3803),"")</f>
        <v/>
      </c>
      <c r="Q3803" s="396">
        <f>IF($P3803="","",$P3803-$O3803)</f>
        <v/>
      </c>
    </row>
    <row r="3804" ht="15" customHeight="1" s="231">
      <c r="K3804" s="395">
        <f>DATE(VALUE(LEFT(A3804,4)),VALUE(MID(A3804,5,2)),VALUE(RIGHT(A3804,2)))</f>
        <v/>
      </c>
      <c r="L3804" s="395">
        <f>DATEVALUE(LEFT(F3804,10))</f>
        <v/>
      </c>
      <c r="M3804" s="396">
        <f>TIMEVALUE(MID(F3804,12,8))</f>
        <v/>
      </c>
      <c r="N3804" s="395">
        <f>DATEVALUE(LEFT(G3804,10))</f>
        <v/>
      </c>
      <c r="O3804" s="396">
        <f>TIMEVALUE(MID(G3804,12,8))</f>
        <v/>
      </c>
      <c r="P3804" s="396">
        <f>IFERROR(_xlfn.MINIFS($M:$M,$E:$E,$E3804,$K:$K,$K3804,$M:$M,"&gt;"&amp;$O3804),"")</f>
        <v/>
      </c>
      <c r="Q3804" s="396">
        <f>IF($P3804="","",$P3804-$O3804)</f>
        <v/>
      </c>
    </row>
    <row r="3805" ht="15" customHeight="1" s="231">
      <c r="K3805" s="395">
        <f>DATE(VALUE(LEFT(A3805,4)),VALUE(MID(A3805,5,2)),VALUE(RIGHT(A3805,2)))</f>
        <v/>
      </c>
      <c r="L3805" s="395">
        <f>DATEVALUE(LEFT(F3805,10))</f>
        <v/>
      </c>
      <c r="M3805" s="396">
        <f>TIMEVALUE(MID(F3805,12,8))</f>
        <v/>
      </c>
      <c r="N3805" s="395">
        <f>DATEVALUE(LEFT(G3805,10))</f>
        <v/>
      </c>
      <c r="O3805" s="396">
        <f>TIMEVALUE(MID(G3805,12,8))</f>
        <v/>
      </c>
      <c r="P3805" s="396">
        <f>IFERROR(_xlfn.MINIFS($M:$M,$E:$E,$E3805,$K:$K,$K3805,$M:$M,"&gt;"&amp;$O3805),"")</f>
        <v/>
      </c>
      <c r="Q3805" s="396">
        <f>IF($P3805="","",$P3805-$O3805)</f>
        <v/>
      </c>
    </row>
    <row r="3806" ht="15" customHeight="1" s="231">
      <c r="K3806" s="395">
        <f>DATE(VALUE(LEFT(A3806,4)),VALUE(MID(A3806,5,2)),VALUE(RIGHT(A3806,2)))</f>
        <v/>
      </c>
      <c r="L3806" s="395">
        <f>DATEVALUE(LEFT(F3806,10))</f>
        <v/>
      </c>
      <c r="M3806" s="396">
        <f>TIMEVALUE(MID(F3806,12,8))</f>
        <v/>
      </c>
      <c r="N3806" s="395">
        <f>DATEVALUE(LEFT(G3806,10))</f>
        <v/>
      </c>
      <c r="O3806" s="396">
        <f>TIMEVALUE(MID(G3806,12,8))</f>
        <v/>
      </c>
      <c r="P3806" s="396">
        <f>IFERROR(_xlfn.MINIFS($M:$M,$E:$E,$E3806,$K:$K,$K3806,$M:$M,"&gt;"&amp;$O3806),"")</f>
        <v/>
      </c>
      <c r="Q3806" s="396">
        <f>IF($P3806="","",$P3806-$O3806)</f>
        <v/>
      </c>
    </row>
    <row r="3807" ht="15" customHeight="1" s="231">
      <c r="K3807" s="395">
        <f>DATE(VALUE(LEFT(A3807,4)),VALUE(MID(A3807,5,2)),VALUE(RIGHT(A3807,2)))</f>
        <v/>
      </c>
      <c r="L3807" s="395">
        <f>DATEVALUE(LEFT(F3807,10))</f>
        <v/>
      </c>
      <c r="M3807" s="396">
        <f>TIMEVALUE(MID(F3807,12,8))</f>
        <v/>
      </c>
      <c r="N3807" s="395">
        <f>DATEVALUE(LEFT(G3807,10))</f>
        <v/>
      </c>
      <c r="O3807" s="396">
        <f>TIMEVALUE(MID(G3807,12,8))</f>
        <v/>
      </c>
      <c r="P3807" s="396">
        <f>IFERROR(_xlfn.MINIFS($M:$M,$E:$E,$E3807,$K:$K,$K3807,$M:$M,"&gt;"&amp;$O3807),"")</f>
        <v/>
      </c>
      <c r="Q3807" s="396">
        <f>IF($P3807="","",$P3807-$O3807)</f>
        <v/>
      </c>
    </row>
    <row r="3808" ht="15" customHeight="1" s="231">
      <c r="K3808" s="395">
        <f>DATE(VALUE(LEFT(A3808,4)),VALUE(MID(A3808,5,2)),VALUE(RIGHT(A3808,2)))</f>
        <v/>
      </c>
      <c r="L3808" s="395">
        <f>DATEVALUE(LEFT(F3808,10))</f>
        <v/>
      </c>
      <c r="M3808" s="396">
        <f>TIMEVALUE(MID(F3808,12,8))</f>
        <v/>
      </c>
      <c r="N3808" s="395">
        <f>DATEVALUE(LEFT(G3808,10))</f>
        <v/>
      </c>
      <c r="O3808" s="396">
        <f>TIMEVALUE(MID(G3808,12,8))</f>
        <v/>
      </c>
      <c r="P3808" s="396">
        <f>IFERROR(_xlfn.MINIFS($M:$M,$E:$E,$E3808,$K:$K,$K3808,$M:$M,"&gt;"&amp;$O3808),"")</f>
        <v/>
      </c>
      <c r="Q3808" s="396">
        <f>IF($P3808="","",$P3808-$O3808)</f>
        <v/>
      </c>
    </row>
    <row r="3809" ht="15" customHeight="1" s="231">
      <c r="K3809" s="395">
        <f>DATE(VALUE(LEFT(A3809,4)),VALUE(MID(A3809,5,2)),VALUE(RIGHT(A3809,2)))</f>
        <v/>
      </c>
      <c r="L3809" s="395">
        <f>DATEVALUE(LEFT(F3809,10))</f>
        <v/>
      </c>
      <c r="M3809" s="396">
        <f>TIMEVALUE(MID(F3809,12,8))</f>
        <v/>
      </c>
      <c r="N3809" s="395">
        <f>DATEVALUE(LEFT(G3809,10))</f>
        <v/>
      </c>
      <c r="O3809" s="396">
        <f>TIMEVALUE(MID(G3809,12,8))</f>
        <v/>
      </c>
      <c r="P3809" s="396">
        <f>IFERROR(_xlfn.MINIFS($M:$M,$E:$E,$E3809,$K:$K,$K3809,$M:$M,"&gt;"&amp;$O3809),"")</f>
        <v/>
      </c>
      <c r="Q3809" s="396">
        <f>IF($P3809="","",$P3809-$O3809)</f>
        <v/>
      </c>
    </row>
    <row r="3810" ht="15" customHeight="1" s="231">
      <c r="K3810" s="395">
        <f>DATE(VALUE(LEFT(A3810,4)),VALUE(MID(A3810,5,2)),VALUE(RIGHT(A3810,2)))</f>
        <v/>
      </c>
      <c r="L3810" s="395">
        <f>DATEVALUE(LEFT(F3810,10))</f>
        <v/>
      </c>
      <c r="M3810" s="396">
        <f>TIMEVALUE(MID(F3810,12,8))</f>
        <v/>
      </c>
      <c r="N3810" s="395">
        <f>DATEVALUE(LEFT(G3810,10))</f>
        <v/>
      </c>
      <c r="O3810" s="396">
        <f>TIMEVALUE(MID(G3810,12,8))</f>
        <v/>
      </c>
      <c r="P3810" s="396">
        <f>IFERROR(_xlfn.MINIFS($M:$M,$E:$E,$E3810,$K:$K,$K3810,$M:$M,"&gt;"&amp;$O3810),"")</f>
        <v/>
      </c>
      <c r="Q3810" s="396">
        <f>IF($P3810="","",$P3810-$O3810)</f>
        <v/>
      </c>
    </row>
    <row r="3811" ht="15" customHeight="1" s="231">
      <c r="K3811" s="395">
        <f>DATE(VALUE(LEFT(A3811,4)),VALUE(MID(A3811,5,2)),VALUE(RIGHT(A3811,2)))</f>
        <v/>
      </c>
      <c r="L3811" s="395">
        <f>DATEVALUE(LEFT(F3811,10))</f>
        <v/>
      </c>
      <c r="M3811" s="396">
        <f>TIMEVALUE(MID(F3811,12,8))</f>
        <v/>
      </c>
      <c r="N3811" s="395">
        <f>DATEVALUE(LEFT(G3811,10))</f>
        <v/>
      </c>
      <c r="O3811" s="396">
        <f>TIMEVALUE(MID(G3811,12,8))</f>
        <v/>
      </c>
      <c r="P3811" s="396">
        <f>IFERROR(_xlfn.MINIFS($M:$M,$E:$E,$E3811,$K:$K,$K3811,$M:$M,"&gt;"&amp;$O3811),"")</f>
        <v/>
      </c>
      <c r="Q3811" s="396">
        <f>IF($P3811="","",$P3811-$O3811)</f>
        <v/>
      </c>
    </row>
    <row r="3812" ht="15" customHeight="1" s="231">
      <c r="K3812" s="395">
        <f>DATE(VALUE(LEFT(A3812,4)),VALUE(MID(A3812,5,2)),VALUE(RIGHT(A3812,2)))</f>
        <v/>
      </c>
      <c r="L3812" s="395">
        <f>DATEVALUE(LEFT(F3812,10))</f>
        <v/>
      </c>
      <c r="M3812" s="396">
        <f>TIMEVALUE(MID(F3812,12,8))</f>
        <v/>
      </c>
      <c r="N3812" s="395">
        <f>DATEVALUE(LEFT(G3812,10))</f>
        <v/>
      </c>
      <c r="O3812" s="396">
        <f>TIMEVALUE(MID(G3812,12,8))</f>
        <v/>
      </c>
      <c r="P3812" s="396">
        <f>IFERROR(_xlfn.MINIFS($M:$M,$E:$E,$E3812,$K:$K,$K3812,$M:$M,"&gt;"&amp;$O3812),"")</f>
        <v/>
      </c>
      <c r="Q3812" s="396">
        <f>IF($P3812="","",$P3812-$O3812)</f>
        <v/>
      </c>
    </row>
    <row r="3813" ht="15" customHeight="1" s="231">
      <c r="K3813" s="395">
        <f>DATE(VALUE(LEFT(A3813,4)),VALUE(MID(A3813,5,2)),VALUE(RIGHT(A3813,2)))</f>
        <v/>
      </c>
      <c r="L3813" s="395">
        <f>DATEVALUE(LEFT(F3813,10))</f>
        <v/>
      </c>
      <c r="M3813" s="396">
        <f>TIMEVALUE(MID(F3813,12,8))</f>
        <v/>
      </c>
      <c r="N3813" s="395">
        <f>DATEVALUE(LEFT(G3813,10))</f>
        <v/>
      </c>
      <c r="O3813" s="396">
        <f>TIMEVALUE(MID(G3813,12,8))</f>
        <v/>
      </c>
      <c r="P3813" s="396">
        <f>IFERROR(_xlfn.MINIFS($M:$M,$E:$E,$E3813,$K:$K,$K3813,$M:$M,"&gt;"&amp;$O3813),"")</f>
        <v/>
      </c>
      <c r="Q3813" s="396">
        <f>IF($P3813="","",$P3813-$O3813)</f>
        <v/>
      </c>
    </row>
    <row r="3814" ht="15" customHeight="1" s="231">
      <c r="K3814" s="395">
        <f>DATE(VALUE(LEFT(A3814,4)),VALUE(MID(A3814,5,2)),VALUE(RIGHT(A3814,2)))</f>
        <v/>
      </c>
      <c r="L3814" s="395">
        <f>DATEVALUE(LEFT(F3814,10))</f>
        <v/>
      </c>
      <c r="M3814" s="396">
        <f>TIMEVALUE(MID(F3814,12,8))</f>
        <v/>
      </c>
      <c r="N3814" s="395">
        <f>DATEVALUE(LEFT(G3814,10))</f>
        <v/>
      </c>
      <c r="O3814" s="396">
        <f>TIMEVALUE(MID(G3814,12,8))</f>
        <v/>
      </c>
      <c r="P3814" s="396">
        <f>IFERROR(_xlfn.MINIFS($M:$M,$E:$E,$E3814,$K:$K,$K3814,$M:$M,"&gt;"&amp;$O3814),"")</f>
        <v/>
      </c>
      <c r="Q3814" s="396">
        <f>IF($P3814="","",$P3814-$O3814)</f>
        <v/>
      </c>
    </row>
    <row r="3815" ht="15" customHeight="1" s="231">
      <c r="K3815" s="395">
        <f>DATE(VALUE(LEFT(A3815,4)),VALUE(MID(A3815,5,2)),VALUE(RIGHT(A3815,2)))</f>
        <v/>
      </c>
      <c r="L3815" s="395">
        <f>DATEVALUE(LEFT(F3815,10))</f>
        <v/>
      </c>
      <c r="M3815" s="396">
        <f>TIMEVALUE(MID(F3815,12,8))</f>
        <v/>
      </c>
      <c r="N3815" s="395">
        <f>DATEVALUE(LEFT(G3815,10))</f>
        <v/>
      </c>
      <c r="O3815" s="396">
        <f>TIMEVALUE(MID(G3815,12,8))</f>
        <v/>
      </c>
      <c r="P3815" s="396">
        <f>IFERROR(_xlfn.MINIFS($M:$M,$E:$E,$E3815,$K:$K,$K3815,$M:$M,"&gt;"&amp;$O3815),"")</f>
        <v/>
      </c>
      <c r="Q3815" s="396">
        <f>IF($P3815="","",$P3815-$O3815)</f>
        <v/>
      </c>
    </row>
    <row r="3816" ht="15" customHeight="1" s="231">
      <c r="K3816" s="395">
        <f>DATE(VALUE(LEFT(A3816,4)),VALUE(MID(A3816,5,2)),VALUE(RIGHT(A3816,2)))</f>
        <v/>
      </c>
      <c r="L3816" s="395">
        <f>DATEVALUE(LEFT(F3816,10))</f>
        <v/>
      </c>
      <c r="M3816" s="396">
        <f>TIMEVALUE(MID(F3816,12,8))</f>
        <v/>
      </c>
      <c r="N3816" s="395">
        <f>DATEVALUE(LEFT(G3816,10))</f>
        <v/>
      </c>
      <c r="O3816" s="396">
        <f>TIMEVALUE(MID(G3816,12,8))</f>
        <v/>
      </c>
      <c r="P3816" s="396">
        <f>IFERROR(_xlfn.MINIFS($M:$M,$E:$E,$E3816,$K:$K,$K3816,$M:$M,"&gt;"&amp;$O3816),"")</f>
        <v/>
      </c>
      <c r="Q3816" s="396">
        <f>IF($P3816="","",$P3816-$O3816)</f>
        <v/>
      </c>
    </row>
    <row r="3817" ht="15" customHeight="1" s="231">
      <c r="K3817" s="395">
        <f>DATE(VALUE(LEFT(A3817,4)),VALUE(MID(A3817,5,2)),VALUE(RIGHT(A3817,2)))</f>
        <v/>
      </c>
      <c r="L3817" s="395">
        <f>DATEVALUE(LEFT(F3817,10))</f>
        <v/>
      </c>
      <c r="M3817" s="396">
        <f>TIMEVALUE(MID(F3817,12,8))</f>
        <v/>
      </c>
      <c r="N3817" s="395">
        <f>DATEVALUE(LEFT(G3817,10))</f>
        <v/>
      </c>
      <c r="O3817" s="396">
        <f>TIMEVALUE(MID(G3817,12,8))</f>
        <v/>
      </c>
      <c r="P3817" s="396">
        <f>IFERROR(_xlfn.MINIFS($M:$M,$E:$E,$E3817,$K:$K,$K3817,$M:$M,"&gt;"&amp;$O3817),"")</f>
        <v/>
      </c>
      <c r="Q3817" s="396">
        <f>IF($P3817="","",$P3817-$O3817)</f>
        <v/>
      </c>
    </row>
    <row r="3818" ht="15" customHeight="1" s="231">
      <c r="K3818" s="395">
        <f>DATE(VALUE(LEFT(A3818,4)),VALUE(MID(A3818,5,2)),VALUE(RIGHT(A3818,2)))</f>
        <v/>
      </c>
      <c r="L3818" s="395">
        <f>DATEVALUE(LEFT(F3818,10))</f>
        <v/>
      </c>
      <c r="M3818" s="396">
        <f>TIMEVALUE(MID(F3818,12,8))</f>
        <v/>
      </c>
      <c r="N3818" s="395">
        <f>DATEVALUE(LEFT(G3818,10))</f>
        <v/>
      </c>
      <c r="O3818" s="396">
        <f>TIMEVALUE(MID(G3818,12,8))</f>
        <v/>
      </c>
      <c r="P3818" s="396">
        <f>IFERROR(_xlfn.MINIFS($M:$M,$E:$E,$E3818,$K:$K,$K3818,$M:$M,"&gt;"&amp;$O3818),"")</f>
        <v/>
      </c>
      <c r="Q3818" s="396">
        <f>IF($P3818="","",$P3818-$O3818)</f>
        <v/>
      </c>
    </row>
    <row r="3819" ht="15" customHeight="1" s="231">
      <c r="K3819" s="395">
        <f>DATE(VALUE(LEFT(A3819,4)),VALUE(MID(A3819,5,2)),VALUE(RIGHT(A3819,2)))</f>
        <v/>
      </c>
      <c r="L3819" s="395">
        <f>DATEVALUE(LEFT(F3819,10))</f>
        <v/>
      </c>
      <c r="M3819" s="396">
        <f>TIMEVALUE(MID(F3819,12,8))</f>
        <v/>
      </c>
      <c r="N3819" s="395">
        <f>DATEVALUE(LEFT(G3819,10))</f>
        <v/>
      </c>
      <c r="O3819" s="396">
        <f>TIMEVALUE(MID(G3819,12,8))</f>
        <v/>
      </c>
      <c r="P3819" s="396">
        <f>IFERROR(_xlfn.MINIFS($M:$M,$E:$E,$E3819,$K:$K,$K3819,$M:$M,"&gt;"&amp;$O3819),"")</f>
        <v/>
      </c>
      <c r="Q3819" s="396">
        <f>IF($P3819="","",$P3819-$O3819)</f>
        <v/>
      </c>
    </row>
    <row r="3820" ht="15" customHeight="1" s="231">
      <c r="K3820" s="395">
        <f>DATE(VALUE(LEFT(A3820,4)),VALUE(MID(A3820,5,2)),VALUE(RIGHT(A3820,2)))</f>
        <v/>
      </c>
      <c r="L3820" s="395">
        <f>DATEVALUE(LEFT(F3820,10))</f>
        <v/>
      </c>
      <c r="M3820" s="396">
        <f>TIMEVALUE(MID(F3820,12,8))</f>
        <v/>
      </c>
      <c r="N3820" s="395">
        <f>DATEVALUE(LEFT(G3820,10))</f>
        <v/>
      </c>
      <c r="O3820" s="396">
        <f>TIMEVALUE(MID(G3820,12,8))</f>
        <v/>
      </c>
      <c r="P3820" s="396">
        <f>IFERROR(_xlfn.MINIFS($M:$M,$E:$E,$E3820,$K:$K,$K3820,$M:$M,"&gt;"&amp;$O3820),"")</f>
        <v/>
      </c>
      <c r="Q3820" s="396">
        <f>IF($P3820="","",$P3820-$O3820)</f>
        <v/>
      </c>
    </row>
    <row r="3821" ht="15" customHeight="1" s="231">
      <c r="K3821" s="395">
        <f>DATE(VALUE(LEFT(A3821,4)),VALUE(MID(A3821,5,2)),VALUE(RIGHT(A3821,2)))</f>
        <v/>
      </c>
      <c r="L3821" s="395">
        <f>DATEVALUE(LEFT(F3821,10))</f>
        <v/>
      </c>
      <c r="M3821" s="396">
        <f>TIMEVALUE(MID(F3821,12,8))</f>
        <v/>
      </c>
      <c r="N3821" s="395">
        <f>DATEVALUE(LEFT(G3821,10))</f>
        <v/>
      </c>
      <c r="O3821" s="396">
        <f>TIMEVALUE(MID(G3821,12,8))</f>
        <v/>
      </c>
      <c r="P3821" s="396">
        <f>IFERROR(_xlfn.MINIFS($M:$M,$E:$E,$E3821,$K:$K,$K3821,$M:$M,"&gt;"&amp;$O3821),"")</f>
        <v/>
      </c>
      <c r="Q3821" s="396">
        <f>IF($P3821="","",$P3821-$O3821)</f>
        <v/>
      </c>
    </row>
    <row r="3822" ht="15" customHeight="1" s="231">
      <c r="K3822" s="395">
        <f>DATE(VALUE(LEFT(A3822,4)),VALUE(MID(A3822,5,2)),VALUE(RIGHT(A3822,2)))</f>
        <v/>
      </c>
      <c r="L3822" s="395">
        <f>DATEVALUE(LEFT(F3822,10))</f>
        <v/>
      </c>
      <c r="M3822" s="396">
        <f>TIMEVALUE(MID(F3822,12,8))</f>
        <v/>
      </c>
      <c r="N3822" s="395">
        <f>DATEVALUE(LEFT(G3822,10))</f>
        <v/>
      </c>
      <c r="O3822" s="396">
        <f>TIMEVALUE(MID(G3822,12,8))</f>
        <v/>
      </c>
      <c r="P3822" s="396">
        <f>IFERROR(_xlfn.MINIFS($M:$M,$E:$E,$E3822,$K:$K,$K3822,$M:$M,"&gt;"&amp;$O3822),"")</f>
        <v/>
      </c>
      <c r="Q3822" s="396">
        <f>IF($P3822="","",$P3822-$O3822)</f>
        <v/>
      </c>
    </row>
    <row r="3823" ht="15" customHeight="1" s="231">
      <c r="K3823" s="395">
        <f>DATE(VALUE(LEFT(A3823,4)),VALUE(MID(A3823,5,2)),VALUE(RIGHT(A3823,2)))</f>
        <v/>
      </c>
      <c r="L3823" s="395">
        <f>DATEVALUE(LEFT(F3823,10))</f>
        <v/>
      </c>
      <c r="M3823" s="396">
        <f>TIMEVALUE(MID(F3823,12,8))</f>
        <v/>
      </c>
      <c r="N3823" s="395">
        <f>DATEVALUE(LEFT(G3823,10))</f>
        <v/>
      </c>
      <c r="O3823" s="396">
        <f>TIMEVALUE(MID(G3823,12,8))</f>
        <v/>
      </c>
      <c r="P3823" s="396">
        <f>IFERROR(_xlfn.MINIFS($M:$M,$E:$E,$E3823,$K:$K,$K3823,$M:$M,"&gt;"&amp;$O3823),"")</f>
        <v/>
      </c>
      <c r="Q3823" s="396">
        <f>IF($P3823="","",$P3823-$O3823)</f>
        <v/>
      </c>
    </row>
    <row r="3824" ht="15" customHeight="1" s="231">
      <c r="K3824" s="395">
        <f>DATE(VALUE(LEFT(A3824,4)),VALUE(MID(A3824,5,2)),VALUE(RIGHT(A3824,2)))</f>
        <v/>
      </c>
      <c r="L3824" s="395">
        <f>DATEVALUE(LEFT(F3824,10))</f>
        <v/>
      </c>
      <c r="M3824" s="396">
        <f>TIMEVALUE(MID(F3824,12,8))</f>
        <v/>
      </c>
      <c r="N3824" s="395">
        <f>DATEVALUE(LEFT(G3824,10))</f>
        <v/>
      </c>
      <c r="O3824" s="396">
        <f>TIMEVALUE(MID(G3824,12,8))</f>
        <v/>
      </c>
      <c r="P3824" s="396">
        <f>IFERROR(_xlfn.MINIFS($M:$M,$E:$E,$E3824,$K:$K,$K3824,$M:$M,"&gt;"&amp;$O3824),"")</f>
        <v/>
      </c>
      <c r="Q3824" s="396">
        <f>IF($P3824="","",$P3824-$O3824)</f>
        <v/>
      </c>
    </row>
    <row r="3825" ht="15" customHeight="1" s="231">
      <c r="K3825" s="395">
        <f>DATE(VALUE(LEFT(A3825,4)),VALUE(MID(A3825,5,2)),VALUE(RIGHT(A3825,2)))</f>
        <v/>
      </c>
      <c r="L3825" s="395">
        <f>DATEVALUE(LEFT(F3825,10))</f>
        <v/>
      </c>
      <c r="M3825" s="396">
        <f>TIMEVALUE(MID(F3825,12,8))</f>
        <v/>
      </c>
      <c r="N3825" s="395">
        <f>DATEVALUE(LEFT(G3825,10))</f>
        <v/>
      </c>
      <c r="O3825" s="396">
        <f>TIMEVALUE(MID(G3825,12,8))</f>
        <v/>
      </c>
      <c r="P3825" s="396">
        <f>IFERROR(_xlfn.MINIFS($M:$M,$E:$E,$E3825,$K:$K,$K3825,$M:$M,"&gt;"&amp;$O3825),"")</f>
        <v/>
      </c>
      <c r="Q3825" s="396">
        <f>IF($P3825="","",$P3825-$O3825)</f>
        <v/>
      </c>
    </row>
    <row r="3826" ht="15" customHeight="1" s="231">
      <c r="K3826" s="395">
        <f>DATE(VALUE(LEFT(A3826,4)),VALUE(MID(A3826,5,2)),VALUE(RIGHT(A3826,2)))</f>
        <v/>
      </c>
      <c r="L3826" s="395">
        <f>DATEVALUE(LEFT(F3826,10))</f>
        <v/>
      </c>
      <c r="M3826" s="396">
        <f>TIMEVALUE(MID(F3826,12,8))</f>
        <v/>
      </c>
      <c r="N3826" s="395">
        <f>DATEVALUE(LEFT(G3826,10))</f>
        <v/>
      </c>
      <c r="O3826" s="396">
        <f>TIMEVALUE(MID(G3826,12,8))</f>
        <v/>
      </c>
      <c r="P3826" s="396">
        <f>IFERROR(_xlfn.MINIFS($M:$M,$E:$E,$E3826,$K:$K,$K3826,$M:$M,"&gt;"&amp;$O3826),"")</f>
        <v/>
      </c>
      <c r="Q3826" s="396">
        <f>IF($P3826="","",$P3826-$O3826)</f>
        <v/>
      </c>
    </row>
    <row r="3827" ht="15" customHeight="1" s="231">
      <c r="K3827" s="395">
        <f>DATE(VALUE(LEFT(A3827,4)),VALUE(MID(A3827,5,2)),VALUE(RIGHT(A3827,2)))</f>
        <v/>
      </c>
      <c r="L3827" s="395">
        <f>DATEVALUE(LEFT(F3827,10))</f>
        <v/>
      </c>
      <c r="M3827" s="396">
        <f>TIMEVALUE(MID(F3827,12,8))</f>
        <v/>
      </c>
      <c r="N3827" s="395">
        <f>DATEVALUE(LEFT(G3827,10))</f>
        <v/>
      </c>
      <c r="O3827" s="396">
        <f>TIMEVALUE(MID(G3827,12,8))</f>
        <v/>
      </c>
      <c r="P3827" s="396">
        <f>IFERROR(_xlfn.MINIFS($M:$M,$E:$E,$E3827,$K:$K,$K3827,$M:$M,"&gt;"&amp;$O3827),"")</f>
        <v/>
      </c>
      <c r="Q3827" s="396">
        <f>IF($P3827="","",$P3827-$O3827)</f>
        <v/>
      </c>
    </row>
    <row r="3828" ht="15" customHeight="1" s="231">
      <c r="K3828" s="395">
        <f>DATE(VALUE(LEFT(A3828,4)),VALUE(MID(A3828,5,2)),VALUE(RIGHT(A3828,2)))</f>
        <v/>
      </c>
      <c r="L3828" s="395">
        <f>DATEVALUE(LEFT(F3828,10))</f>
        <v/>
      </c>
      <c r="M3828" s="396">
        <f>TIMEVALUE(MID(F3828,12,8))</f>
        <v/>
      </c>
      <c r="N3828" s="395">
        <f>DATEVALUE(LEFT(G3828,10))</f>
        <v/>
      </c>
      <c r="O3828" s="396">
        <f>TIMEVALUE(MID(G3828,12,8))</f>
        <v/>
      </c>
      <c r="P3828" s="396">
        <f>IFERROR(_xlfn.MINIFS($M:$M,$E:$E,$E3828,$K:$K,$K3828,$M:$M,"&gt;"&amp;$O3828),"")</f>
        <v/>
      </c>
      <c r="Q3828" s="396">
        <f>IF($P3828="","",$P3828-$O3828)</f>
        <v/>
      </c>
    </row>
    <row r="3829" ht="15" customHeight="1" s="231">
      <c r="K3829" s="395">
        <f>DATE(VALUE(LEFT(A3829,4)),VALUE(MID(A3829,5,2)),VALUE(RIGHT(A3829,2)))</f>
        <v/>
      </c>
      <c r="L3829" s="395">
        <f>DATEVALUE(LEFT(F3829,10))</f>
        <v/>
      </c>
      <c r="M3829" s="396">
        <f>TIMEVALUE(MID(F3829,12,8))</f>
        <v/>
      </c>
      <c r="N3829" s="395">
        <f>DATEVALUE(LEFT(G3829,10))</f>
        <v/>
      </c>
      <c r="O3829" s="396">
        <f>TIMEVALUE(MID(G3829,12,8))</f>
        <v/>
      </c>
      <c r="P3829" s="396">
        <f>IFERROR(_xlfn.MINIFS($M:$M,$E:$E,$E3829,$K:$K,$K3829,$M:$M,"&gt;"&amp;$O3829),"")</f>
        <v/>
      </c>
      <c r="Q3829" s="396">
        <f>IF($P3829="","",$P3829-$O3829)</f>
        <v/>
      </c>
    </row>
    <row r="3830" ht="15" customHeight="1" s="231">
      <c r="K3830" s="395">
        <f>DATE(VALUE(LEFT(A3830,4)),VALUE(MID(A3830,5,2)),VALUE(RIGHT(A3830,2)))</f>
        <v/>
      </c>
      <c r="L3830" s="395">
        <f>DATEVALUE(LEFT(F3830,10))</f>
        <v/>
      </c>
      <c r="M3830" s="396">
        <f>TIMEVALUE(MID(F3830,12,8))</f>
        <v/>
      </c>
      <c r="N3830" s="395">
        <f>DATEVALUE(LEFT(G3830,10))</f>
        <v/>
      </c>
      <c r="O3830" s="396">
        <f>TIMEVALUE(MID(G3830,12,8))</f>
        <v/>
      </c>
      <c r="P3830" s="396">
        <f>IFERROR(_xlfn.MINIFS($M:$M,$E:$E,$E3830,$K:$K,$K3830,$M:$M,"&gt;"&amp;$O3830),"")</f>
        <v/>
      </c>
      <c r="Q3830" s="396">
        <f>IF($P3830="","",$P3830-$O3830)</f>
        <v/>
      </c>
    </row>
    <row r="3831" ht="15" customHeight="1" s="231">
      <c r="K3831" s="395">
        <f>DATE(VALUE(LEFT(A3831,4)),VALUE(MID(A3831,5,2)),VALUE(RIGHT(A3831,2)))</f>
        <v/>
      </c>
      <c r="L3831" s="395">
        <f>DATEVALUE(LEFT(F3831,10))</f>
        <v/>
      </c>
      <c r="M3831" s="396">
        <f>TIMEVALUE(MID(F3831,12,8))</f>
        <v/>
      </c>
      <c r="N3831" s="395">
        <f>DATEVALUE(LEFT(G3831,10))</f>
        <v/>
      </c>
      <c r="O3831" s="396">
        <f>TIMEVALUE(MID(G3831,12,8))</f>
        <v/>
      </c>
      <c r="P3831" s="396">
        <f>IFERROR(_xlfn.MINIFS($M:$M,$E:$E,$E3831,$K:$K,$K3831,$M:$M,"&gt;"&amp;$O3831),"")</f>
        <v/>
      </c>
      <c r="Q3831" s="396">
        <f>IF($P3831="","",$P3831-$O3831)</f>
        <v/>
      </c>
    </row>
    <row r="3832" ht="15" customHeight="1" s="231">
      <c r="K3832" s="395">
        <f>DATE(VALUE(LEFT(A3832,4)),VALUE(MID(A3832,5,2)),VALUE(RIGHT(A3832,2)))</f>
        <v/>
      </c>
      <c r="L3832" s="395">
        <f>DATEVALUE(LEFT(F3832,10))</f>
        <v/>
      </c>
      <c r="M3832" s="396">
        <f>TIMEVALUE(MID(F3832,12,8))</f>
        <v/>
      </c>
      <c r="N3832" s="395">
        <f>DATEVALUE(LEFT(G3832,10))</f>
        <v/>
      </c>
      <c r="O3832" s="396">
        <f>TIMEVALUE(MID(G3832,12,8))</f>
        <v/>
      </c>
      <c r="P3832" s="396">
        <f>IFERROR(_xlfn.MINIFS($M:$M,$E:$E,$E3832,$K:$K,$K3832,$M:$M,"&gt;"&amp;$O3832),"")</f>
        <v/>
      </c>
      <c r="Q3832" s="396">
        <f>IF($P3832="","",$P3832-$O3832)</f>
        <v/>
      </c>
    </row>
    <row r="3833" ht="15" customHeight="1" s="231">
      <c r="K3833" s="395">
        <f>DATE(VALUE(LEFT(A3833,4)),VALUE(MID(A3833,5,2)),VALUE(RIGHT(A3833,2)))</f>
        <v/>
      </c>
      <c r="L3833" s="395">
        <f>DATEVALUE(LEFT(F3833,10))</f>
        <v/>
      </c>
      <c r="M3833" s="396">
        <f>TIMEVALUE(MID(F3833,12,8))</f>
        <v/>
      </c>
      <c r="N3833" s="395">
        <f>DATEVALUE(LEFT(G3833,10))</f>
        <v/>
      </c>
      <c r="O3833" s="396">
        <f>TIMEVALUE(MID(G3833,12,8))</f>
        <v/>
      </c>
      <c r="P3833" s="396">
        <f>IFERROR(_xlfn.MINIFS($M:$M,$E:$E,$E3833,$K:$K,$K3833,$M:$M,"&gt;"&amp;$O3833),"")</f>
        <v/>
      </c>
      <c r="Q3833" s="396">
        <f>IF($P3833="","",$P3833-$O3833)</f>
        <v/>
      </c>
    </row>
    <row r="3834" ht="15" customHeight="1" s="231">
      <c r="K3834" s="395">
        <f>DATE(VALUE(LEFT(A3834,4)),VALUE(MID(A3834,5,2)),VALUE(RIGHT(A3834,2)))</f>
        <v/>
      </c>
      <c r="L3834" s="395">
        <f>DATEVALUE(LEFT(F3834,10))</f>
        <v/>
      </c>
      <c r="M3834" s="396">
        <f>TIMEVALUE(MID(F3834,12,8))</f>
        <v/>
      </c>
      <c r="N3834" s="395">
        <f>DATEVALUE(LEFT(G3834,10))</f>
        <v/>
      </c>
      <c r="O3834" s="396">
        <f>TIMEVALUE(MID(G3834,12,8))</f>
        <v/>
      </c>
      <c r="P3834" s="396">
        <f>IFERROR(_xlfn.MINIFS($M:$M,$E:$E,$E3834,$K:$K,$K3834,$M:$M,"&gt;"&amp;$O3834),"")</f>
        <v/>
      </c>
      <c r="Q3834" s="396">
        <f>IF($P3834="","",$P3834-$O3834)</f>
        <v/>
      </c>
    </row>
    <row r="3835" ht="15" customHeight="1" s="231">
      <c r="K3835" s="395">
        <f>DATE(VALUE(LEFT(A3835,4)),VALUE(MID(A3835,5,2)),VALUE(RIGHT(A3835,2)))</f>
        <v/>
      </c>
      <c r="L3835" s="395">
        <f>DATEVALUE(LEFT(F3835,10))</f>
        <v/>
      </c>
      <c r="M3835" s="396">
        <f>TIMEVALUE(MID(F3835,12,8))</f>
        <v/>
      </c>
      <c r="N3835" s="395">
        <f>DATEVALUE(LEFT(G3835,10))</f>
        <v/>
      </c>
      <c r="O3835" s="396">
        <f>TIMEVALUE(MID(G3835,12,8))</f>
        <v/>
      </c>
      <c r="P3835" s="396">
        <f>IFERROR(_xlfn.MINIFS($M:$M,$E:$E,$E3835,$K:$K,$K3835,$M:$M,"&gt;"&amp;$O3835),"")</f>
        <v/>
      </c>
      <c r="Q3835" s="396">
        <f>IF($P3835="","",$P3835-$O3835)</f>
        <v/>
      </c>
    </row>
    <row r="3836" ht="15" customHeight="1" s="231">
      <c r="K3836" s="395">
        <f>DATE(VALUE(LEFT(A3836,4)),VALUE(MID(A3836,5,2)),VALUE(RIGHT(A3836,2)))</f>
        <v/>
      </c>
      <c r="L3836" s="395">
        <f>DATEVALUE(LEFT(F3836,10))</f>
        <v/>
      </c>
      <c r="M3836" s="396">
        <f>TIMEVALUE(MID(F3836,12,8))</f>
        <v/>
      </c>
      <c r="N3836" s="395">
        <f>DATEVALUE(LEFT(G3836,10))</f>
        <v/>
      </c>
      <c r="O3836" s="396">
        <f>TIMEVALUE(MID(G3836,12,8))</f>
        <v/>
      </c>
      <c r="P3836" s="396">
        <f>IFERROR(_xlfn.MINIFS($M:$M,$E:$E,$E3836,$K:$K,$K3836,$M:$M,"&gt;"&amp;$O3836),"")</f>
        <v/>
      </c>
      <c r="Q3836" s="396">
        <f>IF($P3836="","",$P3836-$O3836)</f>
        <v/>
      </c>
    </row>
    <row r="3837" ht="15" customHeight="1" s="231">
      <c r="K3837" s="395">
        <f>DATE(VALUE(LEFT(A3837,4)),VALUE(MID(A3837,5,2)),VALUE(RIGHT(A3837,2)))</f>
        <v/>
      </c>
      <c r="L3837" s="395">
        <f>DATEVALUE(LEFT(F3837,10))</f>
        <v/>
      </c>
      <c r="M3837" s="396">
        <f>TIMEVALUE(MID(F3837,12,8))</f>
        <v/>
      </c>
      <c r="N3837" s="395">
        <f>DATEVALUE(LEFT(G3837,10))</f>
        <v/>
      </c>
      <c r="O3837" s="396">
        <f>TIMEVALUE(MID(G3837,12,8))</f>
        <v/>
      </c>
      <c r="P3837" s="396">
        <f>IFERROR(_xlfn.MINIFS($M:$M,$E:$E,$E3837,$K:$K,$K3837,$M:$M,"&gt;"&amp;$O3837),"")</f>
        <v/>
      </c>
      <c r="Q3837" s="396">
        <f>IF($P3837="","",$P3837-$O3837)</f>
        <v/>
      </c>
    </row>
    <row r="3838" ht="15" customHeight="1" s="231">
      <c r="K3838" s="395">
        <f>DATE(VALUE(LEFT(A3838,4)),VALUE(MID(A3838,5,2)),VALUE(RIGHT(A3838,2)))</f>
        <v/>
      </c>
      <c r="L3838" s="395">
        <f>DATEVALUE(LEFT(F3838,10))</f>
        <v/>
      </c>
      <c r="M3838" s="396">
        <f>TIMEVALUE(MID(F3838,12,8))</f>
        <v/>
      </c>
      <c r="N3838" s="395">
        <f>DATEVALUE(LEFT(G3838,10))</f>
        <v/>
      </c>
      <c r="O3838" s="396">
        <f>TIMEVALUE(MID(G3838,12,8))</f>
        <v/>
      </c>
      <c r="P3838" s="396">
        <f>IFERROR(_xlfn.MINIFS($M:$M,$E:$E,$E3838,$K:$K,$K3838,$M:$M,"&gt;"&amp;$O3838),"")</f>
        <v/>
      </c>
      <c r="Q3838" s="396">
        <f>IF($P3838="","",$P3838-$O3838)</f>
        <v/>
      </c>
    </row>
    <row r="3839" ht="15" customHeight="1" s="231">
      <c r="K3839" s="395">
        <f>DATE(VALUE(LEFT(A3839,4)),VALUE(MID(A3839,5,2)),VALUE(RIGHT(A3839,2)))</f>
        <v/>
      </c>
      <c r="L3839" s="395">
        <f>DATEVALUE(LEFT(F3839,10))</f>
        <v/>
      </c>
      <c r="M3839" s="396">
        <f>TIMEVALUE(MID(F3839,12,8))</f>
        <v/>
      </c>
      <c r="N3839" s="395">
        <f>DATEVALUE(LEFT(G3839,10))</f>
        <v/>
      </c>
      <c r="O3839" s="396">
        <f>TIMEVALUE(MID(G3839,12,8))</f>
        <v/>
      </c>
      <c r="P3839" s="396">
        <f>IFERROR(_xlfn.MINIFS($M:$M,$E:$E,$E3839,$K:$K,$K3839,$M:$M,"&gt;"&amp;$O3839),"")</f>
        <v/>
      </c>
      <c r="Q3839" s="396">
        <f>IF($P3839="","",$P3839-$O3839)</f>
        <v/>
      </c>
    </row>
    <row r="3840" ht="15" customHeight="1" s="231">
      <c r="K3840" s="395">
        <f>DATE(VALUE(LEFT(A3840,4)),VALUE(MID(A3840,5,2)),VALUE(RIGHT(A3840,2)))</f>
        <v/>
      </c>
      <c r="L3840" s="395">
        <f>DATEVALUE(LEFT(F3840,10))</f>
        <v/>
      </c>
      <c r="M3840" s="396">
        <f>TIMEVALUE(MID(F3840,12,8))</f>
        <v/>
      </c>
      <c r="N3840" s="395">
        <f>DATEVALUE(LEFT(G3840,10))</f>
        <v/>
      </c>
      <c r="O3840" s="396">
        <f>TIMEVALUE(MID(G3840,12,8))</f>
        <v/>
      </c>
      <c r="P3840" s="396">
        <f>IFERROR(_xlfn.MINIFS($M:$M,$E:$E,$E3840,$K:$K,$K3840,$M:$M,"&gt;"&amp;$O3840),"")</f>
        <v/>
      </c>
      <c r="Q3840" s="396">
        <f>IF($P3840="","",$P3840-$O3840)</f>
        <v/>
      </c>
    </row>
    <row r="3841" ht="15" customHeight="1" s="231">
      <c r="K3841" s="395">
        <f>DATE(VALUE(LEFT(A3841,4)),VALUE(MID(A3841,5,2)),VALUE(RIGHT(A3841,2)))</f>
        <v/>
      </c>
      <c r="L3841" s="395">
        <f>DATEVALUE(LEFT(F3841,10))</f>
        <v/>
      </c>
      <c r="M3841" s="396">
        <f>TIMEVALUE(MID(F3841,12,8))</f>
        <v/>
      </c>
      <c r="N3841" s="395">
        <f>DATEVALUE(LEFT(G3841,10))</f>
        <v/>
      </c>
      <c r="O3841" s="396">
        <f>TIMEVALUE(MID(G3841,12,8))</f>
        <v/>
      </c>
      <c r="P3841" s="396">
        <f>IFERROR(_xlfn.MINIFS($M:$M,$E:$E,$E3841,$K:$K,$K3841,$M:$M,"&gt;"&amp;$O3841),"")</f>
        <v/>
      </c>
      <c r="Q3841" s="396">
        <f>IF($P3841="","",$P3841-$O3841)</f>
        <v/>
      </c>
    </row>
    <row r="3842" ht="15" customHeight="1" s="231">
      <c r="K3842" s="395">
        <f>DATE(VALUE(LEFT(A3842,4)),VALUE(MID(A3842,5,2)),VALUE(RIGHT(A3842,2)))</f>
        <v/>
      </c>
      <c r="L3842" s="395">
        <f>DATEVALUE(LEFT(F3842,10))</f>
        <v/>
      </c>
      <c r="M3842" s="396">
        <f>TIMEVALUE(MID(F3842,12,8))</f>
        <v/>
      </c>
      <c r="N3842" s="395">
        <f>DATEVALUE(LEFT(G3842,10))</f>
        <v/>
      </c>
      <c r="O3842" s="396">
        <f>TIMEVALUE(MID(G3842,12,8))</f>
        <v/>
      </c>
      <c r="P3842" s="396">
        <f>IFERROR(_xlfn.MINIFS($M:$M,$E:$E,$E3842,$K:$K,$K3842,$M:$M,"&gt;"&amp;$O3842),"")</f>
        <v/>
      </c>
      <c r="Q3842" s="396">
        <f>IF($P3842="","",$P3842-$O3842)</f>
        <v/>
      </c>
    </row>
    <row r="3843" ht="15" customHeight="1" s="231">
      <c r="K3843" s="395">
        <f>DATE(VALUE(LEFT(A3843,4)),VALUE(MID(A3843,5,2)),VALUE(RIGHT(A3843,2)))</f>
        <v/>
      </c>
      <c r="L3843" s="395">
        <f>DATEVALUE(LEFT(F3843,10))</f>
        <v/>
      </c>
      <c r="M3843" s="396">
        <f>TIMEVALUE(MID(F3843,12,8))</f>
        <v/>
      </c>
      <c r="N3843" s="395">
        <f>DATEVALUE(LEFT(G3843,10))</f>
        <v/>
      </c>
      <c r="O3843" s="396">
        <f>TIMEVALUE(MID(G3843,12,8))</f>
        <v/>
      </c>
      <c r="P3843" s="396">
        <f>IFERROR(_xlfn.MINIFS($M:$M,$E:$E,$E3843,$K:$K,$K3843,$M:$M,"&gt;"&amp;$O3843),"")</f>
        <v/>
      </c>
      <c r="Q3843" s="396">
        <f>IF($P3843="","",$P3843-$O3843)</f>
        <v/>
      </c>
    </row>
    <row r="3844" ht="15" customHeight="1" s="231">
      <c r="K3844" s="395">
        <f>DATE(VALUE(LEFT(A3844,4)),VALUE(MID(A3844,5,2)),VALUE(RIGHT(A3844,2)))</f>
        <v/>
      </c>
      <c r="L3844" s="395">
        <f>DATEVALUE(LEFT(F3844,10))</f>
        <v/>
      </c>
      <c r="M3844" s="396">
        <f>TIMEVALUE(MID(F3844,12,8))</f>
        <v/>
      </c>
      <c r="N3844" s="395">
        <f>DATEVALUE(LEFT(G3844,10))</f>
        <v/>
      </c>
      <c r="O3844" s="396">
        <f>TIMEVALUE(MID(G3844,12,8))</f>
        <v/>
      </c>
      <c r="P3844" s="396">
        <f>IFERROR(_xlfn.MINIFS($M:$M,$E:$E,$E3844,$K:$K,$K3844,$M:$M,"&gt;"&amp;$O3844),"")</f>
        <v/>
      </c>
      <c r="Q3844" s="396">
        <f>IF($P3844="","",$P3844-$O3844)</f>
        <v/>
      </c>
    </row>
    <row r="3845" ht="15" customHeight="1" s="231">
      <c r="K3845" s="395">
        <f>DATE(VALUE(LEFT(A3845,4)),VALUE(MID(A3845,5,2)),VALUE(RIGHT(A3845,2)))</f>
        <v/>
      </c>
      <c r="L3845" s="395">
        <f>DATEVALUE(LEFT(F3845,10))</f>
        <v/>
      </c>
      <c r="M3845" s="396">
        <f>TIMEVALUE(MID(F3845,12,8))</f>
        <v/>
      </c>
      <c r="N3845" s="395">
        <f>DATEVALUE(LEFT(G3845,10))</f>
        <v/>
      </c>
      <c r="O3845" s="396">
        <f>TIMEVALUE(MID(G3845,12,8))</f>
        <v/>
      </c>
      <c r="P3845" s="396">
        <f>IFERROR(_xlfn.MINIFS($M:$M,$E:$E,$E3845,$K:$K,$K3845,$M:$M,"&gt;"&amp;$O3845),"")</f>
        <v/>
      </c>
      <c r="Q3845" s="396">
        <f>IF($P3845="","",$P3845-$O3845)</f>
        <v/>
      </c>
    </row>
    <row r="3846" ht="15" customHeight="1" s="231">
      <c r="K3846" s="395">
        <f>DATE(VALUE(LEFT(A3846,4)),VALUE(MID(A3846,5,2)),VALUE(RIGHT(A3846,2)))</f>
        <v/>
      </c>
      <c r="L3846" s="395">
        <f>DATEVALUE(LEFT(F3846,10))</f>
        <v/>
      </c>
      <c r="M3846" s="396">
        <f>TIMEVALUE(MID(F3846,12,8))</f>
        <v/>
      </c>
      <c r="N3846" s="395">
        <f>DATEVALUE(LEFT(G3846,10))</f>
        <v/>
      </c>
      <c r="O3846" s="396">
        <f>TIMEVALUE(MID(G3846,12,8))</f>
        <v/>
      </c>
      <c r="P3846" s="396">
        <f>IFERROR(_xlfn.MINIFS($M:$M,$E:$E,$E3846,$K:$K,$K3846,$M:$M,"&gt;"&amp;$O3846),"")</f>
        <v/>
      </c>
      <c r="Q3846" s="396">
        <f>IF($P3846="","",$P3846-$O3846)</f>
        <v/>
      </c>
    </row>
    <row r="3847" ht="15" customHeight="1" s="231">
      <c r="K3847" s="395">
        <f>DATE(VALUE(LEFT(A3847,4)),VALUE(MID(A3847,5,2)),VALUE(RIGHT(A3847,2)))</f>
        <v/>
      </c>
      <c r="L3847" s="395">
        <f>DATEVALUE(LEFT(F3847,10))</f>
        <v/>
      </c>
      <c r="M3847" s="396">
        <f>TIMEVALUE(MID(F3847,12,8))</f>
        <v/>
      </c>
      <c r="N3847" s="395">
        <f>DATEVALUE(LEFT(G3847,10))</f>
        <v/>
      </c>
      <c r="O3847" s="396">
        <f>TIMEVALUE(MID(G3847,12,8))</f>
        <v/>
      </c>
      <c r="P3847" s="396">
        <f>IFERROR(_xlfn.MINIFS($M:$M,$E:$E,$E3847,$K:$K,$K3847,$M:$M,"&gt;"&amp;$O3847),"")</f>
        <v/>
      </c>
      <c r="Q3847" s="396">
        <f>IF($P3847="","",$P3847-$O3847)</f>
        <v/>
      </c>
    </row>
    <row r="3848" ht="15" customHeight="1" s="231">
      <c r="K3848" s="395">
        <f>DATE(VALUE(LEFT(A3848,4)),VALUE(MID(A3848,5,2)),VALUE(RIGHT(A3848,2)))</f>
        <v/>
      </c>
      <c r="L3848" s="395">
        <f>DATEVALUE(LEFT(F3848,10))</f>
        <v/>
      </c>
      <c r="M3848" s="396">
        <f>TIMEVALUE(MID(F3848,12,8))</f>
        <v/>
      </c>
      <c r="N3848" s="395">
        <f>DATEVALUE(LEFT(G3848,10))</f>
        <v/>
      </c>
      <c r="O3848" s="396">
        <f>TIMEVALUE(MID(G3848,12,8))</f>
        <v/>
      </c>
      <c r="P3848" s="396">
        <f>IFERROR(_xlfn.MINIFS($M:$M,$E:$E,$E3848,$K:$K,$K3848,$M:$M,"&gt;"&amp;$O3848),"")</f>
        <v/>
      </c>
      <c r="Q3848" s="396">
        <f>IF($P3848="","",$P3848-$O3848)</f>
        <v/>
      </c>
    </row>
    <row r="3849" ht="15" customHeight="1" s="231">
      <c r="K3849" s="395">
        <f>DATE(VALUE(LEFT(A3849,4)),VALUE(MID(A3849,5,2)),VALUE(RIGHT(A3849,2)))</f>
        <v/>
      </c>
      <c r="L3849" s="395">
        <f>DATEVALUE(LEFT(F3849,10))</f>
        <v/>
      </c>
      <c r="M3849" s="396">
        <f>TIMEVALUE(MID(F3849,12,8))</f>
        <v/>
      </c>
      <c r="N3849" s="395">
        <f>DATEVALUE(LEFT(G3849,10))</f>
        <v/>
      </c>
      <c r="O3849" s="396">
        <f>TIMEVALUE(MID(G3849,12,8))</f>
        <v/>
      </c>
      <c r="P3849" s="396">
        <f>IFERROR(_xlfn.MINIFS($M:$M,$E:$E,$E3849,$K:$K,$K3849,$M:$M,"&gt;"&amp;$O3849),"")</f>
        <v/>
      </c>
      <c r="Q3849" s="396">
        <f>IF($P3849="","",$P3849-$O3849)</f>
        <v/>
      </c>
    </row>
    <row r="3850" ht="15" customHeight="1" s="231">
      <c r="K3850" s="395">
        <f>DATE(VALUE(LEFT(A3850,4)),VALUE(MID(A3850,5,2)),VALUE(RIGHT(A3850,2)))</f>
        <v/>
      </c>
      <c r="L3850" s="395">
        <f>DATEVALUE(LEFT(F3850,10))</f>
        <v/>
      </c>
      <c r="M3850" s="396">
        <f>TIMEVALUE(MID(F3850,12,8))</f>
        <v/>
      </c>
      <c r="N3850" s="395">
        <f>DATEVALUE(LEFT(G3850,10))</f>
        <v/>
      </c>
      <c r="O3850" s="396">
        <f>TIMEVALUE(MID(G3850,12,8))</f>
        <v/>
      </c>
      <c r="P3850" s="396">
        <f>IFERROR(_xlfn.MINIFS($M:$M,$E:$E,$E3850,$K:$K,$K3850,$M:$M,"&gt;"&amp;$O3850),"")</f>
        <v/>
      </c>
      <c r="Q3850" s="396">
        <f>IF($P3850="","",$P3850-$O3850)</f>
        <v/>
      </c>
    </row>
    <row r="3851" ht="15" customHeight="1" s="231">
      <c r="K3851" s="395">
        <f>DATE(VALUE(LEFT(A3851,4)),VALUE(MID(A3851,5,2)),VALUE(RIGHT(A3851,2)))</f>
        <v/>
      </c>
      <c r="L3851" s="395">
        <f>DATEVALUE(LEFT(F3851,10))</f>
        <v/>
      </c>
      <c r="M3851" s="396">
        <f>TIMEVALUE(MID(F3851,12,8))</f>
        <v/>
      </c>
      <c r="N3851" s="395">
        <f>DATEVALUE(LEFT(G3851,10))</f>
        <v/>
      </c>
      <c r="O3851" s="396">
        <f>TIMEVALUE(MID(G3851,12,8))</f>
        <v/>
      </c>
      <c r="P3851" s="396">
        <f>IFERROR(_xlfn.MINIFS($M:$M,$E:$E,$E3851,$K:$K,$K3851,$M:$M,"&gt;"&amp;$O3851),"")</f>
        <v/>
      </c>
      <c r="Q3851" s="396">
        <f>IF($P3851="","",$P3851-$O3851)</f>
        <v/>
      </c>
    </row>
    <row r="3852" ht="15" customHeight="1" s="231">
      <c r="K3852" s="395">
        <f>DATE(VALUE(LEFT(A3852,4)),VALUE(MID(A3852,5,2)),VALUE(RIGHT(A3852,2)))</f>
        <v/>
      </c>
      <c r="L3852" s="395">
        <f>DATEVALUE(LEFT(F3852,10))</f>
        <v/>
      </c>
      <c r="M3852" s="396">
        <f>TIMEVALUE(MID(F3852,12,8))</f>
        <v/>
      </c>
      <c r="N3852" s="395">
        <f>DATEVALUE(LEFT(G3852,10))</f>
        <v/>
      </c>
      <c r="O3852" s="396">
        <f>TIMEVALUE(MID(G3852,12,8))</f>
        <v/>
      </c>
      <c r="P3852" s="396">
        <f>IFERROR(_xlfn.MINIFS($M:$M,$E:$E,$E3852,$K:$K,$K3852,$M:$M,"&gt;"&amp;$O3852),"")</f>
        <v/>
      </c>
      <c r="Q3852" s="396">
        <f>IF($P3852="","",$P3852-$O3852)</f>
        <v/>
      </c>
    </row>
    <row r="3853" ht="15" customHeight="1" s="231">
      <c r="K3853" s="395">
        <f>DATE(VALUE(LEFT(A3853,4)),VALUE(MID(A3853,5,2)),VALUE(RIGHT(A3853,2)))</f>
        <v/>
      </c>
      <c r="L3853" s="395">
        <f>DATEVALUE(LEFT(F3853,10))</f>
        <v/>
      </c>
      <c r="M3853" s="396">
        <f>TIMEVALUE(MID(F3853,12,8))</f>
        <v/>
      </c>
      <c r="N3853" s="395">
        <f>DATEVALUE(LEFT(G3853,10))</f>
        <v/>
      </c>
      <c r="O3853" s="396">
        <f>TIMEVALUE(MID(G3853,12,8))</f>
        <v/>
      </c>
      <c r="P3853" s="396">
        <f>IFERROR(_xlfn.MINIFS($M:$M,$E:$E,$E3853,$K:$K,$K3853,$M:$M,"&gt;"&amp;$O3853),"")</f>
        <v/>
      </c>
      <c r="Q3853" s="396">
        <f>IF($P3853="","",$P3853-$O3853)</f>
        <v/>
      </c>
    </row>
    <row r="3854" ht="15" customHeight="1" s="231">
      <c r="K3854" s="395">
        <f>DATE(VALUE(LEFT(A3854,4)),VALUE(MID(A3854,5,2)),VALUE(RIGHT(A3854,2)))</f>
        <v/>
      </c>
      <c r="L3854" s="395">
        <f>DATEVALUE(LEFT(F3854,10))</f>
        <v/>
      </c>
      <c r="M3854" s="396">
        <f>TIMEVALUE(MID(F3854,12,8))</f>
        <v/>
      </c>
      <c r="N3854" s="395">
        <f>DATEVALUE(LEFT(G3854,10))</f>
        <v/>
      </c>
      <c r="O3854" s="396">
        <f>TIMEVALUE(MID(G3854,12,8))</f>
        <v/>
      </c>
      <c r="P3854" s="396">
        <f>IFERROR(_xlfn.MINIFS($M:$M,$E:$E,$E3854,$K:$K,$K3854,$M:$M,"&gt;"&amp;$O3854),"")</f>
        <v/>
      </c>
      <c r="Q3854" s="396">
        <f>IF($P3854="","",$P3854-$O3854)</f>
        <v/>
      </c>
    </row>
    <row r="3855" ht="15" customHeight="1" s="231">
      <c r="K3855" s="395">
        <f>DATE(VALUE(LEFT(A3855,4)),VALUE(MID(A3855,5,2)),VALUE(RIGHT(A3855,2)))</f>
        <v/>
      </c>
      <c r="L3855" s="395">
        <f>DATEVALUE(LEFT(F3855,10))</f>
        <v/>
      </c>
      <c r="M3855" s="396">
        <f>TIMEVALUE(MID(F3855,12,8))</f>
        <v/>
      </c>
      <c r="N3855" s="395">
        <f>DATEVALUE(LEFT(G3855,10))</f>
        <v/>
      </c>
      <c r="O3855" s="396">
        <f>TIMEVALUE(MID(G3855,12,8))</f>
        <v/>
      </c>
      <c r="P3855" s="396">
        <f>IFERROR(_xlfn.MINIFS($M:$M,$E:$E,$E3855,$K:$K,$K3855,$M:$M,"&gt;"&amp;$O3855),"")</f>
        <v/>
      </c>
      <c r="Q3855" s="396">
        <f>IF($P3855="","",$P3855-$O3855)</f>
        <v/>
      </c>
    </row>
    <row r="3856" ht="15" customHeight="1" s="231">
      <c r="K3856" s="395">
        <f>DATE(VALUE(LEFT(A3856,4)),VALUE(MID(A3856,5,2)),VALUE(RIGHT(A3856,2)))</f>
        <v/>
      </c>
      <c r="L3856" s="395">
        <f>DATEVALUE(LEFT(F3856,10))</f>
        <v/>
      </c>
      <c r="M3856" s="396">
        <f>TIMEVALUE(MID(F3856,12,8))</f>
        <v/>
      </c>
      <c r="N3856" s="395">
        <f>DATEVALUE(LEFT(G3856,10))</f>
        <v/>
      </c>
      <c r="O3856" s="396">
        <f>TIMEVALUE(MID(G3856,12,8))</f>
        <v/>
      </c>
      <c r="P3856" s="396">
        <f>IFERROR(_xlfn.MINIFS($M:$M,$E:$E,$E3856,$K:$K,$K3856,$M:$M,"&gt;"&amp;$O3856),"")</f>
        <v/>
      </c>
      <c r="Q3856" s="396">
        <f>IF($P3856="","",$P3856-$O3856)</f>
        <v/>
      </c>
    </row>
    <row r="3857" ht="15" customHeight="1" s="231">
      <c r="K3857" s="395">
        <f>DATE(VALUE(LEFT(A3857,4)),VALUE(MID(A3857,5,2)),VALUE(RIGHT(A3857,2)))</f>
        <v/>
      </c>
      <c r="L3857" s="395">
        <f>DATEVALUE(LEFT(F3857,10))</f>
        <v/>
      </c>
      <c r="M3857" s="396">
        <f>TIMEVALUE(MID(F3857,12,8))</f>
        <v/>
      </c>
      <c r="N3857" s="395">
        <f>DATEVALUE(LEFT(G3857,10))</f>
        <v/>
      </c>
      <c r="O3857" s="396">
        <f>TIMEVALUE(MID(G3857,12,8))</f>
        <v/>
      </c>
      <c r="P3857" s="396">
        <f>IFERROR(_xlfn.MINIFS($M:$M,$E:$E,$E3857,$K:$K,$K3857,$M:$M,"&gt;"&amp;$O3857),"")</f>
        <v/>
      </c>
      <c r="Q3857" s="396">
        <f>IF($P3857="","",$P3857-$O3857)</f>
        <v/>
      </c>
    </row>
    <row r="3858" ht="15" customHeight="1" s="231">
      <c r="K3858" s="395">
        <f>DATE(VALUE(LEFT(A3858,4)),VALUE(MID(A3858,5,2)),VALUE(RIGHT(A3858,2)))</f>
        <v/>
      </c>
      <c r="L3858" s="395">
        <f>DATEVALUE(LEFT(F3858,10))</f>
        <v/>
      </c>
      <c r="M3858" s="396">
        <f>TIMEVALUE(MID(F3858,12,8))</f>
        <v/>
      </c>
      <c r="N3858" s="395">
        <f>DATEVALUE(LEFT(G3858,10))</f>
        <v/>
      </c>
      <c r="O3858" s="396">
        <f>TIMEVALUE(MID(G3858,12,8))</f>
        <v/>
      </c>
      <c r="P3858" s="396">
        <f>IFERROR(_xlfn.MINIFS($M:$M,$E:$E,$E3858,$K:$K,$K3858,$M:$M,"&gt;"&amp;$O3858),"")</f>
        <v/>
      </c>
      <c r="Q3858" s="396">
        <f>IF($P3858="","",$P3858-$O3858)</f>
        <v/>
      </c>
    </row>
    <row r="3859" ht="15" customHeight="1" s="231">
      <c r="K3859" s="395">
        <f>DATE(VALUE(LEFT(A3859,4)),VALUE(MID(A3859,5,2)),VALUE(RIGHT(A3859,2)))</f>
        <v/>
      </c>
      <c r="L3859" s="395">
        <f>DATEVALUE(LEFT(F3859,10))</f>
        <v/>
      </c>
      <c r="M3859" s="396">
        <f>TIMEVALUE(MID(F3859,12,8))</f>
        <v/>
      </c>
      <c r="N3859" s="395">
        <f>DATEVALUE(LEFT(G3859,10))</f>
        <v/>
      </c>
      <c r="O3859" s="396">
        <f>TIMEVALUE(MID(G3859,12,8))</f>
        <v/>
      </c>
      <c r="P3859" s="396">
        <f>IFERROR(_xlfn.MINIFS($M:$M,$E:$E,$E3859,$K:$K,$K3859,$M:$M,"&gt;"&amp;$O3859),"")</f>
        <v/>
      </c>
      <c r="Q3859" s="396">
        <f>IF($P3859="","",$P3859-$O3859)</f>
        <v/>
      </c>
    </row>
    <row r="3860" ht="15" customHeight="1" s="231">
      <c r="K3860" s="395">
        <f>DATE(VALUE(LEFT(A3860,4)),VALUE(MID(A3860,5,2)),VALUE(RIGHT(A3860,2)))</f>
        <v/>
      </c>
      <c r="L3860" s="395">
        <f>DATEVALUE(LEFT(F3860,10))</f>
        <v/>
      </c>
      <c r="M3860" s="396">
        <f>TIMEVALUE(MID(F3860,12,8))</f>
        <v/>
      </c>
      <c r="N3860" s="395">
        <f>DATEVALUE(LEFT(G3860,10))</f>
        <v/>
      </c>
      <c r="O3860" s="396">
        <f>TIMEVALUE(MID(G3860,12,8))</f>
        <v/>
      </c>
      <c r="P3860" s="396">
        <f>IFERROR(_xlfn.MINIFS($M:$M,$E:$E,$E3860,$K:$K,$K3860,$M:$M,"&gt;"&amp;$O3860),"")</f>
        <v/>
      </c>
      <c r="Q3860" s="396">
        <f>IF($P3860="","",$P3860-$O3860)</f>
        <v/>
      </c>
    </row>
    <row r="3861" ht="15" customHeight="1" s="231">
      <c r="K3861" s="395">
        <f>DATE(VALUE(LEFT(A3861,4)),VALUE(MID(A3861,5,2)),VALUE(RIGHT(A3861,2)))</f>
        <v/>
      </c>
      <c r="L3861" s="395">
        <f>DATEVALUE(LEFT(F3861,10))</f>
        <v/>
      </c>
      <c r="M3861" s="396">
        <f>TIMEVALUE(MID(F3861,12,8))</f>
        <v/>
      </c>
      <c r="N3861" s="395">
        <f>DATEVALUE(LEFT(G3861,10))</f>
        <v/>
      </c>
      <c r="O3861" s="396">
        <f>TIMEVALUE(MID(G3861,12,8))</f>
        <v/>
      </c>
      <c r="P3861" s="396">
        <f>IFERROR(_xlfn.MINIFS($M:$M,$E:$E,$E3861,$K:$K,$K3861,$M:$M,"&gt;"&amp;$O3861),"")</f>
        <v/>
      </c>
      <c r="Q3861" s="396">
        <f>IF($P3861="","",$P3861-$O3861)</f>
        <v/>
      </c>
    </row>
    <row r="3862" ht="15" customHeight="1" s="231">
      <c r="K3862" s="395">
        <f>DATE(VALUE(LEFT(A3862,4)),VALUE(MID(A3862,5,2)),VALUE(RIGHT(A3862,2)))</f>
        <v/>
      </c>
      <c r="L3862" s="395">
        <f>DATEVALUE(LEFT(F3862,10))</f>
        <v/>
      </c>
      <c r="M3862" s="396">
        <f>TIMEVALUE(MID(F3862,12,8))</f>
        <v/>
      </c>
      <c r="N3862" s="395">
        <f>DATEVALUE(LEFT(G3862,10))</f>
        <v/>
      </c>
      <c r="O3862" s="396">
        <f>TIMEVALUE(MID(G3862,12,8))</f>
        <v/>
      </c>
      <c r="P3862" s="396">
        <f>IFERROR(_xlfn.MINIFS($M:$M,$E:$E,$E3862,$K:$K,$K3862,$M:$M,"&gt;"&amp;$O3862),"")</f>
        <v/>
      </c>
      <c r="Q3862" s="396">
        <f>IF($P3862="","",$P3862-$O3862)</f>
        <v/>
      </c>
    </row>
    <row r="3863" ht="15" customHeight="1" s="231">
      <c r="K3863" s="395">
        <f>DATE(VALUE(LEFT(A3863,4)),VALUE(MID(A3863,5,2)),VALUE(RIGHT(A3863,2)))</f>
        <v/>
      </c>
      <c r="L3863" s="395">
        <f>DATEVALUE(LEFT(F3863,10))</f>
        <v/>
      </c>
      <c r="M3863" s="396">
        <f>TIMEVALUE(MID(F3863,12,8))</f>
        <v/>
      </c>
      <c r="N3863" s="395">
        <f>DATEVALUE(LEFT(G3863,10))</f>
        <v/>
      </c>
      <c r="O3863" s="396">
        <f>TIMEVALUE(MID(G3863,12,8))</f>
        <v/>
      </c>
      <c r="P3863" s="396">
        <f>IFERROR(_xlfn.MINIFS($M:$M,$E:$E,$E3863,$K:$K,$K3863,$M:$M,"&gt;"&amp;$O3863),"")</f>
        <v/>
      </c>
      <c r="Q3863" s="396">
        <f>IF($P3863="","",$P3863-$O3863)</f>
        <v/>
      </c>
    </row>
    <row r="3864" ht="15" customHeight="1" s="231">
      <c r="K3864" s="395">
        <f>DATE(VALUE(LEFT(A3864,4)),VALUE(MID(A3864,5,2)),VALUE(RIGHT(A3864,2)))</f>
        <v/>
      </c>
      <c r="L3864" s="395">
        <f>DATEVALUE(LEFT(F3864,10))</f>
        <v/>
      </c>
      <c r="M3864" s="396">
        <f>TIMEVALUE(MID(F3864,12,8))</f>
        <v/>
      </c>
      <c r="N3864" s="395">
        <f>DATEVALUE(LEFT(G3864,10))</f>
        <v/>
      </c>
      <c r="O3864" s="396">
        <f>TIMEVALUE(MID(G3864,12,8))</f>
        <v/>
      </c>
      <c r="P3864" s="396">
        <f>IFERROR(_xlfn.MINIFS($M:$M,$E:$E,$E3864,$K:$K,$K3864,$M:$M,"&gt;"&amp;$O3864),"")</f>
        <v/>
      </c>
      <c r="Q3864" s="396">
        <f>IF($P3864="","",$P3864-$O3864)</f>
        <v/>
      </c>
    </row>
    <row r="3865" ht="15" customHeight="1" s="231">
      <c r="K3865" s="395">
        <f>DATE(VALUE(LEFT(A3865,4)),VALUE(MID(A3865,5,2)),VALUE(RIGHT(A3865,2)))</f>
        <v/>
      </c>
      <c r="L3865" s="395">
        <f>DATEVALUE(LEFT(F3865,10))</f>
        <v/>
      </c>
      <c r="M3865" s="396">
        <f>TIMEVALUE(MID(F3865,12,8))</f>
        <v/>
      </c>
      <c r="N3865" s="395">
        <f>DATEVALUE(LEFT(G3865,10))</f>
        <v/>
      </c>
      <c r="O3865" s="396">
        <f>TIMEVALUE(MID(G3865,12,8))</f>
        <v/>
      </c>
      <c r="P3865" s="396">
        <f>IFERROR(_xlfn.MINIFS($M:$M,$E:$E,$E3865,$K:$K,$K3865,$M:$M,"&gt;"&amp;$O3865),"")</f>
        <v/>
      </c>
      <c r="Q3865" s="396">
        <f>IF($P3865="","",$P3865-$O3865)</f>
        <v/>
      </c>
    </row>
    <row r="3866" ht="15" customHeight="1" s="231">
      <c r="K3866" s="395">
        <f>DATE(VALUE(LEFT(A3866,4)),VALUE(MID(A3866,5,2)),VALUE(RIGHT(A3866,2)))</f>
        <v/>
      </c>
      <c r="L3866" s="395">
        <f>DATEVALUE(LEFT(F3866,10))</f>
        <v/>
      </c>
      <c r="M3866" s="396">
        <f>TIMEVALUE(MID(F3866,12,8))</f>
        <v/>
      </c>
      <c r="N3866" s="395">
        <f>DATEVALUE(LEFT(G3866,10))</f>
        <v/>
      </c>
      <c r="O3866" s="396">
        <f>TIMEVALUE(MID(G3866,12,8))</f>
        <v/>
      </c>
      <c r="P3866" s="396">
        <f>IFERROR(_xlfn.MINIFS($M:$M,$E:$E,$E3866,$K:$K,$K3866,$M:$M,"&gt;"&amp;$O3866),"")</f>
        <v/>
      </c>
      <c r="Q3866" s="396">
        <f>IF($P3866="","",$P3866-$O3866)</f>
        <v/>
      </c>
    </row>
    <row r="3867" ht="15" customHeight="1" s="231">
      <c r="K3867" s="395">
        <f>DATE(VALUE(LEFT(A3867,4)),VALUE(MID(A3867,5,2)),VALUE(RIGHT(A3867,2)))</f>
        <v/>
      </c>
      <c r="L3867" s="395">
        <f>DATEVALUE(LEFT(F3867,10))</f>
        <v/>
      </c>
      <c r="M3867" s="396">
        <f>TIMEVALUE(MID(F3867,12,8))</f>
        <v/>
      </c>
      <c r="N3867" s="395">
        <f>DATEVALUE(LEFT(G3867,10))</f>
        <v/>
      </c>
      <c r="O3867" s="396">
        <f>TIMEVALUE(MID(G3867,12,8))</f>
        <v/>
      </c>
      <c r="P3867" s="396">
        <f>IFERROR(_xlfn.MINIFS($M:$M,$E:$E,$E3867,$K:$K,$K3867,$M:$M,"&gt;"&amp;$O3867),"")</f>
        <v/>
      </c>
      <c r="Q3867" s="396">
        <f>IF($P3867="","",$P3867-$O3867)</f>
        <v/>
      </c>
    </row>
    <row r="3868" ht="15" customHeight="1" s="231">
      <c r="K3868" s="395">
        <f>DATE(VALUE(LEFT(A3868,4)),VALUE(MID(A3868,5,2)),VALUE(RIGHT(A3868,2)))</f>
        <v/>
      </c>
      <c r="L3868" s="395">
        <f>DATEVALUE(LEFT(F3868,10))</f>
        <v/>
      </c>
      <c r="M3868" s="396">
        <f>TIMEVALUE(MID(F3868,12,8))</f>
        <v/>
      </c>
      <c r="N3868" s="395">
        <f>DATEVALUE(LEFT(G3868,10))</f>
        <v/>
      </c>
      <c r="O3868" s="396">
        <f>TIMEVALUE(MID(G3868,12,8))</f>
        <v/>
      </c>
      <c r="P3868" s="396">
        <f>IFERROR(_xlfn.MINIFS($M:$M,$E:$E,$E3868,$K:$K,$K3868,$M:$M,"&gt;"&amp;$O3868),"")</f>
        <v/>
      </c>
      <c r="Q3868" s="396">
        <f>IF($P3868="","",$P3868-$O3868)</f>
        <v/>
      </c>
    </row>
    <row r="3869" ht="15" customHeight="1" s="231">
      <c r="K3869" s="395">
        <f>DATE(VALUE(LEFT(A3869,4)),VALUE(MID(A3869,5,2)),VALUE(RIGHT(A3869,2)))</f>
        <v/>
      </c>
      <c r="L3869" s="395">
        <f>DATEVALUE(LEFT(F3869,10))</f>
        <v/>
      </c>
      <c r="M3869" s="396">
        <f>TIMEVALUE(MID(F3869,12,8))</f>
        <v/>
      </c>
      <c r="N3869" s="395">
        <f>DATEVALUE(LEFT(G3869,10))</f>
        <v/>
      </c>
      <c r="O3869" s="396">
        <f>TIMEVALUE(MID(G3869,12,8))</f>
        <v/>
      </c>
      <c r="P3869" s="396">
        <f>IFERROR(_xlfn.MINIFS($M:$M,$E:$E,$E3869,$K:$K,$K3869,$M:$M,"&gt;"&amp;$O3869),"")</f>
        <v/>
      </c>
      <c r="Q3869" s="396">
        <f>IF($P3869="","",$P3869-$O3869)</f>
        <v/>
      </c>
    </row>
    <row r="3870" ht="15" customHeight="1" s="231">
      <c r="K3870" s="395">
        <f>DATE(VALUE(LEFT(A3870,4)),VALUE(MID(A3870,5,2)),VALUE(RIGHT(A3870,2)))</f>
        <v/>
      </c>
      <c r="L3870" s="395">
        <f>DATEVALUE(LEFT(F3870,10))</f>
        <v/>
      </c>
      <c r="M3870" s="396">
        <f>TIMEVALUE(MID(F3870,12,8))</f>
        <v/>
      </c>
      <c r="N3870" s="395">
        <f>DATEVALUE(LEFT(G3870,10))</f>
        <v/>
      </c>
      <c r="O3870" s="396">
        <f>TIMEVALUE(MID(G3870,12,8))</f>
        <v/>
      </c>
      <c r="P3870" s="396">
        <f>IFERROR(_xlfn.MINIFS($M:$M,$E:$E,$E3870,$K:$K,$K3870,$M:$M,"&gt;"&amp;$O3870),"")</f>
        <v/>
      </c>
      <c r="Q3870" s="396">
        <f>IF($P3870="","",$P3870-$O3870)</f>
        <v/>
      </c>
    </row>
    <row r="3871" ht="15" customHeight="1" s="231">
      <c r="K3871" s="395">
        <f>DATE(VALUE(LEFT(A3871,4)),VALUE(MID(A3871,5,2)),VALUE(RIGHT(A3871,2)))</f>
        <v/>
      </c>
      <c r="L3871" s="395">
        <f>DATEVALUE(LEFT(F3871,10))</f>
        <v/>
      </c>
      <c r="M3871" s="396">
        <f>TIMEVALUE(MID(F3871,12,8))</f>
        <v/>
      </c>
      <c r="N3871" s="395">
        <f>DATEVALUE(LEFT(G3871,10))</f>
        <v/>
      </c>
      <c r="O3871" s="396">
        <f>TIMEVALUE(MID(G3871,12,8))</f>
        <v/>
      </c>
      <c r="P3871" s="396">
        <f>IFERROR(_xlfn.MINIFS($M:$M,$E:$E,$E3871,$K:$K,$K3871,$M:$M,"&gt;"&amp;$O3871),"")</f>
        <v/>
      </c>
      <c r="Q3871" s="396">
        <f>IF($P3871="","",$P3871-$O3871)</f>
        <v/>
      </c>
    </row>
    <row r="3872" ht="15" customHeight="1" s="231">
      <c r="K3872" s="395">
        <f>DATE(VALUE(LEFT(A3872,4)),VALUE(MID(A3872,5,2)),VALUE(RIGHT(A3872,2)))</f>
        <v/>
      </c>
      <c r="L3872" s="395">
        <f>DATEVALUE(LEFT(F3872,10))</f>
        <v/>
      </c>
      <c r="M3872" s="396">
        <f>TIMEVALUE(MID(F3872,12,8))</f>
        <v/>
      </c>
      <c r="N3872" s="395">
        <f>DATEVALUE(LEFT(G3872,10))</f>
        <v/>
      </c>
      <c r="O3872" s="396">
        <f>TIMEVALUE(MID(G3872,12,8))</f>
        <v/>
      </c>
      <c r="P3872" s="396">
        <f>IFERROR(_xlfn.MINIFS($M:$M,$E:$E,$E3872,$K:$K,$K3872,$M:$M,"&gt;"&amp;$O3872),"")</f>
        <v/>
      </c>
      <c r="Q3872" s="396">
        <f>IF($P3872="","",$P3872-$O3872)</f>
        <v/>
      </c>
    </row>
    <row r="3873" ht="15" customHeight="1" s="231">
      <c r="K3873" s="395">
        <f>DATE(VALUE(LEFT(A3873,4)),VALUE(MID(A3873,5,2)),VALUE(RIGHT(A3873,2)))</f>
        <v/>
      </c>
      <c r="L3873" s="395">
        <f>DATEVALUE(LEFT(F3873,10))</f>
        <v/>
      </c>
      <c r="M3873" s="396">
        <f>TIMEVALUE(MID(F3873,12,8))</f>
        <v/>
      </c>
      <c r="N3873" s="395">
        <f>DATEVALUE(LEFT(G3873,10))</f>
        <v/>
      </c>
      <c r="O3873" s="396">
        <f>TIMEVALUE(MID(G3873,12,8))</f>
        <v/>
      </c>
      <c r="P3873" s="396">
        <f>IFERROR(_xlfn.MINIFS($M:$M,$E:$E,$E3873,$K:$K,$K3873,$M:$M,"&gt;"&amp;$O3873),"")</f>
        <v/>
      </c>
      <c r="Q3873" s="396">
        <f>IF($P3873="","",$P3873-$O3873)</f>
        <v/>
      </c>
    </row>
    <row r="3874" ht="15" customHeight="1" s="231">
      <c r="K3874" s="395">
        <f>DATE(VALUE(LEFT(A3874,4)),VALUE(MID(A3874,5,2)),VALUE(RIGHT(A3874,2)))</f>
        <v/>
      </c>
      <c r="L3874" s="395">
        <f>DATEVALUE(LEFT(F3874,10))</f>
        <v/>
      </c>
      <c r="M3874" s="396">
        <f>TIMEVALUE(MID(F3874,12,8))</f>
        <v/>
      </c>
      <c r="N3874" s="395">
        <f>DATEVALUE(LEFT(G3874,10))</f>
        <v/>
      </c>
      <c r="O3874" s="396">
        <f>TIMEVALUE(MID(G3874,12,8))</f>
        <v/>
      </c>
      <c r="P3874" s="396">
        <f>IFERROR(_xlfn.MINIFS($M:$M,$E:$E,$E3874,$K:$K,$K3874,$M:$M,"&gt;"&amp;$O3874),"")</f>
        <v/>
      </c>
      <c r="Q3874" s="396">
        <f>IF($P3874="","",$P3874-$O3874)</f>
        <v/>
      </c>
    </row>
    <row r="3875" ht="15" customHeight="1" s="231">
      <c r="K3875" s="395">
        <f>DATE(VALUE(LEFT(A3875,4)),VALUE(MID(A3875,5,2)),VALUE(RIGHT(A3875,2)))</f>
        <v/>
      </c>
      <c r="L3875" s="395">
        <f>DATEVALUE(LEFT(F3875,10))</f>
        <v/>
      </c>
      <c r="M3875" s="396">
        <f>TIMEVALUE(MID(F3875,12,8))</f>
        <v/>
      </c>
      <c r="N3875" s="395">
        <f>DATEVALUE(LEFT(G3875,10))</f>
        <v/>
      </c>
      <c r="O3875" s="396">
        <f>TIMEVALUE(MID(G3875,12,8))</f>
        <v/>
      </c>
      <c r="P3875" s="396">
        <f>IFERROR(_xlfn.MINIFS($M:$M,$E:$E,$E3875,$K:$K,$K3875,$M:$M,"&gt;"&amp;$O3875),"")</f>
        <v/>
      </c>
      <c r="Q3875" s="396">
        <f>IF($P3875="","",$P3875-$O3875)</f>
        <v/>
      </c>
    </row>
    <row r="3876" ht="15" customHeight="1" s="231">
      <c r="K3876" s="395">
        <f>DATE(VALUE(LEFT(A3876,4)),VALUE(MID(A3876,5,2)),VALUE(RIGHT(A3876,2)))</f>
        <v/>
      </c>
      <c r="L3876" s="395">
        <f>DATEVALUE(LEFT(F3876,10))</f>
        <v/>
      </c>
      <c r="M3876" s="396">
        <f>TIMEVALUE(MID(F3876,12,8))</f>
        <v/>
      </c>
      <c r="N3876" s="395">
        <f>DATEVALUE(LEFT(G3876,10))</f>
        <v/>
      </c>
      <c r="O3876" s="396">
        <f>TIMEVALUE(MID(G3876,12,8))</f>
        <v/>
      </c>
      <c r="P3876" s="396">
        <f>IFERROR(_xlfn.MINIFS($M:$M,$E:$E,$E3876,$K:$K,$K3876,$M:$M,"&gt;"&amp;$O3876),"")</f>
        <v/>
      </c>
      <c r="Q3876" s="396">
        <f>IF($P3876="","",$P3876-$O3876)</f>
        <v/>
      </c>
    </row>
    <row r="3877" ht="15" customHeight="1" s="231">
      <c r="K3877" s="395">
        <f>DATE(VALUE(LEFT(A3877,4)),VALUE(MID(A3877,5,2)),VALUE(RIGHT(A3877,2)))</f>
        <v/>
      </c>
      <c r="L3877" s="395">
        <f>DATEVALUE(LEFT(F3877,10))</f>
        <v/>
      </c>
      <c r="M3877" s="396">
        <f>TIMEVALUE(MID(F3877,12,8))</f>
        <v/>
      </c>
      <c r="N3877" s="395">
        <f>DATEVALUE(LEFT(G3877,10))</f>
        <v/>
      </c>
      <c r="O3877" s="396">
        <f>TIMEVALUE(MID(G3877,12,8))</f>
        <v/>
      </c>
      <c r="P3877" s="396">
        <f>IFERROR(_xlfn.MINIFS($M:$M,$E:$E,$E3877,$K:$K,$K3877,$M:$M,"&gt;"&amp;$O3877),"")</f>
        <v/>
      </c>
      <c r="Q3877" s="396">
        <f>IF($P3877="","",$P3877-$O3877)</f>
        <v/>
      </c>
    </row>
    <row r="3878" ht="15" customHeight="1" s="231">
      <c r="K3878" s="395">
        <f>DATE(VALUE(LEFT(A3878,4)),VALUE(MID(A3878,5,2)),VALUE(RIGHT(A3878,2)))</f>
        <v/>
      </c>
      <c r="L3878" s="395">
        <f>DATEVALUE(LEFT(F3878,10))</f>
        <v/>
      </c>
      <c r="M3878" s="396">
        <f>TIMEVALUE(MID(F3878,12,8))</f>
        <v/>
      </c>
      <c r="N3878" s="395">
        <f>DATEVALUE(LEFT(G3878,10))</f>
        <v/>
      </c>
      <c r="O3878" s="396">
        <f>TIMEVALUE(MID(G3878,12,8))</f>
        <v/>
      </c>
      <c r="P3878" s="396">
        <f>IFERROR(_xlfn.MINIFS($M:$M,$E:$E,$E3878,$K:$K,$K3878,$M:$M,"&gt;"&amp;$O3878),"")</f>
        <v/>
      </c>
      <c r="Q3878" s="396">
        <f>IF($P3878="","",$P3878-$O3878)</f>
        <v/>
      </c>
    </row>
    <row r="3879" ht="15" customHeight="1" s="231">
      <c r="K3879" s="395">
        <f>DATE(VALUE(LEFT(A3879,4)),VALUE(MID(A3879,5,2)),VALUE(RIGHT(A3879,2)))</f>
        <v/>
      </c>
      <c r="L3879" s="395">
        <f>DATEVALUE(LEFT(F3879,10))</f>
        <v/>
      </c>
      <c r="M3879" s="396">
        <f>TIMEVALUE(MID(F3879,12,8))</f>
        <v/>
      </c>
      <c r="N3879" s="395">
        <f>DATEVALUE(LEFT(G3879,10))</f>
        <v/>
      </c>
      <c r="O3879" s="396">
        <f>TIMEVALUE(MID(G3879,12,8))</f>
        <v/>
      </c>
      <c r="P3879" s="396">
        <f>IFERROR(_xlfn.MINIFS($M:$M,$E:$E,$E3879,$K:$K,$K3879,$M:$M,"&gt;"&amp;$O3879),"")</f>
        <v/>
      </c>
      <c r="Q3879" s="396">
        <f>IF($P3879="","",$P3879-$O3879)</f>
        <v/>
      </c>
    </row>
    <row r="3880" ht="15" customHeight="1" s="231">
      <c r="K3880" s="395">
        <f>DATE(VALUE(LEFT(A3880,4)),VALUE(MID(A3880,5,2)),VALUE(RIGHT(A3880,2)))</f>
        <v/>
      </c>
      <c r="L3880" s="395">
        <f>DATEVALUE(LEFT(F3880,10))</f>
        <v/>
      </c>
      <c r="M3880" s="396">
        <f>TIMEVALUE(MID(F3880,12,8))</f>
        <v/>
      </c>
      <c r="N3880" s="395">
        <f>DATEVALUE(LEFT(G3880,10))</f>
        <v/>
      </c>
      <c r="O3880" s="396">
        <f>TIMEVALUE(MID(G3880,12,8))</f>
        <v/>
      </c>
      <c r="P3880" s="396">
        <f>IFERROR(_xlfn.MINIFS($M:$M,$E:$E,$E3880,$K:$K,$K3880,$M:$M,"&gt;"&amp;$O3880),"")</f>
        <v/>
      </c>
      <c r="Q3880" s="396">
        <f>IF($P3880="","",$P3880-$O3880)</f>
        <v/>
      </c>
    </row>
    <row r="3881" ht="15" customHeight="1" s="231">
      <c r="K3881" s="395">
        <f>DATE(VALUE(LEFT(A3881,4)),VALUE(MID(A3881,5,2)),VALUE(RIGHT(A3881,2)))</f>
        <v/>
      </c>
      <c r="L3881" s="395">
        <f>DATEVALUE(LEFT(F3881,10))</f>
        <v/>
      </c>
      <c r="M3881" s="396">
        <f>TIMEVALUE(MID(F3881,12,8))</f>
        <v/>
      </c>
      <c r="N3881" s="395">
        <f>DATEVALUE(LEFT(G3881,10))</f>
        <v/>
      </c>
      <c r="O3881" s="396">
        <f>TIMEVALUE(MID(G3881,12,8))</f>
        <v/>
      </c>
      <c r="P3881" s="396">
        <f>IFERROR(_xlfn.MINIFS($M:$M,$E:$E,$E3881,$K:$K,$K3881,$M:$M,"&gt;"&amp;$O3881),"")</f>
        <v/>
      </c>
      <c r="Q3881" s="396">
        <f>IF($P3881="","",$P3881-$O3881)</f>
        <v/>
      </c>
    </row>
    <row r="3882" ht="15" customHeight="1" s="231">
      <c r="K3882" s="395">
        <f>DATE(VALUE(LEFT(A3882,4)),VALUE(MID(A3882,5,2)),VALUE(RIGHT(A3882,2)))</f>
        <v/>
      </c>
      <c r="L3882" s="395">
        <f>DATEVALUE(LEFT(F3882,10))</f>
        <v/>
      </c>
      <c r="M3882" s="396">
        <f>TIMEVALUE(MID(F3882,12,8))</f>
        <v/>
      </c>
      <c r="N3882" s="395">
        <f>DATEVALUE(LEFT(G3882,10))</f>
        <v/>
      </c>
      <c r="O3882" s="396">
        <f>TIMEVALUE(MID(G3882,12,8))</f>
        <v/>
      </c>
      <c r="P3882" s="396">
        <f>IFERROR(_xlfn.MINIFS($M:$M,$E:$E,$E3882,$K:$K,$K3882,$M:$M,"&gt;"&amp;$O3882),"")</f>
        <v/>
      </c>
      <c r="Q3882" s="396">
        <f>IF($P3882="","",$P3882-$O3882)</f>
        <v/>
      </c>
    </row>
    <row r="3883" ht="15" customHeight="1" s="231">
      <c r="K3883" s="395">
        <f>DATE(VALUE(LEFT(A3883,4)),VALUE(MID(A3883,5,2)),VALUE(RIGHT(A3883,2)))</f>
        <v/>
      </c>
      <c r="L3883" s="395">
        <f>DATEVALUE(LEFT(F3883,10))</f>
        <v/>
      </c>
      <c r="M3883" s="396">
        <f>TIMEVALUE(MID(F3883,12,8))</f>
        <v/>
      </c>
      <c r="N3883" s="395">
        <f>DATEVALUE(LEFT(G3883,10))</f>
        <v/>
      </c>
      <c r="O3883" s="396">
        <f>TIMEVALUE(MID(G3883,12,8))</f>
        <v/>
      </c>
      <c r="P3883" s="396">
        <f>IFERROR(_xlfn.MINIFS($M:$M,$E:$E,$E3883,$K:$K,$K3883,$M:$M,"&gt;"&amp;$O3883),"")</f>
        <v/>
      </c>
      <c r="Q3883" s="396">
        <f>IF($P3883="","",$P3883-$O3883)</f>
        <v/>
      </c>
    </row>
    <row r="3884" ht="15" customHeight="1" s="231">
      <c r="K3884" s="395">
        <f>DATE(VALUE(LEFT(A3884,4)),VALUE(MID(A3884,5,2)),VALUE(RIGHT(A3884,2)))</f>
        <v/>
      </c>
      <c r="L3884" s="395">
        <f>DATEVALUE(LEFT(F3884,10))</f>
        <v/>
      </c>
      <c r="M3884" s="396">
        <f>TIMEVALUE(MID(F3884,12,8))</f>
        <v/>
      </c>
      <c r="N3884" s="395">
        <f>DATEVALUE(LEFT(G3884,10))</f>
        <v/>
      </c>
      <c r="O3884" s="396">
        <f>TIMEVALUE(MID(G3884,12,8))</f>
        <v/>
      </c>
      <c r="P3884" s="396">
        <f>IFERROR(_xlfn.MINIFS($M:$M,$E:$E,$E3884,$K:$K,$K3884,$M:$M,"&gt;"&amp;$O3884),"")</f>
        <v/>
      </c>
      <c r="Q3884" s="396">
        <f>IF($P3884="","",$P3884-$O3884)</f>
        <v/>
      </c>
    </row>
    <row r="3885" ht="15" customHeight="1" s="231">
      <c r="K3885" s="395">
        <f>DATE(VALUE(LEFT(A3885,4)),VALUE(MID(A3885,5,2)),VALUE(RIGHT(A3885,2)))</f>
        <v/>
      </c>
      <c r="L3885" s="395">
        <f>DATEVALUE(LEFT(F3885,10))</f>
        <v/>
      </c>
      <c r="M3885" s="396">
        <f>TIMEVALUE(MID(F3885,12,8))</f>
        <v/>
      </c>
      <c r="N3885" s="395">
        <f>DATEVALUE(LEFT(G3885,10))</f>
        <v/>
      </c>
      <c r="O3885" s="396">
        <f>TIMEVALUE(MID(G3885,12,8))</f>
        <v/>
      </c>
      <c r="P3885" s="396">
        <f>IFERROR(_xlfn.MINIFS($M:$M,$E:$E,$E3885,$K:$K,$K3885,$M:$M,"&gt;"&amp;$O3885),"")</f>
        <v/>
      </c>
      <c r="Q3885" s="396">
        <f>IF($P3885="","",$P3885-$O3885)</f>
        <v/>
      </c>
    </row>
    <row r="3886" ht="15" customHeight="1" s="231">
      <c r="K3886" s="395">
        <f>DATE(VALUE(LEFT(A3886,4)),VALUE(MID(A3886,5,2)),VALUE(RIGHT(A3886,2)))</f>
        <v/>
      </c>
      <c r="L3886" s="395">
        <f>DATEVALUE(LEFT(F3886,10))</f>
        <v/>
      </c>
      <c r="M3886" s="396">
        <f>TIMEVALUE(MID(F3886,12,8))</f>
        <v/>
      </c>
      <c r="N3886" s="395">
        <f>DATEVALUE(LEFT(G3886,10))</f>
        <v/>
      </c>
      <c r="O3886" s="396">
        <f>TIMEVALUE(MID(G3886,12,8))</f>
        <v/>
      </c>
      <c r="P3886" s="396">
        <f>IFERROR(_xlfn.MINIFS($M:$M,$E:$E,$E3886,$K:$K,$K3886,$M:$M,"&gt;"&amp;$O3886),"")</f>
        <v/>
      </c>
      <c r="Q3886" s="396">
        <f>IF($P3886="","",$P3886-$O3886)</f>
        <v/>
      </c>
    </row>
    <row r="3887" ht="15" customHeight="1" s="231">
      <c r="K3887" s="395">
        <f>DATE(VALUE(LEFT(A3887,4)),VALUE(MID(A3887,5,2)),VALUE(RIGHT(A3887,2)))</f>
        <v/>
      </c>
      <c r="L3887" s="395">
        <f>DATEVALUE(LEFT(F3887,10))</f>
        <v/>
      </c>
      <c r="M3887" s="396">
        <f>TIMEVALUE(MID(F3887,12,8))</f>
        <v/>
      </c>
      <c r="N3887" s="395">
        <f>DATEVALUE(LEFT(G3887,10))</f>
        <v/>
      </c>
      <c r="O3887" s="396">
        <f>TIMEVALUE(MID(G3887,12,8))</f>
        <v/>
      </c>
      <c r="P3887" s="396">
        <f>IFERROR(_xlfn.MINIFS($M:$M,$E:$E,$E3887,$K:$K,$K3887,$M:$M,"&gt;"&amp;$O3887),"")</f>
        <v/>
      </c>
      <c r="Q3887" s="396">
        <f>IF($P3887="","",$P3887-$O3887)</f>
        <v/>
      </c>
    </row>
    <row r="3888" ht="15" customHeight="1" s="231">
      <c r="K3888" s="395">
        <f>DATE(VALUE(LEFT(A3888,4)),VALUE(MID(A3888,5,2)),VALUE(RIGHT(A3888,2)))</f>
        <v/>
      </c>
      <c r="L3888" s="395">
        <f>DATEVALUE(LEFT(F3888,10))</f>
        <v/>
      </c>
      <c r="M3888" s="396">
        <f>TIMEVALUE(MID(F3888,12,8))</f>
        <v/>
      </c>
      <c r="N3888" s="395">
        <f>DATEVALUE(LEFT(G3888,10))</f>
        <v/>
      </c>
      <c r="O3888" s="396">
        <f>TIMEVALUE(MID(G3888,12,8))</f>
        <v/>
      </c>
      <c r="P3888" s="396">
        <f>IFERROR(_xlfn.MINIFS($M:$M,$E:$E,$E3888,$K:$K,$K3888,$M:$M,"&gt;"&amp;$O3888),"")</f>
        <v/>
      </c>
      <c r="Q3888" s="396">
        <f>IF($P3888="","",$P3888-$O3888)</f>
        <v/>
      </c>
    </row>
    <row r="3889" ht="15" customHeight="1" s="231">
      <c r="K3889" s="395">
        <f>DATE(VALUE(LEFT(A3889,4)),VALUE(MID(A3889,5,2)),VALUE(RIGHT(A3889,2)))</f>
        <v/>
      </c>
      <c r="L3889" s="395">
        <f>DATEVALUE(LEFT(F3889,10))</f>
        <v/>
      </c>
      <c r="M3889" s="396">
        <f>TIMEVALUE(MID(F3889,12,8))</f>
        <v/>
      </c>
      <c r="N3889" s="395">
        <f>DATEVALUE(LEFT(G3889,10))</f>
        <v/>
      </c>
      <c r="O3889" s="396">
        <f>TIMEVALUE(MID(G3889,12,8))</f>
        <v/>
      </c>
      <c r="P3889" s="396">
        <f>IFERROR(_xlfn.MINIFS($M:$M,$E:$E,$E3889,$K:$K,$K3889,$M:$M,"&gt;"&amp;$O3889),"")</f>
        <v/>
      </c>
      <c r="Q3889" s="396">
        <f>IF($P3889="","",$P3889-$O3889)</f>
        <v/>
      </c>
    </row>
    <row r="3890" ht="15" customHeight="1" s="231">
      <c r="K3890" s="395">
        <f>DATE(VALUE(LEFT(A3890,4)),VALUE(MID(A3890,5,2)),VALUE(RIGHT(A3890,2)))</f>
        <v/>
      </c>
      <c r="L3890" s="395">
        <f>DATEVALUE(LEFT(F3890,10))</f>
        <v/>
      </c>
      <c r="M3890" s="396">
        <f>TIMEVALUE(MID(F3890,12,8))</f>
        <v/>
      </c>
      <c r="N3890" s="395">
        <f>DATEVALUE(LEFT(G3890,10))</f>
        <v/>
      </c>
      <c r="O3890" s="396">
        <f>TIMEVALUE(MID(G3890,12,8))</f>
        <v/>
      </c>
      <c r="P3890" s="396">
        <f>IFERROR(_xlfn.MINIFS($M:$M,$E:$E,$E3890,$K:$K,$K3890,$M:$M,"&gt;"&amp;$O3890),"")</f>
        <v/>
      </c>
      <c r="Q3890" s="396">
        <f>IF($P3890="","",$P3890-$O3890)</f>
        <v/>
      </c>
    </row>
    <row r="3891" ht="15" customHeight="1" s="231">
      <c r="K3891" s="395">
        <f>DATE(VALUE(LEFT(A3891,4)),VALUE(MID(A3891,5,2)),VALUE(RIGHT(A3891,2)))</f>
        <v/>
      </c>
      <c r="L3891" s="395">
        <f>DATEVALUE(LEFT(F3891,10))</f>
        <v/>
      </c>
      <c r="M3891" s="396">
        <f>TIMEVALUE(MID(F3891,12,8))</f>
        <v/>
      </c>
      <c r="N3891" s="395">
        <f>DATEVALUE(LEFT(G3891,10))</f>
        <v/>
      </c>
      <c r="O3891" s="396">
        <f>TIMEVALUE(MID(G3891,12,8))</f>
        <v/>
      </c>
      <c r="P3891" s="396">
        <f>IFERROR(_xlfn.MINIFS($M:$M,$E:$E,$E3891,$K:$K,$K3891,$M:$M,"&gt;"&amp;$O3891),"")</f>
        <v/>
      </c>
      <c r="Q3891" s="396">
        <f>IF($P3891="","",$P3891-$O3891)</f>
        <v/>
      </c>
    </row>
    <row r="3892" ht="15" customHeight="1" s="231">
      <c r="K3892" s="395">
        <f>DATE(VALUE(LEFT(A3892,4)),VALUE(MID(A3892,5,2)),VALUE(RIGHT(A3892,2)))</f>
        <v/>
      </c>
      <c r="L3892" s="395">
        <f>DATEVALUE(LEFT(F3892,10))</f>
        <v/>
      </c>
      <c r="M3892" s="396">
        <f>TIMEVALUE(MID(F3892,12,8))</f>
        <v/>
      </c>
      <c r="N3892" s="395">
        <f>DATEVALUE(LEFT(G3892,10))</f>
        <v/>
      </c>
      <c r="O3892" s="396">
        <f>TIMEVALUE(MID(G3892,12,8))</f>
        <v/>
      </c>
      <c r="P3892" s="396">
        <f>IFERROR(_xlfn.MINIFS($M:$M,$E:$E,$E3892,$K:$K,$K3892,$M:$M,"&gt;"&amp;$O3892),"")</f>
        <v/>
      </c>
      <c r="Q3892" s="396">
        <f>IF($P3892="","",$P3892-$O3892)</f>
        <v/>
      </c>
    </row>
    <row r="3893" ht="15" customHeight="1" s="231">
      <c r="K3893" s="395">
        <f>DATE(VALUE(LEFT(A3893,4)),VALUE(MID(A3893,5,2)),VALUE(RIGHT(A3893,2)))</f>
        <v/>
      </c>
      <c r="L3893" s="395">
        <f>DATEVALUE(LEFT(F3893,10))</f>
        <v/>
      </c>
      <c r="M3893" s="396">
        <f>TIMEVALUE(MID(F3893,12,8))</f>
        <v/>
      </c>
      <c r="N3893" s="395">
        <f>DATEVALUE(LEFT(G3893,10))</f>
        <v/>
      </c>
      <c r="O3893" s="396">
        <f>TIMEVALUE(MID(G3893,12,8))</f>
        <v/>
      </c>
      <c r="P3893" s="396">
        <f>IFERROR(_xlfn.MINIFS($M:$M,$E:$E,$E3893,$K:$K,$K3893,$M:$M,"&gt;"&amp;$O3893),"")</f>
        <v/>
      </c>
      <c r="Q3893" s="396">
        <f>IF($P3893="","",$P3893-$O3893)</f>
        <v/>
      </c>
    </row>
    <row r="3894" ht="15" customHeight="1" s="231">
      <c r="K3894" s="395">
        <f>DATE(VALUE(LEFT(A3894,4)),VALUE(MID(A3894,5,2)),VALUE(RIGHT(A3894,2)))</f>
        <v/>
      </c>
      <c r="L3894" s="395">
        <f>DATEVALUE(LEFT(F3894,10))</f>
        <v/>
      </c>
      <c r="M3894" s="396">
        <f>TIMEVALUE(MID(F3894,12,8))</f>
        <v/>
      </c>
      <c r="N3894" s="395">
        <f>DATEVALUE(LEFT(G3894,10))</f>
        <v/>
      </c>
      <c r="O3894" s="396">
        <f>TIMEVALUE(MID(G3894,12,8))</f>
        <v/>
      </c>
      <c r="P3894" s="396">
        <f>IFERROR(_xlfn.MINIFS($M:$M,$E:$E,$E3894,$K:$K,$K3894,$M:$M,"&gt;"&amp;$O3894),"")</f>
        <v/>
      </c>
      <c r="Q3894" s="396">
        <f>IF($P3894="","",$P3894-$O3894)</f>
        <v/>
      </c>
    </row>
    <row r="3895" ht="15" customHeight="1" s="231">
      <c r="K3895" s="395">
        <f>DATE(VALUE(LEFT(A3895,4)),VALUE(MID(A3895,5,2)),VALUE(RIGHT(A3895,2)))</f>
        <v/>
      </c>
      <c r="L3895" s="395">
        <f>DATEVALUE(LEFT(F3895,10))</f>
        <v/>
      </c>
      <c r="M3895" s="396">
        <f>TIMEVALUE(MID(F3895,12,8))</f>
        <v/>
      </c>
      <c r="N3895" s="395">
        <f>DATEVALUE(LEFT(G3895,10))</f>
        <v/>
      </c>
      <c r="O3895" s="396">
        <f>TIMEVALUE(MID(G3895,12,8))</f>
        <v/>
      </c>
      <c r="P3895" s="396">
        <f>IFERROR(_xlfn.MINIFS($M:$M,$E:$E,$E3895,$K:$K,$K3895,$M:$M,"&gt;"&amp;$O3895),"")</f>
        <v/>
      </c>
      <c r="Q3895" s="396">
        <f>IF($P3895="","",$P3895-$O3895)</f>
        <v/>
      </c>
    </row>
    <row r="3896" ht="15" customHeight="1" s="231">
      <c r="K3896" s="395">
        <f>DATE(VALUE(LEFT(A3896,4)),VALUE(MID(A3896,5,2)),VALUE(RIGHT(A3896,2)))</f>
        <v/>
      </c>
      <c r="L3896" s="395">
        <f>DATEVALUE(LEFT(F3896,10))</f>
        <v/>
      </c>
      <c r="M3896" s="396">
        <f>TIMEVALUE(MID(F3896,12,8))</f>
        <v/>
      </c>
      <c r="N3896" s="395">
        <f>DATEVALUE(LEFT(G3896,10))</f>
        <v/>
      </c>
      <c r="O3896" s="396">
        <f>TIMEVALUE(MID(G3896,12,8))</f>
        <v/>
      </c>
      <c r="P3896" s="396">
        <f>IFERROR(_xlfn.MINIFS($M:$M,$E:$E,$E3896,$K:$K,$K3896,$M:$M,"&gt;"&amp;$O3896),"")</f>
        <v/>
      </c>
      <c r="Q3896" s="396">
        <f>IF($P3896="","",$P3896-$O3896)</f>
        <v/>
      </c>
    </row>
    <row r="3897" ht="15" customHeight="1" s="231">
      <c r="K3897" s="395">
        <f>DATE(VALUE(LEFT(A3897,4)),VALUE(MID(A3897,5,2)),VALUE(RIGHT(A3897,2)))</f>
        <v/>
      </c>
      <c r="L3897" s="395">
        <f>DATEVALUE(LEFT(F3897,10))</f>
        <v/>
      </c>
      <c r="M3897" s="396">
        <f>TIMEVALUE(MID(F3897,12,8))</f>
        <v/>
      </c>
      <c r="N3897" s="395">
        <f>DATEVALUE(LEFT(G3897,10))</f>
        <v/>
      </c>
      <c r="O3897" s="396">
        <f>TIMEVALUE(MID(G3897,12,8))</f>
        <v/>
      </c>
      <c r="P3897" s="396">
        <f>IFERROR(_xlfn.MINIFS($M:$M,$E:$E,$E3897,$K:$K,$K3897,$M:$M,"&gt;"&amp;$O3897),"")</f>
        <v/>
      </c>
      <c r="Q3897" s="396">
        <f>IF($P3897="","",$P3897-$O3897)</f>
        <v/>
      </c>
    </row>
    <row r="3898" ht="15" customHeight="1" s="231">
      <c r="K3898" s="395">
        <f>DATE(VALUE(LEFT(A3898,4)),VALUE(MID(A3898,5,2)),VALUE(RIGHT(A3898,2)))</f>
        <v/>
      </c>
      <c r="L3898" s="395">
        <f>DATEVALUE(LEFT(F3898,10))</f>
        <v/>
      </c>
      <c r="M3898" s="396">
        <f>TIMEVALUE(MID(F3898,12,8))</f>
        <v/>
      </c>
      <c r="N3898" s="395">
        <f>DATEVALUE(LEFT(G3898,10))</f>
        <v/>
      </c>
      <c r="O3898" s="396">
        <f>TIMEVALUE(MID(G3898,12,8))</f>
        <v/>
      </c>
      <c r="P3898" s="396">
        <f>IFERROR(_xlfn.MINIFS($M:$M,$E:$E,$E3898,$K:$K,$K3898,$M:$M,"&gt;"&amp;$O3898),"")</f>
        <v/>
      </c>
      <c r="Q3898" s="396">
        <f>IF($P3898="","",$P3898-$O3898)</f>
        <v/>
      </c>
    </row>
    <row r="3899" ht="15" customHeight="1" s="231">
      <c r="K3899" s="395">
        <f>DATE(VALUE(LEFT(A3899,4)),VALUE(MID(A3899,5,2)),VALUE(RIGHT(A3899,2)))</f>
        <v/>
      </c>
      <c r="L3899" s="395">
        <f>DATEVALUE(LEFT(F3899,10))</f>
        <v/>
      </c>
      <c r="M3899" s="396">
        <f>TIMEVALUE(MID(F3899,12,8))</f>
        <v/>
      </c>
      <c r="N3899" s="395">
        <f>DATEVALUE(LEFT(G3899,10))</f>
        <v/>
      </c>
      <c r="O3899" s="396">
        <f>TIMEVALUE(MID(G3899,12,8))</f>
        <v/>
      </c>
      <c r="P3899" s="396">
        <f>IFERROR(_xlfn.MINIFS($M:$M,$E:$E,$E3899,$K:$K,$K3899,$M:$M,"&gt;"&amp;$O3899),"")</f>
        <v/>
      </c>
      <c r="Q3899" s="396">
        <f>IF($P3899="","",$P3899-$O3899)</f>
        <v/>
      </c>
    </row>
    <row r="3900" ht="15" customHeight="1" s="231">
      <c r="K3900" s="395">
        <f>DATE(VALUE(LEFT(A3900,4)),VALUE(MID(A3900,5,2)),VALUE(RIGHT(A3900,2)))</f>
        <v/>
      </c>
      <c r="L3900" s="395">
        <f>DATEVALUE(LEFT(F3900,10))</f>
        <v/>
      </c>
      <c r="M3900" s="396">
        <f>TIMEVALUE(MID(F3900,12,8))</f>
        <v/>
      </c>
      <c r="N3900" s="395">
        <f>DATEVALUE(LEFT(G3900,10))</f>
        <v/>
      </c>
      <c r="O3900" s="396">
        <f>TIMEVALUE(MID(G3900,12,8))</f>
        <v/>
      </c>
      <c r="P3900" s="396">
        <f>IFERROR(_xlfn.MINIFS($M:$M,$E:$E,$E3900,$K:$K,$K3900,$M:$M,"&gt;"&amp;$O3900),"")</f>
        <v/>
      </c>
      <c r="Q3900" s="396">
        <f>IF($P3900="","",$P3900-$O3900)</f>
        <v/>
      </c>
    </row>
    <row r="3901" ht="15" customHeight="1" s="231">
      <c r="K3901" s="395">
        <f>DATE(VALUE(LEFT(A3901,4)),VALUE(MID(A3901,5,2)),VALUE(RIGHT(A3901,2)))</f>
        <v/>
      </c>
      <c r="L3901" s="395">
        <f>DATEVALUE(LEFT(F3901,10))</f>
        <v/>
      </c>
      <c r="M3901" s="396">
        <f>TIMEVALUE(MID(F3901,12,8))</f>
        <v/>
      </c>
      <c r="N3901" s="395">
        <f>DATEVALUE(LEFT(G3901,10))</f>
        <v/>
      </c>
      <c r="O3901" s="396">
        <f>TIMEVALUE(MID(G3901,12,8))</f>
        <v/>
      </c>
      <c r="P3901" s="396">
        <f>IFERROR(_xlfn.MINIFS($M:$M,$E:$E,$E3901,$K:$K,$K3901,$M:$M,"&gt;"&amp;$O3901),"")</f>
        <v/>
      </c>
      <c r="Q3901" s="396">
        <f>IF($P3901="","",$P3901-$O3901)</f>
        <v/>
      </c>
    </row>
    <row r="3902" ht="15" customHeight="1" s="231">
      <c r="K3902" s="395">
        <f>DATE(VALUE(LEFT(A3902,4)),VALUE(MID(A3902,5,2)),VALUE(RIGHT(A3902,2)))</f>
        <v/>
      </c>
      <c r="L3902" s="395">
        <f>DATEVALUE(LEFT(F3902,10))</f>
        <v/>
      </c>
      <c r="M3902" s="396">
        <f>TIMEVALUE(MID(F3902,12,8))</f>
        <v/>
      </c>
      <c r="N3902" s="395">
        <f>DATEVALUE(LEFT(G3902,10))</f>
        <v/>
      </c>
      <c r="O3902" s="396">
        <f>TIMEVALUE(MID(G3902,12,8))</f>
        <v/>
      </c>
      <c r="P3902" s="396">
        <f>IFERROR(_xlfn.MINIFS($M:$M,$E:$E,$E3902,$K:$K,$K3902,$M:$M,"&gt;"&amp;$O3902),"")</f>
        <v/>
      </c>
      <c r="Q3902" s="396">
        <f>IF($P3902="","",$P3902-$O3902)</f>
        <v/>
      </c>
    </row>
    <row r="3903" ht="15" customHeight="1" s="231">
      <c r="K3903" s="395">
        <f>DATE(VALUE(LEFT(A3903,4)),VALUE(MID(A3903,5,2)),VALUE(RIGHT(A3903,2)))</f>
        <v/>
      </c>
      <c r="L3903" s="395">
        <f>DATEVALUE(LEFT(F3903,10))</f>
        <v/>
      </c>
      <c r="M3903" s="396">
        <f>TIMEVALUE(MID(F3903,12,8))</f>
        <v/>
      </c>
      <c r="N3903" s="395">
        <f>DATEVALUE(LEFT(G3903,10))</f>
        <v/>
      </c>
      <c r="O3903" s="396">
        <f>TIMEVALUE(MID(G3903,12,8))</f>
        <v/>
      </c>
      <c r="P3903" s="396">
        <f>IFERROR(_xlfn.MINIFS($M:$M,$E:$E,$E3903,$K:$K,$K3903,$M:$M,"&gt;"&amp;$O3903),"")</f>
        <v/>
      </c>
      <c r="Q3903" s="396">
        <f>IF($P3903="","",$P3903-$O3903)</f>
        <v/>
      </c>
    </row>
    <row r="3904" ht="15" customHeight="1" s="231">
      <c r="K3904" s="395">
        <f>DATE(VALUE(LEFT(A3904,4)),VALUE(MID(A3904,5,2)),VALUE(RIGHT(A3904,2)))</f>
        <v/>
      </c>
      <c r="L3904" s="395">
        <f>DATEVALUE(LEFT(F3904,10))</f>
        <v/>
      </c>
      <c r="M3904" s="396">
        <f>TIMEVALUE(MID(F3904,12,8))</f>
        <v/>
      </c>
      <c r="N3904" s="395">
        <f>DATEVALUE(LEFT(G3904,10))</f>
        <v/>
      </c>
      <c r="O3904" s="396">
        <f>TIMEVALUE(MID(G3904,12,8))</f>
        <v/>
      </c>
      <c r="P3904" s="396">
        <f>IFERROR(_xlfn.MINIFS($M:$M,$E:$E,$E3904,$K:$K,$K3904,$M:$M,"&gt;"&amp;$O3904),"")</f>
        <v/>
      </c>
      <c r="Q3904" s="396">
        <f>IF($P3904="","",$P3904-$O3904)</f>
        <v/>
      </c>
    </row>
    <row r="3905" ht="15" customHeight="1" s="231">
      <c r="K3905" s="395">
        <f>DATE(VALUE(LEFT(A3905,4)),VALUE(MID(A3905,5,2)),VALUE(RIGHT(A3905,2)))</f>
        <v/>
      </c>
      <c r="L3905" s="395">
        <f>DATEVALUE(LEFT(F3905,10))</f>
        <v/>
      </c>
      <c r="M3905" s="396">
        <f>TIMEVALUE(MID(F3905,12,8))</f>
        <v/>
      </c>
      <c r="N3905" s="395">
        <f>DATEVALUE(LEFT(G3905,10))</f>
        <v/>
      </c>
      <c r="O3905" s="396">
        <f>TIMEVALUE(MID(G3905,12,8))</f>
        <v/>
      </c>
      <c r="P3905" s="396">
        <f>IFERROR(_xlfn.MINIFS($M:$M,$E:$E,$E3905,$K:$K,$K3905,$M:$M,"&gt;"&amp;$O3905),"")</f>
        <v/>
      </c>
      <c r="Q3905" s="396">
        <f>IF($P3905="","",$P3905-$O3905)</f>
        <v/>
      </c>
    </row>
    <row r="3906" ht="15" customHeight="1" s="231">
      <c r="K3906" s="395">
        <f>DATE(VALUE(LEFT(A3906,4)),VALUE(MID(A3906,5,2)),VALUE(RIGHT(A3906,2)))</f>
        <v/>
      </c>
      <c r="L3906" s="395">
        <f>DATEVALUE(LEFT(F3906,10))</f>
        <v/>
      </c>
      <c r="M3906" s="396">
        <f>TIMEVALUE(MID(F3906,12,8))</f>
        <v/>
      </c>
      <c r="N3906" s="395">
        <f>DATEVALUE(LEFT(G3906,10))</f>
        <v/>
      </c>
      <c r="O3906" s="396">
        <f>TIMEVALUE(MID(G3906,12,8))</f>
        <v/>
      </c>
      <c r="P3906" s="396">
        <f>IFERROR(_xlfn.MINIFS($M:$M,$E:$E,$E3906,$K:$K,$K3906,$M:$M,"&gt;"&amp;$O3906),"")</f>
        <v/>
      </c>
      <c r="Q3906" s="396">
        <f>IF($P3906="","",$P3906-$O3906)</f>
        <v/>
      </c>
    </row>
    <row r="3907" ht="15" customHeight="1" s="231">
      <c r="K3907" s="395">
        <f>DATE(VALUE(LEFT(A3907,4)),VALUE(MID(A3907,5,2)),VALUE(RIGHT(A3907,2)))</f>
        <v/>
      </c>
      <c r="L3907" s="395">
        <f>DATEVALUE(LEFT(F3907,10))</f>
        <v/>
      </c>
      <c r="M3907" s="396">
        <f>TIMEVALUE(MID(F3907,12,8))</f>
        <v/>
      </c>
      <c r="N3907" s="395">
        <f>DATEVALUE(LEFT(G3907,10))</f>
        <v/>
      </c>
      <c r="O3907" s="396">
        <f>TIMEVALUE(MID(G3907,12,8))</f>
        <v/>
      </c>
      <c r="P3907" s="396">
        <f>IFERROR(_xlfn.MINIFS($M:$M,$E:$E,$E3907,$K:$K,$K3907,$M:$M,"&gt;"&amp;$O3907),"")</f>
        <v/>
      </c>
      <c r="Q3907" s="396">
        <f>IF($P3907="","",$P3907-$O3907)</f>
        <v/>
      </c>
    </row>
    <row r="3908" ht="15" customHeight="1" s="231">
      <c r="K3908" s="395">
        <f>DATE(VALUE(LEFT(A3908,4)),VALUE(MID(A3908,5,2)),VALUE(RIGHT(A3908,2)))</f>
        <v/>
      </c>
      <c r="L3908" s="395">
        <f>DATEVALUE(LEFT(F3908,10))</f>
        <v/>
      </c>
      <c r="M3908" s="396">
        <f>TIMEVALUE(MID(F3908,12,8))</f>
        <v/>
      </c>
      <c r="N3908" s="395">
        <f>DATEVALUE(LEFT(G3908,10))</f>
        <v/>
      </c>
      <c r="O3908" s="396">
        <f>TIMEVALUE(MID(G3908,12,8))</f>
        <v/>
      </c>
      <c r="P3908" s="396">
        <f>IFERROR(_xlfn.MINIFS($M:$M,$E:$E,$E3908,$K:$K,$K3908,$M:$M,"&gt;"&amp;$O3908),"")</f>
        <v/>
      </c>
      <c r="Q3908" s="396">
        <f>IF($P3908="","",$P3908-$O3908)</f>
        <v/>
      </c>
    </row>
    <row r="3909" ht="15" customHeight="1" s="231">
      <c r="K3909" s="395">
        <f>DATE(VALUE(LEFT(A3909,4)),VALUE(MID(A3909,5,2)),VALUE(RIGHT(A3909,2)))</f>
        <v/>
      </c>
      <c r="L3909" s="395">
        <f>DATEVALUE(LEFT(F3909,10))</f>
        <v/>
      </c>
      <c r="M3909" s="396">
        <f>TIMEVALUE(MID(F3909,12,8))</f>
        <v/>
      </c>
      <c r="N3909" s="395">
        <f>DATEVALUE(LEFT(G3909,10))</f>
        <v/>
      </c>
      <c r="O3909" s="396">
        <f>TIMEVALUE(MID(G3909,12,8))</f>
        <v/>
      </c>
      <c r="P3909" s="396">
        <f>IFERROR(_xlfn.MINIFS($M:$M,$E:$E,$E3909,$K:$K,$K3909,$M:$M,"&gt;"&amp;$O3909),"")</f>
        <v/>
      </c>
      <c r="Q3909" s="396">
        <f>IF($P3909="","",$P3909-$O3909)</f>
        <v/>
      </c>
    </row>
    <row r="3910" ht="15" customHeight="1" s="231">
      <c r="K3910" s="395">
        <f>DATE(VALUE(LEFT(A3910,4)),VALUE(MID(A3910,5,2)),VALUE(RIGHT(A3910,2)))</f>
        <v/>
      </c>
      <c r="L3910" s="395">
        <f>DATEVALUE(LEFT(F3910,10))</f>
        <v/>
      </c>
      <c r="M3910" s="396">
        <f>TIMEVALUE(MID(F3910,12,8))</f>
        <v/>
      </c>
      <c r="N3910" s="395">
        <f>DATEVALUE(LEFT(G3910,10))</f>
        <v/>
      </c>
      <c r="O3910" s="396">
        <f>TIMEVALUE(MID(G3910,12,8))</f>
        <v/>
      </c>
      <c r="P3910" s="396">
        <f>IFERROR(_xlfn.MINIFS($M:$M,$E:$E,$E3910,$K:$K,$K3910,$M:$M,"&gt;"&amp;$O3910),"")</f>
        <v/>
      </c>
      <c r="Q3910" s="396">
        <f>IF($P3910="","",$P3910-$O3910)</f>
        <v/>
      </c>
    </row>
    <row r="3911" ht="15" customHeight="1" s="231">
      <c r="K3911" s="395">
        <f>DATE(VALUE(LEFT(A3911,4)),VALUE(MID(A3911,5,2)),VALUE(RIGHT(A3911,2)))</f>
        <v/>
      </c>
      <c r="L3911" s="395">
        <f>DATEVALUE(LEFT(F3911,10))</f>
        <v/>
      </c>
      <c r="M3911" s="396">
        <f>TIMEVALUE(MID(F3911,12,8))</f>
        <v/>
      </c>
      <c r="N3911" s="395">
        <f>DATEVALUE(LEFT(G3911,10))</f>
        <v/>
      </c>
      <c r="O3911" s="396">
        <f>TIMEVALUE(MID(G3911,12,8))</f>
        <v/>
      </c>
      <c r="P3911" s="396">
        <f>IFERROR(_xlfn.MINIFS($M:$M,$E:$E,$E3911,$K:$K,$K3911,$M:$M,"&gt;"&amp;$O3911),"")</f>
        <v/>
      </c>
      <c r="Q3911" s="396">
        <f>IF($P3911="","",$P3911-$O3911)</f>
        <v/>
      </c>
    </row>
    <row r="3912" ht="15" customHeight="1" s="231">
      <c r="K3912" s="395">
        <f>DATE(VALUE(LEFT(A3912,4)),VALUE(MID(A3912,5,2)),VALUE(RIGHT(A3912,2)))</f>
        <v/>
      </c>
      <c r="L3912" s="395">
        <f>DATEVALUE(LEFT(F3912,10))</f>
        <v/>
      </c>
      <c r="M3912" s="396">
        <f>TIMEVALUE(MID(F3912,12,8))</f>
        <v/>
      </c>
      <c r="N3912" s="395">
        <f>DATEVALUE(LEFT(G3912,10))</f>
        <v/>
      </c>
      <c r="O3912" s="396">
        <f>TIMEVALUE(MID(G3912,12,8))</f>
        <v/>
      </c>
      <c r="P3912" s="396">
        <f>IFERROR(_xlfn.MINIFS($M:$M,$E:$E,$E3912,$K:$K,$K3912,$M:$M,"&gt;"&amp;$O3912),"")</f>
        <v/>
      </c>
      <c r="Q3912" s="396">
        <f>IF($P3912="","",$P3912-$O3912)</f>
        <v/>
      </c>
    </row>
    <row r="3913" ht="15" customHeight="1" s="231">
      <c r="K3913" s="395">
        <f>DATE(VALUE(LEFT(A3913,4)),VALUE(MID(A3913,5,2)),VALUE(RIGHT(A3913,2)))</f>
        <v/>
      </c>
      <c r="L3913" s="395">
        <f>DATEVALUE(LEFT(F3913,10))</f>
        <v/>
      </c>
      <c r="M3913" s="396">
        <f>TIMEVALUE(MID(F3913,12,8))</f>
        <v/>
      </c>
      <c r="N3913" s="395">
        <f>DATEVALUE(LEFT(G3913,10))</f>
        <v/>
      </c>
      <c r="O3913" s="396">
        <f>TIMEVALUE(MID(G3913,12,8))</f>
        <v/>
      </c>
      <c r="P3913" s="396">
        <f>IFERROR(_xlfn.MINIFS($M:$M,$E:$E,$E3913,$K:$K,$K3913,$M:$M,"&gt;"&amp;$O3913),"")</f>
        <v/>
      </c>
      <c r="Q3913" s="396">
        <f>IF($P3913="","",$P3913-$O3913)</f>
        <v/>
      </c>
    </row>
    <row r="3914" ht="15" customHeight="1" s="231">
      <c r="K3914" s="395">
        <f>DATE(VALUE(LEFT(A3914,4)),VALUE(MID(A3914,5,2)),VALUE(RIGHT(A3914,2)))</f>
        <v/>
      </c>
      <c r="L3914" s="395">
        <f>DATEVALUE(LEFT(F3914,10))</f>
        <v/>
      </c>
      <c r="M3914" s="396">
        <f>TIMEVALUE(MID(F3914,12,8))</f>
        <v/>
      </c>
      <c r="N3914" s="395">
        <f>DATEVALUE(LEFT(G3914,10))</f>
        <v/>
      </c>
      <c r="O3914" s="396">
        <f>TIMEVALUE(MID(G3914,12,8))</f>
        <v/>
      </c>
      <c r="P3914" s="396">
        <f>IFERROR(_xlfn.MINIFS($M:$M,$E:$E,$E3914,$K:$K,$K3914,$M:$M,"&gt;"&amp;$O3914),"")</f>
        <v/>
      </c>
      <c r="Q3914" s="396">
        <f>IF($P3914="","",$P3914-$O3914)</f>
        <v/>
      </c>
    </row>
    <row r="3915" ht="15" customHeight="1" s="231">
      <c r="K3915" s="395">
        <f>DATE(VALUE(LEFT(A3915,4)),VALUE(MID(A3915,5,2)),VALUE(RIGHT(A3915,2)))</f>
        <v/>
      </c>
      <c r="L3915" s="395">
        <f>DATEVALUE(LEFT(F3915,10))</f>
        <v/>
      </c>
      <c r="M3915" s="396">
        <f>TIMEVALUE(MID(F3915,12,8))</f>
        <v/>
      </c>
      <c r="N3915" s="395">
        <f>DATEVALUE(LEFT(G3915,10))</f>
        <v/>
      </c>
      <c r="O3915" s="396">
        <f>TIMEVALUE(MID(G3915,12,8))</f>
        <v/>
      </c>
      <c r="P3915" s="396">
        <f>IFERROR(_xlfn.MINIFS($M:$M,$E:$E,$E3915,$K:$K,$K3915,$M:$M,"&gt;"&amp;$O3915),"")</f>
        <v/>
      </c>
      <c r="Q3915" s="396">
        <f>IF($P3915="","",$P3915-$O3915)</f>
        <v/>
      </c>
    </row>
    <row r="3916" ht="15" customHeight="1" s="231">
      <c r="K3916" s="395">
        <f>DATE(VALUE(LEFT(A3916,4)),VALUE(MID(A3916,5,2)),VALUE(RIGHT(A3916,2)))</f>
        <v/>
      </c>
      <c r="L3916" s="395">
        <f>DATEVALUE(LEFT(F3916,10))</f>
        <v/>
      </c>
      <c r="M3916" s="396">
        <f>TIMEVALUE(MID(F3916,12,8))</f>
        <v/>
      </c>
      <c r="N3916" s="395">
        <f>DATEVALUE(LEFT(G3916,10))</f>
        <v/>
      </c>
      <c r="O3916" s="396">
        <f>TIMEVALUE(MID(G3916,12,8))</f>
        <v/>
      </c>
      <c r="P3916" s="396">
        <f>IFERROR(_xlfn.MINIFS($M:$M,$E:$E,$E3916,$K:$K,$K3916,$M:$M,"&gt;"&amp;$O3916),"")</f>
        <v/>
      </c>
      <c r="Q3916" s="396">
        <f>IF($P3916="","",$P3916-$O3916)</f>
        <v/>
      </c>
    </row>
    <row r="3917" ht="15" customHeight="1" s="231">
      <c r="K3917" s="395">
        <f>DATE(VALUE(LEFT(A3917,4)),VALUE(MID(A3917,5,2)),VALUE(RIGHT(A3917,2)))</f>
        <v/>
      </c>
      <c r="L3917" s="395">
        <f>DATEVALUE(LEFT(F3917,10))</f>
        <v/>
      </c>
      <c r="M3917" s="396">
        <f>TIMEVALUE(MID(F3917,12,8))</f>
        <v/>
      </c>
      <c r="N3917" s="395">
        <f>DATEVALUE(LEFT(G3917,10))</f>
        <v/>
      </c>
      <c r="O3917" s="396">
        <f>TIMEVALUE(MID(G3917,12,8))</f>
        <v/>
      </c>
      <c r="P3917" s="396">
        <f>IFERROR(_xlfn.MINIFS($M:$M,$E:$E,$E3917,$K:$K,$K3917,$M:$M,"&gt;"&amp;$O3917),"")</f>
        <v/>
      </c>
      <c r="Q3917" s="396">
        <f>IF($P3917="","",$P3917-$O3917)</f>
        <v/>
      </c>
    </row>
    <row r="3918" ht="15" customHeight="1" s="231">
      <c r="K3918" s="395">
        <f>DATE(VALUE(LEFT(A3918,4)),VALUE(MID(A3918,5,2)),VALUE(RIGHT(A3918,2)))</f>
        <v/>
      </c>
      <c r="L3918" s="395">
        <f>DATEVALUE(LEFT(F3918,10))</f>
        <v/>
      </c>
      <c r="M3918" s="396">
        <f>TIMEVALUE(MID(F3918,12,8))</f>
        <v/>
      </c>
      <c r="N3918" s="395">
        <f>DATEVALUE(LEFT(G3918,10))</f>
        <v/>
      </c>
      <c r="O3918" s="396">
        <f>TIMEVALUE(MID(G3918,12,8))</f>
        <v/>
      </c>
      <c r="P3918" s="396">
        <f>IFERROR(_xlfn.MINIFS($M:$M,$E:$E,$E3918,$K:$K,$K3918,$M:$M,"&gt;"&amp;$O3918),"")</f>
        <v/>
      </c>
      <c r="Q3918" s="396">
        <f>IF($P3918="","",$P3918-$O3918)</f>
        <v/>
      </c>
    </row>
    <row r="3919" ht="15" customHeight="1" s="231">
      <c r="K3919" s="395">
        <f>DATE(VALUE(LEFT(A3919,4)),VALUE(MID(A3919,5,2)),VALUE(RIGHT(A3919,2)))</f>
        <v/>
      </c>
      <c r="L3919" s="395">
        <f>DATEVALUE(LEFT(F3919,10))</f>
        <v/>
      </c>
      <c r="M3919" s="396">
        <f>TIMEVALUE(MID(F3919,12,8))</f>
        <v/>
      </c>
      <c r="N3919" s="395">
        <f>DATEVALUE(LEFT(G3919,10))</f>
        <v/>
      </c>
      <c r="O3919" s="396">
        <f>TIMEVALUE(MID(G3919,12,8))</f>
        <v/>
      </c>
      <c r="P3919" s="396">
        <f>IFERROR(_xlfn.MINIFS($M:$M,$E:$E,$E3919,$K:$K,$K3919,$M:$M,"&gt;"&amp;$O3919),"")</f>
        <v/>
      </c>
      <c r="Q3919" s="396">
        <f>IF($P3919="","",$P3919-$O3919)</f>
        <v/>
      </c>
    </row>
    <row r="3920" ht="15" customHeight="1" s="231">
      <c r="K3920" s="395">
        <f>DATE(VALUE(LEFT(A3920,4)),VALUE(MID(A3920,5,2)),VALUE(RIGHT(A3920,2)))</f>
        <v/>
      </c>
      <c r="L3920" s="395">
        <f>DATEVALUE(LEFT(F3920,10))</f>
        <v/>
      </c>
      <c r="M3920" s="396">
        <f>TIMEVALUE(MID(F3920,12,8))</f>
        <v/>
      </c>
      <c r="N3920" s="395">
        <f>DATEVALUE(LEFT(G3920,10))</f>
        <v/>
      </c>
      <c r="O3920" s="396">
        <f>TIMEVALUE(MID(G3920,12,8))</f>
        <v/>
      </c>
      <c r="P3920" s="396">
        <f>IFERROR(_xlfn.MINIFS($M:$M,$E:$E,$E3920,$K:$K,$K3920,$M:$M,"&gt;"&amp;$O3920),"")</f>
        <v/>
      </c>
      <c r="Q3920" s="396">
        <f>IF($P3920="","",$P3920-$O3920)</f>
        <v/>
      </c>
    </row>
    <row r="3921" ht="15" customHeight="1" s="231">
      <c r="K3921" s="395">
        <f>DATE(VALUE(LEFT(A3921,4)),VALUE(MID(A3921,5,2)),VALUE(RIGHT(A3921,2)))</f>
        <v/>
      </c>
      <c r="L3921" s="395">
        <f>DATEVALUE(LEFT(F3921,10))</f>
        <v/>
      </c>
      <c r="M3921" s="396">
        <f>TIMEVALUE(MID(F3921,12,8))</f>
        <v/>
      </c>
      <c r="N3921" s="395">
        <f>DATEVALUE(LEFT(G3921,10))</f>
        <v/>
      </c>
      <c r="O3921" s="396">
        <f>TIMEVALUE(MID(G3921,12,8))</f>
        <v/>
      </c>
      <c r="P3921" s="396">
        <f>IFERROR(_xlfn.MINIFS($M:$M,$E:$E,$E3921,$K:$K,$K3921,$M:$M,"&gt;"&amp;$O3921),"")</f>
        <v/>
      </c>
      <c r="Q3921" s="396">
        <f>IF($P3921="","",$P3921-$O3921)</f>
        <v/>
      </c>
    </row>
    <row r="3922" ht="15" customHeight="1" s="231">
      <c r="K3922" s="395">
        <f>DATE(VALUE(LEFT(A3922,4)),VALUE(MID(A3922,5,2)),VALUE(RIGHT(A3922,2)))</f>
        <v/>
      </c>
      <c r="L3922" s="395">
        <f>DATEVALUE(LEFT(F3922,10))</f>
        <v/>
      </c>
      <c r="M3922" s="396">
        <f>TIMEVALUE(MID(F3922,12,8))</f>
        <v/>
      </c>
      <c r="N3922" s="395">
        <f>DATEVALUE(LEFT(G3922,10))</f>
        <v/>
      </c>
      <c r="O3922" s="396">
        <f>TIMEVALUE(MID(G3922,12,8))</f>
        <v/>
      </c>
      <c r="P3922" s="396">
        <f>IFERROR(_xlfn.MINIFS($M:$M,$E:$E,$E3922,$K:$K,$K3922,$M:$M,"&gt;"&amp;$O3922),"")</f>
        <v/>
      </c>
      <c r="Q3922" s="396">
        <f>IF($P3922="","",$P3922-$O3922)</f>
        <v/>
      </c>
    </row>
    <row r="3923" ht="15" customHeight="1" s="231">
      <c r="K3923" s="395">
        <f>DATE(VALUE(LEFT(A3923,4)),VALUE(MID(A3923,5,2)),VALUE(RIGHT(A3923,2)))</f>
        <v/>
      </c>
      <c r="L3923" s="395">
        <f>DATEVALUE(LEFT(F3923,10))</f>
        <v/>
      </c>
      <c r="M3923" s="396">
        <f>TIMEVALUE(MID(F3923,12,8))</f>
        <v/>
      </c>
      <c r="N3923" s="395">
        <f>DATEVALUE(LEFT(G3923,10))</f>
        <v/>
      </c>
      <c r="O3923" s="396">
        <f>TIMEVALUE(MID(G3923,12,8))</f>
        <v/>
      </c>
      <c r="P3923" s="396">
        <f>IFERROR(_xlfn.MINIFS($M:$M,$E:$E,$E3923,$K:$K,$K3923,$M:$M,"&gt;"&amp;$O3923),"")</f>
        <v/>
      </c>
      <c r="Q3923" s="396">
        <f>IF($P3923="","",$P3923-$O3923)</f>
        <v/>
      </c>
    </row>
    <row r="3924" ht="15" customHeight="1" s="231">
      <c r="K3924" s="395">
        <f>DATE(VALUE(LEFT(A3924,4)),VALUE(MID(A3924,5,2)),VALUE(RIGHT(A3924,2)))</f>
        <v/>
      </c>
      <c r="L3924" s="395">
        <f>DATEVALUE(LEFT(F3924,10))</f>
        <v/>
      </c>
      <c r="M3924" s="396">
        <f>TIMEVALUE(MID(F3924,12,8))</f>
        <v/>
      </c>
      <c r="N3924" s="395">
        <f>DATEVALUE(LEFT(G3924,10))</f>
        <v/>
      </c>
      <c r="O3924" s="396">
        <f>TIMEVALUE(MID(G3924,12,8))</f>
        <v/>
      </c>
      <c r="P3924" s="396">
        <f>IFERROR(_xlfn.MINIFS($M:$M,$E:$E,$E3924,$K:$K,$K3924,$M:$M,"&gt;"&amp;$O3924),"")</f>
        <v/>
      </c>
      <c r="Q3924" s="396">
        <f>IF($P3924="","",$P3924-$O3924)</f>
        <v/>
      </c>
    </row>
    <row r="3925" ht="15" customHeight="1" s="231">
      <c r="K3925" s="395">
        <f>DATE(VALUE(LEFT(A3925,4)),VALUE(MID(A3925,5,2)),VALUE(RIGHT(A3925,2)))</f>
        <v/>
      </c>
      <c r="L3925" s="395">
        <f>DATEVALUE(LEFT(F3925,10))</f>
        <v/>
      </c>
      <c r="M3925" s="396">
        <f>TIMEVALUE(MID(F3925,12,8))</f>
        <v/>
      </c>
      <c r="N3925" s="395">
        <f>DATEVALUE(LEFT(G3925,10))</f>
        <v/>
      </c>
      <c r="O3925" s="396">
        <f>TIMEVALUE(MID(G3925,12,8))</f>
        <v/>
      </c>
      <c r="P3925" s="396">
        <f>IFERROR(_xlfn.MINIFS($M:$M,$E:$E,$E3925,$K:$K,$K3925,$M:$M,"&gt;"&amp;$O3925),"")</f>
        <v/>
      </c>
      <c r="Q3925" s="396">
        <f>IF($P3925="","",$P3925-$O3925)</f>
        <v/>
      </c>
    </row>
    <row r="3926" ht="15" customHeight="1" s="231">
      <c r="K3926" s="395">
        <f>DATE(VALUE(LEFT(A3926,4)),VALUE(MID(A3926,5,2)),VALUE(RIGHT(A3926,2)))</f>
        <v/>
      </c>
      <c r="L3926" s="395">
        <f>DATEVALUE(LEFT(F3926,10))</f>
        <v/>
      </c>
      <c r="M3926" s="396">
        <f>TIMEVALUE(MID(F3926,12,8))</f>
        <v/>
      </c>
      <c r="N3926" s="395">
        <f>DATEVALUE(LEFT(G3926,10))</f>
        <v/>
      </c>
      <c r="O3926" s="396">
        <f>TIMEVALUE(MID(G3926,12,8))</f>
        <v/>
      </c>
      <c r="P3926" s="396">
        <f>IFERROR(_xlfn.MINIFS($M:$M,$E:$E,$E3926,$K:$K,$K3926,$M:$M,"&gt;"&amp;$O3926),"")</f>
        <v/>
      </c>
      <c r="Q3926" s="396">
        <f>IF($P3926="","",$P3926-$O3926)</f>
        <v/>
      </c>
    </row>
    <row r="3927" ht="15" customHeight="1" s="231">
      <c r="K3927" s="395">
        <f>DATE(VALUE(LEFT(A3927,4)),VALUE(MID(A3927,5,2)),VALUE(RIGHT(A3927,2)))</f>
        <v/>
      </c>
      <c r="L3927" s="395">
        <f>DATEVALUE(LEFT(F3927,10))</f>
        <v/>
      </c>
      <c r="M3927" s="396">
        <f>TIMEVALUE(MID(F3927,12,8))</f>
        <v/>
      </c>
      <c r="N3927" s="395">
        <f>DATEVALUE(LEFT(G3927,10))</f>
        <v/>
      </c>
      <c r="O3927" s="396">
        <f>TIMEVALUE(MID(G3927,12,8))</f>
        <v/>
      </c>
      <c r="P3927" s="396">
        <f>IFERROR(_xlfn.MINIFS($M:$M,$E:$E,$E3927,$K:$K,$K3927,$M:$M,"&gt;"&amp;$O3927),"")</f>
        <v/>
      </c>
      <c r="Q3927" s="396">
        <f>IF($P3927="","",$P3927-$O3927)</f>
        <v/>
      </c>
    </row>
    <row r="3928" ht="15" customHeight="1" s="231">
      <c r="K3928" s="395">
        <f>DATE(VALUE(LEFT(A3928,4)),VALUE(MID(A3928,5,2)),VALUE(RIGHT(A3928,2)))</f>
        <v/>
      </c>
      <c r="L3928" s="395">
        <f>DATEVALUE(LEFT(F3928,10))</f>
        <v/>
      </c>
      <c r="M3928" s="396">
        <f>TIMEVALUE(MID(F3928,12,8))</f>
        <v/>
      </c>
      <c r="N3928" s="395">
        <f>DATEVALUE(LEFT(G3928,10))</f>
        <v/>
      </c>
      <c r="O3928" s="396">
        <f>TIMEVALUE(MID(G3928,12,8))</f>
        <v/>
      </c>
      <c r="P3928" s="396">
        <f>IFERROR(_xlfn.MINIFS($M:$M,$E:$E,$E3928,$K:$K,$K3928,$M:$M,"&gt;"&amp;$O3928),"")</f>
        <v/>
      </c>
      <c r="Q3928" s="396">
        <f>IF($P3928="","",$P3928-$O3928)</f>
        <v/>
      </c>
    </row>
    <row r="3929" ht="15" customHeight="1" s="231">
      <c r="K3929" s="395">
        <f>DATE(VALUE(LEFT(A3929,4)),VALUE(MID(A3929,5,2)),VALUE(RIGHT(A3929,2)))</f>
        <v/>
      </c>
      <c r="L3929" s="395">
        <f>DATEVALUE(LEFT(F3929,10))</f>
        <v/>
      </c>
      <c r="M3929" s="396">
        <f>TIMEVALUE(MID(F3929,12,8))</f>
        <v/>
      </c>
      <c r="N3929" s="395">
        <f>DATEVALUE(LEFT(G3929,10))</f>
        <v/>
      </c>
      <c r="O3929" s="396">
        <f>TIMEVALUE(MID(G3929,12,8))</f>
        <v/>
      </c>
      <c r="P3929" s="396">
        <f>IFERROR(_xlfn.MINIFS($M:$M,$E:$E,$E3929,$K:$K,$K3929,$M:$M,"&gt;"&amp;$O3929),"")</f>
        <v/>
      </c>
      <c r="Q3929" s="396">
        <f>IF($P3929="","",$P3929-$O3929)</f>
        <v/>
      </c>
    </row>
    <row r="3930" ht="15" customHeight="1" s="231">
      <c r="K3930" s="395">
        <f>DATE(VALUE(LEFT(A3930,4)),VALUE(MID(A3930,5,2)),VALUE(RIGHT(A3930,2)))</f>
        <v/>
      </c>
      <c r="L3930" s="395">
        <f>DATEVALUE(LEFT(F3930,10))</f>
        <v/>
      </c>
      <c r="M3930" s="396">
        <f>TIMEVALUE(MID(F3930,12,8))</f>
        <v/>
      </c>
      <c r="N3930" s="395">
        <f>DATEVALUE(LEFT(G3930,10))</f>
        <v/>
      </c>
      <c r="O3930" s="396">
        <f>TIMEVALUE(MID(G3930,12,8))</f>
        <v/>
      </c>
      <c r="P3930" s="396">
        <f>IFERROR(_xlfn.MINIFS($M:$M,$E:$E,$E3930,$K:$K,$K3930,$M:$M,"&gt;"&amp;$O3930),"")</f>
        <v/>
      </c>
      <c r="Q3930" s="396">
        <f>IF($P3930="","",$P3930-$O3930)</f>
        <v/>
      </c>
    </row>
    <row r="3931" ht="15" customHeight="1" s="231">
      <c r="K3931" s="395">
        <f>DATE(VALUE(LEFT(A3931,4)),VALUE(MID(A3931,5,2)),VALUE(RIGHT(A3931,2)))</f>
        <v/>
      </c>
      <c r="L3931" s="395">
        <f>DATEVALUE(LEFT(F3931,10))</f>
        <v/>
      </c>
      <c r="M3931" s="396">
        <f>TIMEVALUE(MID(F3931,12,8))</f>
        <v/>
      </c>
      <c r="N3931" s="395">
        <f>DATEVALUE(LEFT(G3931,10))</f>
        <v/>
      </c>
      <c r="O3931" s="396">
        <f>TIMEVALUE(MID(G3931,12,8))</f>
        <v/>
      </c>
      <c r="P3931" s="396">
        <f>IFERROR(_xlfn.MINIFS($M:$M,$E:$E,$E3931,$K:$K,$K3931,$M:$M,"&gt;"&amp;$O3931),"")</f>
        <v/>
      </c>
      <c r="Q3931" s="396">
        <f>IF($P3931="","",$P3931-$O3931)</f>
        <v/>
      </c>
    </row>
    <row r="3932" ht="15" customHeight="1" s="231">
      <c r="K3932" s="395">
        <f>DATE(VALUE(LEFT(A3932,4)),VALUE(MID(A3932,5,2)),VALUE(RIGHT(A3932,2)))</f>
        <v/>
      </c>
      <c r="L3932" s="395">
        <f>DATEVALUE(LEFT(F3932,10))</f>
        <v/>
      </c>
      <c r="M3932" s="396">
        <f>TIMEVALUE(MID(F3932,12,8))</f>
        <v/>
      </c>
      <c r="N3932" s="395">
        <f>DATEVALUE(LEFT(G3932,10))</f>
        <v/>
      </c>
      <c r="O3932" s="396">
        <f>TIMEVALUE(MID(G3932,12,8))</f>
        <v/>
      </c>
      <c r="P3932" s="396">
        <f>IFERROR(_xlfn.MINIFS($M:$M,$E:$E,$E3932,$K:$K,$K3932,$M:$M,"&gt;"&amp;$O3932),"")</f>
        <v/>
      </c>
      <c r="Q3932" s="396">
        <f>IF($P3932="","",$P3932-$O3932)</f>
        <v/>
      </c>
    </row>
    <row r="3933" ht="15" customHeight="1" s="231">
      <c r="K3933" s="395">
        <f>DATE(VALUE(LEFT(A3933,4)),VALUE(MID(A3933,5,2)),VALUE(RIGHT(A3933,2)))</f>
        <v/>
      </c>
      <c r="L3933" s="395">
        <f>DATEVALUE(LEFT(F3933,10))</f>
        <v/>
      </c>
      <c r="M3933" s="396">
        <f>TIMEVALUE(MID(F3933,12,8))</f>
        <v/>
      </c>
      <c r="N3933" s="395">
        <f>DATEVALUE(LEFT(G3933,10))</f>
        <v/>
      </c>
      <c r="O3933" s="396">
        <f>TIMEVALUE(MID(G3933,12,8))</f>
        <v/>
      </c>
      <c r="P3933" s="396">
        <f>IFERROR(_xlfn.MINIFS($M:$M,$E:$E,$E3933,$K:$K,$K3933,$M:$M,"&gt;"&amp;$O3933),"")</f>
        <v/>
      </c>
      <c r="Q3933" s="396">
        <f>IF($P3933="","",$P3933-$O3933)</f>
        <v/>
      </c>
    </row>
    <row r="3934" ht="15" customHeight="1" s="231">
      <c r="K3934" s="395">
        <f>DATE(VALUE(LEFT(A3934,4)),VALUE(MID(A3934,5,2)),VALUE(RIGHT(A3934,2)))</f>
        <v/>
      </c>
      <c r="L3934" s="395">
        <f>DATEVALUE(LEFT(F3934,10))</f>
        <v/>
      </c>
      <c r="M3934" s="396">
        <f>TIMEVALUE(MID(F3934,12,8))</f>
        <v/>
      </c>
      <c r="N3934" s="395">
        <f>DATEVALUE(LEFT(G3934,10))</f>
        <v/>
      </c>
      <c r="O3934" s="396">
        <f>TIMEVALUE(MID(G3934,12,8))</f>
        <v/>
      </c>
      <c r="P3934" s="396">
        <f>IFERROR(_xlfn.MINIFS($M:$M,$E:$E,$E3934,$K:$K,$K3934,$M:$M,"&gt;"&amp;$O3934),"")</f>
        <v/>
      </c>
      <c r="Q3934" s="396">
        <f>IF($P3934="","",$P3934-$O3934)</f>
        <v/>
      </c>
    </row>
    <row r="3935" ht="15" customHeight="1" s="231">
      <c r="K3935" s="395">
        <f>DATE(VALUE(LEFT(A3935,4)),VALUE(MID(A3935,5,2)),VALUE(RIGHT(A3935,2)))</f>
        <v/>
      </c>
      <c r="L3935" s="395">
        <f>DATEVALUE(LEFT(F3935,10))</f>
        <v/>
      </c>
      <c r="M3935" s="396">
        <f>TIMEVALUE(MID(F3935,12,8))</f>
        <v/>
      </c>
      <c r="N3935" s="395">
        <f>DATEVALUE(LEFT(G3935,10))</f>
        <v/>
      </c>
      <c r="O3935" s="396">
        <f>TIMEVALUE(MID(G3935,12,8))</f>
        <v/>
      </c>
      <c r="P3935" s="396">
        <f>IFERROR(_xlfn.MINIFS($M:$M,$E:$E,$E3935,$K:$K,$K3935,$M:$M,"&gt;"&amp;$O3935),"")</f>
        <v/>
      </c>
      <c r="Q3935" s="396">
        <f>IF($P3935="","",$P3935-$O3935)</f>
        <v/>
      </c>
    </row>
    <row r="3936" ht="15" customHeight="1" s="231">
      <c r="K3936" s="395">
        <f>DATE(VALUE(LEFT(A3936,4)),VALUE(MID(A3936,5,2)),VALUE(RIGHT(A3936,2)))</f>
        <v/>
      </c>
      <c r="L3936" s="395">
        <f>DATEVALUE(LEFT(F3936,10))</f>
        <v/>
      </c>
      <c r="M3936" s="396">
        <f>TIMEVALUE(MID(F3936,12,8))</f>
        <v/>
      </c>
      <c r="N3936" s="395">
        <f>DATEVALUE(LEFT(G3936,10))</f>
        <v/>
      </c>
      <c r="O3936" s="396">
        <f>TIMEVALUE(MID(G3936,12,8))</f>
        <v/>
      </c>
      <c r="P3936" s="396">
        <f>IFERROR(_xlfn.MINIFS($M:$M,$E:$E,$E3936,$K:$K,$K3936,$M:$M,"&gt;"&amp;$O3936),"")</f>
        <v/>
      </c>
      <c r="Q3936" s="396">
        <f>IF($P3936="","",$P3936-$O3936)</f>
        <v/>
      </c>
    </row>
    <row r="3937" ht="15" customHeight="1" s="231">
      <c r="K3937" s="395">
        <f>DATE(VALUE(LEFT(A3937,4)),VALUE(MID(A3937,5,2)),VALUE(RIGHT(A3937,2)))</f>
        <v/>
      </c>
      <c r="L3937" s="395">
        <f>DATEVALUE(LEFT(F3937,10))</f>
        <v/>
      </c>
      <c r="M3937" s="396">
        <f>TIMEVALUE(MID(F3937,12,8))</f>
        <v/>
      </c>
      <c r="N3937" s="395">
        <f>DATEVALUE(LEFT(G3937,10))</f>
        <v/>
      </c>
      <c r="O3937" s="396">
        <f>TIMEVALUE(MID(G3937,12,8))</f>
        <v/>
      </c>
      <c r="P3937" s="396">
        <f>IFERROR(_xlfn.MINIFS($M:$M,$E:$E,$E3937,$K:$K,$K3937,$M:$M,"&gt;"&amp;$O3937),"")</f>
        <v/>
      </c>
      <c r="Q3937" s="396">
        <f>IF($P3937="","",$P3937-$O3937)</f>
        <v/>
      </c>
    </row>
    <row r="3938" ht="15" customHeight="1" s="231">
      <c r="K3938" s="395">
        <f>DATE(VALUE(LEFT(A3938,4)),VALUE(MID(A3938,5,2)),VALUE(RIGHT(A3938,2)))</f>
        <v/>
      </c>
      <c r="L3938" s="395">
        <f>DATEVALUE(LEFT(F3938,10))</f>
        <v/>
      </c>
      <c r="M3938" s="396">
        <f>TIMEVALUE(MID(F3938,12,8))</f>
        <v/>
      </c>
      <c r="N3938" s="395">
        <f>DATEVALUE(LEFT(G3938,10))</f>
        <v/>
      </c>
      <c r="O3938" s="396">
        <f>TIMEVALUE(MID(G3938,12,8))</f>
        <v/>
      </c>
      <c r="P3938" s="396">
        <f>IFERROR(_xlfn.MINIFS($M:$M,$E:$E,$E3938,$K:$K,$K3938,$M:$M,"&gt;"&amp;$O3938),"")</f>
        <v/>
      </c>
      <c r="Q3938" s="396">
        <f>IF($P3938="","",$P3938-$O3938)</f>
        <v/>
      </c>
    </row>
    <row r="3939" ht="15" customHeight="1" s="231">
      <c r="K3939" s="395">
        <f>DATE(VALUE(LEFT(A3939,4)),VALUE(MID(A3939,5,2)),VALUE(RIGHT(A3939,2)))</f>
        <v/>
      </c>
      <c r="L3939" s="395">
        <f>DATEVALUE(LEFT(F3939,10))</f>
        <v/>
      </c>
      <c r="M3939" s="396">
        <f>TIMEVALUE(MID(F3939,12,8))</f>
        <v/>
      </c>
      <c r="N3939" s="395">
        <f>DATEVALUE(LEFT(G3939,10))</f>
        <v/>
      </c>
      <c r="O3939" s="396">
        <f>TIMEVALUE(MID(G3939,12,8))</f>
        <v/>
      </c>
      <c r="P3939" s="396">
        <f>IFERROR(_xlfn.MINIFS($M:$M,$E:$E,$E3939,$K:$K,$K3939,$M:$M,"&gt;"&amp;$O3939),"")</f>
        <v/>
      </c>
      <c r="Q3939" s="396">
        <f>IF($P3939="","",$P3939-$O3939)</f>
        <v/>
      </c>
    </row>
    <row r="3940" ht="15" customHeight="1" s="231">
      <c r="K3940" s="395">
        <f>DATE(VALUE(LEFT(A3940,4)),VALUE(MID(A3940,5,2)),VALUE(RIGHT(A3940,2)))</f>
        <v/>
      </c>
      <c r="L3940" s="395">
        <f>DATEVALUE(LEFT(F3940,10))</f>
        <v/>
      </c>
      <c r="M3940" s="396">
        <f>TIMEVALUE(MID(F3940,12,8))</f>
        <v/>
      </c>
      <c r="N3940" s="395">
        <f>DATEVALUE(LEFT(G3940,10))</f>
        <v/>
      </c>
      <c r="O3940" s="396">
        <f>TIMEVALUE(MID(G3940,12,8))</f>
        <v/>
      </c>
      <c r="P3940" s="396">
        <f>IFERROR(_xlfn.MINIFS($M:$M,$E:$E,$E3940,$K:$K,$K3940,$M:$M,"&gt;"&amp;$O3940),"")</f>
        <v/>
      </c>
      <c r="Q3940" s="396">
        <f>IF($P3940="","",$P3940-$O3940)</f>
        <v/>
      </c>
    </row>
    <row r="3941" ht="15" customHeight="1" s="231">
      <c r="K3941" s="395">
        <f>DATE(VALUE(LEFT(A3941,4)),VALUE(MID(A3941,5,2)),VALUE(RIGHT(A3941,2)))</f>
        <v/>
      </c>
      <c r="L3941" s="395">
        <f>DATEVALUE(LEFT(F3941,10))</f>
        <v/>
      </c>
      <c r="M3941" s="396">
        <f>TIMEVALUE(MID(F3941,12,8))</f>
        <v/>
      </c>
      <c r="N3941" s="395">
        <f>DATEVALUE(LEFT(G3941,10))</f>
        <v/>
      </c>
      <c r="O3941" s="396">
        <f>TIMEVALUE(MID(G3941,12,8))</f>
        <v/>
      </c>
      <c r="P3941" s="396">
        <f>IFERROR(_xlfn.MINIFS($M:$M,$E:$E,$E3941,$K:$K,$K3941,$M:$M,"&gt;"&amp;$O3941),"")</f>
        <v/>
      </c>
      <c r="Q3941" s="396">
        <f>IF($P3941="","",$P3941-$O3941)</f>
        <v/>
      </c>
    </row>
    <row r="3942" ht="15" customHeight="1" s="231">
      <c r="K3942" s="395">
        <f>DATE(VALUE(LEFT(A3942,4)),VALUE(MID(A3942,5,2)),VALUE(RIGHT(A3942,2)))</f>
        <v/>
      </c>
      <c r="L3942" s="395">
        <f>DATEVALUE(LEFT(F3942,10))</f>
        <v/>
      </c>
      <c r="M3942" s="396">
        <f>TIMEVALUE(MID(F3942,12,8))</f>
        <v/>
      </c>
      <c r="N3942" s="395">
        <f>DATEVALUE(LEFT(G3942,10))</f>
        <v/>
      </c>
      <c r="O3942" s="396">
        <f>TIMEVALUE(MID(G3942,12,8))</f>
        <v/>
      </c>
      <c r="P3942" s="396">
        <f>IFERROR(_xlfn.MINIFS($M:$M,$E:$E,$E3942,$K:$K,$K3942,$M:$M,"&gt;"&amp;$O3942),"")</f>
        <v/>
      </c>
      <c r="Q3942" s="396">
        <f>IF($P3942="","",$P3942-$O3942)</f>
        <v/>
      </c>
    </row>
    <row r="3943" ht="15" customHeight="1" s="231">
      <c r="K3943" s="395">
        <f>DATE(VALUE(LEFT(A3943,4)),VALUE(MID(A3943,5,2)),VALUE(RIGHT(A3943,2)))</f>
        <v/>
      </c>
      <c r="L3943" s="395">
        <f>DATEVALUE(LEFT(F3943,10))</f>
        <v/>
      </c>
      <c r="M3943" s="396">
        <f>TIMEVALUE(MID(F3943,12,8))</f>
        <v/>
      </c>
      <c r="N3943" s="395">
        <f>DATEVALUE(LEFT(G3943,10))</f>
        <v/>
      </c>
      <c r="O3943" s="396">
        <f>TIMEVALUE(MID(G3943,12,8))</f>
        <v/>
      </c>
      <c r="P3943" s="396">
        <f>IFERROR(_xlfn.MINIFS($M:$M,$E:$E,$E3943,$K:$K,$K3943,$M:$M,"&gt;"&amp;$O3943),"")</f>
        <v/>
      </c>
      <c r="Q3943" s="396">
        <f>IF($P3943="","",$P3943-$O3943)</f>
        <v/>
      </c>
    </row>
    <row r="3944" ht="15" customHeight="1" s="231">
      <c r="K3944" s="395">
        <f>DATE(VALUE(LEFT(A3944,4)),VALUE(MID(A3944,5,2)),VALUE(RIGHT(A3944,2)))</f>
        <v/>
      </c>
      <c r="L3944" s="395">
        <f>DATEVALUE(LEFT(F3944,10))</f>
        <v/>
      </c>
      <c r="M3944" s="396">
        <f>TIMEVALUE(MID(F3944,12,8))</f>
        <v/>
      </c>
      <c r="N3944" s="395">
        <f>DATEVALUE(LEFT(G3944,10))</f>
        <v/>
      </c>
      <c r="O3944" s="396">
        <f>TIMEVALUE(MID(G3944,12,8))</f>
        <v/>
      </c>
      <c r="P3944" s="396">
        <f>IFERROR(_xlfn.MINIFS($M:$M,$E:$E,$E3944,$K:$K,$K3944,$M:$M,"&gt;"&amp;$O3944),"")</f>
        <v/>
      </c>
      <c r="Q3944" s="396">
        <f>IF($P3944="","",$P3944-$O3944)</f>
        <v/>
      </c>
    </row>
    <row r="3945" ht="15" customHeight="1" s="231">
      <c r="K3945" s="395">
        <f>DATE(VALUE(LEFT(A3945,4)),VALUE(MID(A3945,5,2)),VALUE(RIGHT(A3945,2)))</f>
        <v/>
      </c>
      <c r="L3945" s="395">
        <f>DATEVALUE(LEFT(F3945,10))</f>
        <v/>
      </c>
      <c r="M3945" s="396">
        <f>TIMEVALUE(MID(F3945,12,8))</f>
        <v/>
      </c>
      <c r="N3945" s="395">
        <f>DATEVALUE(LEFT(G3945,10))</f>
        <v/>
      </c>
      <c r="O3945" s="396">
        <f>TIMEVALUE(MID(G3945,12,8))</f>
        <v/>
      </c>
      <c r="P3945" s="396">
        <f>IFERROR(_xlfn.MINIFS($M:$M,$E:$E,$E3945,$K:$K,$K3945,$M:$M,"&gt;"&amp;$O3945),"")</f>
        <v/>
      </c>
      <c r="Q3945" s="396">
        <f>IF($P3945="","",$P3945-$O3945)</f>
        <v/>
      </c>
    </row>
    <row r="3946" ht="15" customHeight="1" s="231">
      <c r="K3946" s="395">
        <f>DATE(VALUE(LEFT(A3946,4)),VALUE(MID(A3946,5,2)),VALUE(RIGHT(A3946,2)))</f>
        <v/>
      </c>
      <c r="L3946" s="395">
        <f>DATEVALUE(LEFT(F3946,10))</f>
        <v/>
      </c>
      <c r="M3946" s="396">
        <f>TIMEVALUE(MID(F3946,12,8))</f>
        <v/>
      </c>
      <c r="N3946" s="395">
        <f>DATEVALUE(LEFT(G3946,10))</f>
        <v/>
      </c>
      <c r="O3946" s="396">
        <f>TIMEVALUE(MID(G3946,12,8))</f>
        <v/>
      </c>
      <c r="P3946" s="396">
        <f>IFERROR(_xlfn.MINIFS($M:$M,$E:$E,$E3946,$K:$K,$K3946,$M:$M,"&gt;"&amp;$O3946),"")</f>
        <v/>
      </c>
      <c r="Q3946" s="396">
        <f>IF($P3946="","",$P3946-$O3946)</f>
        <v/>
      </c>
    </row>
    <row r="3947" ht="15" customHeight="1" s="231">
      <c r="K3947" s="395">
        <f>DATE(VALUE(LEFT(A3947,4)),VALUE(MID(A3947,5,2)),VALUE(RIGHT(A3947,2)))</f>
        <v/>
      </c>
      <c r="L3947" s="395">
        <f>DATEVALUE(LEFT(F3947,10))</f>
        <v/>
      </c>
      <c r="M3947" s="396">
        <f>TIMEVALUE(MID(F3947,12,8))</f>
        <v/>
      </c>
      <c r="N3947" s="395">
        <f>DATEVALUE(LEFT(G3947,10))</f>
        <v/>
      </c>
      <c r="O3947" s="396">
        <f>TIMEVALUE(MID(G3947,12,8))</f>
        <v/>
      </c>
      <c r="P3947" s="396">
        <f>IFERROR(_xlfn.MINIFS($M:$M,$E:$E,$E3947,$K:$K,$K3947,$M:$M,"&gt;"&amp;$O3947),"")</f>
        <v/>
      </c>
      <c r="Q3947" s="396">
        <f>IF($P3947="","",$P3947-$O3947)</f>
        <v/>
      </c>
    </row>
    <row r="3948" ht="15" customHeight="1" s="231">
      <c r="K3948" s="395">
        <f>DATE(VALUE(LEFT(A3948,4)),VALUE(MID(A3948,5,2)),VALUE(RIGHT(A3948,2)))</f>
        <v/>
      </c>
      <c r="L3948" s="395">
        <f>DATEVALUE(LEFT(F3948,10))</f>
        <v/>
      </c>
      <c r="M3948" s="396">
        <f>TIMEVALUE(MID(F3948,12,8))</f>
        <v/>
      </c>
      <c r="N3948" s="395">
        <f>DATEVALUE(LEFT(G3948,10))</f>
        <v/>
      </c>
      <c r="O3948" s="396">
        <f>TIMEVALUE(MID(G3948,12,8))</f>
        <v/>
      </c>
      <c r="P3948" s="396">
        <f>IFERROR(_xlfn.MINIFS($M:$M,$E:$E,$E3948,$K:$K,$K3948,$M:$M,"&gt;"&amp;$O3948),"")</f>
        <v/>
      </c>
      <c r="Q3948" s="396">
        <f>IF($P3948="","",$P3948-$O3948)</f>
        <v/>
      </c>
    </row>
    <row r="3949" ht="15" customHeight="1" s="231">
      <c r="K3949" s="395">
        <f>DATE(VALUE(LEFT(A3949,4)),VALUE(MID(A3949,5,2)),VALUE(RIGHT(A3949,2)))</f>
        <v/>
      </c>
      <c r="L3949" s="395">
        <f>DATEVALUE(LEFT(F3949,10))</f>
        <v/>
      </c>
      <c r="M3949" s="396">
        <f>TIMEVALUE(MID(F3949,12,8))</f>
        <v/>
      </c>
      <c r="N3949" s="395">
        <f>DATEVALUE(LEFT(G3949,10))</f>
        <v/>
      </c>
      <c r="O3949" s="396">
        <f>TIMEVALUE(MID(G3949,12,8))</f>
        <v/>
      </c>
      <c r="P3949" s="396">
        <f>IFERROR(_xlfn.MINIFS($M:$M,$E:$E,$E3949,$K:$K,$K3949,$M:$M,"&gt;"&amp;$O3949),"")</f>
        <v/>
      </c>
      <c r="Q3949" s="396">
        <f>IF($P3949="","",$P3949-$O3949)</f>
        <v/>
      </c>
    </row>
    <row r="3950" ht="15" customHeight="1" s="231">
      <c r="K3950" s="395">
        <f>DATE(VALUE(LEFT(A3950,4)),VALUE(MID(A3950,5,2)),VALUE(RIGHT(A3950,2)))</f>
        <v/>
      </c>
      <c r="L3950" s="395">
        <f>DATEVALUE(LEFT(F3950,10))</f>
        <v/>
      </c>
      <c r="M3950" s="396">
        <f>TIMEVALUE(MID(F3950,12,8))</f>
        <v/>
      </c>
      <c r="N3950" s="395">
        <f>DATEVALUE(LEFT(G3950,10))</f>
        <v/>
      </c>
      <c r="O3950" s="396">
        <f>TIMEVALUE(MID(G3950,12,8))</f>
        <v/>
      </c>
      <c r="P3950" s="396">
        <f>IFERROR(_xlfn.MINIFS($M:$M,$E:$E,$E3950,$K:$K,$K3950,$M:$M,"&gt;"&amp;$O3950),"")</f>
        <v/>
      </c>
      <c r="Q3950" s="396">
        <f>IF($P3950="","",$P3950-$O3950)</f>
        <v/>
      </c>
    </row>
    <row r="3951" ht="15" customHeight="1" s="231">
      <c r="K3951" s="395">
        <f>DATE(VALUE(LEFT(A3951,4)),VALUE(MID(A3951,5,2)),VALUE(RIGHT(A3951,2)))</f>
        <v/>
      </c>
      <c r="L3951" s="395">
        <f>DATEVALUE(LEFT(F3951,10))</f>
        <v/>
      </c>
      <c r="M3951" s="396">
        <f>TIMEVALUE(MID(F3951,12,8))</f>
        <v/>
      </c>
      <c r="N3951" s="395">
        <f>DATEVALUE(LEFT(G3951,10))</f>
        <v/>
      </c>
      <c r="O3951" s="396">
        <f>TIMEVALUE(MID(G3951,12,8))</f>
        <v/>
      </c>
      <c r="P3951" s="396">
        <f>IFERROR(_xlfn.MINIFS($M:$M,$E:$E,$E3951,$K:$K,$K3951,$M:$M,"&gt;"&amp;$O3951),"")</f>
        <v/>
      </c>
      <c r="Q3951" s="396">
        <f>IF($P3951="","",$P3951-$O3951)</f>
        <v/>
      </c>
    </row>
    <row r="3952" ht="15" customHeight="1" s="231">
      <c r="K3952" s="395">
        <f>DATE(VALUE(LEFT(A3952,4)),VALUE(MID(A3952,5,2)),VALUE(RIGHT(A3952,2)))</f>
        <v/>
      </c>
      <c r="L3952" s="395">
        <f>DATEVALUE(LEFT(F3952,10))</f>
        <v/>
      </c>
      <c r="M3952" s="396">
        <f>TIMEVALUE(MID(F3952,12,8))</f>
        <v/>
      </c>
      <c r="N3952" s="395">
        <f>DATEVALUE(LEFT(G3952,10))</f>
        <v/>
      </c>
      <c r="O3952" s="396">
        <f>TIMEVALUE(MID(G3952,12,8))</f>
        <v/>
      </c>
      <c r="P3952" s="396">
        <f>IFERROR(_xlfn.MINIFS($M:$M,$E:$E,$E3952,$K:$K,$K3952,$M:$M,"&gt;"&amp;$O3952),"")</f>
        <v/>
      </c>
      <c r="Q3952" s="396">
        <f>IF($P3952="","",$P3952-$O3952)</f>
        <v/>
      </c>
    </row>
    <row r="3953" ht="15" customHeight="1" s="231">
      <c r="K3953" s="395">
        <f>DATE(VALUE(LEFT(A3953,4)),VALUE(MID(A3953,5,2)),VALUE(RIGHT(A3953,2)))</f>
        <v/>
      </c>
      <c r="L3953" s="395">
        <f>DATEVALUE(LEFT(F3953,10))</f>
        <v/>
      </c>
      <c r="M3953" s="396">
        <f>TIMEVALUE(MID(F3953,12,8))</f>
        <v/>
      </c>
      <c r="N3953" s="395">
        <f>DATEVALUE(LEFT(G3953,10))</f>
        <v/>
      </c>
      <c r="O3953" s="396">
        <f>TIMEVALUE(MID(G3953,12,8))</f>
        <v/>
      </c>
      <c r="P3953" s="396">
        <f>IFERROR(_xlfn.MINIFS($M:$M,$E:$E,$E3953,$K:$K,$K3953,$M:$M,"&gt;"&amp;$O3953),"")</f>
        <v/>
      </c>
      <c r="Q3953" s="396">
        <f>IF($P3953="","",$P3953-$O3953)</f>
        <v/>
      </c>
    </row>
    <row r="3954" ht="15" customHeight="1" s="231">
      <c r="K3954" s="395">
        <f>DATE(VALUE(LEFT(A3954,4)),VALUE(MID(A3954,5,2)),VALUE(RIGHT(A3954,2)))</f>
        <v/>
      </c>
      <c r="L3954" s="395">
        <f>DATEVALUE(LEFT(F3954,10))</f>
        <v/>
      </c>
      <c r="M3954" s="396">
        <f>TIMEVALUE(MID(F3954,12,8))</f>
        <v/>
      </c>
      <c r="N3954" s="395">
        <f>DATEVALUE(LEFT(G3954,10))</f>
        <v/>
      </c>
      <c r="O3954" s="396">
        <f>TIMEVALUE(MID(G3954,12,8))</f>
        <v/>
      </c>
      <c r="P3954" s="396">
        <f>IFERROR(_xlfn.MINIFS($M:$M,$E:$E,$E3954,$K:$K,$K3954,$M:$M,"&gt;"&amp;$O3954),"")</f>
        <v/>
      </c>
      <c r="Q3954" s="396">
        <f>IF($P3954="","",$P3954-$O3954)</f>
        <v/>
      </c>
    </row>
    <row r="3955" ht="15" customHeight="1" s="231">
      <c r="K3955" s="395">
        <f>DATE(VALUE(LEFT(A3955,4)),VALUE(MID(A3955,5,2)),VALUE(RIGHT(A3955,2)))</f>
        <v/>
      </c>
      <c r="L3955" s="395">
        <f>DATEVALUE(LEFT(F3955,10))</f>
        <v/>
      </c>
      <c r="M3955" s="396">
        <f>TIMEVALUE(MID(F3955,12,8))</f>
        <v/>
      </c>
      <c r="N3955" s="395">
        <f>DATEVALUE(LEFT(G3955,10))</f>
        <v/>
      </c>
      <c r="O3955" s="396">
        <f>TIMEVALUE(MID(G3955,12,8))</f>
        <v/>
      </c>
      <c r="P3955" s="396">
        <f>IFERROR(_xlfn.MINIFS($M:$M,$E:$E,$E3955,$K:$K,$K3955,$M:$M,"&gt;"&amp;$O3955),"")</f>
        <v/>
      </c>
      <c r="Q3955" s="396">
        <f>IF($P3955="","",$P3955-$O3955)</f>
        <v/>
      </c>
    </row>
    <row r="3956" ht="15" customHeight="1" s="231">
      <c r="K3956" s="395">
        <f>DATE(VALUE(LEFT(A3956,4)),VALUE(MID(A3956,5,2)),VALUE(RIGHT(A3956,2)))</f>
        <v/>
      </c>
      <c r="L3956" s="395">
        <f>DATEVALUE(LEFT(F3956,10))</f>
        <v/>
      </c>
      <c r="M3956" s="396">
        <f>TIMEVALUE(MID(F3956,12,8))</f>
        <v/>
      </c>
      <c r="N3956" s="395">
        <f>DATEVALUE(LEFT(G3956,10))</f>
        <v/>
      </c>
      <c r="O3956" s="396">
        <f>TIMEVALUE(MID(G3956,12,8))</f>
        <v/>
      </c>
      <c r="P3956" s="396">
        <f>IFERROR(_xlfn.MINIFS($M:$M,$E:$E,$E3956,$K:$K,$K3956,$M:$M,"&gt;"&amp;$O3956),"")</f>
        <v/>
      </c>
      <c r="Q3956" s="396">
        <f>IF($P3956="","",$P3956-$O3956)</f>
        <v/>
      </c>
    </row>
    <row r="3957" ht="15" customHeight="1" s="231">
      <c r="K3957" s="395">
        <f>DATE(VALUE(LEFT(A3957,4)),VALUE(MID(A3957,5,2)),VALUE(RIGHT(A3957,2)))</f>
        <v/>
      </c>
      <c r="L3957" s="395">
        <f>DATEVALUE(LEFT(F3957,10))</f>
        <v/>
      </c>
      <c r="M3957" s="396">
        <f>TIMEVALUE(MID(F3957,12,8))</f>
        <v/>
      </c>
      <c r="N3957" s="395">
        <f>DATEVALUE(LEFT(G3957,10))</f>
        <v/>
      </c>
      <c r="O3957" s="396">
        <f>TIMEVALUE(MID(G3957,12,8))</f>
        <v/>
      </c>
      <c r="P3957" s="396">
        <f>IFERROR(_xlfn.MINIFS($M:$M,$E:$E,$E3957,$K:$K,$K3957,$M:$M,"&gt;"&amp;$O3957),"")</f>
        <v/>
      </c>
      <c r="Q3957" s="396">
        <f>IF($P3957="","",$P3957-$O3957)</f>
        <v/>
      </c>
    </row>
    <row r="3958" ht="15" customHeight="1" s="231">
      <c r="K3958" s="395">
        <f>DATE(VALUE(LEFT(A3958,4)),VALUE(MID(A3958,5,2)),VALUE(RIGHT(A3958,2)))</f>
        <v/>
      </c>
      <c r="L3958" s="395">
        <f>DATEVALUE(LEFT(F3958,10))</f>
        <v/>
      </c>
      <c r="M3958" s="396">
        <f>TIMEVALUE(MID(F3958,12,8))</f>
        <v/>
      </c>
      <c r="N3958" s="395">
        <f>DATEVALUE(LEFT(G3958,10))</f>
        <v/>
      </c>
      <c r="O3958" s="396">
        <f>TIMEVALUE(MID(G3958,12,8))</f>
        <v/>
      </c>
      <c r="P3958" s="396">
        <f>IFERROR(_xlfn.MINIFS($M:$M,$E:$E,$E3958,$K:$K,$K3958,$M:$M,"&gt;"&amp;$O3958),"")</f>
        <v/>
      </c>
      <c r="Q3958" s="396">
        <f>IF($P3958="","",$P3958-$O3958)</f>
        <v/>
      </c>
    </row>
    <row r="3959" ht="15" customHeight="1" s="231">
      <c r="K3959" s="395">
        <f>DATE(VALUE(LEFT(A3959,4)),VALUE(MID(A3959,5,2)),VALUE(RIGHT(A3959,2)))</f>
        <v/>
      </c>
      <c r="L3959" s="395">
        <f>DATEVALUE(LEFT(F3959,10))</f>
        <v/>
      </c>
      <c r="M3959" s="396">
        <f>TIMEVALUE(MID(F3959,12,8))</f>
        <v/>
      </c>
      <c r="N3959" s="395">
        <f>DATEVALUE(LEFT(G3959,10))</f>
        <v/>
      </c>
      <c r="O3959" s="396">
        <f>TIMEVALUE(MID(G3959,12,8))</f>
        <v/>
      </c>
      <c r="P3959" s="396">
        <f>IFERROR(_xlfn.MINIFS($M:$M,$E:$E,$E3959,$K:$K,$K3959,$M:$M,"&gt;"&amp;$O3959),"")</f>
        <v/>
      </c>
      <c r="Q3959" s="396">
        <f>IF($P3959="","",$P3959-$O3959)</f>
        <v/>
      </c>
    </row>
    <row r="3960" ht="15" customHeight="1" s="231">
      <c r="K3960" s="395">
        <f>DATE(VALUE(LEFT(A3960,4)),VALUE(MID(A3960,5,2)),VALUE(RIGHT(A3960,2)))</f>
        <v/>
      </c>
      <c r="L3960" s="395">
        <f>DATEVALUE(LEFT(F3960,10))</f>
        <v/>
      </c>
      <c r="M3960" s="396">
        <f>TIMEVALUE(MID(F3960,12,8))</f>
        <v/>
      </c>
      <c r="N3960" s="395">
        <f>DATEVALUE(LEFT(G3960,10))</f>
        <v/>
      </c>
      <c r="O3960" s="396">
        <f>TIMEVALUE(MID(G3960,12,8))</f>
        <v/>
      </c>
      <c r="P3960" s="396">
        <f>IFERROR(_xlfn.MINIFS($M:$M,$E:$E,$E3960,$K:$K,$K3960,$M:$M,"&gt;"&amp;$O3960),"")</f>
        <v/>
      </c>
      <c r="Q3960" s="396">
        <f>IF($P3960="","",$P3960-$O3960)</f>
        <v/>
      </c>
    </row>
    <row r="3961" ht="15" customHeight="1" s="231">
      <c r="K3961" s="395">
        <f>DATE(VALUE(LEFT(A3961,4)),VALUE(MID(A3961,5,2)),VALUE(RIGHT(A3961,2)))</f>
        <v/>
      </c>
      <c r="L3961" s="395">
        <f>DATEVALUE(LEFT(F3961,10))</f>
        <v/>
      </c>
      <c r="M3961" s="396">
        <f>TIMEVALUE(MID(F3961,12,8))</f>
        <v/>
      </c>
      <c r="N3961" s="395">
        <f>DATEVALUE(LEFT(G3961,10))</f>
        <v/>
      </c>
      <c r="O3961" s="396">
        <f>TIMEVALUE(MID(G3961,12,8))</f>
        <v/>
      </c>
      <c r="P3961" s="396">
        <f>IFERROR(_xlfn.MINIFS($M:$M,$E:$E,$E3961,$K:$K,$K3961,$M:$M,"&gt;"&amp;$O3961),"")</f>
        <v/>
      </c>
      <c r="Q3961" s="396">
        <f>IF($P3961="","",$P3961-$O3961)</f>
        <v/>
      </c>
    </row>
    <row r="3962" ht="15" customHeight="1" s="231">
      <c r="K3962" s="395">
        <f>DATE(VALUE(LEFT(A3962,4)),VALUE(MID(A3962,5,2)),VALUE(RIGHT(A3962,2)))</f>
        <v/>
      </c>
      <c r="L3962" s="395">
        <f>DATEVALUE(LEFT(F3962,10))</f>
        <v/>
      </c>
      <c r="M3962" s="396">
        <f>TIMEVALUE(MID(F3962,12,8))</f>
        <v/>
      </c>
      <c r="N3962" s="395">
        <f>DATEVALUE(LEFT(G3962,10))</f>
        <v/>
      </c>
      <c r="O3962" s="396">
        <f>TIMEVALUE(MID(G3962,12,8))</f>
        <v/>
      </c>
      <c r="P3962" s="396">
        <f>IFERROR(_xlfn.MINIFS($M:$M,$E:$E,$E3962,$K:$K,$K3962,$M:$M,"&gt;"&amp;$O3962),"")</f>
        <v/>
      </c>
      <c r="Q3962" s="396">
        <f>IF($P3962="","",$P3962-$O3962)</f>
        <v/>
      </c>
    </row>
    <row r="3963" ht="15" customHeight="1" s="231">
      <c r="K3963" s="395">
        <f>DATE(VALUE(LEFT(A3963,4)),VALUE(MID(A3963,5,2)),VALUE(RIGHT(A3963,2)))</f>
        <v/>
      </c>
      <c r="L3963" s="395">
        <f>DATEVALUE(LEFT(F3963,10))</f>
        <v/>
      </c>
      <c r="M3963" s="396">
        <f>TIMEVALUE(MID(F3963,12,8))</f>
        <v/>
      </c>
      <c r="N3963" s="395">
        <f>DATEVALUE(LEFT(G3963,10))</f>
        <v/>
      </c>
      <c r="O3963" s="396">
        <f>TIMEVALUE(MID(G3963,12,8))</f>
        <v/>
      </c>
      <c r="P3963" s="396">
        <f>IFERROR(_xlfn.MINIFS($M:$M,$E:$E,$E3963,$K:$K,$K3963,$M:$M,"&gt;"&amp;$O3963),"")</f>
        <v/>
      </c>
      <c r="Q3963" s="396">
        <f>IF($P3963="","",$P3963-$O3963)</f>
        <v/>
      </c>
    </row>
    <row r="3964" ht="15" customHeight="1" s="231">
      <c r="K3964" s="395">
        <f>DATE(VALUE(LEFT(A3964,4)),VALUE(MID(A3964,5,2)),VALUE(RIGHT(A3964,2)))</f>
        <v/>
      </c>
      <c r="L3964" s="395">
        <f>DATEVALUE(LEFT(F3964,10))</f>
        <v/>
      </c>
      <c r="M3964" s="396">
        <f>TIMEVALUE(MID(F3964,12,8))</f>
        <v/>
      </c>
      <c r="N3964" s="395">
        <f>DATEVALUE(LEFT(G3964,10))</f>
        <v/>
      </c>
      <c r="O3964" s="396">
        <f>TIMEVALUE(MID(G3964,12,8))</f>
        <v/>
      </c>
      <c r="P3964" s="396">
        <f>IFERROR(_xlfn.MINIFS($M:$M,$E:$E,$E3964,$K:$K,$K3964,$M:$M,"&gt;"&amp;$O3964),"")</f>
        <v/>
      </c>
      <c r="Q3964" s="396">
        <f>IF($P3964="","",$P3964-$O3964)</f>
        <v/>
      </c>
    </row>
    <row r="3965" ht="15" customHeight="1" s="231">
      <c r="K3965" s="395">
        <f>DATE(VALUE(LEFT(A3965,4)),VALUE(MID(A3965,5,2)),VALUE(RIGHT(A3965,2)))</f>
        <v/>
      </c>
      <c r="L3965" s="395">
        <f>DATEVALUE(LEFT(F3965,10))</f>
        <v/>
      </c>
      <c r="M3965" s="396">
        <f>TIMEVALUE(MID(F3965,12,8))</f>
        <v/>
      </c>
      <c r="N3965" s="395">
        <f>DATEVALUE(LEFT(G3965,10))</f>
        <v/>
      </c>
      <c r="O3965" s="396">
        <f>TIMEVALUE(MID(G3965,12,8))</f>
        <v/>
      </c>
      <c r="P3965" s="396">
        <f>IFERROR(_xlfn.MINIFS($M:$M,$E:$E,$E3965,$K:$K,$K3965,$M:$M,"&gt;"&amp;$O3965),"")</f>
        <v/>
      </c>
      <c r="Q3965" s="396">
        <f>IF($P3965="","",$P3965-$O3965)</f>
        <v/>
      </c>
    </row>
    <row r="3966" ht="15" customHeight="1" s="231">
      <c r="K3966" s="395">
        <f>DATE(VALUE(LEFT(A3966,4)),VALUE(MID(A3966,5,2)),VALUE(RIGHT(A3966,2)))</f>
        <v/>
      </c>
      <c r="L3966" s="395">
        <f>DATEVALUE(LEFT(F3966,10))</f>
        <v/>
      </c>
      <c r="M3966" s="396">
        <f>TIMEVALUE(MID(F3966,12,8))</f>
        <v/>
      </c>
      <c r="N3966" s="395">
        <f>DATEVALUE(LEFT(G3966,10))</f>
        <v/>
      </c>
      <c r="O3966" s="396">
        <f>TIMEVALUE(MID(G3966,12,8))</f>
        <v/>
      </c>
      <c r="P3966" s="396">
        <f>IFERROR(_xlfn.MINIFS($M:$M,$E:$E,$E3966,$K:$K,$K3966,$M:$M,"&gt;"&amp;$O3966),"")</f>
        <v/>
      </c>
      <c r="Q3966" s="396">
        <f>IF($P3966="","",$P3966-$O3966)</f>
        <v/>
      </c>
    </row>
    <row r="3967" ht="15" customHeight="1" s="231">
      <c r="K3967" s="395">
        <f>DATE(VALUE(LEFT(A3967,4)),VALUE(MID(A3967,5,2)),VALUE(RIGHT(A3967,2)))</f>
        <v/>
      </c>
      <c r="L3967" s="395">
        <f>DATEVALUE(LEFT(F3967,10))</f>
        <v/>
      </c>
      <c r="M3967" s="396">
        <f>TIMEVALUE(MID(F3967,12,8))</f>
        <v/>
      </c>
      <c r="N3967" s="395">
        <f>DATEVALUE(LEFT(G3967,10))</f>
        <v/>
      </c>
      <c r="O3967" s="396">
        <f>TIMEVALUE(MID(G3967,12,8))</f>
        <v/>
      </c>
      <c r="P3967" s="396">
        <f>IFERROR(_xlfn.MINIFS($M:$M,$E:$E,$E3967,$K:$K,$K3967,$M:$M,"&gt;"&amp;$O3967),"")</f>
        <v/>
      </c>
      <c r="Q3967" s="396">
        <f>IF($P3967="","",$P3967-$O3967)</f>
        <v/>
      </c>
    </row>
    <row r="3968" ht="15" customHeight="1" s="231">
      <c r="K3968" s="395">
        <f>DATE(VALUE(LEFT(A3968,4)),VALUE(MID(A3968,5,2)),VALUE(RIGHT(A3968,2)))</f>
        <v/>
      </c>
      <c r="L3968" s="395">
        <f>DATEVALUE(LEFT(F3968,10))</f>
        <v/>
      </c>
      <c r="M3968" s="396">
        <f>TIMEVALUE(MID(F3968,12,8))</f>
        <v/>
      </c>
      <c r="N3968" s="395">
        <f>DATEVALUE(LEFT(G3968,10))</f>
        <v/>
      </c>
      <c r="O3968" s="396">
        <f>TIMEVALUE(MID(G3968,12,8))</f>
        <v/>
      </c>
      <c r="P3968" s="396">
        <f>IFERROR(_xlfn.MINIFS($M:$M,$E:$E,$E3968,$K:$K,$K3968,$M:$M,"&gt;"&amp;$O3968),"")</f>
        <v/>
      </c>
      <c r="Q3968" s="396">
        <f>IF($P3968="","",$P3968-$O3968)</f>
        <v/>
      </c>
    </row>
    <row r="3969" ht="15" customHeight="1" s="231">
      <c r="K3969" s="395">
        <f>DATE(VALUE(LEFT(A3969,4)),VALUE(MID(A3969,5,2)),VALUE(RIGHT(A3969,2)))</f>
        <v/>
      </c>
      <c r="L3969" s="395">
        <f>DATEVALUE(LEFT(F3969,10))</f>
        <v/>
      </c>
      <c r="M3969" s="396">
        <f>TIMEVALUE(MID(F3969,12,8))</f>
        <v/>
      </c>
      <c r="N3969" s="395">
        <f>DATEVALUE(LEFT(G3969,10))</f>
        <v/>
      </c>
      <c r="O3969" s="396">
        <f>TIMEVALUE(MID(G3969,12,8))</f>
        <v/>
      </c>
      <c r="P3969" s="396">
        <f>IFERROR(_xlfn.MINIFS($M:$M,$E:$E,$E3969,$K:$K,$K3969,$M:$M,"&gt;"&amp;$O3969),"")</f>
        <v/>
      </c>
      <c r="Q3969" s="396">
        <f>IF($P3969="","",$P3969-$O3969)</f>
        <v/>
      </c>
    </row>
    <row r="3970" ht="15" customHeight="1" s="231">
      <c r="K3970" s="395">
        <f>DATE(VALUE(LEFT(A3970,4)),VALUE(MID(A3970,5,2)),VALUE(RIGHT(A3970,2)))</f>
        <v/>
      </c>
      <c r="L3970" s="395">
        <f>DATEVALUE(LEFT(F3970,10))</f>
        <v/>
      </c>
      <c r="M3970" s="396">
        <f>TIMEVALUE(MID(F3970,12,8))</f>
        <v/>
      </c>
      <c r="N3970" s="395">
        <f>DATEVALUE(LEFT(G3970,10))</f>
        <v/>
      </c>
      <c r="O3970" s="396">
        <f>TIMEVALUE(MID(G3970,12,8))</f>
        <v/>
      </c>
      <c r="P3970" s="396">
        <f>IFERROR(_xlfn.MINIFS($M:$M,$E:$E,$E3970,$K:$K,$K3970,$M:$M,"&gt;"&amp;$O3970),"")</f>
        <v/>
      </c>
      <c r="Q3970" s="396">
        <f>IF($P3970="","",$P3970-$O3970)</f>
        <v/>
      </c>
    </row>
    <row r="3971" ht="15" customHeight="1" s="231">
      <c r="K3971" s="395">
        <f>DATE(VALUE(LEFT(A3971,4)),VALUE(MID(A3971,5,2)),VALUE(RIGHT(A3971,2)))</f>
        <v/>
      </c>
      <c r="L3971" s="395">
        <f>DATEVALUE(LEFT(F3971,10))</f>
        <v/>
      </c>
      <c r="M3971" s="396">
        <f>TIMEVALUE(MID(F3971,12,8))</f>
        <v/>
      </c>
      <c r="N3971" s="395">
        <f>DATEVALUE(LEFT(G3971,10))</f>
        <v/>
      </c>
      <c r="O3971" s="396">
        <f>TIMEVALUE(MID(G3971,12,8))</f>
        <v/>
      </c>
      <c r="P3971" s="396">
        <f>IFERROR(_xlfn.MINIFS($M:$M,$E:$E,$E3971,$K:$K,$K3971,$M:$M,"&gt;"&amp;$O3971),"")</f>
        <v/>
      </c>
      <c r="Q3971" s="396">
        <f>IF($P3971="","",$P3971-$O3971)</f>
        <v/>
      </c>
    </row>
    <row r="3972" ht="15" customHeight="1" s="231">
      <c r="K3972" s="395">
        <f>DATE(VALUE(LEFT(A3972,4)),VALUE(MID(A3972,5,2)),VALUE(RIGHT(A3972,2)))</f>
        <v/>
      </c>
      <c r="L3972" s="395">
        <f>DATEVALUE(LEFT(F3972,10))</f>
        <v/>
      </c>
      <c r="M3972" s="396">
        <f>TIMEVALUE(MID(F3972,12,8))</f>
        <v/>
      </c>
      <c r="N3972" s="395">
        <f>DATEVALUE(LEFT(G3972,10))</f>
        <v/>
      </c>
      <c r="O3972" s="396">
        <f>TIMEVALUE(MID(G3972,12,8))</f>
        <v/>
      </c>
      <c r="P3972" s="396">
        <f>IFERROR(_xlfn.MINIFS($M:$M,$E:$E,$E3972,$K:$K,$K3972,$M:$M,"&gt;"&amp;$O3972),"")</f>
        <v/>
      </c>
      <c r="Q3972" s="396">
        <f>IF($P3972="","",$P3972-$O3972)</f>
        <v/>
      </c>
    </row>
    <row r="3973" ht="15" customHeight="1" s="231">
      <c r="K3973" s="395">
        <f>DATE(VALUE(LEFT(A3973,4)),VALUE(MID(A3973,5,2)),VALUE(RIGHT(A3973,2)))</f>
        <v/>
      </c>
      <c r="L3973" s="395">
        <f>DATEVALUE(LEFT(F3973,10))</f>
        <v/>
      </c>
      <c r="M3973" s="396">
        <f>TIMEVALUE(MID(F3973,12,8))</f>
        <v/>
      </c>
      <c r="N3973" s="395">
        <f>DATEVALUE(LEFT(G3973,10))</f>
        <v/>
      </c>
      <c r="O3973" s="396">
        <f>TIMEVALUE(MID(G3973,12,8))</f>
        <v/>
      </c>
      <c r="P3973" s="396">
        <f>IFERROR(_xlfn.MINIFS($M:$M,$E:$E,$E3973,$K:$K,$K3973,$M:$M,"&gt;"&amp;$O3973),"")</f>
        <v/>
      </c>
      <c r="Q3973" s="396">
        <f>IF($P3973="","",$P3973-$O3973)</f>
        <v/>
      </c>
    </row>
    <row r="3974" ht="15" customHeight="1" s="231">
      <c r="K3974" s="395">
        <f>DATE(VALUE(LEFT(A3974,4)),VALUE(MID(A3974,5,2)),VALUE(RIGHT(A3974,2)))</f>
        <v/>
      </c>
      <c r="L3974" s="395">
        <f>DATEVALUE(LEFT(F3974,10))</f>
        <v/>
      </c>
      <c r="M3974" s="396">
        <f>TIMEVALUE(MID(F3974,12,8))</f>
        <v/>
      </c>
      <c r="N3974" s="395">
        <f>DATEVALUE(LEFT(G3974,10))</f>
        <v/>
      </c>
      <c r="O3974" s="396">
        <f>TIMEVALUE(MID(G3974,12,8))</f>
        <v/>
      </c>
      <c r="P3974" s="396">
        <f>IFERROR(_xlfn.MINIFS($M:$M,$E:$E,$E3974,$K:$K,$K3974,$M:$M,"&gt;"&amp;$O3974),"")</f>
        <v/>
      </c>
      <c r="Q3974" s="396">
        <f>IF($P3974="","",$P3974-$O3974)</f>
        <v/>
      </c>
    </row>
    <row r="3975" ht="15" customHeight="1" s="231">
      <c r="K3975" s="395">
        <f>DATE(VALUE(LEFT(A3975,4)),VALUE(MID(A3975,5,2)),VALUE(RIGHT(A3975,2)))</f>
        <v/>
      </c>
      <c r="L3975" s="395">
        <f>DATEVALUE(LEFT(F3975,10))</f>
        <v/>
      </c>
      <c r="M3975" s="396">
        <f>TIMEVALUE(MID(F3975,12,8))</f>
        <v/>
      </c>
      <c r="N3975" s="395">
        <f>DATEVALUE(LEFT(G3975,10))</f>
        <v/>
      </c>
      <c r="O3975" s="396">
        <f>TIMEVALUE(MID(G3975,12,8))</f>
        <v/>
      </c>
      <c r="P3975" s="396">
        <f>IFERROR(_xlfn.MINIFS($M:$M,$E:$E,$E3975,$K:$K,$K3975,$M:$M,"&gt;"&amp;$O3975),"")</f>
        <v/>
      </c>
      <c r="Q3975" s="396">
        <f>IF($P3975="","",$P3975-$O3975)</f>
        <v/>
      </c>
    </row>
    <row r="3976" ht="15" customHeight="1" s="231">
      <c r="K3976" s="395">
        <f>DATE(VALUE(LEFT(A3976,4)),VALUE(MID(A3976,5,2)),VALUE(RIGHT(A3976,2)))</f>
        <v/>
      </c>
      <c r="L3976" s="395">
        <f>DATEVALUE(LEFT(F3976,10))</f>
        <v/>
      </c>
      <c r="M3976" s="396">
        <f>TIMEVALUE(MID(F3976,12,8))</f>
        <v/>
      </c>
      <c r="N3976" s="395">
        <f>DATEVALUE(LEFT(G3976,10))</f>
        <v/>
      </c>
      <c r="O3976" s="396">
        <f>TIMEVALUE(MID(G3976,12,8))</f>
        <v/>
      </c>
      <c r="P3976" s="396">
        <f>IFERROR(_xlfn.MINIFS($M:$M,$E:$E,$E3976,$K:$K,$K3976,$M:$M,"&gt;"&amp;$O3976),"")</f>
        <v/>
      </c>
      <c r="Q3976" s="396">
        <f>IF($P3976="","",$P3976-$O3976)</f>
        <v/>
      </c>
    </row>
    <row r="3977" ht="15" customHeight="1" s="231">
      <c r="K3977" s="395">
        <f>DATE(VALUE(LEFT(A3977,4)),VALUE(MID(A3977,5,2)),VALUE(RIGHT(A3977,2)))</f>
        <v/>
      </c>
      <c r="L3977" s="395">
        <f>DATEVALUE(LEFT(F3977,10))</f>
        <v/>
      </c>
      <c r="M3977" s="396">
        <f>TIMEVALUE(MID(F3977,12,8))</f>
        <v/>
      </c>
      <c r="N3977" s="395">
        <f>DATEVALUE(LEFT(G3977,10))</f>
        <v/>
      </c>
      <c r="O3977" s="396">
        <f>TIMEVALUE(MID(G3977,12,8))</f>
        <v/>
      </c>
      <c r="P3977" s="396">
        <f>IFERROR(_xlfn.MINIFS($M:$M,$E:$E,$E3977,$K:$K,$K3977,$M:$M,"&gt;"&amp;$O3977),"")</f>
        <v/>
      </c>
      <c r="Q3977" s="396">
        <f>IF($P3977="","",$P3977-$O3977)</f>
        <v/>
      </c>
    </row>
    <row r="3978" ht="15" customHeight="1" s="231">
      <c r="K3978" s="395">
        <f>DATE(VALUE(LEFT(A3978,4)),VALUE(MID(A3978,5,2)),VALUE(RIGHT(A3978,2)))</f>
        <v/>
      </c>
      <c r="L3978" s="395">
        <f>DATEVALUE(LEFT(F3978,10))</f>
        <v/>
      </c>
      <c r="M3978" s="396">
        <f>TIMEVALUE(MID(F3978,12,8))</f>
        <v/>
      </c>
      <c r="N3978" s="395">
        <f>DATEVALUE(LEFT(G3978,10))</f>
        <v/>
      </c>
      <c r="O3978" s="396">
        <f>TIMEVALUE(MID(G3978,12,8))</f>
        <v/>
      </c>
      <c r="P3978" s="396">
        <f>IFERROR(_xlfn.MINIFS($M:$M,$E:$E,$E3978,$K:$K,$K3978,$M:$M,"&gt;"&amp;$O3978),"")</f>
        <v/>
      </c>
      <c r="Q3978" s="396">
        <f>IF($P3978="","",$P3978-$O3978)</f>
        <v/>
      </c>
    </row>
    <row r="3979" ht="15" customHeight="1" s="231">
      <c r="K3979" s="395">
        <f>DATE(VALUE(LEFT(A3979,4)),VALUE(MID(A3979,5,2)),VALUE(RIGHT(A3979,2)))</f>
        <v/>
      </c>
      <c r="L3979" s="395">
        <f>DATEVALUE(LEFT(F3979,10))</f>
        <v/>
      </c>
      <c r="M3979" s="396">
        <f>TIMEVALUE(MID(F3979,12,8))</f>
        <v/>
      </c>
      <c r="N3979" s="395">
        <f>DATEVALUE(LEFT(G3979,10))</f>
        <v/>
      </c>
      <c r="O3979" s="396">
        <f>TIMEVALUE(MID(G3979,12,8))</f>
        <v/>
      </c>
      <c r="P3979" s="396">
        <f>IFERROR(_xlfn.MINIFS($M:$M,$E:$E,$E3979,$K:$K,$K3979,$M:$M,"&gt;"&amp;$O3979),"")</f>
        <v/>
      </c>
      <c r="Q3979" s="396">
        <f>IF($P3979="","",$P3979-$O3979)</f>
        <v/>
      </c>
    </row>
    <row r="3980" ht="15" customHeight="1" s="231">
      <c r="K3980" s="395">
        <f>DATE(VALUE(LEFT(A3980,4)),VALUE(MID(A3980,5,2)),VALUE(RIGHT(A3980,2)))</f>
        <v/>
      </c>
      <c r="L3980" s="395">
        <f>DATEVALUE(LEFT(F3980,10))</f>
        <v/>
      </c>
      <c r="M3980" s="396">
        <f>TIMEVALUE(MID(F3980,12,8))</f>
        <v/>
      </c>
      <c r="N3980" s="395">
        <f>DATEVALUE(LEFT(G3980,10))</f>
        <v/>
      </c>
      <c r="O3980" s="396">
        <f>TIMEVALUE(MID(G3980,12,8))</f>
        <v/>
      </c>
      <c r="P3980" s="396">
        <f>IFERROR(_xlfn.MINIFS($M:$M,$E:$E,$E3980,$K:$K,$K3980,$M:$M,"&gt;"&amp;$O3980),"")</f>
        <v/>
      </c>
      <c r="Q3980" s="396">
        <f>IF($P3980="","",$P3980-$O3980)</f>
        <v/>
      </c>
    </row>
    <row r="3981" ht="15" customHeight="1" s="231">
      <c r="K3981" s="395">
        <f>DATE(VALUE(LEFT(A3981,4)),VALUE(MID(A3981,5,2)),VALUE(RIGHT(A3981,2)))</f>
        <v/>
      </c>
      <c r="L3981" s="395">
        <f>DATEVALUE(LEFT(F3981,10))</f>
        <v/>
      </c>
      <c r="M3981" s="396">
        <f>TIMEVALUE(MID(F3981,12,8))</f>
        <v/>
      </c>
      <c r="N3981" s="395">
        <f>DATEVALUE(LEFT(G3981,10))</f>
        <v/>
      </c>
      <c r="O3981" s="396">
        <f>TIMEVALUE(MID(G3981,12,8))</f>
        <v/>
      </c>
      <c r="P3981" s="396">
        <f>IFERROR(_xlfn.MINIFS($M:$M,$E:$E,$E3981,$K:$K,$K3981,$M:$M,"&gt;"&amp;$O3981),"")</f>
        <v/>
      </c>
      <c r="Q3981" s="396">
        <f>IF($P3981="","",$P3981-$O3981)</f>
        <v/>
      </c>
    </row>
    <row r="3982" ht="15" customHeight="1" s="231">
      <c r="K3982" s="395">
        <f>DATE(VALUE(LEFT(A3982,4)),VALUE(MID(A3982,5,2)),VALUE(RIGHT(A3982,2)))</f>
        <v/>
      </c>
      <c r="L3982" s="395">
        <f>DATEVALUE(LEFT(F3982,10))</f>
        <v/>
      </c>
      <c r="M3982" s="396">
        <f>TIMEVALUE(MID(F3982,12,8))</f>
        <v/>
      </c>
      <c r="N3982" s="395">
        <f>DATEVALUE(LEFT(G3982,10))</f>
        <v/>
      </c>
      <c r="O3982" s="396">
        <f>TIMEVALUE(MID(G3982,12,8))</f>
        <v/>
      </c>
      <c r="P3982" s="396">
        <f>IFERROR(_xlfn.MINIFS($M:$M,$E:$E,$E3982,$K:$K,$K3982,$M:$M,"&gt;"&amp;$O3982),"")</f>
        <v/>
      </c>
      <c r="Q3982" s="396">
        <f>IF($P3982="","",$P3982-$O3982)</f>
        <v/>
      </c>
    </row>
    <row r="3983" ht="15" customHeight="1" s="231">
      <c r="K3983" s="395">
        <f>DATE(VALUE(LEFT(A3983,4)),VALUE(MID(A3983,5,2)),VALUE(RIGHT(A3983,2)))</f>
        <v/>
      </c>
      <c r="L3983" s="395">
        <f>DATEVALUE(LEFT(F3983,10))</f>
        <v/>
      </c>
      <c r="M3983" s="396">
        <f>TIMEVALUE(MID(F3983,12,8))</f>
        <v/>
      </c>
      <c r="N3983" s="395">
        <f>DATEVALUE(LEFT(G3983,10))</f>
        <v/>
      </c>
      <c r="O3983" s="396">
        <f>TIMEVALUE(MID(G3983,12,8))</f>
        <v/>
      </c>
      <c r="P3983" s="396">
        <f>IFERROR(_xlfn.MINIFS($M:$M,$E:$E,$E3983,$K:$K,$K3983,$M:$M,"&gt;"&amp;$O3983),"")</f>
        <v/>
      </c>
      <c r="Q3983" s="396">
        <f>IF($P3983="","",$P3983-$O3983)</f>
        <v/>
      </c>
    </row>
    <row r="3984" ht="15" customHeight="1" s="231">
      <c r="K3984" s="395">
        <f>DATE(VALUE(LEFT(A3984,4)),VALUE(MID(A3984,5,2)),VALUE(RIGHT(A3984,2)))</f>
        <v/>
      </c>
      <c r="L3984" s="395">
        <f>DATEVALUE(LEFT(F3984,10))</f>
        <v/>
      </c>
      <c r="M3984" s="396">
        <f>TIMEVALUE(MID(F3984,12,8))</f>
        <v/>
      </c>
      <c r="N3984" s="395">
        <f>DATEVALUE(LEFT(G3984,10))</f>
        <v/>
      </c>
      <c r="O3984" s="396">
        <f>TIMEVALUE(MID(G3984,12,8))</f>
        <v/>
      </c>
      <c r="P3984" s="396">
        <f>IFERROR(_xlfn.MINIFS($M:$M,$E:$E,$E3984,$K:$K,$K3984,$M:$M,"&gt;"&amp;$O3984),"")</f>
        <v/>
      </c>
      <c r="Q3984" s="396">
        <f>IF($P3984="","",$P3984-$O3984)</f>
        <v/>
      </c>
    </row>
    <row r="3985" ht="15" customHeight="1" s="231">
      <c r="K3985" s="395">
        <f>DATE(VALUE(LEFT(A3985,4)),VALUE(MID(A3985,5,2)),VALUE(RIGHT(A3985,2)))</f>
        <v/>
      </c>
      <c r="L3985" s="395">
        <f>DATEVALUE(LEFT(F3985,10))</f>
        <v/>
      </c>
      <c r="M3985" s="396">
        <f>TIMEVALUE(MID(F3985,12,8))</f>
        <v/>
      </c>
      <c r="N3985" s="395">
        <f>DATEVALUE(LEFT(G3985,10))</f>
        <v/>
      </c>
      <c r="O3985" s="396">
        <f>TIMEVALUE(MID(G3985,12,8))</f>
        <v/>
      </c>
      <c r="P3985" s="396">
        <f>IFERROR(_xlfn.MINIFS($M:$M,$E:$E,$E3985,$K:$K,$K3985,$M:$M,"&gt;"&amp;$O3985),"")</f>
        <v/>
      </c>
      <c r="Q3985" s="396">
        <f>IF($P3985="","",$P3985-$O3985)</f>
        <v/>
      </c>
    </row>
    <row r="3986" ht="15" customHeight="1" s="231">
      <c r="K3986" s="395">
        <f>DATE(VALUE(LEFT(A3986,4)),VALUE(MID(A3986,5,2)),VALUE(RIGHT(A3986,2)))</f>
        <v/>
      </c>
      <c r="L3986" s="395">
        <f>DATEVALUE(LEFT(F3986,10))</f>
        <v/>
      </c>
      <c r="M3986" s="396">
        <f>TIMEVALUE(MID(F3986,12,8))</f>
        <v/>
      </c>
      <c r="N3986" s="395">
        <f>DATEVALUE(LEFT(G3986,10))</f>
        <v/>
      </c>
      <c r="O3986" s="396">
        <f>TIMEVALUE(MID(G3986,12,8))</f>
        <v/>
      </c>
      <c r="P3986" s="396">
        <f>IFERROR(_xlfn.MINIFS($M:$M,$E:$E,$E3986,$K:$K,$K3986,$M:$M,"&gt;"&amp;$O3986),"")</f>
        <v/>
      </c>
      <c r="Q3986" s="396">
        <f>IF($P3986="","",$P3986-$O3986)</f>
        <v/>
      </c>
    </row>
    <row r="3987" ht="15" customHeight="1" s="231">
      <c r="K3987" s="395">
        <f>DATE(VALUE(LEFT(A3987,4)),VALUE(MID(A3987,5,2)),VALUE(RIGHT(A3987,2)))</f>
        <v/>
      </c>
      <c r="L3987" s="395">
        <f>DATEVALUE(LEFT(F3987,10))</f>
        <v/>
      </c>
      <c r="M3987" s="396">
        <f>TIMEVALUE(MID(F3987,12,8))</f>
        <v/>
      </c>
      <c r="N3987" s="395">
        <f>DATEVALUE(LEFT(G3987,10))</f>
        <v/>
      </c>
      <c r="O3987" s="396">
        <f>TIMEVALUE(MID(G3987,12,8))</f>
        <v/>
      </c>
      <c r="P3987" s="396">
        <f>IFERROR(_xlfn.MINIFS($M:$M,$E:$E,$E3987,$K:$K,$K3987,$M:$M,"&gt;"&amp;$O3987),"")</f>
        <v/>
      </c>
      <c r="Q3987" s="396">
        <f>IF($P3987="","",$P3987-$O3987)</f>
        <v/>
      </c>
    </row>
    <row r="3988" ht="15" customHeight="1" s="231">
      <c r="K3988" s="395">
        <f>DATE(VALUE(LEFT(A3988,4)),VALUE(MID(A3988,5,2)),VALUE(RIGHT(A3988,2)))</f>
        <v/>
      </c>
      <c r="L3988" s="395">
        <f>DATEVALUE(LEFT(F3988,10))</f>
        <v/>
      </c>
      <c r="M3988" s="396">
        <f>TIMEVALUE(MID(F3988,12,8))</f>
        <v/>
      </c>
      <c r="N3988" s="395">
        <f>DATEVALUE(LEFT(G3988,10))</f>
        <v/>
      </c>
      <c r="O3988" s="396">
        <f>TIMEVALUE(MID(G3988,12,8))</f>
        <v/>
      </c>
      <c r="P3988" s="396">
        <f>IFERROR(_xlfn.MINIFS($M:$M,$E:$E,$E3988,$K:$K,$K3988,$M:$M,"&gt;"&amp;$O3988),"")</f>
        <v/>
      </c>
      <c r="Q3988" s="396">
        <f>IF($P3988="","",$P3988-$O3988)</f>
        <v/>
      </c>
    </row>
    <row r="3989" ht="15" customHeight="1" s="231">
      <c r="K3989" s="395">
        <f>DATE(VALUE(LEFT(A3989,4)),VALUE(MID(A3989,5,2)),VALUE(RIGHT(A3989,2)))</f>
        <v/>
      </c>
      <c r="L3989" s="395">
        <f>DATEVALUE(LEFT(F3989,10))</f>
        <v/>
      </c>
      <c r="M3989" s="396">
        <f>TIMEVALUE(MID(F3989,12,8))</f>
        <v/>
      </c>
      <c r="N3989" s="395">
        <f>DATEVALUE(LEFT(G3989,10))</f>
        <v/>
      </c>
      <c r="O3989" s="396">
        <f>TIMEVALUE(MID(G3989,12,8))</f>
        <v/>
      </c>
      <c r="P3989" s="396">
        <f>IFERROR(_xlfn.MINIFS($M:$M,$E:$E,$E3989,$K:$K,$K3989,$M:$M,"&gt;"&amp;$O3989),"")</f>
        <v/>
      </c>
      <c r="Q3989" s="396">
        <f>IF($P3989="","",$P3989-$O3989)</f>
        <v/>
      </c>
    </row>
    <row r="3990" ht="15" customHeight="1" s="231">
      <c r="K3990" s="395">
        <f>DATE(VALUE(LEFT(A3990,4)),VALUE(MID(A3990,5,2)),VALUE(RIGHT(A3990,2)))</f>
        <v/>
      </c>
      <c r="L3990" s="395">
        <f>DATEVALUE(LEFT(F3990,10))</f>
        <v/>
      </c>
      <c r="M3990" s="396">
        <f>TIMEVALUE(MID(F3990,12,8))</f>
        <v/>
      </c>
      <c r="N3990" s="395">
        <f>DATEVALUE(LEFT(G3990,10))</f>
        <v/>
      </c>
      <c r="O3990" s="396">
        <f>TIMEVALUE(MID(G3990,12,8))</f>
        <v/>
      </c>
      <c r="P3990" s="396">
        <f>IFERROR(_xlfn.MINIFS($M:$M,$E:$E,$E3990,$K:$K,$K3990,$M:$M,"&gt;"&amp;$O3990),"")</f>
        <v/>
      </c>
      <c r="Q3990" s="396">
        <f>IF($P3990="","",$P3990-$O3990)</f>
        <v/>
      </c>
    </row>
    <row r="3991" ht="15" customHeight="1" s="231">
      <c r="K3991" s="395">
        <f>DATE(VALUE(LEFT(A3991,4)),VALUE(MID(A3991,5,2)),VALUE(RIGHT(A3991,2)))</f>
        <v/>
      </c>
      <c r="L3991" s="395">
        <f>DATEVALUE(LEFT(F3991,10))</f>
        <v/>
      </c>
      <c r="M3991" s="396">
        <f>TIMEVALUE(MID(F3991,12,8))</f>
        <v/>
      </c>
      <c r="N3991" s="395">
        <f>DATEVALUE(LEFT(G3991,10))</f>
        <v/>
      </c>
      <c r="O3991" s="396">
        <f>TIMEVALUE(MID(G3991,12,8))</f>
        <v/>
      </c>
      <c r="P3991" s="396">
        <f>IFERROR(_xlfn.MINIFS($M:$M,$E:$E,$E3991,$K:$K,$K3991,$M:$M,"&gt;"&amp;$O3991),"")</f>
        <v/>
      </c>
      <c r="Q3991" s="396">
        <f>IF($P3991="","",$P3991-$O3991)</f>
        <v/>
      </c>
    </row>
    <row r="3992" ht="15" customHeight="1" s="231">
      <c r="K3992" s="395">
        <f>DATE(VALUE(LEFT(A3992,4)),VALUE(MID(A3992,5,2)),VALUE(RIGHT(A3992,2)))</f>
        <v/>
      </c>
      <c r="L3992" s="395">
        <f>DATEVALUE(LEFT(F3992,10))</f>
        <v/>
      </c>
      <c r="M3992" s="396">
        <f>TIMEVALUE(MID(F3992,12,8))</f>
        <v/>
      </c>
      <c r="N3992" s="395">
        <f>DATEVALUE(LEFT(G3992,10))</f>
        <v/>
      </c>
      <c r="O3992" s="396">
        <f>TIMEVALUE(MID(G3992,12,8))</f>
        <v/>
      </c>
      <c r="P3992" s="396">
        <f>IFERROR(_xlfn.MINIFS($M:$M,$E:$E,$E3992,$K:$K,$K3992,$M:$M,"&gt;"&amp;$O3992),"")</f>
        <v/>
      </c>
      <c r="Q3992" s="396">
        <f>IF($P3992="","",$P3992-$O3992)</f>
        <v/>
      </c>
    </row>
    <row r="3993" ht="15" customHeight="1" s="231">
      <c r="K3993" s="395">
        <f>DATE(VALUE(LEFT(A3993,4)),VALUE(MID(A3993,5,2)),VALUE(RIGHT(A3993,2)))</f>
        <v/>
      </c>
      <c r="L3993" s="395">
        <f>DATEVALUE(LEFT(F3993,10))</f>
        <v/>
      </c>
      <c r="M3993" s="396">
        <f>TIMEVALUE(MID(F3993,12,8))</f>
        <v/>
      </c>
      <c r="N3993" s="395">
        <f>DATEVALUE(LEFT(G3993,10))</f>
        <v/>
      </c>
      <c r="O3993" s="396">
        <f>TIMEVALUE(MID(G3993,12,8))</f>
        <v/>
      </c>
      <c r="P3993" s="396">
        <f>IFERROR(_xlfn.MINIFS($M:$M,$E:$E,$E3993,$K:$K,$K3993,$M:$M,"&gt;"&amp;$O3993),"")</f>
        <v/>
      </c>
      <c r="Q3993" s="396">
        <f>IF($P3993="","",$P3993-$O3993)</f>
        <v/>
      </c>
    </row>
    <row r="3994" ht="15" customHeight="1" s="231">
      <c r="K3994" s="395">
        <f>DATE(VALUE(LEFT(A3994,4)),VALUE(MID(A3994,5,2)),VALUE(RIGHT(A3994,2)))</f>
        <v/>
      </c>
      <c r="L3994" s="395">
        <f>DATEVALUE(LEFT(F3994,10))</f>
        <v/>
      </c>
      <c r="M3994" s="396">
        <f>TIMEVALUE(MID(F3994,12,8))</f>
        <v/>
      </c>
      <c r="N3994" s="395">
        <f>DATEVALUE(LEFT(G3994,10))</f>
        <v/>
      </c>
      <c r="O3994" s="396">
        <f>TIMEVALUE(MID(G3994,12,8))</f>
        <v/>
      </c>
      <c r="P3994" s="396">
        <f>IFERROR(_xlfn.MINIFS($M:$M,$E:$E,$E3994,$K:$K,$K3994,$M:$M,"&gt;"&amp;$O3994),"")</f>
        <v/>
      </c>
      <c r="Q3994" s="396">
        <f>IF($P3994="","",$P3994-$O3994)</f>
        <v/>
      </c>
    </row>
    <row r="3995" ht="15" customHeight="1" s="231">
      <c r="K3995" s="395">
        <f>DATE(VALUE(LEFT(A3995,4)),VALUE(MID(A3995,5,2)),VALUE(RIGHT(A3995,2)))</f>
        <v/>
      </c>
      <c r="L3995" s="395">
        <f>DATEVALUE(LEFT(F3995,10))</f>
        <v/>
      </c>
      <c r="M3995" s="396">
        <f>TIMEVALUE(MID(F3995,12,8))</f>
        <v/>
      </c>
      <c r="N3995" s="395">
        <f>DATEVALUE(LEFT(G3995,10))</f>
        <v/>
      </c>
      <c r="O3995" s="396">
        <f>TIMEVALUE(MID(G3995,12,8))</f>
        <v/>
      </c>
      <c r="P3995" s="396">
        <f>IFERROR(_xlfn.MINIFS($M:$M,$E:$E,$E3995,$K:$K,$K3995,$M:$M,"&gt;"&amp;$O3995),"")</f>
        <v/>
      </c>
      <c r="Q3995" s="396">
        <f>IF($P3995="","",$P3995-$O3995)</f>
        <v/>
      </c>
    </row>
    <row r="3996" ht="15" customHeight="1" s="231">
      <c r="K3996" s="395">
        <f>DATE(VALUE(LEFT(A3996,4)),VALUE(MID(A3996,5,2)),VALUE(RIGHT(A3996,2)))</f>
        <v/>
      </c>
      <c r="L3996" s="395">
        <f>DATEVALUE(LEFT(F3996,10))</f>
        <v/>
      </c>
      <c r="M3996" s="396">
        <f>TIMEVALUE(MID(F3996,12,8))</f>
        <v/>
      </c>
      <c r="N3996" s="395">
        <f>DATEVALUE(LEFT(G3996,10))</f>
        <v/>
      </c>
      <c r="O3996" s="396">
        <f>TIMEVALUE(MID(G3996,12,8))</f>
        <v/>
      </c>
      <c r="P3996" s="396">
        <f>IFERROR(_xlfn.MINIFS($M:$M,$E:$E,$E3996,$K:$K,$K3996,$M:$M,"&gt;"&amp;$O3996),"")</f>
        <v/>
      </c>
      <c r="Q3996" s="396">
        <f>IF($P3996="","",$P3996-$O3996)</f>
        <v/>
      </c>
    </row>
    <row r="3997" ht="15" customHeight="1" s="231">
      <c r="K3997" s="395">
        <f>DATE(VALUE(LEFT(A3997,4)),VALUE(MID(A3997,5,2)),VALUE(RIGHT(A3997,2)))</f>
        <v/>
      </c>
      <c r="L3997" s="395">
        <f>DATEVALUE(LEFT(F3997,10))</f>
        <v/>
      </c>
      <c r="M3997" s="396">
        <f>TIMEVALUE(MID(F3997,12,8))</f>
        <v/>
      </c>
      <c r="N3997" s="395">
        <f>DATEVALUE(LEFT(G3997,10))</f>
        <v/>
      </c>
      <c r="O3997" s="396">
        <f>TIMEVALUE(MID(G3997,12,8))</f>
        <v/>
      </c>
      <c r="P3997" s="396">
        <f>IFERROR(_xlfn.MINIFS($M:$M,$E:$E,$E3997,$K:$K,$K3997,$M:$M,"&gt;"&amp;$O3997),"")</f>
        <v/>
      </c>
      <c r="Q3997" s="396">
        <f>IF($P3997="","",$P3997-$O3997)</f>
        <v/>
      </c>
    </row>
    <row r="3998" ht="15" customHeight="1" s="231">
      <c r="K3998" s="395">
        <f>DATE(VALUE(LEFT(A3998,4)),VALUE(MID(A3998,5,2)),VALUE(RIGHT(A3998,2)))</f>
        <v/>
      </c>
      <c r="L3998" s="395">
        <f>DATEVALUE(LEFT(F3998,10))</f>
        <v/>
      </c>
      <c r="M3998" s="396">
        <f>TIMEVALUE(MID(F3998,12,8))</f>
        <v/>
      </c>
      <c r="N3998" s="395">
        <f>DATEVALUE(LEFT(G3998,10))</f>
        <v/>
      </c>
      <c r="O3998" s="396">
        <f>TIMEVALUE(MID(G3998,12,8))</f>
        <v/>
      </c>
      <c r="P3998" s="396">
        <f>IFERROR(_xlfn.MINIFS($M:$M,$E:$E,$E3998,$K:$K,$K3998,$M:$M,"&gt;"&amp;$O3998),"")</f>
        <v/>
      </c>
      <c r="Q3998" s="396">
        <f>IF($P3998="","",$P3998-$O3998)</f>
        <v/>
      </c>
    </row>
    <row r="3999" ht="15" customHeight="1" s="231">
      <c r="K3999" s="395">
        <f>DATE(VALUE(LEFT(A3999,4)),VALUE(MID(A3999,5,2)),VALUE(RIGHT(A3999,2)))</f>
        <v/>
      </c>
      <c r="L3999" s="395">
        <f>DATEVALUE(LEFT(F3999,10))</f>
        <v/>
      </c>
      <c r="M3999" s="396">
        <f>TIMEVALUE(MID(F3999,12,8))</f>
        <v/>
      </c>
      <c r="N3999" s="395">
        <f>DATEVALUE(LEFT(G3999,10))</f>
        <v/>
      </c>
      <c r="O3999" s="396">
        <f>TIMEVALUE(MID(G3999,12,8))</f>
        <v/>
      </c>
      <c r="P3999" s="396">
        <f>IFERROR(_xlfn.MINIFS($M:$M,$E:$E,$E3999,$K:$K,$K3999,$M:$M,"&gt;"&amp;$O3999),"")</f>
        <v/>
      </c>
      <c r="Q3999" s="396">
        <f>IF($P3999="","",$P3999-$O3999)</f>
        <v/>
      </c>
    </row>
    <row r="4000" ht="15" customHeight="1" s="231">
      <c r="K4000" s="395">
        <f>DATE(VALUE(LEFT(A4000,4)),VALUE(MID(A4000,5,2)),VALUE(RIGHT(A4000,2)))</f>
        <v/>
      </c>
      <c r="L4000" s="395">
        <f>DATEVALUE(LEFT(F4000,10))</f>
        <v/>
      </c>
      <c r="M4000" s="396">
        <f>TIMEVALUE(MID(F4000,12,8))</f>
        <v/>
      </c>
      <c r="N4000" s="395">
        <f>DATEVALUE(LEFT(G4000,10))</f>
        <v/>
      </c>
      <c r="O4000" s="396">
        <f>TIMEVALUE(MID(G4000,12,8))</f>
        <v/>
      </c>
      <c r="P4000" s="396">
        <f>IFERROR(_xlfn.MINIFS($M:$M,$E:$E,$E4000,$K:$K,$K4000,$M:$M,"&gt;"&amp;$O4000),"")</f>
        <v/>
      </c>
      <c r="Q4000" s="396">
        <f>IF($P4000="","",$P4000-$O4000)</f>
        <v/>
      </c>
    </row>
    <row r="4001" ht="15" customHeight="1" s="231">
      <c r="K4001" s="395">
        <f>DATE(VALUE(LEFT(A4001,4)),VALUE(MID(A4001,5,2)),VALUE(RIGHT(A4001,2)))</f>
        <v/>
      </c>
      <c r="L4001" s="395">
        <f>DATEVALUE(LEFT(F4001,10))</f>
        <v/>
      </c>
      <c r="M4001" s="396">
        <f>TIMEVALUE(MID(F4001,12,8))</f>
        <v/>
      </c>
      <c r="N4001" s="395">
        <f>DATEVALUE(LEFT(G4001,10))</f>
        <v/>
      </c>
      <c r="O4001" s="396">
        <f>TIMEVALUE(MID(G4001,12,8))</f>
        <v/>
      </c>
      <c r="P4001" s="396">
        <f>IFERROR(_xlfn.MINIFS($M:$M,$E:$E,$E4001,$K:$K,$K4001,$M:$M,"&gt;"&amp;$O4001),"")</f>
        <v/>
      </c>
      <c r="Q4001" s="396">
        <f>IF($P4001="","",$P4001-$O4001)</f>
        <v/>
      </c>
    </row>
    <row r="4002" ht="15" customHeight="1" s="231">
      <c r="K4002" s="395">
        <f>DATE(VALUE(LEFT(A4002,4)),VALUE(MID(A4002,5,2)),VALUE(RIGHT(A4002,2)))</f>
        <v/>
      </c>
      <c r="L4002" s="395">
        <f>DATEVALUE(LEFT(F4002,10))</f>
        <v/>
      </c>
      <c r="M4002" s="396">
        <f>TIMEVALUE(MID(F4002,12,8))</f>
        <v/>
      </c>
      <c r="N4002" s="395">
        <f>DATEVALUE(LEFT(G4002,10))</f>
        <v/>
      </c>
      <c r="O4002" s="396">
        <f>TIMEVALUE(MID(G4002,12,8))</f>
        <v/>
      </c>
      <c r="P4002" s="396">
        <f>IFERROR(_xlfn.MINIFS($M:$M,$E:$E,$E4002,$K:$K,$K4002,$M:$M,"&gt;"&amp;$O4002),"")</f>
        <v/>
      </c>
      <c r="Q4002" s="396">
        <f>IF($P4002="","",$P4002-$O4002)</f>
        <v/>
      </c>
    </row>
    <row r="4003" ht="15" customHeight="1" s="231">
      <c r="K4003" s="395">
        <f>DATE(VALUE(LEFT(A4003,4)),VALUE(MID(A4003,5,2)),VALUE(RIGHT(A4003,2)))</f>
        <v/>
      </c>
      <c r="L4003" s="395">
        <f>DATEVALUE(LEFT(F4003,10))</f>
        <v/>
      </c>
      <c r="M4003" s="396">
        <f>TIMEVALUE(MID(F4003,12,8))</f>
        <v/>
      </c>
      <c r="N4003" s="395">
        <f>DATEVALUE(LEFT(G4003,10))</f>
        <v/>
      </c>
      <c r="O4003" s="396">
        <f>TIMEVALUE(MID(G4003,12,8))</f>
        <v/>
      </c>
      <c r="P4003" s="396">
        <f>IFERROR(_xlfn.MINIFS($M:$M,$E:$E,$E4003,$K:$K,$K4003,$M:$M,"&gt;"&amp;$O4003),"")</f>
        <v/>
      </c>
      <c r="Q4003" s="396">
        <f>IF($P4003="","",$P4003-$O4003)</f>
        <v/>
      </c>
    </row>
    <row r="4004" ht="15" customHeight="1" s="231">
      <c r="K4004" s="395">
        <f>DATE(VALUE(LEFT(A4004,4)),VALUE(MID(A4004,5,2)),VALUE(RIGHT(A4004,2)))</f>
        <v/>
      </c>
      <c r="L4004" s="395">
        <f>DATEVALUE(LEFT(F4004,10))</f>
        <v/>
      </c>
      <c r="M4004" s="396">
        <f>TIMEVALUE(MID(F4004,12,8))</f>
        <v/>
      </c>
      <c r="N4004" s="395">
        <f>DATEVALUE(LEFT(G4004,10))</f>
        <v/>
      </c>
      <c r="O4004" s="396">
        <f>TIMEVALUE(MID(G4004,12,8))</f>
        <v/>
      </c>
      <c r="P4004" s="396">
        <f>IFERROR(_xlfn.MINIFS($M:$M,$E:$E,$E4004,$K:$K,$K4004,$M:$M,"&gt;"&amp;$O4004),"")</f>
        <v/>
      </c>
      <c r="Q4004" s="396">
        <f>IF($P4004="","",$P4004-$O4004)</f>
        <v/>
      </c>
    </row>
    <row r="4005" ht="15" customHeight="1" s="231">
      <c r="K4005" s="395">
        <f>DATE(VALUE(LEFT(A4005,4)),VALUE(MID(A4005,5,2)),VALUE(RIGHT(A4005,2)))</f>
        <v/>
      </c>
      <c r="L4005" s="395">
        <f>DATEVALUE(LEFT(F4005,10))</f>
        <v/>
      </c>
      <c r="M4005" s="396">
        <f>TIMEVALUE(MID(F4005,12,8))</f>
        <v/>
      </c>
      <c r="N4005" s="395">
        <f>DATEVALUE(LEFT(G4005,10))</f>
        <v/>
      </c>
      <c r="O4005" s="396">
        <f>TIMEVALUE(MID(G4005,12,8))</f>
        <v/>
      </c>
      <c r="P4005" s="396">
        <f>IFERROR(_xlfn.MINIFS($M:$M,$E:$E,$E4005,$K:$K,$K4005,$M:$M,"&gt;"&amp;$O4005),"")</f>
        <v/>
      </c>
      <c r="Q4005" s="396">
        <f>IF($P4005="","",$P4005-$O4005)</f>
        <v/>
      </c>
    </row>
    <row r="4006" ht="15" customHeight="1" s="231">
      <c r="K4006" s="395">
        <f>DATE(VALUE(LEFT(A4006,4)),VALUE(MID(A4006,5,2)),VALUE(RIGHT(A4006,2)))</f>
        <v/>
      </c>
      <c r="L4006" s="395">
        <f>DATEVALUE(LEFT(F4006,10))</f>
        <v/>
      </c>
      <c r="M4006" s="396">
        <f>TIMEVALUE(MID(F4006,12,8))</f>
        <v/>
      </c>
      <c r="N4006" s="395">
        <f>DATEVALUE(LEFT(G4006,10))</f>
        <v/>
      </c>
      <c r="O4006" s="396">
        <f>TIMEVALUE(MID(G4006,12,8))</f>
        <v/>
      </c>
      <c r="P4006" s="396">
        <f>IFERROR(_xlfn.MINIFS($M:$M,$E:$E,$E4006,$K:$K,$K4006,$M:$M,"&gt;"&amp;$O4006),"")</f>
        <v/>
      </c>
      <c r="Q4006" s="396">
        <f>IF($P4006="","",$P4006-$O4006)</f>
        <v/>
      </c>
    </row>
    <row r="4007" ht="15" customHeight="1" s="231">
      <c r="K4007" s="395">
        <f>DATE(VALUE(LEFT(A4007,4)),VALUE(MID(A4007,5,2)),VALUE(RIGHT(A4007,2)))</f>
        <v/>
      </c>
      <c r="L4007" s="395">
        <f>DATEVALUE(LEFT(F4007,10))</f>
        <v/>
      </c>
      <c r="M4007" s="396">
        <f>TIMEVALUE(MID(F4007,12,8))</f>
        <v/>
      </c>
      <c r="N4007" s="395">
        <f>DATEVALUE(LEFT(G4007,10))</f>
        <v/>
      </c>
      <c r="O4007" s="396">
        <f>TIMEVALUE(MID(G4007,12,8))</f>
        <v/>
      </c>
      <c r="P4007" s="396">
        <f>IFERROR(_xlfn.MINIFS($M:$M,$E:$E,$E4007,$K:$K,$K4007,$M:$M,"&gt;"&amp;$O4007),"")</f>
        <v/>
      </c>
      <c r="Q4007" s="396">
        <f>IF($P4007="","",$P4007-$O4007)</f>
        <v/>
      </c>
    </row>
    <row r="4008" ht="15" customHeight="1" s="231">
      <c r="K4008" s="395">
        <f>DATE(VALUE(LEFT(A4008,4)),VALUE(MID(A4008,5,2)),VALUE(RIGHT(A4008,2)))</f>
        <v/>
      </c>
      <c r="L4008" s="395">
        <f>DATEVALUE(LEFT(F4008,10))</f>
        <v/>
      </c>
      <c r="M4008" s="396">
        <f>TIMEVALUE(MID(F4008,12,8))</f>
        <v/>
      </c>
      <c r="N4008" s="395">
        <f>DATEVALUE(LEFT(G4008,10))</f>
        <v/>
      </c>
      <c r="O4008" s="396">
        <f>TIMEVALUE(MID(G4008,12,8))</f>
        <v/>
      </c>
      <c r="P4008" s="396">
        <f>IFERROR(_xlfn.MINIFS($M:$M,$E:$E,$E4008,$K:$K,$K4008,$M:$M,"&gt;"&amp;$O4008),"")</f>
        <v/>
      </c>
      <c r="Q4008" s="396">
        <f>IF($P4008="","",$P4008-$O4008)</f>
        <v/>
      </c>
    </row>
    <row r="4009" ht="15" customHeight="1" s="231">
      <c r="K4009" s="395">
        <f>DATE(VALUE(LEFT(A4009,4)),VALUE(MID(A4009,5,2)),VALUE(RIGHT(A4009,2)))</f>
        <v/>
      </c>
      <c r="L4009" s="395">
        <f>DATEVALUE(LEFT(F4009,10))</f>
        <v/>
      </c>
      <c r="M4009" s="396">
        <f>TIMEVALUE(MID(F4009,12,8))</f>
        <v/>
      </c>
      <c r="N4009" s="395">
        <f>DATEVALUE(LEFT(G4009,10))</f>
        <v/>
      </c>
      <c r="O4009" s="396">
        <f>TIMEVALUE(MID(G4009,12,8))</f>
        <v/>
      </c>
      <c r="P4009" s="396">
        <f>IFERROR(_xlfn.MINIFS($M:$M,$E:$E,$E4009,$K:$K,$K4009,$M:$M,"&gt;"&amp;$O4009),"")</f>
        <v/>
      </c>
      <c r="Q4009" s="396">
        <f>IF($P4009="","",$P4009-$O4009)</f>
        <v/>
      </c>
    </row>
    <row r="4010" ht="15" customHeight="1" s="231">
      <c r="K4010" s="395">
        <f>DATE(VALUE(LEFT(A4010,4)),VALUE(MID(A4010,5,2)),VALUE(RIGHT(A4010,2)))</f>
        <v/>
      </c>
      <c r="L4010" s="395">
        <f>DATEVALUE(LEFT(F4010,10))</f>
        <v/>
      </c>
      <c r="M4010" s="396">
        <f>TIMEVALUE(MID(F4010,12,8))</f>
        <v/>
      </c>
      <c r="N4010" s="395">
        <f>DATEVALUE(LEFT(G4010,10))</f>
        <v/>
      </c>
      <c r="O4010" s="396">
        <f>TIMEVALUE(MID(G4010,12,8))</f>
        <v/>
      </c>
      <c r="P4010" s="396">
        <f>IFERROR(_xlfn.MINIFS($M:$M,$E:$E,$E4010,$K:$K,$K4010,$M:$M,"&gt;"&amp;$O4010),"")</f>
        <v/>
      </c>
      <c r="Q4010" s="396">
        <f>IF($P4010="","",$P4010-$O4010)</f>
        <v/>
      </c>
    </row>
    <row r="4011" ht="15" customHeight="1" s="231">
      <c r="K4011" s="395">
        <f>DATE(VALUE(LEFT(A4011,4)),VALUE(MID(A4011,5,2)),VALUE(RIGHT(A4011,2)))</f>
        <v/>
      </c>
      <c r="L4011" s="395">
        <f>DATEVALUE(LEFT(F4011,10))</f>
        <v/>
      </c>
      <c r="M4011" s="396">
        <f>TIMEVALUE(MID(F4011,12,8))</f>
        <v/>
      </c>
      <c r="N4011" s="395">
        <f>DATEVALUE(LEFT(G4011,10))</f>
        <v/>
      </c>
      <c r="O4011" s="396">
        <f>TIMEVALUE(MID(G4011,12,8))</f>
        <v/>
      </c>
      <c r="P4011" s="396">
        <f>IFERROR(_xlfn.MINIFS($M:$M,$E:$E,$E4011,$K:$K,$K4011,$M:$M,"&gt;"&amp;$O4011),"")</f>
        <v/>
      </c>
      <c r="Q4011" s="396">
        <f>IF($P4011="","",$P4011-$O4011)</f>
        <v/>
      </c>
    </row>
    <row r="4012" ht="15" customHeight="1" s="231">
      <c r="K4012" s="395">
        <f>DATE(VALUE(LEFT(A4012,4)),VALUE(MID(A4012,5,2)),VALUE(RIGHT(A4012,2)))</f>
        <v/>
      </c>
      <c r="L4012" s="395">
        <f>DATEVALUE(LEFT(F4012,10))</f>
        <v/>
      </c>
      <c r="M4012" s="396">
        <f>TIMEVALUE(MID(F4012,12,8))</f>
        <v/>
      </c>
      <c r="N4012" s="395">
        <f>DATEVALUE(LEFT(G4012,10))</f>
        <v/>
      </c>
      <c r="O4012" s="396">
        <f>TIMEVALUE(MID(G4012,12,8))</f>
        <v/>
      </c>
      <c r="P4012" s="396">
        <f>IFERROR(_xlfn.MINIFS($M:$M,$E:$E,$E4012,$K:$K,$K4012,$M:$M,"&gt;"&amp;$O4012),"")</f>
        <v/>
      </c>
      <c r="Q4012" s="396">
        <f>IF($P4012="","",$P4012-$O4012)</f>
        <v/>
      </c>
    </row>
    <row r="4013" ht="15" customHeight="1" s="231">
      <c r="K4013" s="395">
        <f>DATE(VALUE(LEFT(A4013,4)),VALUE(MID(A4013,5,2)),VALUE(RIGHT(A4013,2)))</f>
        <v/>
      </c>
      <c r="L4013" s="395">
        <f>DATEVALUE(LEFT(F4013,10))</f>
        <v/>
      </c>
      <c r="M4013" s="396">
        <f>TIMEVALUE(MID(F4013,12,8))</f>
        <v/>
      </c>
      <c r="N4013" s="395">
        <f>DATEVALUE(LEFT(G4013,10))</f>
        <v/>
      </c>
      <c r="O4013" s="396">
        <f>TIMEVALUE(MID(G4013,12,8))</f>
        <v/>
      </c>
      <c r="P4013" s="396">
        <f>IFERROR(_xlfn.MINIFS($M:$M,$E:$E,$E4013,$K:$K,$K4013,$M:$M,"&gt;"&amp;$O4013),"")</f>
        <v/>
      </c>
      <c r="Q4013" s="396">
        <f>IF($P4013="","",$P4013-$O4013)</f>
        <v/>
      </c>
    </row>
    <row r="4014" ht="15" customHeight="1" s="231">
      <c r="K4014" s="395">
        <f>DATE(VALUE(LEFT(A4014,4)),VALUE(MID(A4014,5,2)),VALUE(RIGHT(A4014,2)))</f>
        <v/>
      </c>
      <c r="L4014" s="395">
        <f>DATEVALUE(LEFT(F4014,10))</f>
        <v/>
      </c>
      <c r="M4014" s="396">
        <f>TIMEVALUE(MID(F4014,12,8))</f>
        <v/>
      </c>
      <c r="N4014" s="395">
        <f>DATEVALUE(LEFT(G4014,10))</f>
        <v/>
      </c>
      <c r="O4014" s="396">
        <f>TIMEVALUE(MID(G4014,12,8))</f>
        <v/>
      </c>
      <c r="P4014" s="396">
        <f>IFERROR(_xlfn.MINIFS($M:$M,$E:$E,$E4014,$K:$K,$K4014,$M:$M,"&gt;"&amp;$O4014),"")</f>
        <v/>
      </c>
      <c r="Q4014" s="396">
        <f>IF($P4014="","",$P4014-$O4014)</f>
        <v/>
      </c>
    </row>
    <row r="4015" ht="15" customHeight="1" s="231">
      <c r="K4015" s="395">
        <f>DATE(VALUE(LEFT(A4015,4)),VALUE(MID(A4015,5,2)),VALUE(RIGHT(A4015,2)))</f>
        <v/>
      </c>
      <c r="L4015" s="395">
        <f>DATEVALUE(LEFT(F4015,10))</f>
        <v/>
      </c>
      <c r="M4015" s="396">
        <f>TIMEVALUE(MID(F4015,12,8))</f>
        <v/>
      </c>
      <c r="N4015" s="395">
        <f>DATEVALUE(LEFT(G4015,10))</f>
        <v/>
      </c>
      <c r="O4015" s="396">
        <f>TIMEVALUE(MID(G4015,12,8))</f>
        <v/>
      </c>
      <c r="P4015" s="396">
        <f>IFERROR(_xlfn.MINIFS($M:$M,$E:$E,$E4015,$K:$K,$K4015,$M:$M,"&gt;"&amp;$O4015),"")</f>
        <v/>
      </c>
      <c r="Q4015" s="396">
        <f>IF($P4015="","",$P4015-$O4015)</f>
        <v/>
      </c>
    </row>
    <row r="4016" ht="15" customHeight="1" s="231">
      <c r="K4016" s="395">
        <f>DATE(VALUE(LEFT(A4016,4)),VALUE(MID(A4016,5,2)),VALUE(RIGHT(A4016,2)))</f>
        <v/>
      </c>
      <c r="L4016" s="395">
        <f>DATEVALUE(LEFT(F4016,10))</f>
        <v/>
      </c>
      <c r="M4016" s="396">
        <f>TIMEVALUE(MID(F4016,12,8))</f>
        <v/>
      </c>
      <c r="N4016" s="395">
        <f>DATEVALUE(LEFT(G4016,10))</f>
        <v/>
      </c>
      <c r="O4016" s="396">
        <f>TIMEVALUE(MID(G4016,12,8))</f>
        <v/>
      </c>
      <c r="P4016" s="396">
        <f>IFERROR(_xlfn.MINIFS($M:$M,$E:$E,$E4016,$K:$K,$K4016,$M:$M,"&gt;"&amp;$O4016),"")</f>
        <v/>
      </c>
      <c r="Q4016" s="396">
        <f>IF($P4016="","",$P4016-$O4016)</f>
        <v/>
      </c>
    </row>
    <row r="4017" ht="15" customHeight="1" s="231">
      <c r="K4017" s="395">
        <f>DATE(VALUE(LEFT(A4017,4)),VALUE(MID(A4017,5,2)),VALUE(RIGHT(A4017,2)))</f>
        <v/>
      </c>
      <c r="L4017" s="395">
        <f>DATEVALUE(LEFT(F4017,10))</f>
        <v/>
      </c>
      <c r="M4017" s="396">
        <f>TIMEVALUE(MID(F4017,12,8))</f>
        <v/>
      </c>
      <c r="N4017" s="395">
        <f>DATEVALUE(LEFT(G4017,10))</f>
        <v/>
      </c>
      <c r="O4017" s="396">
        <f>TIMEVALUE(MID(G4017,12,8))</f>
        <v/>
      </c>
      <c r="P4017" s="396">
        <f>IFERROR(_xlfn.MINIFS($M:$M,$E:$E,$E4017,$K:$K,$K4017,$M:$M,"&gt;"&amp;$O4017),"")</f>
        <v/>
      </c>
      <c r="Q4017" s="396">
        <f>IF($P4017="","",$P4017-$O4017)</f>
        <v/>
      </c>
    </row>
    <row r="4018" ht="15" customHeight="1" s="231">
      <c r="K4018" s="395">
        <f>DATE(VALUE(LEFT(A4018,4)),VALUE(MID(A4018,5,2)),VALUE(RIGHT(A4018,2)))</f>
        <v/>
      </c>
      <c r="L4018" s="395">
        <f>DATEVALUE(LEFT(F4018,10))</f>
        <v/>
      </c>
      <c r="M4018" s="396">
        <f>TIMEVALUE(MID(F4018,12,8))</f>
        <v/>
      </c>
      <c r="N4018" s="395">
        <f>DATEVALUE(LEFT(G4018,10))</f>
        <v/>
      </c>
      <c r="O4018" s="396">
        <f>TIMEVALUE(MID(G4018,12,8))</f>
        <v/>
      </c>
      <c r="P4018" s="396">
        <f>IFERROR(_xlfn.MINIFS($M:$M,$E:$E,$E4018,$K:$K,$K4018,$M:$M,"&gt;"&amp;$O4018),"")</f>
        <v/>
      </c>
      <c r="Q4018" s="396">
        <f>IF($P4018="","",$P4018-$O4018)</f>
        <v/>
      </c>
    </row>
    <row r="4019" ht="15" customHeight="1" s="231">
      <c r="K4019" s="395">
        <f>DATE(VALUE(LEFT(A4019,4)),VALUE(MID(A4019,5,2)),VALUE(RIGHT(A4019,2)))</f>
        <v/>
      </c>
      <c r="L4019" s="395">
        <f>DATEVALUE(LEFT(F4019,10))</f>
        <v/>
      </c>
      <c r="M4019" s="396">
        <f>TIMEVALUE(MID(F4019,12,8))</f>
        <v/>
      </c>
      <c r="N4019" s="395">
        <f>DATEVALUE(LEFT(G4019,10))</f>
        <v/>
      </c>
      <c r="O4019" s="396">
        <f>TIMEVALUE(MID(G4019,12,8))</f>
        <v/>
      </c>
      <c r="P4019" s="396">
        <f>IFERROR(_xlfn.MINIFS($M:$M,$E:$E,$E4019,$K:$K,$K4019,$M:$M,"&gt;"&amp;$O4019),"")</f>
        <v/>
      </c>
      <c r="Q4019" s="396">
        <f>IF($P4019="","",$P4019-$O4019)</f>
        <v/>
      </c>
    </row>
    <row r="4020" ht="15" customHeight="1" s="231">
      <c r="K4020" s="395">
        <f>DATE(VALUE(LEFT(A4020,4)),VALUE(MID(A4020,5,2)),VALUE(RIGHT(A4020,2)))</f>
        <v/>
      </c>
      <c r="L4020" s="395">
        <f>DATEVALUE(LEFT(F4020,10))</f>
        <v/>
      </c>
      <c r="M4020" s="396">
        <f>TIMEVALUE(MID(F4020,12,8))</f>
        <v/>
      </c>
      <c r="N4020" s="395">
        <f>DATEVALUE(LEFT(G4020,10))</f>
        <v/>
      </c>
      <c r="O4020" s="396">
        <f>TIMEVALUE(MID(G4020,12,8))</f>
        <v/>
      </c>
      <c r="P4020" s="396">
        <f>IFERROR(_xlfn.MINIFS($M:$M,$E:$E,$E4020,$K:$K,$K4020,$M:$M,"&gt;"&amp;$O4020),"")</f>
        <v/>
      </c>
      <c r="Q4020" s="396">
        <f>IF($P4020="","",$P4020-$O4020)</f>
        <v/>
      </c>
    </row>
    <row r="4021" ht="15" customHeight="1" s="231">
      <c r="K4021" s="395">
        <f>DATE(VALUE(LEFT(A4021,4)),VALUE(MID(A4021,5,2)),VALUE(RIGHT(A4021,2)))</f>
        <v/>
      </c>
      <c r="L4021" s="395">
        <f>DATEVALUE(LEFT(F4021,10))</f>
        <v/>
      </c>
      <c r="M4021" s="396">
        <f>TIMEVALUE(MID(F4021,12,8))</f>
        <v/>
      </c>
      <c r="N4021" s="395">
        <f>DATEVALUE(LEFT(G4021,10))</f>
        <v/>
      </c>
      <c r="O4021" s="396">
        <f>TIMEVALUE(MID(G4021,12,8))</f>
        <v/>
      </c>
      <c r="P4021" s="396">
        <f>IFERROR(_xlfn.MINIFS($M:$M,$E:$E,$E4021,$K:$K,$K4021,$M:$M,"&gt;"&amp;$O4021),"")</f>
        <v/>
      </c>
      <c r="Q4021" s="396">
        <f>IF($P4021="","",$P4021-$O4021)</f>
        <v/>
      </c>
    </row>
    <row r="4022" ht="15" customHeight="1" s="231">
      <c r="K4022" s="395">
        <f>DATE(VALUE(LEFT(A4022,4)),VALUE(MID(A4022,5,2)),VALUE(RIGHT(A4022,2)))</f>
        <v/>
      </c>
      <c r="L4022" s="395">
        <f>DATEVALUE(LEFT(F4022,10))</f>
        <v/>
      </c>
      <c r="M4022" s="396">
        <f>TIMEVALUE(MID(F4022,12,8))</f>
        <v/>
      </c>
      <c r="N4022" s="395">
        <f>DATEVALUE(LEFT(G4022,10))</f>
        <v/>
      </c>
      <c r="O4022" s="396">
        <f>TIMEVALUE(MID(G4022,12,8))</f>
        <v/>
      </c>
      <c r="P4022" s="396">
        <f>IFERROR(_xlfn.MINIFS($M:$M,$E:$E,$E4022,$K:$K,$K4022,$M:$M,"&gt;"&amp;$O4022),"")</f>
        <v/>
      </c>
      <c r="Q4022" s="396">
        <f>IF($P4022="","",$P4022-$O4022)</f>
        <v/>
      </c>
    </row>
    <row r="4023" ht="15" customHeight="1" s="231">
      <c r="K4023" s="395">
        <f>DATE(VALUE(LEFT(A4023,4)),VALUE(MID(A4023,5,2)),VALUE(RIGHT(A4023,2)))</f>
        <v/>
      </c>
      <c r="L4023" s="395">
        <f>DATEVALUE(LEFT(F4023,10))</f>
        <v/>
      </c>
      <c r="M4023" s="396">
        <f>TIMEVALUE(MID(F4023,12,8))</f>
        <v/>
      </c>
      <c r="N4023" s="395">
        <f>DATEVALUE(LEFT(G4023,10))</f>
        <v/>
      </c>
      <c r="O4023" s="396">
        <f>TIMEVALUE(MID(G4023,12,8))</f>
        <v/>
      </c>
      <c r="P4023" s="396">
        <f>IFERROR(_xlfn.MINIFS($M:$M,$E:$E,$E4023,$K:$K,$K4023,$M:$M,"&gt;"&amp;$O4023),"")</f>
        <v/>
      </c>
      <c r="Q4023" s="396">
        <f>IF($P4023="","",$P4023-$O4023)</f>
        <v/>
      </c>
    </row>
    <row r="4024" ht="15" customHeight="1" s="231">
      <c r="K4024" s="395">
        <f>DATE(VALUE(LEFT(A4024,4)),VALUE(MID(A4024,5,2)),VALUE(RIGHT(A4024,2)))</f>
        <v/>
      </c>
      <c r="L4024" s="395">
        <f>DATEVALUE(LEFT(F4024,10))</f>
        <v/>
      </c>
      <c r="M4024" s="396">
        <f>TIMEVALUE(MID(F4024,12,8))</f>
        <v/>
      </c>
      <c r="N4024" s="395">
        <f>DATEVALUE(LEFT(G4024,10))</f>
        <v/>
      </c>
      <c r="O4024" s="396">
        <f>TIMEVALUE(MID(G4024,12,8))</f>
        <v/>
      </c>
      <c r="P4024" s="396">
        <f>IFERROR(_xlfn.MINIFS($M:$M,$E:$E,$E4024,$K:$K,$K4024,$M:$M,"&gt;"&amp;$O4024),"")</f>
        <v/>
      </c>
      <c r="Q4024" s="396">
        <f>IF($P4024="","",$P4024-$O4024)</f>
        <v/>
      </c>
    </row>
    <row r="4025" ht="15" customHeight="1" s="231">
      <c r="K4025" s="395">
        <f>DATE(VALUE(LEFT(A4025,4)),VALUE(MID(A4025,5,2)),VALUE(RIGHT(A4025,2)))</f>
        <v/>
      </c>
      <c r="L4025" s="395">
        <f>DATEVALUE(LEFT(F4025,10))</f>
        <v/>
      </c>
      <c r="M4025" s="396">
        <f>TIMEVALUE(MID(F4025,12,8))</f>
        <v/>
      </c>
      <c r="N4025" s="395">
        <f>DATEVALUE(LEFT(G4025,10))</f>
        <v/>
      </c>
      <c r="O4025" s="396">
        <f>TIMEVALUE(MID(G4025,12,8))</f>
        <v/>
      </c>
      <c r="P4025" s="396">
        <f>IFERROR(_xlfn.MINIFS($M:$M,$E:$E,$E4025,$K:$K,$K4025,$M:$M,"&gt;"&amp;$O4025),"")</f>
        <v/>
      </c>
      <c r="Q4025" s="396">
        <f>IF($P4025="","",$P4025-$O4025)</f>
        <v/>
      </c>
    </row>
    <row r="4026" ht="15" customHeight="1" s="231">
      <c r="K4026" s="395">
        <f>DATE(VALUE(LEFT(A4026,4)),VALUE(MID(A4026,5,2)),VALUE(RIGHT(A4026,2)))</f>
        <v/>
      </c>
      <c r="L4026" s="395">
        <f>DATEVALUE(LEFT(F4026,10))</f>
        <v/>
      </c>
      <c r="M4026" s="396">
        <f>TIMEVALUE(MID(F4026,12,8))</f>
        <v/>
      </c>
      <c r="N4026" s="395">
        <f>DATEVALUE(LEFT(G4026,10))</f>
        <v/>
      </c>
      <c r="O4026" s="396">
        <f>TIMEVALUE(MID(G4026,12,8))</f>
        <v/>
      </c>
      <c r="P4026" s="396">
        <f>IFERROR(_xlfn.MINIFS($M:$M,$E:$E,$E4026,$K:$K,$K4026,$M:$M,"&gt;"&amp;$O4026),"")</f>
        <v/>
      </c>
      <c r="Q4026" s="396">
        <f>IF($P4026="","",$P4026-$O4026)</f>
        <v/>
      </c>
    </row>
    <row r="4027" ht="15" customHeight="1" s="231">
      <c r="K4027" s="395">
        <f>DATE(VALUE(LEFT(A4027,4)),VALUE(MID(A4027,5,2)),VALUE(RIGHT(A4027,2)))</f>
        <v/>
      </c>
      <c r="L4027" s="395">
        <f>DATEVALUE(LEFT(F4027,10))</f>
        <v/>
      </c>
      <c r="M4027" s="396">
        <f>TIMEVALUE(MID(F4027,12,8))</f>
        <v/>
      </c>
      <c r="N4027" s="395">
        <f>DATEVALUE(LEFT(G4027,10))</f>
        <v/>
      </c>
      <c r="O4027" s="396">
        <f>TIMEVALUE(MID(G4027,12,8))</f>
        <v/>
      </c>
      <c r="P4027" s="396">
        <f>IFERROR(_xlfn.MINIFS($M:$M,$E:$E,$E4027,$K:$K,$K4027,$M:$M,"&gt;"&amp;$O4027),"")</f>
        <v/>
      </c>
      <c r="Q4027" s="396">
        <f>IF($P4027="","",$P4027-$O4027)</f>
        <v/>
      </c>
    </row>
    <row r="4028" ht="15" customHeight="1" s="231">
      <c r="K4028" s="395">
        <f>DATE(VALUE(LEFT(A4028,4)),VALUE(MID(A4028,5,2)),VALUE(RIGHT(A4028,2)))</f>
        <v/>
      </c>
      <c r="L4028" s="395">
        <f>DATEVALUE(LEFT(F4028,10))</f>
        <v/>
      </c>
      <c r="M4028" s="396">
        <f>TIMEVALUE(MID(F4028,12,8))</f>
        <v/>
      </c>
      <c r="N4028" s="395">
        <f>DATEVALUE(LEFT(G4028,10))</f>
        <v/>
      </c>
      <c r="O4028" s="396">
        <f>TIMEVALUE(MID(G4028,12,8))</f>
        <v/>
      </c>
      <c r="P4028" s="396">
        <f>IFERROR(_xlfn.MINIFS($M:$M,$E:$E,$E4028,$K:$K,$K4028,$M:$M,"&gt;"&amp;$O4028),"")</f>
        <v/>
      </c>
      <c r="Q4028" s="396">
        <f>IF($P4028="","",$P4028-$O4028)</f>
        <v/>
      </c>
    </row>
    <row r="4029" ht="15" customHeight="1" s="231">
      <c r="K4029" s="395">
        <f>DATE(VALUE(LEFT(A4029,4)),VALUE(MID(A4029,5,2)),VALUE(RIGHT(A4029,2)))</f>
        <v/>
      </c>
      <c r="L4029" s="395">
        <f>DATEVALUE(LEFT(F4029,10))</f>
        <v/>
      </c>
      <c r="M4029" s="396">
        <f>TIMEVALUE(MID(F4029,12,8))</f>
        <v/>
      </c>
      <c r="N4029" s="395">
        <f>DATEVALUE(LEFT(G4029,10))</f>
        <v/>
      </c>
      <c r="O4029" s="396">
        <f>TIMEVALUE(MID(G4029,12,8))</f>
        <v/>
      </c>
      <c r="P4029" s="396">
        <f>IFERROR(_xlfn.MINIFS($M:$M,$E:$E,$E4029,$K:$K,$K4029,$M:$M,"&gt;"&amp;$O4029),"")</f>
        <v/>
      </c>
      <c r="Q4029" s="396">
        <f>IF($P4029="","",$P4029-$O4029)</f>
        <v/>
      </c>
    </row>
    <row r="4030" ht="15" customHeight="1" s="231">
      <c r="K4030" s="395">
        <f>DATE(VALUE(LEFT(A4030,4)),VALUE(MID(A4030,5,2)),VALUE(RIGHT(A4030,2)))</f>
        <v/>
      </c>
      <c r="L4030" s="395">
        <f>DATEVALUE(LEFT(F4030,10))</f>
        <v/>
      </c>
      <c r="M4030" s="396">
        <f>TIMEVALUE(MID(F4030,12,8))</f>
        <v/>
      </c>
      <c r="N4030" s="395">
        <f>DATEVALUE(LEFT(G4030,10))</f>
        <v/>
      </c>
      <c r="O4030" s="396">
        <f>TIMEVALUE(MID(G4030,12,8))</f>
        <v/>
      </c>
      <c r="P4030" s="396">
        <f>IFERROR(_xlfn.MINIFS($M:$M,$E:$E,$E4030,$K:$K,$K4030,$M:$M,"&gt;"&amp;$O4030),"")</f>
        <v/>
      </c>
      <c r="Q4030" s="396">
        <f>IF($P4030="","",$P4030-$O4030)</f>
        <v/>
      </c>
    </row>
    <row r="4031" ht="15" customHeight="1" s="231">
      <c r="K4031" s="395">
        <f>DATE(VALUE(LEFT(A4031,4)),VALUE(MID(A4031,5,2)),VALUE(RIGHT(A4031,2)))</f>
        <v/>
      </c>
      <c r="L4031" s="395">
        <f>DATEVALUE(LEFT(F4031,10))</f>
        <v/>
      </c>
      <c r="M4031" s="396">
        <f>TIMEVALUE(MID(F4031,12,8))</f>
        <v/>
      </c>
      <c r="N4031" s="395">
        <f>DATEVALUE(LEFT(G4031,10))</f>
        <v/>
      </c>
      <c r="O4031" s="396">
        <f>TIMEVALUE(MID(G4031,12,8))</f>
        <v/>
      </c>
      <c r="P4031" s="396">
        <f>IFERROR(_xlfn.MINIFS($M:$M,$E:$E,$E4031,$K:$K,$K4031,$M:$M,"&gt;"&amp;$O4031),"")</f>
        <v/>
      </c>
      <c r="Q4031" s="396">
        <f>IF($P4031="","",$P4031-$O4031)</f>
        <v/>
      </c>
    </row>
    <row r="4032" ht="15" customHeight="1" s="231">
      <c r="K4032" s="395">
        <f>DATE(VALUE(LEFT(A4032,4)),VALUE(MID(A4032,5,2)),VALUE(RIGHT(A4032,2)))</f>
        <v/>
      </c>
      <c r="L4032" s="395">
        <f>DATEVALUE(LEFT(F4032,10))</f>
        <v/>
      </c>
      <c r="M4032" s="396">
        <f>TIMEVALUE(MID(F4032,12,8))</f>
        <v/>
      </c>
      <c r="N4032" s="395">
        <f>DATEVALUE(LEFT(G4032,10))</f>
        <v/>
      </c>
      <c r="O4032" s="396">
        <f>TIMEVALUE(MID(G4032,12,8))</f>
        <v/>
      </c>
      <c r="P4032" s="396">
        <f>IFERROR(_xlfn.MINIFS($M:$M,$E:$E,$E4032,$K:$K,$K4032,$M:$M,"&gt;"&amp;$O4032),"")</f>
        <v/>
      </c>
      <c r="Q4032" s="396">
        <f>IF($P4032="","",$P4032-$O4032)</f>
        <v/>
      </c>
    </row>
    <row r="4033" ht="15" customHeight="1" s="231">
      <c r="K4033" s="395">
        <f>DATE(VALUE(LEFT(A4033,4)),VALUE(MID(A4033,5,2)),VALUE(RIGHT(A4033,2)))</f>
        <v/>
      </c>
      <c r="L4033" s="395">
        <f>DATEVALUE(LEFT(F4033,10))</f>
        <v/>
      </c>
      <c r="M4033" s="396">
        <f>TIMEVALUE(MID(F4033,12,8))</f>
        <v/>
      </c>
      <c r="N4033" s="395">
        <f>DATEVALUE(LEFT(G4033,10))</f>
        <v/>
      </c>
      <c r="O4033" s="396">
        <f>TIMEVALUE(MID(G4033,12,8))</f>
        <v/>
      </c>
      <c r="P4033" s="396">
        <f>IFERROR(_xlfn.MINIFS($M:$M,$E:$E,$E4033,$K:$K,$K4033,$M:$M,"&gt;"&amp;$O4033),"")</f>
        <v/>
      </c>
      <c r="Q4033" s="396">
        <f>IF($P4033="","",$P4033-$O4033)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2" activeCellId="0" sqref="B2"/>
    </sheetView>
  </sheetViews>
  <sheetFormatPr baseColWidth="8" defaultColWidth="8.71484375" defaultRowHeight="15" zeroHeight="0" outlineLevelRow="0"/>
  <cols>
    <col width="32" customWidth="1" style="390" min="1" max="1"/>
    <col width="22" customWidth="1" style="390" min="2" max="2"/>
    <col width="55" customWidth="1" style="390" min="3" max="3"/>
    <col width="8.710000000000001" customWidth="1" style="390" min="4" max="16384"/>
  </cols>
  <sheetData>
    <row r="1" ht="15" customHeight="1" s="231">
      <c r="A1" s="398" t="inlineStr">
        <is>
          <t>Nom De l'agent (Google Leads)</t>
        </is>
      </c>
      <c r="B1" s="398" t="inlineStr">
        <is>
          <t>Resource Name (Connexions)</t>
        </is>
      </c>
      <c r="C1" s="398" t="inlineStr">
        <is>
          <t>Statut</t>
        </is>
      </c>
    </row>
    <row r="2" ht="15" customHeight="1" s="231">
      <c r="A2" s="390" t="inlineStr">
        <is>
          <t>ZAKI OMAR</t>
        </is>
      </c>
      <c r="B2" s="390" t="inlineStr">
        <is>
          <t>ZAKIOM</t>
        </is>
      </c>
      <c r="C2" s="390" t="inlineStr">
        <is>
          <t>Confirmé</t>
        </is>
      </c>
    </row>
    <row r="3" ht="15" customHeight="1" s="231">
      <c r="A3" s="390" t="inlineStr">
        <is>
          <t>AZHARI ABDELHAMID</t>
        </is>
      </c>
      <c r="B3" s="390" t="inlineStr">
        <is>
          <t>AZHARIAB</t>
        </is>
      </c>
      <c r="C3" s="390" t="inlineStr">
        <is>
          <t>Confirmé</t>
        </is>
      </c>
    </row>
    <row r="4" ht="15" customHeight="1" s="231">
      <c r="A4" s="390" t="inlineStr">
        <is>
          <t xml:space="preserve">LALOUN MANAL </t>
        </is>
      </c>
      <c r="B4" s="390" t="inlineStr">
        <is>
          <t>LALOUNMN</t>
        </is>
      </c>
      <c r="C4" s="390" t="inlineStr">
        <is>
          <t>Confirmé</t>
        </is>
      </c>
    </row>
    <row r="5" ht="15" customHeight="1" s="231">
      <c r="A5" s="390" t="inlineStr">
        <is>
          <t>BOULHROUD SALMA</t>
        </is>
      </c>
      <c r="B5" s="390" t="inlineStr">
        <is>
          <t>BOULHRSA</t>
        </is>
      </c>
      <c r="C5" s="390" t="inlineStr">
        <is>
          <t>Confirmé</t>
        </is>
      </c>
    </row>
    <row r="6" ht="15" customHeight="1" s="231">
      <c r="A6" s="390" t="inlineStr">
        <is>
          <t>NEMMAOUI MOUNIRA</t>
        </is>
      </c>
      <c r="B6" s="390" t="inlineStr">
        <is>
          <t>NEMMAOMO</t>
        </is>
      </c>
      <c r="C6" s="390" t="inlineStr">
        <is>
          <t>Confirmé</t>
        </is>
      </c>
    </row>
    <row r="7" ht="15" customHeight="1" s="231">
      <c r="A7" s="390" t="inlineStr">
        <is>
          <t>NIANG NDEYE ABSA</t>
        </is>
      </c>
      <c r="B7" s="390" t="inlineStr">
        <is>
          <t>NIANGNY</t>
        </is>
      </c>
      <c r="C7" s="390" t="inlineStr">
        <is>
          <t>Confirmé</t>
        </is>
      </c>
    </row>
    <row r="8" ht="15" customHeight="1" s="231">
      <c r="A8" s="390" t="inlineStr">
        <is>
          <t>BENSAR ANAS</t>
        </is>
      </c>
      <c r="B8" s="390" t="inlineStr">
        <is>
          <t>BENSARAN</t>
        </is>
      </c>
      <c r="C8" s="390" t="inlineStr">
        <is>
          <t>Confirmé</t>
        </is>
      </c>
    </row>
    <row r="9" ht="15" customHeight="1" s="231">
      <c r="A9" s="390" t="inlineStr">
        <is>
          <t>MELLAHI YOUSSEF</t>
        </is>
      </c>
      <c r="B9" s="390" t="inlineStr">
        <is>
          <t>MELLAHYO</t>
        </is>
      </c>
      <c r="C9" s="390" t="inlineStr">
        <is>
          <t>Confirmé</t>
        </is>
      </c>
    </row>
    <row r="10" ht="15" customHeight="1" s="231">
      <c r="A10" s="390" t="inlineStr">
        <is>
          <t xml:space="preserve">EL HOUJJAJI Soufiane </t>
        </is>
      </c>
      <c r="B10" s="390" t="inlineStr">
        <is>
          <t>ELHOUJSO</t>
        </is>
      </c>
      <c r="C10" s="390" t="inlineStr">
        <is>
          <t>Confirmé</t>
        </is>
      </c>
    </row>
    <row r="11" ht="15" customHeight="1" s="231">
      <c r="A11" s="390" t="inlineStr">
        <is>
          <t>BOURABAA HASSAN</t>
        </is>
      </c>
      <c r="B11" s="390" t="inlineStr">
        <is>
          <t>BOURABHS</t>
        </is>
      </c>
      <c r="C11" s="390" t="inlineStr">
        <is>
          <t>Confirmé</t>
        </is>
      </c>
    </row>
    <row r="12" ht="15" customHeight="1" s="231">
      <c r="A12" s="390" t="inlineStr">
        <is>
          <t>EL-AOUAQUI BOUCHRA</t>
        </is>
      </c>
      <c r="B12" s="399" t="inlineStr">
        <is>
          <t>ALAOUABO</t>
        </is>
      </c>
      <c r="C12" s="390" t="inlineStr">
        <is>
          <t>Confirmé</t>
        </is>
      </c>
    </row>
    <row r="13" ht="15" customHeight="1" s="231">
      <c r="A13" s="390" t="inlineStr">
        <is>
          <t>ZITOUNI LAMYA</t>
        </is>
      </c>
      <c r="B13" s="390" t="inlineStr">
        <is>
          <t>ZITOUNLM</t>
        </is>
      </c>
      <c r="C13" s="390" t="inlineStr">
        <is>
          <t>Confirmé</t>
        </is>
      </c>
    </row>
    <row r="14" ht="15" customHeight="1" s="231">
      <c r="A14" s="390" t="inlineStr">
        <is>
          <t>NUNEZ LUCIEN BERNARD</t>
        </is>
      </c>
      <c r="B14" s="390" t="inlineStr">
        <is>
          <t>NUNEZLU</t>
        </is>
      </c>
      <c r="C14" s="390" t="inlineStr">
        <is>
          <t>Confirmé</t>
        </is>
      </c>
    </row>
    <row r="15" ht="15" customHeight="1" s="231">
      <c r="A15" s="390" t="inlineStr">
        <is>
          <t>SIDIBE MOUSKEBA DALAFINA</t>
        </is>
      </c>
      <c r="B15" s="390" t="inlineStr">
        <is>
          <t>MOUSKESI</t>
        </is>
      </c>
      <c r="C15" s="390" t="inlineStr">
        <is>
          <t>Confirmé</t>
        </is>
      </c>
    </row>
    <row r="16" ht="15" customHeight="1" s="231">
      <c r="A16" s="390" t="inlineStr">
        <is>
          <t>SOUOUD ZAKARIA</t>
        </is>
      </c>
      <c r="B16" s="390" t="inlineStr">
        <is>
          <t>SOUOUDZA</t>
        </is>
      </c>
      <c r="C16" s="390" t="inlineStr">
        <is>
          <t>Confirmé</t>
        </is>
      </c>
    </row>
    <row r="17" ht="15" customHeight="1" s="231">
      <c r="A17" s="390" t="inlineStr">
        <is>
          <t>LAFDIL NADA</t>
        </is>
      </c>
      <c r="B17" s="390" t="inlineStr">
        <is>
          <t>LAFDILND</t>
        </is>
      </c>
      <c r="C17" s="390" t="inlineStr">
        <is>
          <t>Confirmé</t>
        </is>
      </c>
    </row>
    <row r="18" ht="15" customHeight="1" s="231">
      <c r="A18" s="390" t="inlineStr">
        <is>
          <t>SECK DIARRA</t>
        </is>
      </c>
      <c r="B18" s="390" t="inlineStr">
        <is>
          <t>SECKDA</t>
        </is>
      </c>
      <c r="C18" s="390" t="inlineStr">
        <is>
          <t>Confirmé</t>
        </is>
      </c>
    </row>
    <row r="19" ht="15" customHeight="1" s="231">
      <c r="A19" s="390" t="inlineStr">
        <is>
          <t>GUEYE GORA</t>
        </is>
      </c>
      <c r="B19" s="390" t="inlineStr">
        <is>
          <t>GUEYEGO</t>
        </is>
      </c>
      <c r="C19" s="390" t="inlineStr">
        <is>
          <t>Confirmé</t>
        </is>
      </c>
    </row>
    <row r="20" ht="15" customHeight="1" s="231">
      <c r="A20" s="390" t="inlineStr">
        <is>
          <t>AINELKITANE ZINEB</t>
        </is>
      </c>
      <c r="B20" s="390" t="inlineStr">
        <is>
          <t>AINELKZI</t>
        </is>
      </c>
      <c r="C20" s="390" t="inlineStr">
        <is>
          <t>Confirmé</t>
        </is>
      </c>
    </row>
    <row r="21" ht="15" customHeight="1" s="231">
      <c r="A21" s="390" t="inlineStr">
        <is>
          <t>AIT LARBI HIND</t>
        </is>
      </c>
      <c r="B21" s="390" t="inlineStr">
        <is>
          <t>AITLARHD</t>
        </is>
      </c>
      <c r="C21" s="390" t="inlineStr">
        <is>
          <t>Confirmé</t>
        </is>
      </c>
    </row>
    <row r="22" ht="15" customHeight="1" s="231">
      <c r="A22" s="390" t="inlineStr">
        <is>
          <t>KANTAOUI SALMA</t>
        </is>
      </c>
      <c r="B22" s="390" t="inlineStr">
        <is>
          <t>KANTAOSA</t>
        </is>
      </c>
      <c r="C22" s="390" t="inlineStr">
        <is>
          <t>Confirmé</t>
        </is>
      </c>
    </row>
    <row r="23" ht="15" customHeight="1" s="231">
      <c r="A23" s="390" t="inlineStr">
        <is>
          <t>AIT ADDI KHADIJA</t>
        </is>
      </c>
      <c r="B23" s="390" t="inlineStr">
        <is>
          <t>AITADDKH</t>
        </is>
      </c>
      <c r="C23" s="390" t="inlineStr">
        <is>
          <t>Confirmé</t>
        </is>
      </c>
    </row>
    <row r="24" ht="15" customHeight="1" s="231">
      <c r="A24" s="390" t="inlineStr">
        <is>
          <t>ZIOUI DOUNIA</t>
        </is>
      </c>
      <c r="B24" s="390" t="inlineStr">
        <is>
          <t>ZIOUIDO</t>
        </is>
      </c>
      <c r="C24" s="390" t="inlineStr">
        <is>
          <t>Confirmé</t>
        </is>
      </c>
    </row>
    <row r="25" ht="15" customHeight="1" s="231">
      <c r="A25" s="390" t="inlineStr">
        <is>
          <t xml:space="preserve">DERKAOUI AMAL </t>
        </is>
      </c>
      <c r="B25" s="399" t="inlineStr">
        <is>
          <t>DERKAOAM</t>
        </is>
      </c>
      <c r="C25" s="390" t="inlineStr">
        <is>
          <t>Confirmé</t>
        </is>
      </c>
    </row>
    <row r="26" ht="15" customHeight="1" s="231">
      <c r="A26" s="390" t="inlineStr">
        <is>
          <t>IHASSANE Ikram</t>
        </is>
      </c>
      <c r="B26" s="399" t="inlineStr">
        <is>
          <t>IHASSAIK</t>
        </is>
      </c>
      <c r="C26" s="390" t="inlineStr">
        <is>
          <t>Confirmé</t>
        </is>
      </c>
    </row>
    <row r="27" ht="15" customHeight="1" s="231">
      <c r="A27" s="390" t="inlineStr">
        <is>
          <t>EL HOUSSAINI HOUDA</t>
        </is>
      </c>
      <c r="B27" s="390" t="inlineStr">
        <is>
          <t>ELHOUSHD</t>
        </is>
      </c>
      <c r="C27" s="390" t="inlineStr">
        <is>
          <t>Confirmé</t>
        </is>
      </c>
    </row>
    <row r="28" ht="15" customHeight="1" s="231">
      <c r="A28" s="390" t="inlineStr">
        <is>
          <t>GUEYE MOUHAMED</t>
        </is>
      </c>
      <c r="B28" s="390" t="inlineStr">
        <is>
          <t>GUEYEME</t>
        </is>
      </c>
      <c r="C28" s="390" t="inlineStr">
        <is>
          <t>Confirmé</t>
        </is>
      </c>
    </row>
    <row r="29" ht="15" customHeight="1" s="231">
      <c r="A29" s="390" t="inlineStr">
        <is>
          <t>RACHAD NAWAR</t>
        </is>
      </c>
      <c r="B29" s="390" t="inlineStr">
        <is>
          <t>RACHADNW</t>
        </is>
      </c>
      <c r="C29" s="390" t="inlineStr">
        <is>
          <t>Confirmé</t>
        </is>
      </c>
    </row>
    <row r="30" ht="15" customHeight="1" s="231">
      <c r="A30" s="390" t="inlineStr">
        <is>
          <t>DIOUF OUSSMANE</t>
        </is>
      </c>
      <c r="B30" s="390" t="inlineStr">
        <is>
          <t>DIOUFOU</t>
        </is>
      </c>
      <c r="C30" s="390" t="inlineStr">
        <is>
          <t>Confirmé</t>
        </is>
      </c>
    </row>
    <row r="31" ht="15" customHeight="1" s="231">
      <c r="A31" s="390" t="inlineStr">
        <is>
          <t>QARBOUI Aymane</t>
        </is>
      </c>
      <c r="B31" s="390" t="inlineStr">
        <is>
          <t>QARBOUAY</t>
        </is>
      </c>
      <c r="C31" s="390" t="inlineStr">
        <is>
          <t>Confirmé</t>
        </is>
      </c>
    </row>
    <row r="32" ht="15" customHeight="1" s="231">
      <c r="A32" s="390" t="inlineStr">
        <is>
          <t>EL HARROUCHI CHAIMAE</t>
        </is>
      </c>
      <c r="B32" s="390" t="inlineStr">
        <is>
          <t>ELHARRCA</t>
        </is>
      </c>
      <c r="C32" s="390" t="inlineStr">
        <is>
          <t>Confirmé</t>
        </is>
      </c>
    </row>
    <row r="33" ht="15" customHeight="1" s="231">
      <c r="A33" s="390" t="inlineStr">
        <is>
          <t>TOURE ABIBOU</t>
        </is>
      </c>
      <c r="B33" s="390" t="inlineStr">
        <is>
          <t>TOUREAB</t>
        </is>
      </c>
      <c r="C33" s="390" t="inlineStr">
        <is>
          <t>Confirmé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12" activeCellId="0" sqref="D12"/>
    </sheetView>
  </sheetViews>
  <sheetFormatPr baseColWidth="8" defaultColWidth="8.71484375" defaultRowHeight="15" zeroHeight="0" outlineLevelRow="0"/>
  <cols>
    <col width="30" customWidth="1" style="390" min="1" max="1"/>
    <col width="14" customWidth="1" style="390" min="2" max="2"/>
    <col width="22" customWidth="1" style="390" min="3" max="4"/>
    <col width="14" customWidth="1" style="390" min="5" max="5"/>
    <col width="8.710000000000001" customWidth="1" style="390" min="6" max="16384"/>
  </cols>
  <sheetData>
    <row r="1" ht="15" customHeight="1" s="231">
      <c r="A1" s="398" t="inlineStr">
        <is>
          <t>Nom De l'agent</t>
        </is>
      </c>
      <c r="B1" s="398" t="inlineStr">
        <is>
          <t>Date</t>
        </is>
      </c>
      <c r="C1" s="398" t="inlineStr">
        <is>
          <t>Heure Début Pause Prévue</t>
        </is>
      </c>
      <c r="D1" s="398" t="inlineStr">
        <is>
          <t>Heure Fin Pause Prévue</t>
        </is>
      </c>
      <c r="E1" s="398" t="inlineStr">
        <is>
          <t>Durée Prévue</t>
        </is>
      </c>
      <c r="F1" s="390" t="inlineStr">
        <is>
          <t>Clé (auto)</t>
        </is>
      </c>
    </row>
    <row r="2" ht="15" customHeight="1" s="231">
      <c r="A2" s="390" t="inlineStr">
        <is>
          <t>ZAKI OMAR</t>
        </is>
      </c>
      <c r="B2" s="400" t="n">
        <v>44761</v>
      </c>
      <c r="C2" s="401" t="n">
        <v>0.5</v>
      </c>
      <c r="D2" s="402" t="n">
        <v>0.5416666666666666</v>
      </c>
      <c r="E2" s="403">
        <f>IF(OR($C2="",$D2=""),"",$D2-$C2)</f>
        <v/>
      </c>
      <c r="F2" s="390">
        <f>$A2&amp;"|"&amp;TEXT($B2,"YYYYMMDD")</f>
        <v/>
      </c>
    </row>
    <row r="3" ht="15" customHeight="1" s="231">
      <c r="A3" s="390" t="inlineStr">
        <is>
          <t>AZHARI ABDELHAMID</t>
        </is>
      </c>
      <c r="B3" s="400" t="n">
        <v>44761</v>
      </c>
      <c r="C3" s="401" t="n">
        <v>0.5</v>
      </c>
      <c r="D3" s="402" t="n">
        <v>0.5416666666666666</v>
      </c>
      <c r="E3" s="403">
        <f>IF(OR($C3="",$D3=""),"",$D3-$C3)</f>
        <v/>
      </c>
      <c r="F3" s="390">
        <f>$A3&amp;"|"&amp;TEXT($B3,"YYYYMMDD")</f>
        <v/>
      </c>
    </row>
    <row r="4" ht="15" customHeight="1" s="231">
      <c r="A4" s="390" t="inlineStr">
        <is>
          <t xml:space="preserve">LALOUN MANAL </t>
        </is>
      </c>
      <c r="B4" s="400" t="n">
        <v>44761</v>
      </c>
      <c r="C4" s="404" t="n"/>
      <c r="D4" s="404" t="n"/>
      <c r="E4" s="403">
        <f>IF(OR($C4="",$D4=""),"",$D4-$C4)</f>
        <v/>
      </c>
      <c r="F4" s="390">
        <f>$A4&amp;"|"&amp;TEXT($B4,"YYYYMMDD")</f>
        <v/>
      </c>
    </row>
    <row r="5" ht="15" customHeight="1" s="231">
      <c r="A5" s="390" t="inlineStr">
        <is>
          <t>BOULHROUD SALMA</t>
        </is>
      </c>
      <c r="B5" s="400" t="n">
        <v>44761</v>
      </c>
      <c r="C5" s="404" t="n"/>
      <c r="D5" s="404" t="n"/>
      <c r="E5" s="403">
        <f>IF(OR($C5="",$D5=""),"",$D5-$C5)</f>
        <v/>
      </c>
      <c r="F5" s="390">
        <f>$A5&amp;"|"&amp;TEXT($B5,"YYYYMMDD")</f>
        <v/>
      </c>
    </row>
    <row r="6" ht="15" customHeight="1" s="231">
      <c r="A6" s="390" t="inlineStr">
        <is>
          <t>NEMMAOUI MOUNIRA</t>
        </is>
      </c>
      <c r="B6" s="400" t="n">
        <v>44761</v>
      </c>
      <c r="C6" s="404" t="n"/>
      <c r="D6" s="404" t="n"/>
      <c r="E6" s="403">
        <f>IF(OR($C6="",$D6=""),"",$D6-$C6)</f>
        <v/>
      </c>
      <c r="F6" s="390">
        <f>$A6&amp;"|"&amp;TEXT($B6,"YYYYMMDD")</f>
        <v/>
      </c>
    </row>
    <row r="7" ht="15" customHeight="1" s="231">
      <c r="A7" s="390" t="inlineStr">
        <is>
          <t>NIANG NDEYE ABSA</t>
        </is>
      </c>
      <c r="B7" s="400" t="n">
        <v>44761</v>
      </c>
      <c r="C7" s="404" t="n"/>
      <c r="D7" s="404" t="n"/>
      <c r="E7" s="403">
        <f>IF(OR($C7="",$D7=""),"",$D7-$C7)</f>
        <v/>
      </c>
      <c r="F7" s="390">
        <f>$A7&amp;"|"&amp;TEXT($B7,"YYYYMMDD")</f>
        <v/>
      </c>
    </row>
    <row r="8" ht="15" customHeight="1" s="231">
      <c r="A8" s="390" t="inlineStr">
        <is>
          <t>BENSAR ANAS</t>
        </is>
      </c>
      <c r="B8" s="400" t="n">
        <v>44761</v>
      </c>
      <c r="C8" s="404" t="n"/>
      <c r="D8" s="404" t="n"/>
      <c r="E8" s="403">
        <f>IF(OR($C8="",$D8=""),"",$D8-$C8)</f>
        <v/>
      </c>
      <c r="F8" s="390">
        <f>$A8&amp;"|"&amp;TEXT($B8,"YYYYMMDD")</f>
        <v/>
      </c>
    </row>
    <row r="9" ht="15" customHeight="1" s="231">
      <c r="A9" s="390" t="inlineStr">
        <is>
          <t>MELLAHI YOUSSEF</t>
        </is>
      </c>
      <c r="B9" s="400" t="n">
        <v>44761</v>
      </c>
      <c r="C9" s="404" t="n"/>
      <c r="D9" s="404" t="n"/>
      <c r="E9" s="403">
        <f>IF(OR($C9="",$D9=""),"",$D9-$C9)</f>
        <v/>
      </c>
      <c r="F9" s="390">
        <f>$A9&amp;"|"&amp;TEXT($B9,"YYYYMMDD")</f>
        <v/>
      </c>
    </row>
    <row r="10" ht="15" customHeight="1" s="231">
      <c r="A10" s="390" t="inlineStr">
        <is>
          <t xml:space="preserve">EL HOUJJAJI Soufiane </t>
        </is>
      </c>
      <c r="B10" s="400" t="n">
        <v>44761</v>
      </c>
      <c r="C10" s="404" t="n"/>
      <c r="D10" s="404" t="n"/>
      <c r="E10" s="403">
        <f>IF(OR($C10="",$D10=""),"",$D10-$C10)</f>
        <v/>
      </c>
      <c r="F10" s="390">
        <f>$A10&amp;"|"&amp;TEXT($B10,"YYYYMMDD")</f>
        <v/>
      </c>
    </row>
    <row r="11" ht="15" customHeight="1" s="231">
      <c r="A11" s="390" t="inlineStr">
        <is>
          <t>BOURABAA HASSAN</t>
        </is>
      </c>
      <c r="B11" s="400" t="n">
        <v>44761</v>
      </c>
      <c r="C11" s="404" t="n"/>
      <c r="D11" s="404" t="n"/>
      <c r="E11" s="403">
        <f>IF(OR($C11="",$D11=""),"",$D11-$C11)</f>
        <v/>
      </c>
      <c r="F11" s="390">
        <f>$A11&amp;"|"&amp;TEXT($B11,"YYYYMMDD")</f>
        <v/>
      </c>
    </row>
    <row r="12" ht="15" customHeight="1" s="231">
      <c r="A12" s="390" t="inlineStr">
        <is>
          <t>EL-AOUAQUI BOUCHRA</t>
        </is>
      </c>
      <c r="B12" s="400" t="n">
        <v>44761</v>
      </c>
      <c r="C12" s="404" t="n"/>
      <c r="D12" s="404" t="n"/>
      <c r="E12" s="403">
        <f>IF(OR($C12="",$D12=""),"",$D12-$C12)</f>
        <v/>
      </c>
      <c r="F12" s="390">
        <f>$A12&amp;"|"&amp;TEXT($B12,"YYYYMMDD")</f>
        <v/>
      </c>
    </row>
    <row r="13" ht="15" customHeight="1" s="231">
      <c r="A13" s="390" t="inlineStr">
        <is>
          <t>ZITOUNI LAMYA</t>
        </is>
      </c>
      <c r="B13" s="400" t="n">
        <v>44761</v>
      </c>
      <c r="C13" s="404" t="n"/>
      <c r="D13" s="404" t="n"/>
      <c r="E13" s="403">
        <f>IF(OR($C13="",$D13=""),"",$D13-$C13)</f>
        <v/>
      </c>
      <c r="F13" s="390">
        <f>$A13&amp;"|"&amp;TEXT($B13,"YYYYMMDD")</f>
        <v/>
      </c>
    </row>
    <row r="14" ht="15" customHeight="1" s="231">
      <c r="A14" s="390" t="inlineStr">
        <is>
          <t>NUNEZ LUCIEN BERNARD</t>
        </is>
      </c>
      <c r="B14" s="400" t="n">
        <v>44761</v>
      </c>
      <c r="C14" s="404" t="n"/>
      <c r="D14" s="404" t="n"/>
      <c r="E14" s="403">
        <f>IF(OR($C14="",$D14=""),"",$D14-$C14)</f>
        <v/>
      </c>
      <c r="F14" s="390">
        <f>$A14&amp;"|"&amp;TEXT($B14,"YYYYMMDD")</f>
        <v/>
      </c>
    </row>
    <row r="15" ht="15" customHeight="1" s="231">
      <c r="A15" s="390" t="inlineStr">
        <is>
          <t>SIDIBE MOUSKEBA DALAFINA</t>
        </is>
      </c>
      <c r="B15" s="400" t="n">
        <v>44761</v>
      </c>
      <c r="C15" s="404" t="n"/>
      <c r="D15" s="404" t="n"/>
      <c r="E15" s="403">
        <f>IF(OR($C15="",$D15=""),"",$D15-$C15)</f>
        <v/>
      </c>
      <c r="F15" s="390">
        <f>$A15&amp;"|"&amp;TEXT($B15,"YYYYMMDD")</f>
        <v/>
      </c>
    </row>
    <row r="16" ht="15" customHeight="1" s="231">
      <c r="A16" s="390" t="inlineStr">
        <is>
          <t>SOUOUD ZAKARIA</t>
        </is>
      </c>
      <c r="B16" s="400" t="n">
        <v>44761</v>
      </c>
      <c r="C16" s="404" t="n"/>
      <c r="D16" s="404" t="n"/>
      <c r="E16" s="403">
        <f>IF(OR($C16="",$D16=""),"",$D16-$C16)</f>
        <v/>
      </c>
      <c r="F16" s="390">
        <f>$A16&amp;"|"&amp;TEXT($B16,"YYYYMMDD")</f>
        <v/>
      </c>
    </row>
    <row r="17" ht="15" customHeight="1" s="231">
      <c r="A17" s="390" t="inlineStr">
        <is>
          <t>LAFDIL NADA</t>
        </is>
      </c>
      <c r="B17" s="400" t="n">
        <v>44761</v>
      </c>
      <c r="C17" s="404" t="n"/>
      <c r="D17" s="404" t="n"/>
      <c r="E17" s="403">
        <f>IF(OR($C17="",$D17=""),"",$D17-$C17)</f>
        <v/>
      </c>
      <c r="F17" s="390">
        <f>$A17&amp;"|"&amp;TEXT($B17,"YYYYMMDD")</f>
        <v/>
      </c>
    </row>
    <row r="18" ht="15" customHeight="1" s="231">
      <c r="A18" s="390" t="inlineStr">
        <is>
          <t>SECK DIARRA</t>
        </is>
      </c>
      <c r="B18" s="400" t="n">
        <v>44761</v>
      </c>
      <c r="C18" s="404" t="n"/>
      <c r="D18" s="404" t="n"/>
      <c r="E18" s="403">
        <f>IF(OR($C18="",$D18=""),"",$D18-$C18)</f>
        <v/>
      </c>
      <c r="F18" s="390">
        <f>$A18&amp;"|"&amp;TEXT($B18,"YYYYMMDD")</f>
        <v/>
      </c>
    </row>
    <row r="19" ht="15" customHeight="1" s="231">
      <c r="A19" s="390" t="inlineStr">
        <is>
          <t>GUEYE GORA</t>
        </is>
      </c>
      <c r="B19" s="400" t="n">
        <v>44761</v>
      </c>
      <c r="C19" s="404" t="n"/>
      <c r="D19" s="404" t="n"/>
      <c r="E19" s="403">
        <f>IF(OR($C19="",$D19=""),"",$D19-$C19)</f>
        <v/>
      </c>
      <c r="F19" s="390">
        <f>$A19&amp;"|"&amp;TEXT($B19,"YYYYMMDD")</f>
        <v/>
      </c>
    </row>
    <row r="20" ht="15" customHeight="1" s="231">
      <c r="A20" s="390" t="inlineStr">
        <is>
          <t>AINELKITANE ZINEB</t>
        </is>
      </c>
      <c r="B20" s="400" t="n">
        <v>44761</v>
      </c>
      <c r="C20" s="404" t="n"/>
      <c r="D20" s="404" t="n"/>
      <c r="E20" s="403">
        <f>IF(OR($C20="",$D20=""),"",$D20-$C20)</f>
        <v/>
      </c>
      <c r="F20" s="390">
        <f>$A20&amp;"|"&amp;TEXT($B20,"YYYYMMDD")</f>
        <v/>
      </c>
    </row>
    <row r="21" ht="15" customHeight="1" s="231">
      <c r="A21" s="390" t="inlineStr">
        <is>
          <t>AIT LARBI HIND</t>
        </is>
      </c>
      <c r="B21" s="400" t="n">
        <v>44761</v>
      </c>
      <c r="C21" s="404" t="n"/>
      <c r="D21" s="404" t="n"/>
      <c r="E21" s="403">
        <f>IF(OR($C21="",$D21=""),"",$D21-$C21)</f>
        <v/>
      </c>
      <c r="F21" s="390">
        <f>$A21&amp;"|"&amp;TEXT($B21,"YYYYMMDD")</f>
        <v/>
      </c>
    </row>
    <row r="22" ht="15" customHeight="1" s="231">
      <c r="A22" s="390" t="inlineStr">
        <is>
          <t>KANTAOUI SALMA</t>
        </is>
      </c>
      <c r="B22" s="400" t="n">
        <v>44761</v>
      </c>
      <c r="C22" s="404" t="n"/>
      <c r="D22" s="404" t="n"/>
      <c r="E22" s="403">
        <f>IF(OR($C22="",$D22=""),"",$D22-$C22)</f>
        <v/>
      </c>
      <c r="F22" s="390">
        <f>$A22&amp;"|"&amp;TEXT($B22,"YYYYMMDD")</f>
        <v/>
      </c>
    </row>
    <row r="23" ht="15" customHeight="1" s="231">
      <c r="A23" s="390" t="inlineStr">
        <is>
          <t>AIT ADDI KHADIJA</t>
        </is>
      </c>
      <c r="B23" s="400" t="n">
        <v>44761</v>
      </c>
      <c r="C23" s="404" t="n"/>
      <c r="D23" s="404" t="n"/>
      <c r="E23" s="403">
        <f>IF(OR($C23="",$D23=""),"",$D23-$C23)</f>
        <v/>
      </c>
      <c r="F23" s="390">
        <f>$A23&amp;"|"&amp;TEXT($B23,"YYYYMMDD")</f>
        <v/>
      </c>
    </row>
    <row r="24" ht="15" customHeight="1" s="231">
      <c r="A24" s="390" t="inlineStr">
        <is>
          <t>ZIOUI DOUNIA</t>
        </is>
      </c>
      <c r="B24" s="400" t="n">
        <v>44761</v>
      </c>
      <c r="C24" s="404" t="n"/>
      <c r="D24" s="404" t="n"/>
      <c r="E24" s="403">
        <f>IF(OR($C24="",$D24=""),"",$D24-$C24)</f>
        <v/>
      </c>
      <c r="F24" s="390">
        <f>$A24&amp;"|"&amp;TEXT($B24,"YYYYMMDD")</f>
        <v/>
      </c>
    </row>
    <row r="25" ht="15" customHeight="1" s="231">
      <c r="A25" s="390" t="inlineStr">
        <is>
          <t xml:space="preserve">DERKAOUI AMAL </t>
        </is>
      </c>
      <c r="B25" s="400" t="n">
        <v>44761</v>
      </c>
      <c r="C25" s="404" t="n"/>
      <c r="D25" s="404" t="n"/>
      <c r="E25" s="403">
        <f>IF(OR($C25="",$D25=""),"",$D25-$C25)</f>
        <v/>
      </c>
      <c r="F25" s="390">
        <f>$A25&amp;"|"&amp;TEXT($B25,"YYYYMMDD")</f>
        <v/>
      </c>
    </row>
    <row r="26" ht="15" customHeight="1" s="231">
      <c r="A26" s="390" t="inlineStr">
        <is>
          <t>IHASSANE Ikram</t>
        </is>
      </c>
      <c r="B26" s="400" t="n">
        <v>44761</v>
      </c>
      <c r="C26" s="404" t="n"/>
      <c r="D26" s="404" t="n"/>
      <c r="E26" s="403">
        <f>IF(OR($C26="",$D26=""),"",$D26-$C26)</f>
        <v/>
      </c>
      <c r="F26" s="390">
        <f>$A26&amp;"|"&amp;TEXT($B26,"YYYYMMDD")</f>
        <v/>
      </c>
    </row>
    <row r="27" ht="15" customHeight="1" s="231">
      <c r="A27" s="390" t="inlineStr">
        <is>
          <t>EL HOUSSAINI HOUDA</t>
        </is>
      </c>
      <c r="B27" s="400" t="n">
        <v>44761</v>
      </c>
      <c r="C27" s="404" t="n"/>
      <c r="D27" s="404" t="n"/>
      <c r="E27" s="403">
        <f>IF(OR($C27="",$D27=""),"",$D27-$C27)</f>
        <v/>
      </c>
      <c r="F27" s="390">
        <f>$A27&amp;"|"&amp;TEXT($B27,"YYYYMMDD")</f>
        <v/>
      </c>
    </row>
    <row r="28" ht="15" customHeight="1" s="231">
      <c r="A28" s="390" t="inlineStr">
        <is>
          <t>GUEYE MOUHAMED</t>
        </is>
      </c>
      <c r="B28" s="400" t="n">
        <v>44761</v>
      </c>
      <c r="C28" s="404" t="n"/>
      <c r="D28" s="404" t="n"/>
      <c r="E28" s="403">
        <f>IF(OR($C28="",$D28=""),"",$D28-$C28)</f>
        <v/>
      </c>
      <c r="F28" s="390">
        <f>$A28&amp;"|"&amp;TEXT($B28,"YYYYMMDD")</f>
        <v/>
      </c>
    </row>
    <row r="29" ht="15" customHeight="1" s="231">
      <c r="A29" s="390" t="inlineStr">
        <is>
          <t>RACHAD NAWAR</t>
        </is>
      </c>
      <c r="B29" s="400" t="n">
        <v>44761</v>
      </c>
      <c r="C29" s="404" t="n"/>
      <c r="D29" s="404" t="n"/>
      <c r="E29" s="403">
        <f>IF(OR($C29="",$D29=""),"",$D29-$C29)</f>
        <v/>
      </c>
      <c r="F29" s="390">
        <f>$A29&amp;"|"&amp;TEXT($B29,"YYYYMMDD")</f>
        <v/>
      </c>
    </row>
    <row r="30" ht="15" customHeight="1" s="231">
      <c r="A30" s="390" t="inlineStr">
        <is>
          <t>DIOUF OUSSMANE</t>
        </is>
      </c>
      <c r="B30" s="400" t="n">
        <v>44761</v>
      </c>
      <c r="C30" s="404" t="n"/>
      <c r="D30" s="404" t="n"/>
      <c r="E30" s="403">
        <f>IF(OR($C30="",$D30=""),"",$D30-$C30)</f>
        <v/>
      </c>
      <c r="F30" s="390">
        <f>$A30&amp;"|"&amp;TEXT($B30,"YYYYMMDD")</f>
        <v/>
      </c>
    </row>
    <row r="31" ht="15" customHeight="1" s="231">
      <c r="A31" s="390" t="inlineStr">
        <is>
          <t>QARBOUI Aymane</t>
        </is>
      </c>
      <c r="B31" s="400" t="n">
        <v>44761</v>
      </c>
      <c r="C31" s="404" t="n"/>
      <c r="D31" s="404" t="n"/>
      <c r="E31" s="403">
        <f>IF(OR($C31="",$D31=""),"",$D31-$C31)</f>
        <v/>
      </c>
      <c r="F31" s="390">
        <f>$A31&amp;"|"&amp;TEXT($B31,"YYYYMMDD")</f>
        <v/>
      </c>
    </row>
    <row r="32" ht="15" customHeight="1" s="231">
      <c r="A32" s="390" t="inlineStr">
        <is>
          <t>EL HARROUCHI CHAIMAE</t>
        </is>
      </c>
      <c r="B32" s="400" t="n">
        <v>44761</v>
      </c>
      <c r="C32" s="404" t="n"/>
      <c r="D32" s="404" t="n"/>
      <c r="E32" s="403">
        <f>IF(OR($C32="",$D32=""),"",$D32-$C32)</f>
        <v/>
      </c>
      <c r="F32" s="390">
        <f>$A32&amp;"|"&amp;TEXT($B32,"YYYYMMDD")</f>
        <v/>
      </c>
    </row>
    <row r="33" ht="15" customHeight="1" s="231">
      <c r="A33" s="390" t="inlineStr">
        <is>
          <t>TOURE ABIBOU</t>
        </is>
      </c>
      <c r="B33" s="400" t="n">
        <v>44761</v>
      </c>
      <c r="C33" s="404" t="n"/>
      <c r="D33" s="404" t="n"/>
      <c r="E33" s="403">
        <f>IF(OR($C33="",$D33=""),"",$D33-$C33)</f>
        <v/>
      </c>
      <c r="F33" s="390">
        <f>$A33&amp;"|"&amp;TEXT($B33,"YYYYMMDD")</f>
        <v/>
      </c>
    </row>
    <row r="34" ht="15" customHeight="1" s="231">
      <c r="A34" s="390" t="inlineStr">
        <is>
          <t>ZAKI OMAR</t>
        </is>
      </c>
      <c r="B34" s="400" t="n">
        <v>44762</v>
      </c>
      <c r="C34" s="404" t="n"/>
      <c r="D34" s="404" t="n"/>
      <c r="E34" s="403">
        <f>IF(OR($C34="",$D34=""),"",$D34-$C34)</f>
        <v/>
      </c>
      <c r="F34" s="390">
        <f>$A34&amp;"|"&amp;TEXT($B34,"YYYYMMDD")</f>
        <v/>
      </c>
    </row>
    <row r="35" ht="15" customHeight="1" s="231">
      <c r="A35" s="390" t="inlineStr">
        <is>
          <t>GUEYE MOUHAMED</t>
        </is>
      </c>
      <c r="B35" s="400" t="n">
        <v>44762</v>
      </c>
      <c r="C35" s="404" t="n"/>
      <c r="D35" s="404" t="n"/>
      <c r="E35" s="403">
        <f>IF(OR($C35="",$D35=""),"",$D35-$C35)</f>
        <v/>
      </c>
      <c r="F35" s="390">
        <f>$A35&amp;"|"&amp;TEXT($B35,"YYYYMMDD")</f>
        <v/>
      </c>
    </row>
    <row r="36" ht="15" customHeight="1" s="231">
      <c r="A36" s="390" t="inlineStr">
        <is>
          <t>DIOUF OUSSMANE</t>
        </is>
      </c>
      <c r="B36" s="400" t="n">
        <v>44762</v>
      </c>
      <c r="C36" s="404" t="n"/>
      <c r="D36" s="404" t="n"/>
      <c r="E36" s="403">
        <f>IF(OR($C36="",$D36=""),"",$D36-$C36)</f>
        <v/>
      </c>
      <c r="F36" s="390">
        <f>$A36&amp;"|"&amp;TEXT($B36,"YYYYMMDD")</f>
        <v/>
      </c>
    </row>
    <row r="37" ht="15" customHeight="1" s="231">
      <c r="A37" s="390" t="inlineStr">
        <is>
          <t>AZHARI ABDELHAMID</t>
        </is>
      </c>
      <c r="B37" s="400" t="n">
        <v>44762</v>
      </c>
      <c r="C37" s="404" t="n"/>
      <c r="D37" s="404" t="n"/>
      <c r="E37" s="403">
        <f>IF(OR($C37="",$D37=""),"",$D37-$C37)</f>
        <v/>
      </c>
      <c r="F37" s="390">
        <f>$A37&amp;"|"&amp;TEXT($B37,"YYYYMMDD")</f>
        <v/>
      </c>
    </row>
    <row r="38" ht="15" customHeight="1" s="231">
      <c r="A38" s="390" t="inlineStr">
        <is>
          <t xml:space="preserve">LALOUN MANAL </t>
        </is>
      </c>
      <c r="B38" s="400" t="n">
        <v>44762</v>
      </c>
      <c r="C38" s="404" t="n"/>
      <c r="D38" s="404" t="n"/>
      <c r="E38" s="403">
        <f>IF(OR($C38="",$D38=""),"",$D38-$C38)</f>
        <v/>
      </c>
      <c r="F38" s="390">
        <f>$A38&amp;"|"&amp;TEXT($B38,"YYYYMMDD")</f>
        <v/>
      </c>
    </row>
    <row r="39" ht="15" customHeight="1" s="231">
      <c r="A39" s="390" t="inlineStr">
        <is>
          <t>BOULHROUD SALMA</t>
        </is>
      </c>
      <c r="B39" s="400" t="n">
        <v>44762</v>
      </c>
      <c r="C39" s="404" t="n"/>
      <c r="D39" s="404" t="n"/>
      <c r="E39" s="403">
        <f>IF(OR($C39="",$D39=""),"",$D39-$C39)</f>
        <v/>
      </c>
      <c r="F39" s="390">
        <f>$A39&amp;"|"&amp;TEXT($B39,"YYYYMMDD")</f>
        <v/>
      </c>
    </row>
    <row r="40" ht="15" customHeight="1" s="231">
      <c r="A40" s="390" t="inlineStr">
        <is>
          <t>BOURABAA HASSAN</t>
        </is>
      </c>
      <c r="B40" s="400" t="n">
        <v>44762</v>
      </c>
      <c r="C40" s="404" t="n"/>
      <c r="D40" s="404" t="n"/>
      <c r="E40" s="403">
        <f>IF(OR($C40="",$D40=""),"",$D40-$C40)</f>
        <v/>
      </c>
      <c r="F40" s="390">
        <f>$A40&amp;"|"&amp;TEXT($B40,"YYYYMMDD")</f>
        <v/>
      </c>
    </row>
    <row r="41" ht="15" customHeight="1" s="231">
      <c r="A41" s="390" t="inlineStr">
        <is>
          <t>NIANG NDEYE ABSA</t>
        </is>
      </c>
      <c r="B41" s="400" t="n">
        <v>44762</v>
      </c>
      <c r="C41" s="404" t="n"/>
      <c r="D41" s="404" t="n"/>
      <c r="E41" s="403">
        <f>IF(OR($C41="",$D41=""),"",$D41-$C41)</f>
        <v/>
      </c>
      <c r="F41" s="390">
        <f>$A41&amp;"|"&amp;TEXT($B41,"YYYYMMDD")</f>
        <v/>
      </c>
    </row>
    <row r="42" ht="15" customHeight="1" s="231">
      <c r="A42" s="390" t="inlineStr">
        <is>
          <t>SECK DIARRA</t>
        </is>
      </c>
      <c r="B42" s="400" t="n">
        <v>44762</v>
      </c>
      <c r="C42" s="404" t="n"/>
      <c r="D42" s="404" t="n"/>
      <c r="E42" s="403">
        <f>IF(OR($C42="",$D42=""),"",$D42-$C42)</f>
        <v/>
      </c>
      <c r="F42" s="390">
        <f>$A42&amp;"|"&amp;TEXT($B42,"YYYYMMDD")</f>
        <v/>
      </c>
    </row>
    <row r="43" ht="15" customHeight="1" s="231">
      <c r="A43" s="390" t="inlineStr">
        <is>
          <t>BENSAR ANAS</t>
        </is>
      </c>
      <c r="B43" s="400" t="n">
        <v>44762</v>
      </c>
      <c r="C43" s="404" t="n"/>
      <c r="D43" s="404" t="n"/>
      <c r="E43" s="403">
        <f>IF(OR($C43="",$D43=""),"",$D43-$C43)</f>
        <v/>
      </c>
      <c r="F43" s="390">
        <f>$A43&amp;"|"&amp;TEXT($B43,"YYYYMMDD")</f>
        <v/>
      </c>
    </row>
    <row r="44" ht="15" customHeight="1" s="231">
      <c r="A44" s="390" t="inlineStr">
        <is>
          <t>NEMMAOUI MOUNIRA</t>
        </is>
      </c>
      <c r="B44" s="400" t="n">
        <v>44762</v>
      </c>
      <c r="C44" s="404" t="n"/>
      <c r="D44" s="404" t="n"/>
      <c r="E44" s="403">
        <f>IF(OR($C44="",$D44=""),"",$D44-$C44)</f>
        <v/>
      </c>
      <c r="F44" s="390">
        <f>$A44&amp;"|"&amp;TEXT($B44,"YYYYMMDD")</f>
        <v/>
      </c>
    </row>
    <row r="45" ht="15" customHeight="1" s="231">
      <c r="A45" s="390" t="inlineStr">
        <is>
          <t xml:space="preserve">EL HOUJJAJI Soufiane </t>
        </is>
      </c>
      <c r="B45" s="400" t="n">
        <v>44762</v>
      </c>
      <c r="C45" s="404" t="n"/>
      <c r="D45" s="404" t="n"/>
      <c r="E45" s="403">
        <f>IF(OR($C45="",$D45=""),"",$D45-$C45)</f>
        <v/>
      </c>
      <c r="F45" s="390">
        <f>$A45&amp;"|"&amp;TEXT($B45,"YYYYMMDD")</f>
        <v/>
      </c>
    </row>
    <row r="46" ht="15" customHeight="1" s="231">
      <c r="A46" s="390" t="inlineStr">
        <is>
          <t>EL-AOUAQUI BOUCHRA</t>
        </is>
      </c>
      <c r="B46" s="400" t="n">
        <v>44762</v>
      </c>
      <c r="C46" s="404" t="n"/>
      <c r="D46" s="404" t="n"/>
      <c r="E46" s="403">
        <f>IF(OR($C46="",$D46=""),"",$D46-$C46)</f>
        <v/>
      </c>
      <c r="F46" s="390">
        <f>$A46&amp;"|"&amp;TEXT($B46,"YYYYMMDD")</f>
        <v/>
      </c>
    </row>
    <row r="47" ht="15" customHeight="1" s="231">
      <c r="A47" s="390" t="inlineStr">
        <is>
          <t>LAFDIL NADA</t>
        </is>
      </c>
      <c r="B47" s="400" t="n">
        <v>44762</v>
      </c>
      <c r="C47" s="404" t="n"/>
      <c r="D47" s="404" t="n"/>
      <c r="E47" s="403">
        <f>IF(OR($C47="",$D47=""),"",$D47-$C47)</f>
        <v/>
      </c>
      <c r="F47" s="390">
        <f>$A47&amp;"|"&amp;TEXT($B47,"YYYYMMDD")</f>
        <v/>
      </c>
    </row>
    <row r="48" ht="15" customHeight="1" s="231">
      <c r="A48" s="390" t="inlineStr">
        <is>
          <t>ZITOUNI LAMYA</t>
        </is>
      </c>
      <c r="B48" s="400" t="n">
        <v>44762</v>
      </c>
      <c r="C48" s="404" t="n"/>
      <c r="D48" s="404" t="n"/>
      <c r="E48" s="403">
        <f>IF(OR($C48="",$D48=""),"",$D48-$C48)</f>
        <v/>
      </c>
      <c r="F48" s="390">
        <f>$A48&amp;"|"&amp;TEXT($B48,"YYYYMMDD")</f>
        <v/>
      </c>
    </row>
    <row r="49" ht="15" customHeight="1" s="231">
      <c r="A49" s="390" t="inlineStr">
        <is>
          <t>GUEYE GORA</t>
        </is>
      </c>
      <c r="B49" s="400" t="n">
        <v>44762</v>
      </c>
      <c r="C49" s="404" t="n"/>
      <c r="D49" s="404" t="n"/>
      <c r="E49" s="403">
        <f>IF(OR($C49="",$D49=""),"",$D49-$C49)</f>
        <v/>
      </c>
      <c r="F49" s="390">
        <f>$A49&amp;"|"&amp;TEXT($B49,"YYYYMMDD")</f>
        <v/>
      </c>
    </row>
    <row r="50" ht="15" customHeight="1" s="231">
      <c r="A50" s="390" t="inlineStr">
        <is>
          <t>TOURE ABIBOU</t>
        </is>
      </c>
      <c r="B50" s="400" t="n">
        <v>44762</v>
      </c>
      <c r="C50" s="404" t="n"/>
      <c r="D50" s="404" t="n"/>
      <c r="E50" s="403">
        <f>IF(OR($C50="",$D50=""),"",$D50-$C50)</f>
        <v/>
      </c>
      <c r="F50" s="390">
        <f>$A50&amp;"|"&amp;TEXT($B50,"YYYYMMDD")</f>
        <v/>
      </c>
    </row>
    <row r="51" ht="15" customHeight="1" s="231">
      <c r="A51" s="390" t="inlineStr">
        <is>
          <t>KANTAOUI SALMA</t>
        </is>
      </c>
      <c r="B51" s="400" t="n">
        <v>44762</v>
      </c>
      <c r="C51" s="404" t="n"/>
      <c r="D51" s="404" t="n"/>
      <c r="E51" s="403">
        <f>IF(OR($C51="",$D51=""),"",$D51-$C51)</f>
        <v/>
      </c>
      <c r="F51" s="390">
        <f>$A51&amp;"|"&amp;TEXT($B51,"YYYYMMDD")</f>
        <v/>
      </c>
    </row>
    <row r="52" ht="15" customHeight="1" s="231">
      <c r="A52" s="390" t="inlineStr">
        <is>
          <t>SOUOUD ZAKARIA</t>
        </is>
      </c>
      <c r="B52" s="400" t="n">
        <v>44762</v>
      </c>
      <c r="C52" s="404" t="n"/>
      <c r="D52" s="404" t="n"/>
      <c r="E52" s="403">
        <f>IF(OR($C52="",$D52=""),"",$D52-$C52)</f>
        <v/>
      </c>
      <c r="F52" s="390">
        <f>$A52&amp;"|"&amp;TEXT($B52,"YYYYMMDD")</f>
        <v/>
      </c>
    </row>
    <row r="53" ht="15" customHeight="1" s="231">
      <c r="A53" s="390" t="inlineStr">
        <is>
          <t>AIT ADDI KHADIJA</t>
        </is>
      </c>
      <c r="B53" s="400" t="n">
        <v>44762</v>
      </c>
      <c r="C53" s="404" t="n"/>
      <c r="D53" s="404" t="n"/>
      <c r="E53" s="403">
        <f>IF(OR($C53="",$D53=""),"",$D53-$C53)</f>
        <v/>
      </c>
      <c r="F53" s="390">
        <f>$A53&amp;"|"&amp;TEXT($B53,"YYYYMMDD")</f>
        <v/>
      </c>
    </row>
    <row r="54" ht="15" customHeight="1" s="231">
      <c r="A54" s="390" t="inlineStr">
        <is>
          <t>MELLAHI YOUSSEF</t>
        </is>
      </c>
      <c r="B54" s="400" t="n">
        <v>44762</v>
      </c>
      <c r="C54" s="404" t="n"/>
      <c r="D54" s="404" t="n"/>
      <c r="E54" s="403">
        <f>IF(OR($C54="",$D54=""),"",$D54-$C54)</f>
        <v/>
      </c>
      <c r="F54" s="390">
        <f>$A54&amp;"|"&amp;TEXT($B54,"YYYYMMDD")</f>
        <v/>
      </c>
    </row>
    <row r="55" ht="15" customHeight="1" s="231">
      <c r="A55" s="390" t="inlineStr">
        <is>
          <t>EL HARROUCHI CHAIMAE</t>
        </is>
      </c>
      <c r="B55" s="400" t="n">
        <v>44762</v>
      </c>
      <c r="C55" s="404" t="n"/>
      <c r="D55" s="404" t="n"/>
      <c r="E55" s="403">
        <f>IF(OR($C55="",$D55=""),"",$D55-$C55)</f>
        <v/>
      </c>
      <c r="F55" s="390">
        <f>$A55&amp;"|"&amp;TEXT($B55,"YYYYMMDD")</f>
        <v/>
      </c>
    </row>
    <row r="56" ht="15" customHeight="1" s="231">
      <c r="A56" s="390" t="inlineStr">
        <is>
          <t>SIDIBE MOUSKEBA DALAFINA</t>
        </is>
      </c>
      <c r="B56" s="400" t="n">
        <v>44762</v>
      </c>
      <c r="C56" s="404" t="n"/>
      <c r="D56" s="404" t="n"/>
      <c r="E56" s="403">
        <f>IF(OR($C56="",$D56=""),"",$D56-$C56)</f>
        <v/>
      </c>
      <c r="F56" s="390">
        <f>$A56&amp;"|"&amp;TEXT($B56,"YYYYMMDD")</f>
        <v/>
      </c>
    </row>
    <row r="57" ht="15" customHeight="1" s="231">
      <c r="A57" s="390" t="inlineStr">
        <is>
          <t>AINELKITANE ZINEB</t>
        </is>
      </c>
      <c r="B57" s="400" t="n">
        <v>44762</v>
      </c>
      <c r="C57" s="404" t="n"/>
      <c r="D57" s="404" t="n"/>
      <c r="E57" s="403">
        <f>IF(OR($C57="",$D57=""),"",$D57-$C57)</f>
        <v/>
      </c>
      <c r="F57" s="390">
        <f>$A57&amp;"|"&amp;TEXT($B57,"YYYYMMDD")</f>
        <v/>
      </c>
    </row>
    <row r="58" ht="15" customHeight="1" s="231">
      <c r="A58" s="390" t="inlineStr">
        <is>
          <t>AIT LARBI HIND</t>
        </is>
      </c>
      <c r="B58" s="400" t="n">
        <v>44762</v>
      </c>
      <c r="C58" s="404" t="n"/>
      <c r="D58" s="404" t="n"/>
      <c r="E58" s="403">
        <f>IF(OR($C58="",$D58=""),"",$D58-$C58)</f>
        <v/>
      </c>
      <c r="F58" s="390">
        <f>$A58&amp;"|"&amp;TEXT($B58,"YYYYMMDD")</f>
        <v/>
      </c>
    </row>
    <row r="59" ht="15" customHeight="1" s="231">
      <c r="A59" s="390" t="inlineStr">
        <is>
          <t>ZIOUI DOUNIA</t>
        </is>
      </c>
      <c r="B59" s="400" t="n">
        <v>44762</v>
      </c>
      <c r="C59" s="404" t="n"/>
      <c r="D59" s="404" t="n"/>
      <c r="E59" s="403">
        <f>IF(OR($C59="",$D59=""),"",$D59-$C59)</f>
        <v/>
      </c>
      <c r="F59" s="390">
        <f>$A59&amp;"|"&amp;TEXT($B59,"YYYYMMDD")</f>
        <v/>
      </c>
    </row>
    <row r="60" ht="15" customHeight="1" s="231">
      <c r="A60" s="390" t="inlineStr">
        <is>
          <t xml:space="preserve">DERKAOUI AMAL </t>
        </is>
      </c>
      <c r="B60" s="400" t="n">
        <v>44762</v>
      </c>
      <c r="C60" s="404" t="n"/>
      <c r="D60" s="404" t="n"/>
      <c r="E60" s="403">
        <f>IF(OR($C60="",$D60=""),"",$D60-$C60)</f>
        <v/>
      </c>
      <c r="F60" s="390">
        <f>$A60&amp;"|"&amp;TEXT($B60,"YYYYMMDD")</f>
        <v/>
      </c>
    </row>
    <row r="61" ht="15" customHeight="1" s="231">
      <c r="A61" s="390" t="inlineStr">
        <is>
          <t>IHASSANE Ikram</t>
        </is>
      </c>
      <c r="B61" s="400" t="n">
        <v>44762</v>
      </c>
      <c r="C61" s="404" t="n"/>
      <c r="D61" s="404" t="n"/>
      <c r="E61" s="403">
        <f>IF(OR($C61="",$D61=""),"",$D61-$C61)</f>
        <v/>
      </c>
      <c r="F61" s="390">
        <f>$A61&amp;"|"&amp;TEXT($B61,"YYYYMMDD")</f>
        <v/>
      </c>
    </row>
    <row r="62" ht="15" customHeight="1" s="231">
      <c r="A62" s="390" t="inlineStr">
        <is>
          <t>NUNEZ LUCIEN BERNARD</t>
        </is>
      </c>
      <c r="B62" s="400" t="n">
        <v>44762</v>
      </c>
      <c r="C62" s="404" t="n"/>
      <c r="D62" s="404" t="n"/>
      <c r="E62" s="403">
        <f>IF(OR($C62="",$D62=""),"",$D62-$C62)</f>
        <v/>
      </c>
      <c r="F62" s="390">
        <f>$A62&amp;"|"&amp;TEXT($B62,"YYYYMMDD")</f>
        <v/>
      </c>
    </row>
    <row r="63" ht="15" customHeight="1" s="231">
      <c r="A63" s="390" t="inlineStr">
        <is>
          <t>EL HOUSSAINI HOUDA</t>
        </is>
      </c>
      <c r="B63" s="400" t="n">
        <v>44762</v>
      </c>
      <c r="C63" s="404" t="n"/>
      <c r="D63" s="404" t="n"/>
      <c r="E63" s="403">
        <f>IF(OR($C63="",$D63=""),"",$D63-$C63)</f>
        <v/>
      </c>
      <c r="F63" s="390">
        <f>$A63&amp;"|"&amp;TEXT($B63,"YYYYMMDD")</f>
        <v/>
      </c>
    </row>
    <row r="64" ht="15" customHeight="1" s="231">
      <c r="A64" s="390" t="inlineStr">
        <is>
          <t>RACHAD NAWAR</t>
        </is>
      </c>
      <c r="B64" s="400" t="n">
        <v>44762</v>
      </c>
      <c r="C64" s="404" t="n"/>
      <c r="D64" s="404" t="n"/>
      <c r="E64" s="403">
        <f>IF(OR($C64="",$D64=""),"",$D64-$C64)</f>
        <v/>
      </c>
      <c r="F64" s="390">
        <f>$A64&amp;"|"&amp;TEXT($B64,"YYYYMMDD")</f>
        <v/>
      </c>
    </row>
    <row r="65" ht="15" customHeight="1" s="231">
      <c r="A65" s="390" t="inlineStr">
        <is>
          <t>QARBOUI Aymane</t>
        </is>
      </c>
      <c r="B65" s="400" t="n">
        <v>44762</v>
      </c>
      <c r="C65" s="404" t="n"/>
      <c r="D65" s="404" t="n"/>
      <c r="E65" s="403">
        <f>IF(OR($C65="",$D65=""),"",$D65-$C65)</f>
        <v/>
      </c>
      <c r="F65" s="390">
        <f>$A65&amp;"|"&amp;TEXT($B65,"YYYYMMDD")</f>
        <v/>
      </c>
    </row>
    <row r="66" ht="15" customHeight="1" s="231">
      <c r="A66" s="390" t="inlineStr">
        <is>
          <t>ZAKI OMAR</t>
        </is>
      </c>
      <c r="B66" s="400" t="n">
        <v>44763</v>
      </c>
      <c r="C66" s="404" t="n"/>
      <c r="D66" s="404" t="n"/>
      <c r="E66" s="403">
        <f>IF(OR($C66="",$D66=""),"",$D66-$C66)</f>
        <v/>
      </c>
      <c r="F66" s="390">
        <f>$A66&amp;"|"&amp;TEXT($B66,"YYYYMMDD")</f>
        <v/>
      </c>
    </row>
    <row r="67" ht="15" customHeight="1" s="231">
      <c r="A67" s="390" t="inlineStr">
        <is>
          <t>GUEYE MOUHAMED</t>
        </is>
      </c>
      <c r="B67" s="400" t="n">
        <v>44763</v>
      </c>
      <c r="C67" s="404" t="n"/>
      <c r="D67" s="404" t="n"/>
      <c r="E67" s="403">
        <f>IF(OR($C67="",$D67=""),"",$D67-$C67)</f>
        <v/>
      </c>
      <c r="F67" s="390">
        <f>$A67&amp;"|"&amp;TEXT($B67,"YYYYMMDD")</f>
        <v/>
      </c>
    </row>
    <row r="68" ht="15" customHeight="1" s="231">
      <c r="A68" s="390" t="inlineStr">
        <is>
          <t>AIT LARBI HIND</t>
        </is>
      </c>
      <c r="B68" s="400" t="n">
        <v>44763</v>
      </c>
      <c r="C68" s="404" t="n"/>
      <c r="D68" s="404" t="n"/>
      <c r="E68" s="403">
        <f>IF(OR($C68="",$D68=""),"",$D68-$C68)</f>
        <v/>
      </c>
      <c r="F68" s="390">
        <f>$A68&amp;"|"&amp;TEXT($B68,"YYYYMMDD")</f>
        <v/>
      </c>
    </row>
    <row r="69" ht="15" customHeight="1" s="231">
      <c r="A69" s="390" t="inlineStr">
        <is>
          <t xml:space="preserve">LALOUN MANAL </t>
        </is>
      </c>
      <c r="B69" s="400" t="n">
        <v>44763</v>
      </c>
      <c r="C69" s="404" t="n"/>
      <c r="D69" s="404" t="n"/>
      <c r="E69" s="403">
        <f>IF(OR($C69="",$D69=""),"",$D69-$C69)</f>
        <v/>
      </c>
      <c r="F69" s="390">
        <f>$A69&amp;"|"&amp;TEXT($B69,"YYYYMMDD")</f>
        <v/>
      </c>
    </row>
    <row r="70" ht="15" customHeight="1" s="231">
      <c r="A70" s="390" t="inlineStr">
        <is>
          <t>SIDIBE MOUSKEBA DALAFINA</t>
        </is>
      </c>
      <c r="B70" s="400" t="n">
        <v>44763</v>
      </c>
      <c r="C70" s="404" t="n"/>
      <c r="D70" s="404" t="n"/>
      <c r="E70" s="403">
        <f>IF(OR($C70="",$D70=""),"",$D70-$C70)</f>
        <v/>
      </c>
      <c r="F70" s="390">
        <f>$A70&amp;"|"&amp;TEXT($B70,"YYYYMMDD")</f>
        <v/>
      </c>
    </row>
    <row r="71" ht="15" customHeight="1" s="231">
      <c r="A71" s="390" t="inlineStr">
        <is>
          <t>BOULHROUD SALMA</t>
        </is>
      </c>
      <c r="B71" s="400" t="n">
        <v>44763</v>
      </c>
      <c r="C71" s="404" t="n"/>
      <c r="D71" s="404" t="n"/>
      <c r="E71" s="403">
        <f>IF(OR($C71="",$D71=""),"",$D71-$C71)</f>
        <v/>
      </c>
      <c r="F71" s="390">
        <f>$A71&amp;"|"&amp;TEXT($B71,"YYYYMMDD")</f>
        <v/>
      </c>
    </row>
    <row r="72" ht="15" customHeight="1" s="231">
      <c r="A72" s="390" t="inlineStr">
        <is>
          <t>BOURABAA HASSAN</t>
        </is>
      </c>
      <c r="B72" s="400" t="n">
        <v>44763</v>
      </c>
      <c r="C72" s="404" t="n"/>
      <c r="D72" s="404" t="n"/>
      <c r="E72" s="403">
        <f>IF(OR($C72="",$D72=""),"",$D72-$C72)</f>
        <v/>
      </c>
      <c r="F72" s="390">
        <f>$A72&amp;"|"&amp;TEXT($B72,"YYYYMMDD")</f>
        <v/>
      </c>
    </row>
    <row r="73" ht="15" customHeight="1" s="231">
      <c r="A73" s="390" t="inlineStr">
        <is>
          <t>AIT ADDI KHADIJA</t>
        </is>
      </c>
      <c r="B73" s="400" t="n">
        <v>44763</v>
      </c>
      <c r="C73" s="404" t="n"/>
      <c r="D73" s="404" t="n"/>
      <c r="E73" s="403">
        <f>IF(OR($C73="",$D73=""),"",$D73-$C73)</f>
        <v/>
      </c>
      <c r="F73" s="390">
        <f>$A73&amp;"|"&amp;TEXT($B73,"YYYYMMDD")</f>
        <v/>
      </c>
    </row>
    <row r="74" ht="15" customHeight="1" s="231">
      <c r="A74" s="390" t="inlineStr">
        <is>
          <t>NUNEZ LUCIEN BERNARD</t>
        </is>
      </c>
      <c r="B74" s="400" t="n">
        <v>44763</v>
      </c>
      <c r="C74" s="404" t="n"/>
      <c r="D74" s="404" t="n"/>
      <c r="E74" s="403">
        <f>IF(OR($C74="",$D74=""),"",$D74-$C74)</f>
        <v/>
      </c>
      <c r="F74" s="390">
        <f>$A74&amp;"|"&amp;TEXT($B74,"YYYYMMDD")</f>
        <v/>
      </c>
    </row>
    <row r="75" ht="15" customHeight="1" s="231">
      <c r="A75" s="390" t="inlineStr">
        <is>
          <t>SECK DIARRA</t>
        </is>
      </c>
      <c r="B75" s="400" t="n">
        <v>44763</v>
      </c>
      <c r="C75" s="404" t="n"/>
      <c r="D75" s="404" t="n"/>
      <c r="E75" s="403">
        <f>IF(OR($C75="",$D75=""),"",$D75-$C75)</f>
        <v/>
      </c>
      <c r="F75" s="390">
        <f>$A75&amp;"|"&amp;TEXT($B75,"YYYYMMDD")</f>
        <v/>
      </c>
    </row>
    <row r="76" ht="15" customHeight="1" s="231">
      <c r="A76" s="390" t="inlineStr">
        <is>
          <t>BENSAR ANAS</t>
        </is>
      </c>
      <c r="B76" s="400" t="n">
        <v>44763</v>
      </c>
      <c r="C76" s="404" t="n"/>
      <c r="D76" s="404" t="n"/>
      <c r="E76" s="403">
        <f>IF(OR($C76="",$D76=""),"",$D76-$C76)</f>
        <v/>
      </c>
      <c r="F76" s="390">
        <f>$A76&amp;"|"&amp;TEXT($B76,"YYYYMMDD")</f>
        <v/>
      </c>
    </row>
    <row r="77" ht="15" customHeight="1" s="231">
      <c r="A77" s="390" t="inlineStr">
        <is>
          <t>TOURE ABIBOU</t>
        </is>
      </c>
      <c r="B77" s="400" t="n">
        <v>44763</v>
      </c>
      <c r="C77" s="404" t="n"/>
      <c r="D77" s="404" t="n"/>
      <c r="E77" s="403">
        <f>IF(OR($C77="",$D77=""),"",$D77-$C77)</f>
        <v/>
      </c>
      <c r="F77" s="390">
        <f>$A77&amp;"|"&amp;TEXT($B77,"YYYYMMDD")</f>
        <v/>
      </c>
    </row>
    <row r="78" ht="15" customHeight="1" s="231">
      <c r="A78" s="390" t="inlineStr">
        <is>
          <t>EL HARROUCHI CHAIMAE</t>
        </is>
      </c>
      <c r="B78" s="400" t="n">
        <v>44763</v>
      </c>
      <c r="C78" s="404" t="n"/>
      <c r="D78" s="404" t="n"/>
      <c r="E78" s="403">
        <f>IF(OR($C78="",$D78=""),"",$D78-$C78)</f>
        <v/>
      </c>
      <c r="F78" s="390">
        <f>$A78&amp;"|"&amp;TEXT($B78,"YYYYMMDD")</f>
        <v/>
      </c>
    </row>
    <row r="79" ht="15" customHeight="1" s="231">
      <c r="A79" s="390" t="inlineStr">
        <is>
          <t>GUEYE GORA</t>
        </is>
      </c>
      <c r="B79" s="400" t="n">
        <v>44763</v>
      </c>
      <c r="C79" s="404" t="n"/>
      <c r="D79" s="404" t="n"/>
      <c r="E79" s="403">
        <f>IF(OR($C79="",$D79=""),"",$D79-$C79)</f>
        <v/>
      </c>
      <c r="F79" s="390">
        <f>$A79&amp;"|"&amp;TEXT($B79,"YYYYMMDD")</f>
        <v/>
      </c>
    </row>
    <row r="80" ht="15" customHeight="1" s="231">
      <c r="A80" s="390" t="inlineStr">
        <is>
          <t>DIOUF OUSSMANE</t>
        </is>
      </c>
      <c r="B80" s="400" t="n">
        <v>44763</v>
      </c>
      <c r="C80" s="404" t="n"/>
      <c r="D80" s="404" t="n"/>
      <c r="E80" s="403">
        <f>IF(OR($C80="",$D80=""),"",$D80-$C80)</f>
        <v/>
      </c>
      <c r="F80" s="390">
        <f>$A80&amp;"|"&amp;TEXT($B80,"YYYYMMDD")</f>
        <v/>
      </c>
    </row>
    <row r="81" ht="15" customHeight="1" s="231">
      <c r="A81" s="390" t="inlineStr">
        <is>
          <t>EL HOUSSAINI HOUDA</t>
        </is>
      </c>
      <c r="B81" s="400" t="n">
        <v>44763</v>
      </c>
      <c r="C81" s="404" t="n"/>
      <c r="D81" s="404" t="n"/>
      <c r="E81" s="403">
        <f>IF(OR($C81="",$D81=""),"",$D81-$C81)</f>
        <v/>
      </c>
      <c r="F81" s="390">
        <f>$A81&amp;"|"&amp;TEXT($B81,"YYYYMMDD")</f>
        <v/>
      </c>
    </row>
    <row r="82" ht="15" customHeight="1" s="231">
      <c r="A82" s="390" t="inlineStr">
        <is>
          <t>RACHAD NAWAR</t>
        </is>
      </c>
      <c r="B82" s="400" t="n">
        <v>44763</v>
      </c>
      <c r="C82" s="404" t="n"/>
      <c r="D82" s="404" t="n"/>
      <c r="E82" s="403">
        <f>IF(OR($C82="",$D82=""),"",$D82-$C82)</f>
        <v/>
      </c>
      <c r="F82" s="390">
        <f>$A82&amp;"|"&amp;TEXT($B82,"YYYYMMDD")</f>
        <v/>
      </c>
    </row>
    <row r="83" ht="15" customHeight="1" s="231">
      <c r="A83" s="390" t="inlineStr">
        <is>
          <t>ZIOUI DOUNIA</t>
        </is>
      </c>
      <c r="B83" s="400" t="n">
        <v>44763</v>
      </c>
      <c r="C83" s="404" t="n"/>
      <c r="D83" s="404" t="n"/>
      <c r="E83" s="403">
        <f>IF(OR($C83="",$D83=""),"",$D83-$C83)</f>
        <v/>
      </c>
      <c r="F83" s="390">
        <f>$A83&amp;"|"&amp;TEXT($B83,"YYYYMMDD")</f>
        <v/>
      </c>
    </row>
    <row r="84" ht="15" customHeight="1" s="231">
      <c r="A84" s="390" t="inlineStr">
        <is>
          <t>AINELKITANE ZINEB</t>
        </is>
      </c>
      <c r="B84" s="400" t="n">
        <v>44763</v>
      </c>
      <c r="C84" s="404" t="n"/>
      <c r="D84" s="404" t="n"/>
      <c r="E84" s="403">
        <f>IF(OR($C84="",$D84=""),"",$D84-$C84)</f>
        <v/>
      </c>
      <c r="F84" s="390">
        <f>$A84&amp;"|"&amp;TEXT($B84,"YYYYMMDD")</f>
        <v/>
      </c>
    </row>
    <row r="85" ht="15" customHeight="1" s="231">
      <c r="A85" s="390" t="inlineStr">
        <is>
          <t>NEMMAOUI MOUNIRA</t>
        </is>
      </c>
      <c r="B85" s="400" t="n">
        <v>44763</v>
      </c>
      <c r="C85" s="404" t="n"/>
      <c r="D85" s="404" t="n"/>
      <c r="E85" s="403">
        <f>IF(OR($C85="",$D85=""),"",$D85-$C85)</f>
        <v/>
      </c>
      <c r="F85" s="390">
        <f>$A85&amp;"|"&amp;TEXT($B85,"YYYYMMDD")</f>
        <v/>
      </c>
    </row>
    <row r="86" ht="15" customHeight="1" s="231">
      <c r="A86" s="390" t="inlineStr">
        <is>
          <t>QARBOUI Aymane</t>
        </is>
      </c>
      <c r="B86" s="400" t="n">
        <v>44763</v>
      </c>
      <c r="C86" s="404" t="n"/>
      <c r="D86" s="404" t="n"/>
      <c r="E86" s="403">
        <f>IF(OR($C86="",$D86=""),"",$D86-$C86)</f>
        <v/>
      </c>
      <c r="F86" s="390">
        <f>$A86&amp;"|"&amp;TEXT($B86,"YYYYMMDD")</f>
        <v/>
      </c>
    </row>
    <row r="87" ht="15" customHeight="1" s="231">
      <c r="A87" s="390" t="inlineStr">
        <is>
          <t>LAFDIL NADA</t>
        </is>
      </c>
      <c r="B87" s="400" t="n">
        <v>44763</v>
      </c>
      <c r="C87" s="404" t="n"/>
      <c r="D87" s="404" t="n"/>
      <c r="E87" s="403">
        <f>IF(OR($C87="",$D87=""),"",$D87-$C87)</f>
        <v/>
      </c>
      <c r="F87" s="390">
        <f>$A87&amp;"|"&amp;TEXT($B87,"YYYYMMDD")</f>
        <v/>
      </c>
    </row>
    <row r="88" ht="15" customHeight="1" s="231">
      <c r="A88" s="390" t="inlineStr">
        <is>
          <t>MELLAHI YOUSSEF</t>
        </is>
      </c>
      <c r="B88" s="400" t="n">
        <v>44763</v>
      </c>
      <c r="C88" s="404" t="n"/>
      <c r="D88" s="404" t="n"/>
      <c r="E88" s="403">
        <f>IF(OR($C88="",$D88=""),"",$D88-$C88)</f>
        <v/>
      </c>
      <c r="F88" s="390">
        <f>$A88&amp;"|"&amp;TEXT($B88,"YYYYMMDD")</f>
        <v/>
      </c>
    </row>
    <row r="89" ht="15" customHeight="1" s="231">
      <c r="A89" s="390" t="inlineStr">
        <is>
          <t>SOUOUD ZAKARIA</t>
        </is>
      </c>
      <c r="B89" s="400" t="n">
        <v>44763</v>
      </c>
      <c r="C89" s="404" t="n"/>
      <c r="D89" s="404" t="n"/>
      <c r="E89" s="403">
        <f>IF(OR($C89="",$D89=""),"",$D89-$C89)</f>
        <v/>
      </c>
      <c r="F89" s="390">
        <f>$A89&amp;"|"&amp;TEXT($B89,"YYYYMMDD")</f>
        <v/>
      </c>
    </row>
    <row r="90" ht="15" customHeight="1" s="231">
      <c r="A90" s="390" t="inlineStr">
        <is>
          <t xml:space="preserve">DERKAOUI AMAL </t>
        </is>
      </c>
      <c r="B90" s="400" t="n">
        <v>44763</v>
      </c>
      <c r="C90" s="404" t="n"/>
      <c r="D90" s="404" t="n"/>
      <c r="E90" s="403">
        <f>IF(OR($C90="",$D90=""),"",$D90-$C90)</f>
        <v/>
      </c>
      <c r="F90" s="390">
        <f>$A90&amp;"|"&amp;TEXT($B90,"YYYYMMDD")</f>
        <v/>
      </c>
    </row>
    <row r="91" ht="15" customHeight="1" s="231">
      <c r="A91" s="390" t="inlineStr">
        <is>
          <t>IHASSANE Ikram</t>
        </is>
      </c>
      <c r="B91" s="400" t="n">
        <v>44763</v>
      </c>
      <c r="C91" s="404" t="n"/>
      <c r="D91" s="404" t="n"/>
      <c r="E91" s="403">
        <f>IF(OR($C91="",$D91=""),"",$D91-$C91)</f>
        <v/>
      </c>
      <c r="F91" s="390">
        <f>$A91&amp;"|"&amp;TEXT($B91,"YYYYMMDD")</f>
        <v/>
      </c>
    </row>
    <row r="92" ht="15" customHeight="1" s="231">
      <c r="A92" s="390" t="inlineStr">
        <is>
          <t>EL-AOUAQUI BOUCHRA</t>
        </is>
      </c>
      <c r="B92" s="400" t="n">
        <v>44763</v>
      </c>
      <c r="C92" s="404" t="n"/>
      <c r="D92" s="404" t="n"/>
      <c r="E92" s="403">
        <f>IF(OR($C92="",$D92=""),"",$D92-$C92)</f>
        <v/>
      </c>
      <c r="F92" s="390">
        <f>$A92&amp;"|"&amp;TEXT($B92,"YYYYMMDD")</f>
        <v/>
      </c>
    </row>
    <row r="93" ht="15" customHeight="1" s="231">
      <c r="A93" s="390" t="inlineStr">
        <is>
          <t>ZITOUNI LAMYA</t>
        </is>
      </c>
      <c r="B93" s="400" t="n">
        <v>44763</v>
      </c>
      <c r="C93" s="404" t="n"/>
      <c r="D93" s="404" t="n"/>
      <c r="E93" s="403">
        <f>IF(OR($C93="",$D93=""),"",$D93-$C93)</f>
        <v/>
      </c>
      <c r="F93" s="390">
        <f>$A93&amp;"|"&amp;TEXT($B93,"YYYYMMDD")</f>
        <v/>
      </c>
    </row>
    <row r="94" ht="15" customHeight="1" s="231">
      <c r="A94" s="390" t="inlineStr">
        <is>
          <t>KANTAOUI SALMA</t>
        </is>
      </c>
      <c r="B94" s="400" t="n">
        <v>44763</v>
      </c>
      <c r="C94" s="404" t="n"/>
      <c r="D94" s="404" t="n"/>
      <c r="E94" s="403">
        <f>IF(OR($C94="",$D94=""),"",$D94-$C94)</f>
        <v/>
      </c>
      <c r="F94" s="390">
        <f>$A94&amp;"|"&amp;TEXT($B94,"YYYYMMDD")</f>
        <v/>
      </c>
    </row>
    <row r="95" ht="15" customHeight="1" s="231">
      <c r="A95" s="390" t="inlineStr">
        <is>
          <t xml:space="preserve">EL HOUJJAJI Soufiane </t>
        </is>
      </c>
      <c r="B95" s="400" t="n">
        <v>44763</v>
      </c>
      <c r="C95" s="404" t="n"/>
      <c r="D95" s="404" t="n"/>
      <c r="E95" s="403">
        <f>IF(OR($C95="",$D95=""),"",$D95-$C95)</f>
        <v/>
      </c>
      <c r="F95" s="390">
        <f>$A95&amp;"|"&amp;TEXT($B95,"YYYYMMDD")</f>
        <v/>
      </c>
    </row>
    <row r="96" ht="15" customHeight="1" s="231">
      <c r="A96" s="390" t="inlineStr">
        <is>
          <t>AZHARI ABDELHAMID</t>
        </is>
      </c>
      <c r="B96" s="400" t="n">
        <v>44763</v>
      </c>
      <c r="C96" s="404" t="n"/>
      <c r="D96" s="404" t="n"/>
      <c r="E96" s="403">
        <f>IF(OR($C96="",$D96=""),"",$D96-$C96)</f>
        <v/>
      </c>
      <c r="F96" s="390">
        <f>$A96&amp;"|"&amp;TEXT($B96,"YYYYMMDD")</f>
        <v/>
      </c>
    </row>
    <row r="97" ht="15" customHeight="1" s="231">
      <c r="A97" s="390" t="inlineStr">
        <is>
          <t>NIANG NDEYE ABSA</t>
        </is>
      </c>
      <c r="B97" s="400" t="n">
        <v>44763</v>
      </c>
      <c r="C97" s="404" t="n"/>
      <c r="D97" s="404" t="n"/>
      <c r="E97" s="403">
        <f>IF(OR($C97="",$D97=""),"",$D97-$C97)</f>
        <v/>
      </c>
      <c r="F97" s="390">
        <f>$A97&amp;"|"&amp;TEXT($B97,"YYYYMMDD")</f>
        <v/>
      </c>
    </row>
    <row r="98" ht="15" customHeight="1" s="231">
      <c r="A98" s="390" t="inlineStr">
        <is>
          <t>GUEYE MOUHAMED</t>
        </is>
      </c>
      <c r="B98" s="400" t="n">
        <v>44764</v>
      </c>
      <c r="C98" s="404" t="n"/>
      <c r="D98" s="404" t="n"/>
      <c r="E98" s="403">
        <f>IF(OR($C98="",$D98=""),"",$D98-$C98)</f>
        <v/>
      </c>
      <c r="F98" s="390">
        <f>$A98&amp;"|"&amp;TEXT($B98,"YYYYMMDD")</f>
        <v/>
      </c>
    </row>
    <row r="99" ht="15" customHeight="1" s="231">
      <c r="A99" s="390" t="inlineStr">
        <is>
          <t>DIOUF OUSSMANE</t>
        </is>
      </c>
      <c r="B99" s="400" t="n">
        <v>44764</v>
      </c>
      <c r="C99" s="404" t="n"/>
      <c r="D99" s="404" t="n"/>
      <c r="E99" s="403">
        <f>IF(OR($C99="",$D99=""),"",$D99-$C99)</f>
        <v/>
      </c>
      <c r="F99" s="390">
        <f>$A99&amp;"|"&amp;TEXT($B99,"YYYYMMDD")</f>
        <v/>
      </c>
    </row>
    <row r="100" ht="15" customHeight="1" s="231">
      <c r="A100" s="390" t="inlineStr">
        <is>
          <t xml:space="preserve">EL HOUJJAJI Soufiane </t>
        </is>
      </c>
      <c r="B100" s="400" t="n">
        <v>44764</v>
      </c>
      <c r="C100" s="404" t="n"/>
      <c r="D100" s="404" t="n"/>
      <c r="E100" s="403">
        <f>IF(OR($C100="",$D100=""),"",$D100-$C100)</f>
        <v/>
      </c>
      <c r="F100" s="390">
        <f>$A100&amp;"|"&amp;TEXT($B100,"YYYYMMDD")</f>
        <v/>
      </c>
    </row>
    <row r="101" ht="15" customHeight="1" s="231">
      <c r="A101" s="390" t="inlineStr">
        <is>
          <t>AZHARI ABDELHAMID</t>
        </is>
      </c>
      <c r="B101" s="400" t="n">
        <v>44764</v>
      </c>
      <c r="C101" s="404" t="n"/>
      <c r="D101" s="404" t="n"/>
      <c r="E101" s="403">
        <f>IF(OR($C101="",$D101=""),"",$D101-$C101)</f>
        <v/>
      </c>
      <c r="F101" s="390">
        <f>$A101&amp;"|"&amp;TEXT($B101,"YYYYMMDD")</f>
        <v/>
      </c>
    </row>
    <row r="102" ht="15" customHeight="1" s="231">
      <c r="A102" s="390" t="inlineStr">
        <is>
          <t xml:space="preserve">LALOUN MANAL </t>
        </is>
      </c>
      <c r="B102" s="400" t="n">
        <v>44764</v>
      </c>
      <c r="C102" s="404" t="n"/>
      <c r="D102" s="404" t="n"/>
      <c r="E102" s="403">
        <f>IF(OR($C102="",$D102=""),"",$D102-$C102)</f>
        <v/>
      </c>
      <c r="F102" s="390">
        <f>$A102&amp;"|"&amp;TEXT($B102,"YYYYMMDD")</f>
        <v/>
      </c>
    </row>
    <row r="103" ht="15" customHeight="1" s="231">
      <c r="A103" s="390" t="inlineStr">
        <is>
          <t>SIDIBE MOUSKEBA DALAFINA</t>
        </is>
      </c>
      <c r="B103" s="400" t="n">
        <v>44764</v>
      </c>
      <c r="C103" s="404" t="n"/>
      <c r="D103" s="404" t="n"/>
      <c r="E103" s="403">
        <f>IF(OR($C103="",$D103=""),"",$D103-$C103)</f>
        <v/>
      </c>
      <c r="F103" s="390">
        <f>$A103&amp;"|"&amp;TEXT($B103,"YYYYMMDD")</f>
        <v/>
      </c>
    </row>
    <row r="104" ht="15" customHeight="1" s="231">
      <c r="A104" s="390" t="inlineStr">
        <is>
          <t>BOULHROUD SALMA</t>
        </is>
      </c>
      <c r="B104" s="400" t="n">
        <v>44764</v>
      </c>
      <c r="C104" s="404" t="n"/>
      <c r="D104" s="404" t="n"/>
      <c r="E104" s="403">
        <f>IF(OR($C104="",$D104=""),"",$D104-$C104)</f>
        <v/>
      </c>
      <c r="F104" s="390">
        <f>$A104&amp;"|"&amp;TEXT($B104,"YYYYMMDD")</f>
        <v/>
      </c>
    </row>
    <row r="105" ht="15" customHeight="1" s="231">
      <c r="A105" s="390" t="inlineStr">
        <is>
          <t>RACHAD NAWAR</t>
        </is>
      </c>
      <c r="B105" s="400" t="n">
        <v>44764</v>
      </c>
      <c r="C105" s="404" t="n"/>
      <c r="D105" s="404" t="n"/>
      <c r="E105" s="403">
        <f>IF(OR($C105="",$D105=""),"",$D105-$C105)</f>
        <v/>
      </c>
      <c r="F105" s="390">
        <f>$A105&amp;"|"&amp;TEXT($B105,"YYYYMMDD")</f>
        <v/>
      </c>
    </row>
    <row r="106" ht="15" customHeight="1" s="231">
      <c r="A106" s="390" t="inlineStr">
        <is>
          <t>SECK DIARRA</t>
        </is>
      </c>
      <c r="B106" s="400" t="n">
        <v>44764</v>
      </c>
      <c r="C106" s="404" t="n"/>
      <c r="D106" s="404" t="n"/>
      <c r="E106" s="403">
        <f>IF(OR($C106="",$D106=""),"",$D106-$C106)</f>
        <v/>
      </c>
      <c r="F106" s="390">
        <f>$A106&amp;"|"&amp;TEXT($B106,"YYYYMMDD")</f>
        <v/>
      </c>
    </row>
    <row r="107" ht="15" customHeight="1" s="231">
      <c r="A107" s="390" t="inlineStr">
        <is>
          <t>NIANG NDEYE ABSA</t>
        </is>
      </c>
      <c r="B107" s="400" t="n">
        <v>44764</v>
      </c>
      <c r="C107" s="404" t="n"/>
      <c r="D107" s="404" t="n"/>
      <c r="E107" s="403">
        <f>IF(OR($C107="",$D107=""),"",$D107-$C107)</f>
        <v/>
      </c>
      <c r="F107" s="390">
        <f>$A107&amp;"|"&amp;TEXT($B107,"YYYYMMDD")</f>
        <v/>
      </c>
    </row>
    <row r="108" ht="15" customHeight="1" s="231">
      <c r="A108" s="390" t="inlineStr">
        <is>
          <t>ZAKI OMAR</t>
        </is>
      </c>
      <c r="B108" s="400" t="n">
        <v>44764</v>
      </c>
      <c r="C108" s="404" t="n"/>
      <c r="D108" s="404" t="n"/>
      <c r="E108" s="403">
        <f>IF(OR($C108="",$D108=""),"",$D108-$C108)</f>
        <v/>
      </c>
      <c r="F108" s="390">
        <f>$A108&amp;"|"&amp;TEXT($B108,"YYYYMMDD")</f>
        <v/>
      </c>
    </row>
    <row r="109" ht="15" customHeight="1" s="231">
      <c r="A109" s="390" t="inlineStr">
        <is>
          <t>NUNEZ LUCIEN BERNARD</t>
        </is>
      </c>
      <c r="B109" s="400" t="n">
        <v>44764</v>
      </c>
      <c r="C109" s="404" t="n"/>
      <c r="D109" s="404" t="n"/>
      <c r="E109" s="403">
        <f>IF(OR($C109="",$D109=""),"",$D109-$C109)</f>
        <v/>
      </c>
      <c r="F109" s="390">
        <f>$A109&amp;"|"&amp;TEXT($B109,"YYYYMMDD")</f>
        <v/>
      </c>
    </row>
    <row r="110" ht="15" customHeight="1" s="231">
      <c r="A110" s="390" t="inlineStr">
        <is>
          <t>TOURE ABIBOU</t>
        </is>
      </c>
      <c r="B110" s="400" t="n">
        <v>44764</v>
      </c>
      <c r="C110" s="404" t="n"/>
      <c r="D110" s="404" t="n"/>
      <c r="E110" s="403">
        <f>IF(OR($C110="",$D110=""),"",$D110-$C110)</f>
        <v/>
      </c>
      <c r="F110" s="390">
        <f>$A110&amp;"|"&amp;TEXT($B110,"YYYYMMDD")</f>
        <v/>
      </c>
    </row>
    <row r="111" ht="15" customHeight="1" s="231">
      <c r="A111" s="390" t="inlineStr">
        <is>
          <t>EL HARROUCHI CHAIMAE</t>
        </is>
      </c>
      <c r="B111" s="400" t="n">
        <v>44764</v>
      </c>
      <c r="C111" s="404" t="n"/>
      <c r="D111" s="404" t="n"/>
      <c r="E111" s="403">
        <f>IF(OR($C111="",$D111=""),"",$D111-$C111)</f>
        <v/>
      </c>
      <c r="F111" s="390">
        <f>$A111&amp;"|"&amp;TEXT($B111,"YYYYMMDD")</f>
        <v/>
      </c>
    </row>
    <row r="112" ht="15" customHeight="1" s="231">
      <c r="A112" s="390" t="inlineStr">
        <is>
          <t>GUEYE GORA</t>
        </is>
      </c>
      <c r="B112" s="400" t="n">
        <v>44764</v>
      </c>
      <c r="C112" s="404" t="n"/>
      <c r="D112" s="404" t="n"/>
      <c r="E112" s="403">
        <f>IF(OR($C112="",$D112=""),"",$D112-$C112)</f>
        <v/>
      </c>
      <c r="F112" s="390">
        <f>$A112&amp;"|"&amp;TEXT($B112,"YYYYMMDD")</f>
        <v/>
      </c>
    </row>
    <row r="113" ht="15" customHeight="1" s="231">
      <c r="A113" s="390" t="inlineStr">
        <is>
          <t>SOUOUD ZAKARIA</t>
        </is>
      </c>
      <c r="B113" s="400" t="n">
        <v>44764</v>
      </c>
      <c r="C113" s="404" t="n"/>
      <c r="D113" s="404" t="n"/>
      <c r="E113" s="403">
        <f>IF(OR($C113="",$D113=""),"",$D113-$C113)</f>
        <v/>
      </c>
      <c r="F113" s="390">
        <f>$A113&amp;"|"&amp;TEXT($B113,"YYYYMMDD")</f>
        <v/>
      </c>
    </row>
    <row r="114" ht="15" customHeight="1" s="231">
      <c r="A114" s="390" t="inlineStr">
        <is>
          <t>EL HOUSSAINI HOUDA</t>
        </is>
      </c>
      <c r="B114" s="400" t="n">
        <v>44764</v>
      </c>
      <c r="C114" s="404" t="n"/>
      <c r="D114" s="404" t="n"/>
      <c r="E114" s="403">
        <f>IF(OR($C114="",$D114=""),"",$D114-$C114)</f>
        <v/>
      </c>
      <c r="F114" s="390">
        <f>$A114&amp;"|"&amp;TEXT($B114,"YYYYMMDD")</f>
        <v/>
      </c>
    </row>
    <row r="115" ht="15" customHeight="1" s="231">
      <c r="A115" s="390" t="inlineStr">
        <is>
          <t>ZIOUI DOUNIA</t>
        </is>
      </c>
      <c r="B115" s="400" t="n">
        <v>44764</v>
      </c>
      <c r="C115" s="404" t="n"/>
      <c r="D115" s="404" t="n"/>
      <c r="E115" s="403">
        <f>IF(OR($C115="",$D115=""),"",$D115-$C115)</f>
        <v/>
      </c>
      <c r="F115" s="390">
        <f>$A115&amp;"|"&amp;TEXT($B115,"YYYYMMDD")</f>
        <v/>
      </c>
    </row>
    <row r="116" ht="15" customHeight="1" s="231">
      <c r="A116" s="390" t="inlineStr">
        <is>
          <t>AINELKITANE ZINEB</t>
        </is>
      </c>
      <c r="B116" s="400" t="n">
        <v>44764</v>
      </c>
      <c r="C116" s="404" t="n"/>
      <c r="D116" s="404" t="n"/>
      <c r="E116" s="403">
        <f>IF(OR($C116="",$D116=""),"",$D116-$C116)</f>
        <v/>
      </c>
      <c r="F116" s="390">
        <f>$A116&amp;"|"&amp;TEXT($B116,"YYYYMMDD")</f>
        <v/>
      </c>
    </row>
    <row r="117" ht="15" customHeight="1" s="231">
      <c r="A117" s="390" t="inlineStr">
        <is>
          <t>BENSAR ANAS</t>
        </is>
      </c>
      <c r="B117" s="400" t="n">
        <v>44764</v>
      </c>
      <c r="C117" s="404" t="n"/>
      <c r="D117" s="404" t="n"/>
      <c r="E117" s="403">
        <f>IF(OR($C117="",$D117=""),"",$D117-$C117)</f>
        <v/>
      </c>
      <c r="F117" s="390">
        <f>$A117&amp;"|"&amp;TEXT($B117,"YYYYMMDD")</f>
        <v/>
      </c>
    </row>
    <row r="118" ht="15" customHeight="1" s="231">
      <c r="A118" s="390" t="inlineStr">
        <is>
          <t>QARBOUI Aymane</t>
        </is>
      </c>
      <c r="B118" s="400" t="n">
        <v>44764</v>
      </c>
      <c r="C118" s="404" t="n"/>
      <c r="D118" s="404" t="n"/>
      <c r="E118" s="403">
        <f>IF(OR($C118="",$D118=""),"",$D118-$C118)</f>
        <v/>
      </c>
      <c r="F118" s="390">
        <f>$A118&amp;"|"&amp;TEXT($B118,"YYYYMMDD")</f>
        <v/>
      </c>
    </row>
    <row r="119" ht="15" customHeight="1" s="231">
      <c r="A119" s="390" t="inlineStr">
        <is>
          <t>MELLAHI YOUSSEF</t>
        </is>
      </c>
      <c r="B119" s="400" t="n">
        <v>44764</v>
      </c>
      <c r="C119" s="404" t="n"/>
      <c r="D119" s="404" t="n"/>
      <c r="E119" s="403">
        <f>IF(OR($C119="",$D119=""),"",$D119-$C119)</f>
        <v/>
      </c>
      <c r="F119" s="390">
        <f>$A119&amp;"|"&amp;TEXT($B119,"YYYYMMDD")</f>
        <v/>
      </c>
    </row>
    <row r="120" ht="15" customHeight="1" s="231">
      <c r="A120" s="390" t="inlineStr">
        <is>
          <t xml:space="preserve">DERKAOUI AMAL </t>
        </is>
      </c>
      <c r="B120" s="400" t="n">
        <v>44764</v>
      </c>
      <c r="C120" s="404" t="n"/>
      <c r="D120" s="404" t="n"/>
      <c r="E120" s="403">
        <f>IF(OR($C120="",$D120=""),"",$D120-$C120)</f>
        <v/>
      </c>
      <c r="F120" s="390">
        <f>$A120&amp;"|"&amp;TEXT($B120,"YYYYMMDD")</f>
        <v/>
      </c>
    </row>
    <row r="121" ht="15" customHeight="1" s="231">
      <c r="A121" s="390" t="inlineStr">
        <is>
          <t>IHASSANE Ikram</t>
        </is>
      </c>
      <c r="B121" s="400" t="n">
        <v>44764</v>
      </c>
      <c r="C121" s="404" t="n"/>
      <c r="D121" s="404" t="n"/>
      <c r="E121" s="403">
        <f>IF(OR($C121="",$D121=""),"",$D121-$C121)</f>
        <v/>
      </c>
      <c r="F121" s="390">
        <f>$A121&amp;"|"&amp;TEXT($B121,"YYYYMMDD")</f>
        <v/>
      </c>
    </row>
    <row r="122" ht="15" customHeight="1" s="231">
      <c r="A122" s="390" t="inlineStr">
        <is>
          <t>LAFDIL NADA</t>
        </is>
      </c>
      <c r="B122" s="400" t="n">
        <v>44764</v>
      </c>
      <c r="C122" s="404" t="n"/>
      <c r="D122" s="404" t="n"/>
      <c r="E122" s="403">
        <f>IF(OR($C122="",$D122=""),"",$D122-$C122)</f>
        <v/>
      </c>
      <c r="F122" s="390">
        <f>$A122&amp;"|"&amp;TEXT($B122,"YYYYMMDD")</f>
        <v/>
      </c>
    </row>
    <row r="123" ht="15" customHeight="1" s="231">
      <c r="A123" s="390" t="inlineStr">
        <is>
          <t>BOURABAA HASSAN</t>
        </is>
      </c>
      <c r="B123" s="400" t="n">
        <v>44764</v>
      </c>
      <c r="C123" s="404" t="n"/>
      <c r="D123" s="404" t="n"/>
      <c r="E123" s="403">
        <f>IF(OR($C123="",$D123=""),"",$D123-$C123)</f>
        <v/>
      </c>
      <c r="F123" s="390">
        <f>$A123&amp;"|"&amp;TEXT($B123,"YYYYMMDD")</f>
        <v/>
      </c>
    </row>
    <row r="124" ht="15" customHeight="1" s="231">
      <c r="A124" s="390" t="inlineStr">
        <is>
          <t>AIT ADDI KHADIJA</t>
        </is>
      </c>
      <c r="B124" s="400" t="n">
        <v>44764</v>
      </c>
      <c r="C124" s="404" t="n"/>
      <c r="D124" s="404" t="n"/>
      <c r="E124" s="403">
        <f>IF(OR($C124="",$D124=""),"",$D124-$C124)</f>
        <v/>
      </c>
      <c r="F124" s="390">
        <f>$A124&amp;"|"&amp;TEXT($B124,"YYYYMMDD")</f>
        <v/>
      </c>
    </row>
    <row r="125" ht="15" customHeight="1" s="231">
      <c r="A125" s="390" t="inlineStr">
        <is>
          <t>NEMMAOUI MOUNIRA</t>
        </is>
      </c>
      <c r="B125" s="400" t="n">
        <v>44764</v>
      </c>
      <c r="C125" s="404" t="n"/>
      <c r="D125" s="404" t="n"/>
      <c r="E125" s="403">
        <f>IF(OR($C125="",$D125=""),"",$D125-$C125)</f>
        <v/>
      </c>
      <c r="F125" s="390">
        <f>$A125&amp;"|"&amp;TEXT($B125,"YYYYMMDD")</f>
        <v/>
      </c>
    </row>
    <row r="126" ht="15" customHeight="1" s="231">
      <c r="A126" s="390" t="inlineStr">
        <is>
          <t>AIT LARBI HIND</t>
        </is>
      </c>
      <c r="B126" s="400" t="n">
        <v>44764</v>
      </c>
      <c r="C126" s="404" t="n"/>
      <c r="D126" s="404" t="n"/>
      <c r="E126" s="403">
        <f>IF(OR($C126="",$D126=""),"",$D126-$C126)</f>
        <v/>
      </c>
      <c r="F126" s="390">
        <f>$A126&amp;"|"&amp;TEXT($B126,"YYYYMMDD")</f>
        <v/>
      </c>
    </row>
    <row r="127" ht="15" customHeight="1" s="231">
      <c r="A127" s="390" t="inlineStr">
        <is>
          <t>EL-AOUAQUI BOUCHRA</t>
        </is>
      </c>
      <c r="B127" s="400" t="n">
        <v>44764</v>
      </c>
      <c r="C127" s="404" t="n"/>
      <c r="D127" s="404" t="n"/>
      <c r="E127" s="403">
        <f>IF(OR($C127="",$D127=""),"",$D127-$C127)</f>
        <v/>
      </c>
      <c r="F127" s="390">
        <f>$A127&amp;"|"&amp;TEXT($B127,"YYYYMMDD")</f>
        <v/>
      </c>
    </row>
    <row r="128" ht="15" customHeight="1" s="231">
      <c r="A128" s="390" t="inlineStr">
        <is>
          <t>ZITOUNI LAMYA</t>
        </is>
      </c>
      <c r="B128" s="400" t="n">
        <v>44764</v>
      </c>
      <c r="C128" s="404" t="n"/>
      <c r="D128" s="404" t="n"/>
      <c r="E128" s="403">
        <f>IF(OR($C128="",$D128=""),"",$D128-$C128)</f>
        <v/>
      </c>
      <c r="F128" s="390">
        <f>$A128&amp;"|"&amp;TEXT($B128,"YYYYMMDD")</f>
        <v/>
      </c>
    </row>
    <row r="129" ht="15" customHeight="1" s="231">
      <c r="A129" s="390" t="inlineStr">
        <is>
          <t>KANTAOUI SALMA</t>
        </is>
      </c>
      <c r="B129" s="400" t="n">
        <v>44764</v>
      </c>
      <c r="C129" s="404" t="n"/>
      <c r="D129" s="404" t="n"/>
      <c r="E129" s="403">
        <f>IF(OR($C129="",$D129=""),"",$D129-$C129)</f>
        <v/>
      </c>
      <c r="F129" s="390">
        <f>$A129&amp;"|"&amp;TEXT($B129,"YYYYMMDD")</f>
        <v/>
      </c>
    </row>
    <row r="130" ht="15" customHeight="1" s="231">
      <c r="A130" s="390" t="inlineStr">
        <is>
          <t>EL-AOUAQUI BOUCHRA</t>
        </is>
      </c>
      <c r="B130" s="400" t="n">
        <v>44765</v>
      </c>
      <c r="C130" s="404" t="n"/>
      <c r="D130" s="404" t="n"/>
      <c r="E130" s="403">
        <f>IF(OR($C130="",$D130=""),"",$D130-$C130)</f>
        <v/>
      </c>
      <c r="F130" s="390">
        <f>$A130&amp;"|"&amp;TEXT($B130,"YYYYMMDD")</f>
        <v/>
      </c>
    </row>
    <row r="131" ht="15" customHeight="1" s="231">
      <c r="A131" s="390" t="inlineStr">
        <is>
          <t>NIANG NDEYE ABSA</t>
        </is>
      </c>
      <c r="B131" s="400" t="n">
        <v>44765</v>
      </c>
      <c r="C131" s="404" t="n"/>
      <c r="D131" s="404" t="n"/>
      <c r="E131" s="403">
        <f>IF(OR($C131="",$D131=""),"",$D131-$C131)</f>
        <v/>
      </c>
      <c r="F131" s="390">
        <f>$A131&amp;"|"&amp;TEXT($B131,"YYYYMMDD")</f>
        <v/>
      </c>
    </row>
    <row r="132" ht="15" customHeight="1" s="231">
      <c r="A132" s="390" t="inlineStr">
        <is>
          <t>EL HARROUCHI CHAIMAE</t>
        </is>
      </c>
      <c r="B132" s="400" t="n">
        <v>44765</v>
      </c>
      <c r="C132" s="404" t="n"/>
      <c r="D132" s="404" t="n"/>
      <c r="E132" s="403">
        <f>IF(OR($C132="",$D132=""),"",$D132-$C132)</f>
        <v/>
      </c>
      <c r="F132" s="390">
        <f>$A132&amp;"|"&amp;TEXT($B132,"YYYYMMDD")</f>
        <v/>
      </c>
    </row>
    <row r="133" ht="15" customHeight="1" s="231">
      <c r="A133" s="390" t="inlineStr">
        <is>
          <t>LAFDIL NADA</t>
        </is>
      </c>
      <c r="B133" s="400" t="n">
        <v>44765</v>
      </c>
      <c r="C133" s="404" t="n"/>
      <c r="D133" s="404" t="n"/>
      <c r="E133" s="403">
        <f>IF(OR($C133="",$D133=""),"",$D133-$C133)</f>
        <v/>
      </c>
      <c r="F133" s="390">
        <f>$A133&amp;"|"&amp;TEXT($B133,"YYYYMMDD")</f>
        <v/>
      </c>
    </row>
    <row r="134" ht="15" customHeight="1" s="231">
      <c r="A134" s="390" t="inlineStr">
        <is>
          <t>GUEYE MOUHAMED</t>
        </is>
      </c>
      <c r="B134" s="400" t="n">
        <v>44765</v>
      </c>
      <c r="C134" s="404" t="n"/>
      <c r="D134" s="404" t="n"/>
      <c r="E134" s="403">
        <f>IF(OR($C134="",$D134=""),"",$D134-$C134)</f>
        <v/>
      </c>
      <c r="F134" s="390">
        <f>$A134&amp;"|"&amp;TEXT($B134,"YYYYMMDD")</f>
        <v/>
      </c>
    </row>
    <row r="135" ht="15" customHeight="1" s="231">
      <c r="A135" s="390" t="inlineStr">
        <is>
          <t>GUEYE GORA</t>
        </is>
      </c>
      <c r="B135" s="400" t="n">
        <v>44765</v>
      </c>
      <c r="C135" s="404" t="n"/>
      <c r="D135" s="404" t="n"/>
      <c r="E135" s="403">
        <f>IF(OR($C135="",$D135=""),"",$D135-$C135)</f>
        <v/>
      </c>
      <c r="F135" s="390">
        <f>$A135&amp;"|"&amp;TEXT($B135,"YYYYMMDD")</f>
        <v/>
      </c>
    </row>
    <row r="136" ht="15" customHeight="1" s="231">
      <c r="A136" s="390" t="inlineStr">
        <is>
          <t>DIOUF OUSSMANE</t>
        </is>
      </c>
      <c r="B136" s="400" t="n">
        <v>44765</v>
      </c>
      <c r="C136" s="404" t="n"/>
      <c r="D136" s="404" t="n"/>
      <c r="E136" s="403">
        <f>IF(OR($C136="",$D136=""),"",$D136-$C136)</f>
        <v/>
      </c>
      <c r="F136" s="390">
        <f>$A136&amp;"|"&amp;TEXT($B136,"YYYYMMDD")</f>
        <v/>
      </c>
    </row>
    <row r="137" ht="15" customHeight="1" s="231">
      <c r="A137" s="390" t="inlineStr">
        <is>
          <t>TOURE ABIBOU</t>
        </is>
      </c>
      <c r="B137" s="400" t="n">
        <v>44765</v>
      </c>
      <c r="C137" s="404" t="n"/>
      <c r="D137" s="404" t="n"/>
      <c r="E137" s="403">
        <f>IF(OR($C137="",$D137=""),"",$D137-$C137)</f>
        <v/>
      </c>
      <c r="F137" s="390">
        <f>$A137&amp;"|"&amp;TEXT($B137,"YYYYMMDD")</f>
        <v/>
      </c>
    </row>
    <row r="138" ht="15" customHeight="1" s="231">
      <c r="A138" s="390" t="inlineStr">
        <is>
          <t>KANTAOUI SALMA</t>
        </is>
      </c>
      <c r="B138" s="400" t="n">
        <v>44765</v>
      </c>
      <c r="C138" s="404" t="n"/>
      <c r="D138" s="404" t="n"/>
      <c r="E138" s="403">
        <f>IF(OR($C138="",$D138=""),"",$D138-$C138)</f>
        <v/>
      </c>
      <c r="F138" s="390">
        <f>$A138&amp;"|"&amp;TEXT($B138,"YYYYMMDD")</f>
        <v/>
      </c>
    </row>
    <row r="139" ht="15" customHeight="1" s="231">
      <c r="A139" s="390" t="inlineStr">
        <is>
          <t xml:space="preserve">EL HOUJJAJI Soufiane </t>
        </is>
      </c>
      <c r="B139" s="400" t="n">
        <v>44765</v>
      </c>
      <c r="C139" s="404" t="n"/>
      <c r="D139" s="404" t="n"/>
      <c r="E139" s="403">
        <f>IF(OR($C139="",$D139=""),"",$D139-$C139)</f>
        <v/>
      </c>
      <c r="F139" s="390">
        <f>$A139&amp;"|"&amp;TEXT($B139,"YYYYMMDD")</f>
        <v/>
      </c>
    </row>
    <row r="140" ht="15" customHeight="1" s="231">
      <c r="A140" s="390" t="inlineStr">
        <is>
          <t>AZHARI ABDELHAMID</t>
        </is>
      </c>
      <c r="B140" s="400" t="n">
        <v>44765</v>
      </c>
      <c r="C140" s="404" t="n"/>
      <c r="D140" s="404" t="n"/>
      <c r="E140" s="403">
        <f>IF(OR($C140="",$D140=""),"",$D140-$C140)</f>
        <v/>
      </c>
      <c r="F140" s="390">
        <f>$A140&amp;"|"&amp;TEXT($B140,"YYYYMMDD")</f>
        <v/>
      </c>
    </row>
    <row r="141" ht="15" customHeight="1" s="231">
      <c r="A141" s="390" t="inlineStr">
        <is>
          <t>SIDIBE MOUSKEBA DALAFINA</t>
        </is>
      </c>
      <c r="B141" s="400" t="n">
        <v>44765</v>
      </c>
      <c r="C141" s="404" t="n"/>
      <c r="D141" s="404" t="n"/>
      <c r="E141" s="403">
        <f>IF(OR($C141="",$D141=""),"",$D141-$C141)</f>
        <v/>
      </c>
      <c r="F141" s="390">
        <f>$A141&amp;"|"&amp;TEXT($B141,"YYYYMMDD")</f>
        <v/>
      </c>
    </row>
    <row r="142" ht="15" customHeight="1" s="231">
      <c r="A142" s="390" t="inlineStr">
        <is>
          <t>BOURABAA HASSAN</t>
        </is>
      </c>
      <c r="B142" s="400" t="n">
        <v>44765</v>
      </c>
      <c r="C142" s="404" t="n"/>
      <c r="D142" s="404" t="n"/>
      <c r="E142" s="403">
        <f>IF(OR($C142="",$D142=""),"",$D142-$C142)</f>
        <v/>
      </c>
      <c r="F142" s="390">
        <f>$A142&amp;"|"&amp;TEXT($B142,"YYYYMMDD")</f>
        <v/>
      </c>
    </row>
    <row r="143" ht="15" customHeight="1" s="231">
      <c r="A143" s="390" t="inlineStr">
        <is>
          <t>SOUOUD ZAKARIA</t>
        </is>
      </c>
      <c r="B143" s="400" t="n">
        <v>44765</v>
      </c>
      <c r="C143" s="404" t="n"/>
      <c r="D143" s="404" t="n"/>
      <c r="E143" s="403">
        <f>IF(OR($C143="",$D143=""),"",$D143-$C143)</f>
        <v/>
      </c>
      <c r="F143" s="390">
        <f>$A143&amp;"|"&amp;TEXT($B143,"YYYYMMDD")</f>
        <v/>
      </c>
    </row>
    <row r="144" ht="15" customHeight="1" s="231">
      <c r="A144" s="390" t="inlineStr">
        <is>
          <t>IHASSANE Ikram</t>
        </is>
      </c>
      <c r="B144" s="400" t="n">
        <v>44765</v>
      </c>
      <c r="C144" s="404" t="n"/>
      <c r="D144" s="404" t="n"/>
      <c r="E144" s="403">
        <f>IF(OR($C144="",$D144=""),"",$D144-$C144)</f>
        <v/>
      </c>
      <c r="F144" s="390">
        <f>$A144&amp;"|"&amp;TEXT($B144,"YYYYMMDD")</f>
        <v/>
      </c>
    </row>
    <row r="145" ht="15" customHeight="1" s="231">
      <c r="A145" s="390" t="inlineStr">
        <is>
          <t>EL HOUSSAINI HOUDA</t>
        </is>
      </c>
      <c r="B145" s="400" t="n">
        <v>44765</v>
      </c>
      <c r="C145" s="404" t="n"/>
      <c r="D145" s="404" t="n"/>
      <c r="E145" s="403">
        <f>IF(OR($C145="",$D145=""),"",$D145-$C145)</f>
        <v/>
      </c>
      <c r="F145" s="390">
        <f>$A145&amp;"|"&amp;TEXT($B145,"YYYYMMDD")</f>
        <v/>
      </c>
    </row>
    <row r="146" ht="15" customHeight="1" s="231">
      <c r="A146" s="390" t="inlineStr">
        <is>
          <t>RACHAD NAWAR</t>
        </is>
      </c>
      <c r="B146" s="400" t="n">
        <v>44765</v>
      </c>
      <c r="C146" s="404" t="n"/>
      <c r="D146" s="404" t="n"/>
      <c r="E146" s="403">
        <f>IF(OR($C146="",$D146=""),"",$D146-$C146)</f>
        <v/>
      </c>
      <c r="F146" s="390">
        <f>$A146&amp;"|"&amp;TEXT($B146,"YYYYMMDD")</f>
        <v/>
      </c>
    </row>
    <row r="147" ht="15" customHeight="1" s="231">
      <c r="A147" s="390" t="inlineStr">
        <is>
          <t>ZIOUI DOUNIA</t>
        </is>
      </c>
      <c r="B147" s="400" t="n">
        <v>44765</v>
      </c>
      <c r="C147" s="404" t="n"/>
      <c r="D147" s="404" t="n"/>
      <c r="E147" s="403">
        <f>IF(OR($C147="",$D147=""),"",$D147-$C147)</f>
        <v/>
      </c>
      <c r="F147" s="390">
        <f>$A147&amp;"|"&amp;TEXT($B147,"YYYYMMDD")</f>
        <v/>
      </c>
    </row>
    <row r="148" ht="15" customHeight="1" s="231">
      <c r="A148" s="390" t="inlineStr">
        <is>
          <t>AIT ADDI KHADIJA</t>
        </is>
      </c>
      <c r="B148" s="400" t="n">
        <v>44765</v>
      </c>
      <c r="C148" s="404" t="n"/>
      <c r="D148" s="404" t="n"/>
      <c r="E148" s="403">
        <f>IF(OR($C148="",$D148=""),"",$D148-$C148)</f>
        <v/>
      </c>
      <c r="F148" s="390">
        <f>$A148&amp;"|"&amp;TEXT($B148,"YYYYMMDD")</f>
        <v/>
      </c>
    </row>
    <row r="149" ht="15" customHeight="1" s="231">
      <c r="A149" s="390" t="inlineStr">
        <is>
          <t>MELLAHI YOUSSEF</t>
        </is>
      </c>
      <c r="B149" s="400" t="n">
        <v>44765</v>
      </c>
      <c r="C149" s="404" t="n"/>
      <c r="D149" s="404" t="n"/>
      <c r="E149" s="403">
        <f>IF(OR($C149="",$D149=""),"",$D149-$C149)</f>
        <v/>
      </c>
      <c r="F149" s="390">
        <f>$A149&amp;"|"&amp;TEXT($B149,"YYYYMMDD")</f>
        <v/>
      </c>
    </row>
    <row r="150" ht="15" customHeight="1" s="231">
      <c r="A150" s="390" t="inlineStr">
        <is>
          <t>NUNEZ LUCIEN BERNARD</t>
        </is>
      </c>
      <c r="B150" s="400" t="n">
        <v>44765</v>
      </c>
      <c r="C150" s="404" t="n"/>
      <c r="D150" s="404" t="n"/>
      <c r="E150" s="403">
        <f>IF(OR($C150="",$D150=""),"",$D150-$C150)</f>
        <v/>
      </c>
      <c r="F150" s="390">
        <f>$A150&amp;"|"&amp;TEXT($B150,"YYYYMMDD")</f>
        <v/>
      </c>
    </row>
    <row r="151" ht="15" customHeight="1" s="231">
      <c r="A151" s="390" t="inlineStr">
        <is>
          <t>SECK DIARRA</t>
        </is>
      </c>
      <c r="B151" s="400" t="n">
        <v>44765</v>
      </c>
      <c r="C151" s="404" t="n"/>
      <c r="D151" s="404" t="n"/>
      <c r="E151" s="403">
        <f>IF(OR($C151="",$D151=""),"",$D151-$C151)</f>
        <v/>
      </c>
      <c r="F151" s="390">
        <f>$A151&amp;"|"&amp;TEXT($B151,"YYYYMMDD")</f>
        <v/>
      </c>
    </row>
    <row r="152" ht="15" customHeight="1" s="231">
      <c r="A152" s="390" t="inlineStr">
        <is>
          <t>AINELKITANE ZINEB</t>
        </is>
      </c>
      <c r="B152" s="400" t="n">
        <v>44765</v>
      </c>
      <c r="C152" s="404" t="n"/>
      <c r="D152" s="404" t="n"/>
      <c r="E152" s="403">
        <f>IF(OR($C152="",$D152=""),"",$D152-$C152)</f>
        <v/>
      </c>
      <c r="F152" s="390">
        <f>$A152&amp;"|"&amp;TEXT($B152,"YYYYMMDD")</f>
        <v/>
      </c>
    </row>
    <row r="153" ht="15" customHeight="1" s="231">
      <c r="A153" s="390" t="inlineStr">
        <is>
          <t>BENSAR ANAS</t>
        </is>
      </c>
      <c r="B153" s="400" t="n">
        <v>44765</v>
      </c>
      <c r="C153" s="404" t="n"/>
      <c r="D153" s="404" t="n"/>
      <c r="E153" s="403">
        <f>IF(OR($C153="",$D153=""),"",$D153-$C153)</f>
        <v/>
      </c>
      <c r="F153" s="390">
        <f>$A153&amp;"|"&amp;TEXT($B153,"YYYYMMDD")</f>
        <v/>
      </c>
    </row>
    <row r="154" ht="15" customHeight="1" s="231">
      <c r="A154" s="390" t="inlineStr">
        <is>
          <t>QARBOUI Aymane</t>
        </is>
      </c>
      <c r="B154" s="400" t="n">
        <v>44765</v>
      </c>
      <c r="C154" s="404" t="n"/>
      <c r="D154" s="404" t="n"/>
      <c r="E154" s="403">
        <f>IF(OR($C154="",$D154=""),"",$D154-$C154)</f>
        <v/>
      </c>
      <c r="F154" s="390">
        <f>$A154&amp;"|"&amp;TEXT($B154,"YYYYMMDD")</f>
        <v/>
      </c>
    </row>
    <row r="155" ht="15" customHeight="1" s="231">
      <c r="A155" s="390" t="inlineStr">
        <is>
          <t xml:space="preserve">DERKAOUI AMAL </t>
        </is>
      </c>
      <c r="B155" s="400" t="n">
        <v>44765</v>
      </c>
      <c r="C155" s="404" t="n"/>
      <c r="D155" s="404" t="n"/>
      <c r="E155" s="403">
        <f>IF(OR($C155="",$D155=""),"",$D155-$C155)</f>
        <v/>
      </c>
      <c r="F155" s="390">
        <f>$A155&amp;"|"&amp;TEXT($B155,"YYYYMMDD")</f>
        <v/>
      </c>
    </row>
    <row r="156" ht="15" customHeight="1" s="231">
      <c r="A156" s="390" t="inlineStr">
        <is>
          <t>AIT LARBI HIND</t>
        </is>
      </c>
      <c r="B156" s="400" t="n">
        <v>44765</v>
      </c>
      <c r="C156" s="404" t="n"/>
      <c r="D156" s="404" t="n"/>
      <c r="E156" s="403">
        <f>IF(OR($C156="",$D156=""),"",$D156-$C156)</f>
        <v/>
      </c>
      <c r="F156" s="390">
        <f>$A156&amp;"|"&amp;TEXT($B156,"YYYYMMDD")</f>
        <v/>
      </c>
    </row>
    <row r="157" ht="15" customHeight="1" s="231">
      <c r="A157" s="390" t="inlineStr">
        <is>
          <t>ZAKI OMAR</t>
        </is>
      </c>
      <c r="B157" s="400" t="n">
        <v>44765</v>
      </c>
      <c r="C157" s="404" t="n"/>
      <c r="D157" s="404" t="n"/>
      <c r="E157" s="403">
        <f>IF(OR($C157="",$D157=""),"",$D157-$C157)</f>
        <v/>
      </c>
      <c r="F157" s="390">
        <f>$A157&amp;"|"&amp;TEXT($B157,"YYYYMMDD")</f>
        <v/>
      </c>
    </row>
    <row r="158" ht="15" customHeight="1" s="231">
      <c r="A158" s="390" t="inlineStr">
        <is>
          <t>ZITOUNI LAMYA</t>
        </is>
      </c>
      <c r="B158" s="400" t="n">
        <v>44765</v>
      </c>
      <c r="C158" s="404" t="n"/>
      <c r="D158" s="404" t="n"/>
      <c r="E158" s="403">
        <f>IF(OR($C158="",$D158=""),"",$D158-$C158)</f>
        <v/>
      </c>
      <c r="F158" s="390">
        <f>$A158&amp;"|"&amp;TEXT($B158,"YYYYMMDD")</f>
        <v/>
      </c>
    </row>
    <row r="159" ht="15" customHeight="1" s="231">
      <c r="A159" s="390" t="inlineStr">
        <is>
          <t xml:space="preserve">LALOUN MANAL </t>
        </is>
      </c>
      <c r="B159" s="400" t="n">
        <v>44765</v>
      </c>
      <c r="C159" s="404" t="n"/>
      <c r="D159" s="404" t="n"/>
      <c r="E159" s="403">
        <f>IF(OR($C159="",$D159=""),"",$D159-$C159)</f>
        <v/>
      </c>
      <c r="F159" s="390">
        <f>$A159&amp;"|"&amp;TEXT($B159,"YYYYMMDD")</f>
        <v/>
      </c>
    </row>
    <row r="160" ht="15" customHeight="1" s="231">
      <c r="A160" s="390" t="inlineStr">
        <is>
          <t>BOULHROUD SALMA</t>
        </is>
      </c>
      <c r="B160" s="400" t="n">
        <v>44765</v>
      </c>
      <c r="C160" s="404" t="n"/>
      <c r="D160" s="404" t="n"/>
      <c r="E160" s="403">
        <f>IF(OR($C160="",$D160=""),"",$D160-$C160)</f>
        <v/>
      </c>
      <c r="F160" s="390">
        <f>$A160&amp;"|"&amp;TEXT($B160,"YYYYMMDD")</f>
        <v/>
      </c>
    </row>
    <row r="161" ht="15" customHeight="1" s="231">
      <c r="A161" s="390" t="inlineStr">
        <is>
          <t>NEMMAOUI MOUNIRA</t>
        </is>
      </c>
      <c r="B161" s="400" t="n">
        <v>44765</v>
      </c>
      <c r="C161" s="404" t="n"/>
      <c r="D161" s="404" t="n"/>
      <c r="E161" s="403">
        <f>IF(OR($C161="",$D161=""),"",$D161-$C161)</f>
        <v/>
      </c>
      <c r="F161" s="390">
        <f>$A161&amp;"|"&amp;TEXT($B161,"YYYYMMDD")</f>
        <v/>
      </c>
    </row>
    <row r="162" ht="15" customHeight="1" s="231">
      <c r="A162" s="390" t="inlineStr">
        <is>
          <t>EL-AOUAQUI BOUCHRA</t>
        </is>
      </c>
      <c r="B162" s="400" t="n">
        <v>44766</v>
      </c>
      <c r="C162" s="404" t="n"/>
      <c r="D162" s="404" t="n"/>
      <c r="E162" s="403">
        <f>IF(OR($C162="",$D162=""),"",$D162-$C162)</f>
        <v/>
      </c>
      <c r="F162" s="390">
        <f>$A162&amp;"|"&amp;TEXT($B162,"YYYYMMDD")</f>
        <v/>
      </c>
    </row>
    <row r="163" ht="15" customHeight="1" s="231">
      <c r="A163" s="390" t="inlineStr">
        <is>
          <t>NIANG NDEYE ABSA</t>
        </is>
      </c>
      <c r="B163" s="400" t="n">
        <v>44766</v>
      </c>
      <c r="C163" s="404" t="n"/>
      <c r="D163" s="404" t="n"/>
      <c r="E163" s="403">
        <f>IF(OR($C163="",$D163=""),"",$D163-$C163)</f>
        <v/>
      </c>
      <c r="F163" s="390">
        <f>$A163&amp;"|"&amp;TEXT($B163,"YYYYMMDD")</f>
        <v/>
      </c>
    </row>
    <row r="164" ht="15" customHeight="1" s="231">
      <c r="A164" s="390" t="inlineStr">
        <is>
          <t>LAFDIL NADA</t>
        </is>
      </c>
      <c r="B164" s="400" t="n">
        <v>44766</v>
      </c>
      <c r="C164" s="404" t="n"/>
      <c r="D164" s="404" t="n"/>
      <c r="E164" s="403">
        <f>IF(OR($C164="",$D164=""),"",$D164-$C164)</f>
        <v/>
      </c>
      <c r="F164" s="390">
        <f>$A164&amp;"|"&amp;TEXT($B164,"YYYYMMDD")</f>
        <v/>
      </c>
    </row>
    <row r="165" ht="15" customHeight="1" s="231">
      <c r="A165" s="390" t="inlineStr">
        <is>
          <t>ZITOUNI LAMYA</t>
        </is>
      </c>
      <c r="B165" s="400" t="n">
        <v>44766</v>
      </c>
      <c r="C165" s="404" t="n"/>
      <c r="D165" s="404" t="n"/>
      <c r="E165" s="403">
        <f>IF(OR($C165="",$D165=""),"",$D165-$C165)</f>
        <v/>
      </c>
      <c r="F165" s="390">
        <f>$A165&amp;"|"&amp;TEXT($B165,"YYYYMMDD")</f>
        <v/>
      </c>
    </row>
    <row r="166" ht="15" customHeight="1" s="231">
      <c r="A166" s="390" t="inlineStr">
        <is>
          <t>BOURABAA HASSAN</t>
        </is>
      </c>
      <c r="B166" s="400" t="n">
        <v>44766</v>
      </c>
      <c r="C166" s="404" t="n"/>
      <c r="D166" s="404" t="n"/>
      <c r="E166" s="403">
        <f>IF(OR($C166="",$D166=""),"",$D166-$C166)</f>
        <v/>
      </c>
      <c r="F166" s="390">
        <f>$A166&amp;"|"&amp;TEXT($B166,"YYYYMMDD")</f>
        <v/>
      </c>
    </row>
    <row r="167" ht="15" customHeight="1" s="231">
      <c r="A167" s="390" t="inlineStr">
        <is>
          <t xml:space="preserve">EL HOUJJAJI Soufiane </t>
        </is>
      </c>
      <c r="B167" s="400" t="n">
        <v>44766</v>
      </c>
      <c r="C167" s="404" t="n"/>
      <c r="D167" s="404" t="n"/>
      <c r="E167" s="403">
        <f>IF(OR($C167="",$D167=""),"",$D167-$C167)</f>
        <v/>
      </c>
      <c r="F167" s="390">
        <f>$A167&amp;"|"&amp;TEXT($B167,"YYYYMMDD")</f>
        <v/>
      </c>
    </row>
    <row r="168" ht="15" customHeight="1" s="231">
      <c r="A168" s="390" t="inlineStr">
        <is>
          <t>GUEYE MOUHAMED</t>
        </is>
      </c>
      <c r="B168" s="400" t="n">
        <v>44766</v>
      </c>
      <c r="C168" s="404" t="n"/>
      <c r="D168" s="404" t="n"/>
      <c r="E168" s="403">
        <f>IF(OR($C168="",$D168=""),"",$D168-$C168)</f>
        <v/>
      </c>
      <c r="F168" s="390">
        <f>$A168&amp;"|"&amp;TEXT($B168,"YYYYMMDD")</f>
        <v/>
      </c>
    </row>
    <row r="169" ht="15" customHeight="1" s="231">
      <c r="A169" s="390" t="inlineStr">
        <is>
          <t>RACHAD NAWAR</t>
        </is>
      </c>
      <c r="B169" s="400" t="n">
        <v>44766</v>
      </c>
      <c r="C169" s="404" t="n"/>
      <c r="D169" s="404" t="n"/>
      <c r="E169" s="403">
        <f>IF(OR($C169="",$D169=""),"",$D169-$C169)</f>
        <v/>
      </c>
      <c r="F169" s="390">
        <f>$A169&amp;"|"&amp;TEXT($B169,"YYYYMMDD")</f>
        <v/>
      </c>
    </row>
    <row r="170" ht="15" customHeight="1" s="231">
      <c r="A170" s="390" t="inlineStr">
        <is>
          <t>AIT ADDI KHADIJA</t>
        </is>
      </c>
      <c r="B170" s="400" t="n">
        <v>44766</v>
      </c>
      <c r="C170" s="404" t="n"/>
      <c r="D170" s="404" t="n"/>
      <c r="E170" s="403">
        <f>IF(OR($C170="",$D170=""),"",$D170-$C170)</f>
        <v/>
      </c>
      <c r="F170" s="390">
        <f>$A170&amp;"|"&amp;TEXT($B170,"YYYYMMDD")</f>
        <v/>
      </c>
    </row>
    <row r="171" ht="15" customHeight="1" s="231">
      <c r="A171" s="390" t="inlineStr">
        <is>
          <t>AZHARI ABDELHAMID</t>
        </is>
      </c>
      <c r="B171" s="400" t="n">
        <v>44766</v>
      </c>
      <c r="C171" s="404" t="n"/>
      <c r="D171" s="404" t="n"/>
      <c r="E171" s="403">
        <f>IF(OR($C171="",$D171=""),"",$D171-$C171)</f>
        <v/>
      </c>
      <c r="F171" s="390">
        <f>$A171&amp;"|"&amp;TEXT($B171,"YYYYMMDD")</f>
        <v/>
      </c>
    </row>
    <row r="172" ht="15" customHeight="1" s="231">
      <c r="A172" s="390" t="inlineStr">
        <is>
          <t>TOURE ABIBOU</t>
        </is>
      </c>
      <c r="B172" s="400" t="n">
        <v>44766</v>
      </c>
      <c r="C172" s="404" t="n"/>
      <c r="D172" s="404" t="n"/>
      <c r="E172" s="403">
        <f>IF(OR($C172="",$D172=""),"",$D172-$C172)</f>
        <v/>
      </c>
      <c r="F172" s="390">
        <f>$A172&amp;"|"&amp;TEXT($B172,"YYYYMMDD")</f>
        <v/>
      </c>
    </row>
    <row r="173" ht="15" customHeight="1" s="231">
      <c r="A173" s="390" t="inlineStr">
        <is>
          <t>EL HARROUCHI CHAIMAE</t>
        </is>
      </c>
      <c r="B173" s="400" t="n">
        <v>44766</v>
      </c>
      <c r="C173" s="404" t="n"/>
      <c r="D173" s="404" t="n"/>
      <c r="E173" s="403">
        <f>IF(OR($C173="",$D173=""),"",$D173-$C173)</f>
        <v/>
      </c>
      <c r="F173" s="390">
        <f>$A173&amp;"|"&amp;TEXT($B173,"YYYYMMDD")</f>
        <v/>
      </c>
    </row>
    <row r="174" ht="15" customHeight="1" s="231">
      <c r="A174" s="390" t="inlineStr">
        <is>
          <t>IHASSANE Ikram</t>
        </is>
      </c>
      <c r="B174" s="400" t="n">
        <v>44766</v>
      </c>
      <c r="C174" s="404" t="n"/>
      <c r="D174" s="404" t="n"/>
      <c r="E174" s="403">
        <f>IF(OR($C174="",$D174=""),"",$D174-$C174)</f>
        <v/>
      </c>
      <c r="F174" s="390">
        <f>$A174&amp;"|"&amp;TEXT($B174,"YYYYMMDD")</f>
        <v/>
      </c>
    </row>
    <row r="175" ht="15" customHeight="1" s="231">
      <c r="A175" s="390" t="inlineStr">
        <is>
          <t>NUNEZ LUCIEN BERNARD</t>
        </is>
      </c>
      <c r="B175" s="400" t="n">
        <v>44766</v>
      </c>
      <c r="C175" s="404" t="n"/>
      <c r="D175" s="404" t="n"/>
      <c r="E175" s="403">
        <f>IF(OR($C175="",$D175=""),"",$D175-$C175)</f>
        <v/>
      </c>
      <c r="F175" s="390">
        <f>$A175&amp;"|"&amp;TEXT($B175,"YYYYMMDD")</f>
        <v/>
      </c>
    </row>
    <row r="176" ht="15" customHeight="1" s="231">
      <c r="A176" s="390" t="inlineStr">
        <is>
          <t>EL HOUSSAINI HOUDA</t>
        </is>
      </c>
      <c r="B176" s="400" t="n">
        <v>44766</v>
      </c>
      <c r="C176" s="404" t="n"/>
      <c r="D176" s="404" t="n"/>
      <c r="E176" s="403">
        <f>IF(OR($C176="",$D176=""),"",$D176-$C176)</f>
        <v/>
      </c>
      <c r="F176" s="390">
        <f>$A176&amp;"|"&amp;TEXT($B176,"YYYYMMDD")</f>
        <v/>
      </c>
    </row>
    <row r="177" ht="15" customHeight="1" s="231">
      <c r="A177" s="390" t="inlineStr">
        <is>
          <t>DIOUF OUSSMANE</t>
        </is>
      </c>
      <c r="B177" s="400" t="n">
        <v>44766</v>
      </c>
      <c r="C177" s="404" t="n"/>
      <c r="D177" s="404" t="n"/>
      <c r="E177" s="403">
        <f>IF(OR($C177="",$D177=""),"",$D177-$C177)</f>
        <v/>
      </c>
      <c r="F177" s="390">
        <f>$A177&amp;"|"&amp;TEXT($B177,"YYYYMMDD")</f>
        <v/>
      </c>
    </row>
    <row r="178" ht="15" customHeight="1" s="231">
      <c r="A178" s="390" t="inlineStr">
        <is>
          <t>AIT LARBI HIND</t>
        </is>
      </c>
      <c r="B178" s="400" t="n">
        <v>44766</v>
      </c>
      <c r="C178" s="404" t="n"/>
      <c r="D178" s="404" t="n"/>
      <c r="E178" s="403">
        <f>IF(OR($C178="",$D178=""),"",$D178-$C178)</f>
        <v/>
      </c>
      <c r="F178" s="390">
        <f>$A178&amp;"|"&amp;TEXT($B178,"YYYYMMDD")</f>
        <v/>
      </c>
    </row>
    <row r="179" ht="15" customHeight="1" s="231">
      <c r="A179" s="390" t="inlineStr">
        <is>
          <t>NEMMAOUI MOUNIRA</t>
        </is>
      </c>
      <c r="B179" s="400" t="n">
        <v>44766</v>
      </c>
      <c r="C179" s="404" t="n"/>
      <c r="D179" s="404" t="n"/>
      <c r="E179" s="403">
        <f>IF(OR($C179="",$D179=""),"",$D179-$C179)</f>
        <v/>
      </c>
      <c r="F179" s="390">
        <f>$A179&amp;"|"&amp;TEXT($B179,"YYYYMMDD")</f>
        <v/>
      </c>
    </row>
    <row r="180" ht="15" customHeight="1" s="231">
      <c r="A180" s="390" t="inlineStr">
        <is>
          <t>QARBOUI Aymane</t>
        </is>
      </c>
      <c r="B180" s="400" t="n">
        <v>44766</v>
      </c>
      <c r="C180" s="404" t="n"/>
      <c r="D180" s="404" t="n"/>
      <c r="E180" s="403">
        <f>IF(OR($C180="",$D180=""),"",$D180-$C180)</f>
        <v/>
      </c>
      <c r="F180" s="390">
        <f>$A180&amp;"|"&amp;TEXT($B180,"YYYYMMDD")</f>
        <v/>
      </c>
    </row>
    <row r="181" ht="15" customHeight="1" s="231">
      <c r="A181" s="390" t="inlineStr">
        <is>
          <t>AINELKITANE ZINEB</t>
        </is>
      </c>
      <c r="B181" s="400" t="n">
        <v>44766</v>
      </c>
      <c r="C181" s="404" t="n"/>
      <c r="D181" s="404" t="n"/>
      <c r="E181" s="403">
        <f>IF(OR($C181="",$D181=""),"",$D181-$C181)</f>
        <v/>
      </c>
      <c r="F181" s="390">
        <f>$A181&amp;"|"&amp;TEXT($B181,"YYYYMMDD")</f>
        <v/>
      </c>
    </row>
    <row r="182" ht="15" customHeight="1" s="231">
      <c r="A182" s="390" t="inlineStr">
        <is>
          <t>KANTAOUI SALMA</t>
        </is>
      </c>
      <c r="B182" s="400" t="n">
        <v>44766</v>
      </c>
      <c r="C182" s="404" t="n"/>
      <c r="D182" s="404" t="n"/>
      <c r="E182" s="403">
        <f>IF(OR($C182="",$D182=""),"",$D182-$C182)</f>
        <v/>
      </c>
      <c r="F182" s="390">
        <f>$A182&amp;"|"&amp;TEXT($B182,"YYYYMMDD")</f>
        <v/>
      </c>
    </row>
    <row r="183" ht="15" customHeight="1" s="231">
      <c r="A183" s="390" t="inlineStr">
        <is>
          <t>ZAKI OMAR</t>
        </is>
      </c>
      <c r="B183" s="400" t="n">
        <v>44766</v>
      </c>
      <c r="C183" s="404" t="n"/>
      <c r="D183" s="404" t="n"/>
      <c r="E183" s="403">
        <f>IF(OR($C183="",$D183=""),"",$D183-$C183)</f>
        <v/>
      </c>
      <c r="F183" s="390">
        <f>$A183&amp;"|"&amp;TEXT($B183,"YYYYMMDD")</f>
        <v/>
      </c>
    </row>
    <row r="184" ht="15" customHeight="1" s="231">
      <c r="A184" s="390" t="inlineStr">
        <is>
          <t>GUEYE GORA</t>
        </is>
      </c>
      <c r="B184" s="400" t="n">
        <v>44766</v>
      </c>
      <c r="C184" s="404" t="n"/>
      <c r="D184" s="404" t="n"/>
      <c r="E184" s="403">
        <f>IF(OR($C184="",$D184=""),"",$D184-$C184)</f>
        <v/>
      </c>
      <c r="F184" s="390">
        <f>$A184&amp;"|"&amp;TEXT($B184,"YYYYMMDD")</f>
        <v/>
      </c>
    </row>
    <row r="185" ht="15" customHeight="1" s="231">
      <c r="A185" s="390" t="inlineStr">
        <is>
          <t xml:space="preserve">LALOUN MANAL </t>
        </is>
      </c>
      <c r="B185" s="400" t="n">
        <v>44766</v>
      </c>
      <c r="C185" s="404" t="n"/>
      <c r="D185" s="404" t="n"/>
      <c r="E185" s="403">
        <f>IF(OR($C185="",$D185=""),"",$D185-$C185)</f>
        <v/>
      </c>
      <c r="F185" s="390">
        <f>$A185&amp;"|"&amp;TEXT($B185,"YYYYMMDD")</f>
        <v/>
      </c>
    </row>
    <row r="186" ht="15" customHeight="1" s="231">
      <c r="A186" s="390" t="inlineStr">
        <is>
          <t>BOULHROUD SALMA</t>
        </is>
      </c>
      <c r="B186" s="400" t="n">
        <v>44766</v>
      </c>
      <c r="C186" s="404" t="n"/>
      <c r="D186" s="404" t="n"/>
      <c r="E186" s="403">
        <f>IF(OR($C186="",$D186=""),"",$D186-$C186)</f>
        <v/>
      </c>
      <c r="F186" s="390">
        <f>$A186&amp;"|"&amp;TEXT($B186,"YYYYMMDD")</f>
        <v/>
      </c>
    </row>
    <row r="187" ht="15" customHeight="1" s="231">
      <c r="A187" s="390" t="inlineStr">
        <is>
          <t>SOUOUD ZAKARIA</t>
        </is>
      </c>
      <c r="B187" s="400" t="n">
        <v>44766</v>
      </c>
      <c r="C187" s="404" t="n"/>
      <c r="D187" s="404" t="n"/>
      <c r="E187" s="403">
        <f>IF(OR($C187="",$D187=""),"",$D187-$C187)</f>
        <v/>
      </c>
      <c r="F187" s="390">
        <f>$A187&amp;"|"&amp;TEXT($B187,"YYYYMMDD")</f>
        <v/>
      </c>
    </row>
    <row r="188" ht="15" customHeight="1" s="231">
      <c r="A188" s="390" t="inlineStr">
        <is>
          <t>ZIOUI DOUNIA</t>
        </is>
      </c>
      <c r="B188" s="400" t="n">
        <v>44766</v>
      </c>
      <c r="C188" s="404" t="n"/>
      <c r="D188" s="404" t="n"/>
      <c r="E188" s="403">
        <f>IF(OR($C188="",$D188=""),"",$D188-$C188)</f>
        <v/>
      </c>
      <c r="F188" s="390">
        <f>$A188&amp;"|"&amp;TEXT($B188,"YYYYMMDD")</f>
        <v/>
      </c>
    </row>
    <row r="189" ht="15" customHeight="1" s="231">
      <c r="A189" s="390" t="inlineStr">
        <is>
          <t>MELLAHI YOUSSEF</t>
        </is>
      </c>
      <c r="B189" s="400" t="n">
        <v>44766</v>
      </c>
      <c r="C189" s="404" t="n"/>
      <c r="D189" s="404" t="n"/>
      <c r="E189" s="403">
        <f>IF(OR($C189="",$D189=""),"",$D189-$C189)</f>
        <v/>
      </c>
      <c r="F189" s="390">
        <f>$A189&amp;"|"&amp;TEXT($B189,"YYYYMMDD")</f>
        <v/>
      </c>
    </row>
    <row r="190" ht="15" customHeight="1" s="231">
      <c r="A190" s="390" t="inlineStr">
        <is>
          <t>SECK DIARRA</t>
        </is>
      </c>
      <c r="B190" s="400" t="n">
        <v>44766</v>
      </c>
      <c r="C190" s="404" t="n"/>
      <c r="D190" s="404" t="n"/>
      <c r="E190" s="403">
        <f>IF(OR($C190="",$D190=""),"",$D190-$C190)</f>
        <v/>
      </c>
      <c r="F190" s="390">
        <f>$A190&amp;"|"&amp;TEXT($B190,"YYYYMMDD")</f>
        <v/>
      </c>
    </row>
    <row r="191" ht="15" customHeight="1" s="231">
      <c r="A191" s="390" t="inlineStr">
        <is>
          <t>BENSAR ANAS</t>
        </is>
      </c>
      <c r="B191" s="400" t="n">
        <v>44766</v>
      </c>
      <c r="C191" s="404" t="n"/>
      <c r="D191" s="404" t="n"/>
      <c r="E191" s="403">
        <f>IF(OR($C191="",$D191=""),"",$D191-$C191)</f>
        <v/>
      </c>
      <c r="F191" s="390">
        <f>$A191&amp;"|"&amp;TEXT($B191,"YYYYMMDD")</f>
        <v/>
      </c>
    </row>
    <row r="192" ht="15" customHeight="1" s="231">
      <c r="A192" s="390" t="inlineStr">
        <is>
          <t xml:space="preserve">DERKAOUI AMAL </t>
        </is>
      </c>
      <c r="B192" s="400" t="n">
        <v>44766</v>
      </c>
      <c r="C192" s="404" t="n"/>
      <c r="D192" s="404" t="n"/>
      <c r="E192" s="403">
        <f>IF(OR($C192="",$D192=""),"",$D192-$C192)</f>
        <v/>
      </c>
      <c r="F192" s="390">
        <f>$A192&amp;"|"&amp;TEXT($B192,"YYYYMMDD")</f>
        <v/>
      </c>
    </row>
    <row r="193" ht="15" customHeight="1" s="231">
      <c r="A193" s="390" t="inlineStr">
        <is>
          <t>SIDIBE MOUSKEBA DALAFINA</t>
        </is>
      </c>
      <c r="B193" s="400" t="n">
        <v>44766</v>
      </c>
      <c r="C193" s="404" t="n"/>
      <c r="D193" s="404" t="n"/>
      <c r="E193" s="403">
        <f>IF(OR($C193="",$D193=""),"",$D193-$C193)</f>
        <v/>
      </c>
      <c r="F193" s="390">
        <f>$A193&amp;"|"&amp;TEXT($B193,"YYYYMMDD")</f>
        <v/>
      </c>
    </row>
    <row r="194" ht="15" customHeight="1" s="231">
      <c r="A194" s="390" t="inlineStr">
        <is>
          <t>EL-AOUAQUI BOUCHRA</t>
        </is>
      </c>
      <c r="B194" s="400" t="n">
        <v>44767</v>
      </c>
      <c r="C194" s="404" t="n"/>
      <c r="D194" s="404" t="n"/>
      <c r="E194" s="403">
        <f>IF(OR($C194="",$D194=""),"",$D194-$C194)</f>
        <v/>
      </c>
      <c r="F194" s="390">
        <f>$A194&amp;"|"&amp;TEXT($B194,"YYYYMMDD")</f>
        <v/>
      </c>
    </row>
    <row r="195" ht="15" customHeight="1" s="231">
      <c r="A195" s="390" t="inlineStr">
        <is>
          <t>IHASSANE Ikram</t>
        </is>
      </c>
      <c r="B195" s="400" t="n">
        <v>44767</v>
      </c>
      <c r="C195" s="404" t="n"/>
      <c r="D195" s="404" t="n"/>
      <c r="E195" s="403">
        <f>IF(OR($C195="",$D195=""),"",$D195-$C195)</f>
        <v/>
      </c>
      <c r="F195" s="390">
        <f>$A195&amp;"|"&amp;TEXT($B195,"YYYYMMDD")</f>
        <v/>
      </c>
    </row>
    <row r="196" ht="15" customHeight="1" s="231">
      <c r="A196" s="390" t="inlineStr">
        <is>
          <t>NIANG NDEYE ABSA</t>
        </is>
      </c>
      <c r="B196" s="400" t="n">
        <v>44767</v>
      </c>
      <c r="C196" s="404" t="n"/>
      <c r="D196" s="404" t="n"/>
      <c r="E196" s="403">
        <f>IF(OR($C196="",$D196=""),"",$D196-$C196)</f>
        <v/>
      </c>
      <c r="F196" s="390">
        <f>$A196&amp;"|"&amp;TEXT($B196,"YYYYMMDD")</f>
        <v/>
      </c>
    </row>
    <row r="197" ht="15" customHeight="1" s="231">
      <c r="A197" s="390" t="inlineStr">
        <is>
          <t>ZAKI OMAR</t>
        </is>
      </c>
      <c r="B197" s="400" t="n">
        <v>44767</v>
      </c>
      <c r="C197" s="404" t="n"/>
      <c r="D197" s="404" t="n"/>
      <c r="E197" s="403">
        <f>IF(OR($C197="",$D197=""),"",$D197-$C197)</f>
        <v/>
      </c>
      <c r="F197" s="390">
        <f>$A197&amp;"|"&amp;TEXT($B197,"YYYYMMDD")</f>
        <v/>
      </c>
    </row>
    <row r="198" ht="15" customHeight="1" s="231">
      <c r="A198" s="390" t="inlineStr">
        <is>
          <t>EL HOUSSAINI HOUDA</t>
        </is>
      </c>
      <c r="B198" s="400" t="n">
        <v>44767</v>
      </c>
      <c r="C198" s="404" t="n"/>
      <c r="D198" s="404" t="n"/>
      <c r="E198" s="403">
        <f>IF(OR($C198="",$D198=""),"",$D198-$C198)</f>
        <v/>
      </c>
      <c r="F198" s="390">
        <f>$A198&amp;"|"&amp;TEXT($B198,"YYYYMMDD")</f>
        <v/>
      </c>
    </row>
    <row r="199" ht="15" customHeight="1" s="231">
      <c r="A199" s="390" t="inlineStr">
        <is>
          <t>EL HARROUCHI CHAIMAE</t>
        </is>
      </c>
      <c r="B199" s="400" t="n">
        <v>44767</v>
      </c>
      <c r="C199" s="404" t="n"/>
      <c r="D199" s="404" t="n"/>
      <c r="E199" s="403">
        <f>IF(OR($C199="",$D199=""),"",$D199-$C199)</f>
        <v/>
      </c>
      <c r="F199" s="390">
        <f>$A199&amp;"|"&amp;TEXT($B199,"YYYYMMDD")</f>
        <v/>
      </c>
    </row>
    <row r="200" ht="15" customHeight="1" s="231">
      <c r="A200" s="390" t="inlineStr">
        <is>
          <t>LAFDIL NADA</t>
        </is>
      </c>
      <c r="B200" s="400" t="n">
        <v>44767</v>
      </c>
      <c r="C200" s="404" t="n"/>
      <c r="D200" s="404" t="n"/>
      <c r="E200" s="403">
        <f>IF(OR($C200="",$D200=""),"",$D200-$C200)</f>
        <v/>
      </c>
      <c r="F200" s="390">
        <f>$A200&amp;"|"&amp;TEXT($B200,"YYYYMMDD")</f>
        <v/>
      </c>
    </row>
    <row r="201" ht="15" customHeight="1" s="231">
      <c r="A201" s="390" t="inlineStr">
        <is>
          <t>GUEYE MOUHAMED</t>
        </is>
      </c>
      <c r="B201" s="400" t="n">
        <v>44767</v>
      </c>
      <c r="C201" s="404" t="n"/>
      <c r="D201" s="404" t="n"/>
      <c r="E201" s="403">
        <f>IF(OR($C201="",$D201=""),"",$D201-$C201)</f>
        <v/>
      </c>
      <c r="F201" s="390">
        <f>$A201&amp;"|"&amp;TEXT($B201,"YYYYMMDD")</f>
        <v/>
      </c>
    </row>
    <row r="202" ht="15" customHeight="1" s="231">
      <c r="A202" s="390" t="inlineStr">
        <is>
          <t>RACHAD NAWAR</t>
        </is>
      </c>
      <c r="B202" s="400" t="n">
        <v>44767</v>
      </c>
      <c r="C202" s="404" t="n"/>
      <c r="D202" s="404" t="n"/>
      <c r="E202" s="403">
        <f>IF(OR($C202="",$D202=""),"",$D202-$C202)</f>
        <v/>
      </c>
      <c r="F202" s="390">
        <f>$A202&amp;"|"&amp;TEXT($B202,"YYYYMMDD")</f>
        <v/>
      </c>
    </row>
    <row r="203" ht="15" customHeight="1" s="231">
      <c r="A203" s="390" t="inlineStr">
        <is>
          <t>ZITOUNI LAMYA</t>
        </is>
      </c>
      <c r="B203" s="400" t="n">
        <v>44767</v>
      </c>
      <c r="C203" s="404" t="n"/>
      <c r="D203" s="404" t="n"/>
      <c r="E203" s="403">
        <f>IF(OR($C203="",$D203=""),"",$D203-$C203)</f>
        <v/>
      </c>
      <c r="F203" s="390">
        <f>$A203&amp;"|"&amp;TEXT($B203,"YYYYMMDD")</f>
        <v/>
      </c>
    </row>
    <row r="204" ht="15" customHeight="1" s="231">
      <c r="A204" s="390" t="inlineStr">
        <is>
          <t>GUEYE GORA</t>
        </is>
      </c>
      <c r="B204" s="400" t="n">
        <v>44767</v>
      </c>
      <c r="C204" s="404" t="n"/>
      <c r="D204" s="404" t="n"/>
      <c r="E204" s="403">
        <f>IF(OR($C204="",$D204=""),"",$D204-$C204)</f>
        <v/>
      </c>
      <c r="F204" s="390">
        <f>$A204&amp;"|"&amp;TEXT($B204,"YYYYMMDD")</f>
        <v/>
      </c>
    </row>
    <row r="205" ht="15" customHeight="1" s="231">
      <c r="A205" s="390" t="inlineStr">
        <is>
          <t>DIOUF OUSSMANE</t>
        </is>
      </c>
      <c r="B205" s="400" t="n">
        <v>44767</v>
      </c>
      <c r="C205" s="404" t="n"/>
      <c r="D205" s="404" t="n"/>
      <c r="E205" s="403">
        <f>IF(OR($C205="",$D205=""),"",$D205-$C205)</f>
        <v/>
      </c>
      <c r="F205" s="390">
        <f>$A205&amp;"|"&amp;TEXT($B205,"YYYYMMDD")</f>
        <v/>
      </c>
    </row>
    <row r="206" ht="15" customHeight="1" s="231">
      <c r="A206" s="390" t="inlineStr">
        <is>
          <t xml:space="preserve">DERKAOUI AMAL </t>
        </is>
      </c>
      <c r="B206" s="400" t="n">
        <v>44767</v>
      </c>
      <c r="C206" s="404" t="n"/>
      <c r="D206" s="404" t="n"/>
      <c r="E206" s="403">
        <f>IF(OR($C206="",$D206=""),"",$D206-$C206)</f>
        <v/>
      </c>
      <c r="F206" s="390">
        <f>$A206&amp;"|"&amp;TEXT($B206,"YYYYMMDD")</f>
        <v/>
      </c>
    </row>
    <row r="207" ht="15" customHeight="1" s="231">
      <c r="A207" s="390" t="inlineStr">
        <is>
          <t>AIT LARBI HIND</t>
        </is>
      </c>
      <c r="B207" s="400" t="n">
        <v>44767</v>
      </c>
      <c r="C207" s="404" t="n"/>
      <c r="D207" s="404" t="n"/>
      <c r="E207" s="403">
        <f>IF(OR($C207="",$D207=""),"",$D207-$C207)</f>
        <v/>
      </c>
      <c r="F207" s="390">
        <f>$A207&amp;"|"&amp;TEXT($B207,"YYYYMMDD")</f>
        <v/>
      </c>
    </row>
    <row r="208" ht="15" customHeight="1" s="231">
      <c r="A208" s="390" t="inlineStr">
        <is>
          <t>TOURE ABIBOU</t>
        </is>
      </c>
      <c r="B208" s="400" t="n">
        <v>44767</v>
      </c>
      <c r="C208" s="404" t="n"/>
      <c r="D208" s="404" t="n"/>
      <c r="E208" s="403">
        <f>IF(OR($C208="",$D208=""),"",$D208-$C208)</f>
        <v/>
      </c>
      <c r="F208" s="390">
        <f>$A208&amp;"|"&amp;TEXT($B208,"YYYYMMDD")</f>
        <v/>
      </c>
    </row>
    <row r="209" ht="15" customHeight="1" s="231">
      <c r="A209" s="390" t="inlineStr">
        <is>
          <t>KANTAOUI SALMA</t>
        </is>
      </c>
      <c r="B209" s="400" t="n">
        <v>44767</v>
      </c>
      <c r="C209" s="404" t="n"/>
      <c r="D209" s="404" t="n"/>
      <c r="E209" s="403">
        <f>IF(OR($C209="",$D209=""),"",$D209-$C209)</f>
        <v/>
      </c>
      <c r="F209" s="390">
        <f>$A209&amp;"|"&amp;TEXT($B209,"YYYYMMDD")</f>
        <v/>
      </c>
    </row>
    <row r="210" ht="15" customHeight="1" s="231">
      <c r="A210" s="390" t="inlineStr">
        <is>
          <t>ZIOUI DOUNIA</t>
        </is>
      </c>
      <c r="B210" s="400" t="n">
        <v>44767</v>
      </c>
      <c r="C210" s="404" t="n"/>
      <c r="D210" s="404" t="n"/>
      <c r="E210" s="403">
        <f>IF(OR($C210="",$D210=""),"",$D210-$C210)</f>
        <v/>
      </c>
      <c r="F210" s="390">
        <f>$A210&amp;"|"&amp;TEXT($B210,"YYYYMMDD")</f>
        <v/>
      </c>
    </row>
    <row r="211" ht="15" customHeight="1" s="231">
      <c r="A211" s="390" t="inlineStr">
        <is>
          <t>AIT ADDI KHADIJA</t>
        </is>
      </c>
      <c r="B211" s="400" t="n">
        <v>44767</v>
      </c>
      <c r="C211" s="404" t="n"/>
      <c r="D211" s="404" t="n"/>
      <c r="E211" s="403">
        <f>IF(OR($C211="",$D211=""),"",$D211-$C211)</f>
        <v/>
      </c>
      <c r="F211" s="390">
        <f>$A211&amp;"|"&amp;TEXT($B211,"YYYYMMDD")</f>
        <v/>
      </c>
    </row>
    <row r="212" ht="15" customHeight="1" s="231">
      <c r="A212" s="390" t="inlineStr">
        <is>
          <t>MELLAHI YOUSSEF</t>
        </is>
      </c>
      <c r="B212" s="400" t="n">
        <v>44767</v>
      </c>
      <c r="C212" s="404" t="n"/>
      <c r="D212" s="404" t="n"/>
      <c r="E212" s="403">
        <f>IF(OR($C212="",$D212=""),"",$D212-$C212)</f>
        <v/>
      </c>
      <c r="F212" s="390">
        <f>$A212&amp;"|"&amp;TEXT($B212,"YYYYMMDD")</f>
        <v/>
      </c>
    </row>
    <row r="213" ht="15" customHeight="1" s="231">
      <c r="A213" s="390" t="inlineStr">
        <is>
          <t xml:space="preserve">EL HOUJJAJI Soufiane </t>
        </is>
      </c>
      <c r="B213" s="400" t="n">
        <v>44767</v>
      </c>
      <c r="C213" s="404" t="n"/>
      <c r="D213" s="404" t="n"/>
      <c r="E213" s="403">
        <f>IF(OR($C213="",$D213=""),"",$D213-$C213)</f>
        <v/>
      </c>
      <c r="F213" s="390">
        <f>$A213&amp;"|"&amp;TEXT($B213,"YYYYMMDD")</f>
        <v/>
      </c>
    </row>
    <row r="214" ht="15" customHeight="1" s="231">
      <c r="A214" s="390" t="inlineStr">
        <is>
          <t>AZHARI ABDELHAMID</t>
        </is>
      </c>
      <c r="B214" s="400" t="n">
        <v>44767</v>
      </c>
      <c r="C214" s="404" t="n"/>
      <c r="D214" s="404" t="n"/>
      <c r="E214" s="403">
        <f>IF(OR($C214="",$D214=""),"",$D214-$C214)</f>
        <v/>
      </c>
      <c r="F214" s="390">
        <f>$A214&amp;"|"&amp;TEXT($B214,"YYYYMMDD")</f>
        <v/>
      </c>
    </row>
    <row r="215" ht="15" customHeight="1" s="231">
      <c r="A215" s="390" t="inlineStr">
        <is>
          <t>NUNEZ LUCIEN BERNARD</t>
        </is>
      </c>
      <c r="B215" s="400" t="n">
        <v>44767</v>
      </c>
      <c r="C215" s="404" t="n"/>
      <c r="D215" s="404" t="n"/>
      <c r="E215" s="403">
        <f>IF(OR($C215="",$D215=""),"",$D215-$C215)</f>
        <v/>
      </c>
      <c r="F215" s="390">
        <f>$A215&amp;"|"&amp;TEXT($B215,"YYYYMMDD")</f>
        <v/>
      </c>
    </row>
    <row r="216" ht="15" customHeight="1" s="231">
      <c r="A216" s="390" t="inlineStr">
        <is>
          <t xml:space="preserve">LALOUN MANAL </t>
        </is>
      </c>
      <c r="B216" s="400" t="n">
        <v>44767</v>
      </c>
      <c r="C216" s="404" t="n"/>
      <c r="D216" s="404" t="n"/>
      <c r="E216" s="403">
        <f>IF(OR($C216="",$D216=""),"",$D216-$C216)</f>
        <v/>
      </c>
      <c r="F216" s="390">
        <f>$A216&amp;"|"&amp;TEXT($B216,"YYYYMMDD")</f>
        <v/>
      </c>
    </row>
    <row r="217" ht="15" customHeight="1" s="231">
      <c r="A217" s="390" t="inlineStr">
        <is>
          <t>SIDIBE MOUSKEBA DALAFINA</t>
        </is>
      </c>
      <c r="B217" s="400" t="n">
        <v>44767</v>
      </c>
      <c r="C217" s="404" t="n"/>
      <c r="D217" s="404" t="n"/>
      <c r="E217" s="403">
        <f>IF(OR($C217="",$D217=""),"",$D217-$C217)</f>
        <v/>
      </c>
      <c r="F217" s="390">
        <f>$A217&amp;"|"&amp;TEXT($B217,"YYYYMMDD")</f>
        <v/>
      </c>
    </row>
    <row r="218" ht="15" customHeight="1" s="231">
      <c r="A218" s="390" t="inlineStr">
        <is>
          <t>BOULHROUD SALMA</t>
        </is>
      </c>
      <c r="B218" s="400" t="n">
        <v>44767</v>
      </c>
      <c r="C218" s="404" t="n"/>
      <c r="D218" s="404" t="n"/>
      <c r="E218" s="403">
        <f>IF(OR($C218="",$D218=""),"",$D218-$C218)</f>
        <v/>
      </c>
      <c r="F218" s="390">
        <f>$A218&amp;"|"&amp;TEXT($B218,"YYYYMMDD")</f>
        <v/>
      </c>
    </row>
    <row r="219" ht="15" customHeight="1" s="231">
      <c r="A219" s="390" t="inlineStr">
        <is>
          <t>BOURABAA HASSAN</t>
        </is>
      </c>
      <c r="B219" s="400" t="n">
        <v>44767</v>
      </c>
      <c r="C219" s="404" t="n"/>
      <c r="D219" s="404" t="n"/>
      <c r="E219" s="403">
        <f>IF(OR($C219="",$D219=""),"",$D219-$C219)</f>
        <v/>
      </c>
      <c r="F219" s="390">
        <f>$A219&amp;"|"&amp;TEXT($B219,"YYYYMMDD")</f>
        <v/>
      </c>
    </row>
    <row r="220" ht="15" customHeight="1" s="231">
      <c r="A220" s="390" t="inlineStr">
        <is>
          <t>SECK DIARRA</t>
        </is>
      </c>
      <c r="B220" s="400" t="n">
        <v>44767</v>
      </c>
      <c r="C220" s="404" t="n"/>
      <c r="D220" s="404" t="n"/>
      <c r="E220" s="403">
        <f>IF(OR($C220="",$D220=""),"",$D220-$C220)</f>
        <v/>
      </c>
      <c r="F220" s="390">
        <f>$A220&amp;"|"&amp;TEXT($B220,"YYYYMMDD")</f>
        <v/>
      </c>
    </row>
    <row r="221" ht="15" customHeight="1" s="231">
      <c r="A221" s="390" t="inlineStr">
        <is>
          <t>AINELKITANE ZINEB</t>
        </is>
      </c>
      <c r="B221" s="400" t="n">
        <v>44767</v>
      </c>
      <c r="C221" s="404" t="n"/>
      <c r="D221" s="404" t="n"/>
      <c r="E221" s="403">
        <f>IF(OR($C221="",$D221=""),"",$D221-$C221)</f>
        <v/>
      </c>
      <c r="F221" s="390">
        <f>$A221&amp;"|"&amp;TEXT($B221,"YYYYMMDD")</f>
        <v/>
      </c>
    </row>
    <row r="222" ht="15" customHeight="1" s="231">
      <c r="A222" s="390" t="inlineStr">
        <is>
          <t>BENSAR ANAS</t>
        </is>
      </c>
      <c r="B222" s="400" t="n">
        <v>44767</v>
      </c>
      <c r="C222" s="404" t="n"/>
      <c r="D222" s="404" t="n"/>
      <c r="E222" s="403">
        <f>IF(OR($C222="",$D222=""),"",$D222-$C222)</f>
        <v/>
      </c>
      <c r="F222" s="390">
        <f>$A222&amp;"|"&amp;TEXT($B222,"YYYYMMDD")</f>
        <v/>
      </c>
    </row>
    <row r="223" ht="15" customHeight="1" s="231">
      <c r="A223" s="390" t="inlineStr">
        <is>
          <t>NEMMAOUI MOUNIRA</t>
        </is>
      </c>
      <c r="B223" s="400" t="n">
        <v>44767</v>
      </c>
      <c r="C223" s="404" t="n"/>
      <c r="D223" s="404" t="n"/>
      <c r="E223" s="403">
        <f>IF(OR($C223="",$D223=""),"",$D223-$C223)</f>
        <v/>
      </c>
      <c r="F223" s="390">
        <f>$A223&amp;"|"&amp;TEXT($B223,"YYYYMMDD")</f>
        <v/>
      </c>
    </row>
    <row r="224" ht="15" customHeight="1" s="231">
      <c r="A224" s="390" t="inlineStr">
        <is>
          <t>QARBOUI Aymane</t>
        </is>
      </c>
      <c r="B224" s="400" t="n">
        <v>44767</v>
      </c>
      <c r="C224" s="404" t="n"/>
      <c r="D224" s="404" t="n"/>
      <c r="E224" s="403">
        <f>IF(OR($C224="",$D224=""),"",$D224-$C224)</f>
        <v/>
      </c>
      <c r="F224" s="390">
        <f>$A224&amp;"|"&amp;TEXT($B224,"YYYYMMDD")</f>
        <v/>
      </c>
    </row>
    <row r="225" ht="15" customHeight="1" s="231">
      <c r="A225" s="390" t="inlineStr">
        <is>
          <t>SOUOUD ZAKARIA</t>
        </is>
      </c>
      <c r="B225" s="400" t="n">
        <v>44767</v>
      </c>
      <c r="C225" s="404" t="n"/>
      <c r="D225" s="404" t="n"/>
      <c r="E225" s="403">
        <f>IF(OR($C225="",$D225=""),"",$D225-$C225)</f>
        <v/>
      </c>
      <c r="F225" s="390">
        <f>$A225&amp;"|"&amp;TEXT($B225,"YYYYMMDD")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RICOUCH Zouhair (PRESTA EXT)</dc:creator>
  <dc:language xmlns:dc="http://purl.org/dc/elements/1.1/">en-US</dc:language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2026-07-22T08:06:11Z</dcterms:modified>
  <cp:lastModifiedBy>OUBRAHIM Mohammed [EIDS]</cp:lastModifiedBy>
  <cp:revision>0</cp:revision>
  <cp:lastPrinted>2025-06-06T08:29:46Z</cp:lastPrinted>
</cp:coreProperties>
</file>